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Contas" sheetId="1" r:id="rId1"/>
    <sheet name="Oportunidades" sheetId="2" r:id="rId2"/>
    <sheet name="Listas" sheetId="3" r:id="rId3"/>
    <sheet name="Instrucoes" sheetId="4" r:id="rId4"/>
  </sheets>
  <calcPr calcId="191029" fullCalcOnLoad="1"/>
</workbook>
</file>

<file path=xl/styles.xml><?xml version="1.0" encoding="utf-8"?>
<styleSheet xmlns="http://schemas.openxmlformats.org/spreadsheetml/2006/main">
  <fonts count="5">
    <font>
      <sz val="10"/>
      <name val="Arial"/>
    </font>
    <font>
      <b/>
      <sz val="10"/>
      <color rgb="FFFFFFFF"/>
      <name val="Arial"/>
    </font>
    <font>
      <b/>
      <sz val="14"/>
      <color rgb="FF1F3864"/>
      <name val="Arial"/>
    </font>
    <font>
      <b/>
      <sz val="10"/>
      <name val="Arial"/>
    </font>
    <font>
      <sz val="10"/>
      <color rgb="FF444444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7791F"/>
      </patternFill>
    </fill>
    <fill>
      <patternFill patternType="solid">
        <fgColor rgb="FFFFF9C4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49" fontId="0" fillId="0" borderId="1" xfId="0" applyNumberFormat="1" applyBorder="1"/>
    <xf numFmtId="49" fontId="0" fillId="4" borderId="1" xfId="0" applyNumberFormat="1" applyFill="1" applyBorder="1"/>
    <xf numFmtId="0" fontId="4" fillId="5" borderId="1" xfId="0" applyFont="1" applyFill="1" applyBorder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1F3864"/>
  </sheetPr>
  <sheetViews>
    <sheetView workbookViewId="0">
      <pane ySplit="1" topLeftCell="A2" activePane="bottomLeft" state="frozen"/>
      <selection pane="bottomLeft" activeCell="A2" sqref="A2"/>
    </sheetView>
  </sheetViews>
  <sheetFormatPr defaultRowHeight="14"/>
  <cols>
    <col min="1" max="1" width="20" customWidth="1"/>
    <col min="2" max="2" width="44" customWidth="1"/>
    <col min="3" max="3" width="28" customWidth="1"/>
    <col min="4" max="4" width="28" customWidth="1"/>
    <col min="5" max="5" width="30" customWidth="1"/>
    <col min="6" max="6" width="30" customWidth="1"/>
    <col min="7" max="7" width="16" customWidth="1"/>
    <col min="8" max="8" width="22" customWidth="1"/>
    <col min="9" max="9" width="12" customWidth="1"/>
    <col min="10" max="10" width="30" customWidth="1"/>
    <col min="11" max="11" width="10" customWidth="1"/>
  </cols>
  <sheetData>
    <row r="1">
      <c r="A1" s="2" t="inlineStr">
        <is>
          <t xml:space="preserve">CNPJ da conta *</t>
        </is>
      </c>
      <c r="B1" s="1" t="inlineStr">
        <is>
          <t xml:space="preserve">Nome da conta (conferência)</t>
        </is>
      </c>
      <c r="C1" s="1" t="inlineStr">
        <is>
          <t xml:space="preserve">Proprietário atual (informativo)</t>
        </is>
      </c>
      <c r="D1" s="1" t="inlineStr">
        <is>
          <t xml:space="preserve">Gerente atual (informativo)</t>
        </is>
      </c>
      <c r="E1" s="2" t="inlineStr">
        <is>
          <t xml:space="preserve">Novo gerente da conta *</t>
        </is>
      </c>
      <c r="F1" s="1" t="inlineStr">
        <is>
          <t xml:space="preserve">Observação</t>
        </is>
      </c>
      <c r="G1" s="3" t="inlineStr">
        <is>
          <t xml:space="preserve">CNPJ (só dígitos)</t>
        </is>
      </c>
      <c r="H1" s="3" t="inlineStr">
        <is>
          <t xml:space="preserve">CNPJ válido?</t>
        </is>
      </c>
      <c r="I1" s="3" t="inlineStr">
        <is>
          <t xml:space="preserve">Duplicado?</t>
        </is>
      </c>
      <c r="J1" s="3" t="inlineStr">
        <is>
          <t xml:space="preserve">Obrigatórios?</t>
        </is>
      </c>
      <c r="K1" s="3" t="inlineStr">
        <is>
          <t xml:space="preserve">LINHA</t>
        </is>
      </c>
    </row>
    <row r="2">
      <c r="A2" s="5" t="inlineStr">
        <is>
          <t xml:space="preserve">16.939.019/0008-04</t>
        </is>
      </c>
      <c r="B2" s="4" t="inlineStr">
        <is>
          <t xml:space="preserve">DIOCESE DE SETE LAGOAS</t>
        </is>
      </c>
      <c r="C2" s="4" t="inlineStr">
        <is>
          <t xml:space="preserve">Erica Rosena De Aguilar</t>
        </is>
      </c>
      <c r="D2" s="4" t="inlineStr">
        <is>
          <t xml:space="preserve">Matheus Nardoni Benevides</t>
        </is>
      </c>
      <c r="E2" s="5" t="inlineStr">
        <is>
          <t xml:space="preserve">Marcelo Barbosa De Carvalho</t>
        </is>
      </c>
      <c r="F2" s="4"/>
      <c r="G2" s="6">
        <f>IF(A2="","",SUBSTITUTE(SUBSTITUTE(SUBSTITUTE(SUBSTITUTE(SUBSTITUTE(SUBSTITUTE(SUBSTITUTE(TRIM(A2),".",""),"/",""),"-","")," ",""),"(",""),")",""),"+",""))</f>
      </c>
      <c r="H2" s="6">
        <f>IF(G2="","",IF(LEN(G2)&lt;&gt;14,"ERRO: "&amp;LEN(G2)&amp;" dígitos",IF(NOT(ISNUMBER(VALUE(G2))),"ERRO: não numérico",IF(AND(VALUE(MID(G2,13,1))=IF(MOD(SUMPRODUCT(--MID(G2,{1,2,3,4,5,6,7,8,9,10,11,12},1),{5,4,3,2,9,8,7,6,5,4,3,2}),11)&lt;2,0,11-MOD(SUMPRODUCT(--MID(G2,{1,2,3,4,5,6,7,8,9,10,11,12},1),{5,4,3,2,9,8,7,6,5,4,3,2}),11)),VALUE(MID(G2,14,1))=IF(MOD(SUMPRODUCT(--MID(G2,{1,2,3,4,5,6,7,8,9,10,11,12,13},1),{6,5,4,3,2,9,8,7,6,5,4,3,2}),11)&lt;2,0,11-MOD(SUMPRODUCT(--MID(G2,{1,2,3,4,5,6,7,8,9,10,11,12,13},1),{6,5,4,3,2,9,8,7,6,5,4,3,2}),11))),"OK","AVISO: dígito verificador (conferir na org)"))))</f>
      </c>
      <c r="I2" s="6">
        <f>IF(G2="","",IF(COUNTIF($G$2:$G$2001,G2)&gt;1,"DUPLICADO","OK"))</f>
      </c>
      <c r="J2" s="6">
        <f>IF(COUNTA(A2:F2)=0,"",IF(AND(A2&lt;&gt;"",E2&lt;&gt;""),"OK","ERRO: faltam "&amp;IF(A2="","CNPJ; ","")&amp;IF(E2="","Novo gerente; ","")))</f>
      </c>
      <c r="K2" s="6">
        <f>IF(COUNTA(A2:F2)=0,"",IF(AND(LEFT(H2,4)&lt;&gt;"ERRO",I2="OK",J2="OK"),"OK","REVISAR"))</f>
      </c>
    </row>
    <row r="3">
      <c r="A3" s="5"/>
      <c r="B3" s="4"/>
      <c r="C3" s="4"/>
      <c r="D3" s="4"/>
      <c r="E3" s="5"/>
      <c r="F3" s="4"/>
      <c r="G3" s="6">
        <f>IF(A3="","",SUBSTITUTE(SUBSTITUTE(SUBSTITUTE(SUBSTITUTE(SUBSTITUTE(SUBSTITUTE(SUBSTITUTE(TRIM(A3),".",""),"/",""),"-","")," ",""),"(",""),")",""),"+",""))</f>
      </c>
      <c r="H3" s="6">
        <f>IF(G3="","",IF(LEN(G3)&lt;&gt;14,"ERRO: "&amp;LEN(G3)&amp;" dígitos",IF(NOT(ISNUMBER(VALUE(G3))),"ERRO: não numérico",IF(AND(VALUE(MID(G3,13,1))=IF(MOD(SUMPRODUCT(--MID(G3,{1,2,3,4,5,6,7,8,9,10,11,12},1),{5,4,3,2,9,8,7,6,5,4,3,2}),11)&lt;2,0,11-MOD(SUMPRODUCT(--MID(G3,{1,2,3,4,5,6,7,8,9,10,11,12},1),{5,4,3,2,9,8,7,6,5,4,3,2}),11)),VALUE(MID(G3,14,1))=IF(MOD(SUMPRODUCT(--MID(G3,{1,2,3,4,5,6,7,8,9,10,11,12,13},1),{6,5,4,3,2,9,8,7,6,5,4,3,2}),11)&lt;2,0,11-MOD(SUMPRODUCT(--MID(G3,{1,2,3,4,5,6,7,8,9,10,11,12,13},1),{6,5,4,3,2,9,8,7,6,5,4,3,2}),11))),"OK","AVISO: dígito verificador (conferir na org)"))))</f>
      </c>
      <c r="I3" s="6">
        <f>IF(G3="","",IF(COUNTIF($G$2:$G$2001,G3)&gt;1,"DUPLICADO","OK"))</f>
      </c>
      <c r="J3" s="6">
        <f>IF(COUNTA(A3:F3)=0,"",IF(AND(A3&lt;&gt;"",E3&lt;&gt;""),"OK","ERRO: faltam "&amp;IF(A3="","CNPJ; ","")&amp;IF(E3="","Novo gerente; ","")))</f>
      </c>
      <c r="K3" s="6">
        <f>IF(COUNTA(A3:F3)=0,"",IF(AND(LEFT(H3,4)&lt;&gt;"ERRO",I3="OK",J3="OK"),"OK","REVISAR"))</f>
      </c>
    </row>
    <row r="4">
      <c r="A4" s="5"/>
      <c r="B4" s="4"/>
      <c r="C4" s="4"/>
      <c r="D4" s="4"/>
      <c r="E4" s="5"/>
      <c r="F4" s="4"/>
      <c r="G4" s="6">
        <f>IF(A4="","",SUBSTITUTE(SUBSTITUTE(SUBSTITUTE(SUBSTITUTE(SUBSTITUTE(SUBSTITUTE(SUBSTITUTE(TRIM(A4),".",""),"/",""),"-","")," ",""),"(",""),")",""),"+",""))</f>
      </c>
      <c r="H4" s="6">
        <f>IF(G4="","",IF(LEN(G4)&lt;&gt;14,"ERRO: "&amp;LEN(G4)&amp;" dígitos",IF(NOT(ISNUMBER(VALUE(G4))),"ERRO: não numérico",IF(AND(VALUE(MID(G4,13,1))=IF(MOD(SUMPRODUCT(--MID(G4,{1,2,3,4,5,6,7,8,9,10,11,12},1),{5,4,3,2,9,8,7,6,5,4,3,2}),11)&lt;2,0,11-MOD(SUMPRODUCT(--MID(G4,{1,2,3,4,5,6,7,8,9,10,11,12},1),{5,4,3,2,9,8,7,6,5,4,3,2}),11)),VALUE(MID(G4,14,1))=IF(MOD(SUMPRODUCT(--MID(G4,{1,2,3,4,5,6,7,8,9,10,11,12,13},1),{6,5,4,3,2,9,8,7,6,5,4,3,2}),11)&lt;2,0,11-MOD(SUMPRODUCT(--MID(G4,{1,2,3,4,5,6,7,8,9,10,11,12,13},1),{6,5,4,3,2,9,8,7,6,5,4,3,2}),11))),"OK","AVISO: dígito verificador (conferir na org)"))))</f>
      </c>
      <c r="I4" s="6">
        <f>IF(G4="","",IF(COUNTIF($G$2:$G$2001,G4)&gt;1,"DUPLICADO","OK"))</f>
      </c>
      <c r="J4" s="6">
        <f>IF(COUNTA(A4:F4)=0,"",IF(AND(A4&lt;&gt;"",E4&lt;&gt;""),"OK","ERRO: faltam "&amp;IF(A4="","CNPJ; ","")&amp;IF(E4="","Novo gerente; ","")))</f>
      </c>
      <c r="K4" s="6">
        <f>IF(COUNTA(A4:F4)=0,"",IF(AND(LEFT(H4,4)&lt;&gt;"ERRO",I4="OK",J4="OK"),"OK","REVISAR"))</f>
      </c>
    </row>
    <row r="5">
      <c r="A5" s="5"/>
      <c r="B5" s="4"/>
      <c r="C5" s="4"/>
      <c r="D5" s="4"/>
      <c r="E5" s="5"/>
      <c r="F5" s="4"/>
      <c r="G5" s="6">
        <f>IF(A5="","",SUBSTITUTE(SUBSTITUTE(SUBSTITUTE(SUBSTITUTE(SUBSTITUTE(SUBSTITUTE(SUBSTITUTE(TRIM(A5),".",""),"/",""),"-","")," ",""),"(",""),")",""),"+",""))</f>
      </c>
      <c r="H5" s="6">
        <f>IF(G5="","",IF(LEN(G5)&lt;&gt;14,"ERRO: "&amp;LEN(G5)&amp;" dígitos",IF(NOT(ISNUMBER(VALUE(G5))),"ERRO: não numérico",IF(AND(VALUE(MID(G5,13,1))=IF(MOD(SUMPRODUCT(--MID(G5,{1,2,3,4,5,6,7,8,9,10,11,12},1),{5,4,3,2,9,8,7,6,5,4,3,2}),11)&lt;2,0,11-MOD(SUMPRODUCT(--MID(G5,{1,2,3,4,5,6,7,8,9,10,11,12},1),{5,4,3,2,9,8,7,6,5,4,3,2}),11)),VALUE(MID(G5,14,1))=IF(MOD(SUMPRODUCT(--MID(G5,{1,2,3,4,5,6,7,8,9,10,11,12,13},1),{6,5,4,3,2,9,8,7,6,5,4,3,2}),11)&lt;2,0,11-MOD(SUMPRODUCT(--MID(G5,{1,2,3,4,5,6,7,8,9,10,11,12,13},1),{6,5,4,3,2,9,8,7,6,5,4,3,2}),11))),"OK","AVISO: dígito verificador (conferir na org)"))))</f>
      </c>
      <c r="I5" s="6">
        <f>IF(G5="","",IF(COUNTIF($G$2:$G$2001,G5)&gt;1,"DUPLICADO","OK"))</f>
      </c>
      <c r="J5" s="6">
        <f>IF(COUNTA(A5:F5)=0,"",IF(AND(A5&lt;&gt;"",E5&lt;&gt;""),"OK","ERRO: faltam "&amp;IF(A5="","CNPJ; ","")&amp;IF(E5="","Novo gerente; ","")))</f>
      </c>
      <c r="K5" s="6">
        <f>IF(COUNTA(A5:F5)=0,"",IF(AND(LEFT(H5,4)&lt;&gt;"ERRO",I5="OK",J5="OK"),"OK","REVISAR"))</f>
      </c>
    </row>
    <row r="6">
      <c r="A6" s="5"/>
      <c r="B6" s="4"/>
      <c r="C6" s="4"/>
      <c r="D6" s="4"/>
      <c r="E6" s="5"/>
      <c r="F6" s="4"/>
      <c r="G6" s="6">
        <f>IF(A6="","",SUBSTITUTE(SUBSTITUTE(SUBSTITUTE(SUBSTITUTE(SUBSTITUTE(SUBSTITUTE(SUBSTITUTE(TRIM(A6),".",""),"/",""),"-","")," ",""),"(",""),")",""),"+",""))</f>
      </c>
      <c r="H6" s="6">
        <f>IF(G6="","",IF(LEN(G6)&lt;&gt;14,"ERRO: "&amp;LEN(G6)&amp;" dígitos",IF(NOT(ISNUMBER(VALUE(G6))),"ERRO: não numérico",IF(AND(VALUE(MID(G6,13,1))=IF(MOD(SUMPRODUCT(--MID(G6,{1,2,3,4,5,6,7,8,9,10,11,12},1),{5,4,3,2,9,8,7,6,5,4,3,2}),11)&lt;2,0,11-MOD(SUMPRODUCT(--MID(G6,{1,2,3,4,5,6,7,8,9,10,11,12},1),{5,4,3,2,9,8,7,6,5,4,3,2}),11)),VALUE(MID(G6,14,1))=IF(MOD(SUMPRODUCT(--MID(G6,{1,2,3,4,5,6,7,8,9,10,11,12,13},1),{6,5,4,3,2,9,8,7,6,5,4,3,2}),11)&lt;2,0,11-MOD(SUMPRODUCT(--MID(G6,{1,2,3,4,5,6,7,8,9,10,11,12,13},1),{6,5,4,3,2,9,8,7,6,5,4,3,2}),11))),"OK","AVISO: dígito verificador (conferir na org)"))))</f>
      </c>
      <c r="I6" s="6">
        <f>IF(G6="","",IF(COUNTIF($G$2:$G$2001,G6)&gt;1,"DUPLICADO","OK"))</f>
      </c>
      <c r="J6" s="6">
        <f>IF(COUNTA(A6:F6)=0,"",IF(AND(A6&lt;&gt;"",E6&lt;&gt;""),"OK","ERRO: faltam "&amp;IF(A6="","CNPJ; ","")&amp;IF(E6="","Novo gerente; ","")))</f>
      </c>
      <c r="K6" s="6">
        <f>IF(COUNTA(A6:F6)=0,"",IF(AND(LEFT(H6,4)&lt;&gt;"ERRO",I6="OK",J6="OK"),"OK","REVISAR"))</f>
      </c>
    </row>
    <row r="7">
      <c r="A7" s="5"/>
      <c r="B7" s="4"/>
      <c r="C7" s="4"/>
      <c r="D7" s="4"/>
      <c r="E7" s="5"/>
      <c r="F7" s="4"/>
      <c r="G7" s="6">
        <f>IF(A7="","",SUBSTITUTE(SUBSTITUTE(SUBSTITUTE(SUBSTITUTE(SUBSTITUTE(SUBSTITUTE(SUBSTITUTE(TRIM(A7),".",""),"/",""),"-","")," ",""),"(",""),")",""),"+",""))</f>
      </c>
      <c r="H7" s="6">
        <f>IF(G7="","",IF(LEN(G7)&lt;&gt;14,"ERRO: "&amp;LEN(G7)&amp;" dígitos",IF(NOT(ISNUMBER(VALUE(G7))),"ERRO: não numérico",IF(AND(VALUE(MID(G7,13,1))=IF(MOD(SUMPRODUCT(--MID(G7,{1,2,3,4,5,6,7,8,9,10,11,12},1),{5,4,3,2,9,8,7,6,5,4,3,2}),11)&lt;2,0,11-MOD(SUMPRODUCT(--MID(G7,{1,2,3,4,5,6,7,8,9,10,11,12},1),{5,4,3,2,9,8,7,6,5,4,3,2}),11)),VALUE(MID(G7,14,1))=IF(MOD(SUMPRODUCT(--MID(G7,{1,2,3,4,5,6,7,8,9,10,11,12,13},1),{6,5,4,3,2,9,8,7,6,5,4,3,2}),11)&lt;2,0,11-MOD(SUMPRODUCT(--MID(G7,{1,2,3,4,5,6,7,8,9,10,11,12,13},1),{6,5,4,3,2,9,8,7,6,5,4,3,2}),11))),"OK","AVISO: dígito verificador (conferir na org)"))))</f>
      </c>
      <c r="I7" s="6">
        <f>IF(G7="","",IF(COUNTIF($G$2:$G$2001,G7)&gt;1,"DUPLICADO","OK"))</f>
      </c>
      <c r="J7" s="6">
        <f>IF(COUNTA(A7:F7)=0,"",IF(AND(A7&lt;&gt;"",E7&lt;&gt;""),"OK","ERRO: faltam "&amp;IF(A7="","CNPJ; ","")&amp;IF(E7="","Novo gerente; ","")))</f>
      </c>
      <c r="K7" s="6">
        <f>IF(COUNTA(A7:F7)=0,"",IF(AND(LEFT(H7,4)&lt;&gt;"ERRO",I7="OK",J7="OK"),"OK","REVISAR"))</f>
      </c>
    </row>
    <row r="8">
      <c r="A8" s="5"/>
      <c r="B8" s="4"/>
      <c r="C8" s="4"/>
      <c r="D8" s="4"/>
      <c r="E8" s="5"/>
      <c r="F8" s="4"/>
      <c r="G8" s="6">
        <f>IF(A8="","",SUBSTITUTE(SUBSTITUTE(SUBSTITUTE(SUBSTITUTE(SUBSTITUTE(SUBSTITUTE(SUBSTITUTE(TRIM(A8),".",""),"/",""),"-","")," ",""),"(",""),")",""),"+",""))</f>
      </c>
      <c r="H8" s="6">
        <f>IF(G8="","",IF(LEN(G8)&lt;&gt;14,"ERRO: "&amp;LEN(G8)&amp;" dígitos",IF(NOT(ISNUMBER(VALUE(G8))),"ERRO: não numérico",IF(AND(VALUE(MID(G8,13,1))=IF(MOD(SUMPRODUCT(--MID(G8,{1,2,3,4,5,6,7,8,9,10,11,12},1),{5,4,3,2,9,8,7,6,5,4,3,2}),11)&lt;2,0,11-MOD(SUMPRODUCT(--MID(G8,{1,2,3,4,5,6,7,8,9,10,11,12},1),{5,4,3,2,9,8,7,6,5,4,3,2}),11)),VALUE(MID(G8,14,1))=IF(MOD(SUMPRODUCT(--MID(G8,{1,2,3,4,5,6,7,8,9,10,11,12,13},1),{6,5,4,3,2,9,8,7,6,5,4,3,2}),11)&lt;2,0,11-MOD(SUMPRODUCT(--MID(G8,{1,2,3,4,5,6,7,8,9,10,11,12,13},1),{6,5,4,3,2,9,8,7,6,5,4,3,2}),11))),"OK","AVISO: dígito verificador (conferir na org)"))))</f>
      </c>
      <c r="I8" s="6">
        <f>IF(G8="","",IF(COUNTIF($G$2:$G$2001,G8)&gt;1,"DUPLICADO","OK"))</f>
      </c>
      <c r="J8" s="6">
        <f>IF(COUNTA(A8:F8)=0,"",IF(AND(A8&lt;&gt;"",E8&lt;&gt;""),"OK","ERRO: faltam "&amp;IF(A8="","CNPJ; ","")&amp;IF(E8="","Novo gerente; ","")))</f>
      </c>
      <c r="K8" s="6">
        <f>IF(COUNTA(A8:F8)=0,"",IF(AND(LEFT(H8,4)&lt;&gt;"ERRO",I8="OK",J8="OK"),"OK","REVISAR"))</f>
      </c>
    </row>
    <row r="9">
      <c r="A9" s="5"/>
      <c r="B9" s="4"/>
      <c r="C9" s="4"/>
      <c r="D9" s="4"/>
      <c r="E9" s="5"/>
      <c r="F9" s="4"/>
      <c r="G9" s="6">
        <f>IF(A9="","",SUBSTITUTE(SUBSTITUTE(SUBSTITUTE(SUBSTITUTE(SUBSTITUTE(SUBSTITUTE(SUBSTITUTE(TRIM(A9),".",""),"/",""),"-","")," ",""),"(",""),")",""),"+",""))</f>
      </c>
      <c r="H9" s="6">
        <f>IF(G9="","",IF(LEN(G9)&lt;&gt;14,"ERRO: "&amp;LEN(G9)&amp;" dígitos",IF(NOT(ISNUMBER(VALUE(G9))),"ERRO: não numérico",IF(AND(VALUE(MID(G9,13,1))=IF(MOD(SUMPRODUCT(--MID(G9,{1,2,3,4,5,6,7,8,9,10,11,12},1),{5,4,3,2,9,8,7,6,5,4,3,2}),11)&lt;2,0,11-MOD(SUMPRODUCT(--MID(G9,{1,2,3,4,5,6,7,8,9,10,11,12},1),{5,4,3,2,9,8,7,6,5,4,3,2}),11)),VALUE(MID(G9,14,1))=IF(MOD(SUMPRODUCT(--MID(G9,{1,2,3,4,5,6,7,8,9,10,11,12,13},1),{6,5,4,3,2,9,8,7,6,5,4,3,2}),11)&lt;2,0,11-MOD(SUMPRODUCT(--MID(G9,{1,2,3,4,5,6,7,8,9,10,11,12,13},1),{6,5,4,3,2,9,8,7,6,5,4,3,2}),11))),"OK","AVISO: dígito verificador (conferir na org)"))))</f>
      </c>
      <c r="I9" s="6">
        <f>IF(G9="","",IF(COUNTIF($G$2:$G$2001,G9)&gt;1,"DUPLICADO","OK"))</f>
      </c>
      <c r="J9" s="6">
        <f>IF(COUNTA(A9:F9)=0,"",IF(AND(A9&lt;&gt;"",E9&lt;&gt;""),"OK","ERRO: faltam "&amp;IF(A9="","CNPJ; ","")&amp;IF(E9="","Novo gerente; ","")))</f>
      </c>
      <c r="K9" s="6">
        <f>IF(COUNTA(A9:F9)=0,"",IF(AND(LEFT(H9,4)&lt;&gt;"ERRO",I9="OK",J9="OK"),"OK","REVISAR"))</f>
      </c>
    </row>
    <row r="10">
      <c r="A10" s="5"/>
      <c r="B10" s="4"/>
      <c r="C10" s="4"/>
      <c r="D10" s="4"/>
      <c r="E10" s="5"/>
      <c r="F10" s="4"/>
      <c r="G10" s="6">
        <f>IF(A10="","",SUBSTITUTE(SUBSTITUTE(SUBSTITUTE(SUBSTITUTE(SUBSTITUTE(SUBSTITUTE(SUBSTITUTE(TRIM(A10),".",""),"/",""),"-","")," ",""),"(",""),")",""),"+",""))</f>
      </c>
      <c r="H10" s="6">
        <f>IF(G10="","",IF(LEN(G10)&lt;&gt;14,"ERRO: "&amp;LEN(G10)&amp;" dígitos",IF(NOT(ISNUMBER(VALUE(G10))),"ERRO: não numérico",IF(AND(VALUE(MID(G10,13,1))=IF(MOD(SUMPRODUCT(--MID(G10,{1,2,3,4,5,6,7,8,9,10,11,12},1),{5,4,3,2,9,8,7,6,5,4,3,2}),11)&lt;2,0,11-MOD(SUMPRODUCT(--MID(G10,{1,2,3,4,5,6,7,8,9,10,11,12},1),{5,4,3,2,9,8,7,6,5,4,3,2}),11)),VALUE(MID(G10,14,1))=IF(MOD(SUMPRODUCT(--MID(G10,{1,2,3,4,5,6,7,8,9,10,11,12,13},1),{6,5,4,3,2,9,8,7,6,5,4,3,2}),11)&lt;2,0,11-MOD(SUMPRODUCT(--MID(G10,{1,2,3,4,5,6,7,8,9,10,11,12,13},1),{6,5,4,3,2,9,8,7,6,5,4,3,2}),11))),"OK","AVISO: dígito verificador (conferir na org)"))))</f>
      </c>
      <c r="I10" s="6">
        <f>IF(G10="","",IF(COUNTIF($G$2:$G$2001,G10)&gt;1,"DUPLICADO","OK"))</f>
      </c>
      <c r="J10" s="6">
        <f>IF(COUNTA(A10:F10)=0,"",IF(AND(A10&lt;&gt;"",E10&lt;&gt;""),"OK","ERRO: faltam "&amp;IF(A10="","CNPJ; ","")&amp;IF(E10="","Novo gerente; ","")))</f>
      </c>
      <c r="K10" s="6">
        <f>IF(COUNTA(A10:F10)=0,"",IF(AND(LEFT(H10,4)&lt;&gt;"ERRO",I10="OK",J10="OK"),"OK","REVISAR"))</f>
      </c>
    </row>
    <row r="11">
      <c r="A11" s="5"/>
      <c r="B11" s="4"/>
      <c r="C11" s="4"/>
      <c r="D11" s="4"/>
      <c r="E11" s="5"/>
      <c r="F11" s="4"/>
      <c r="G11" s="6">
        <f>IF(A11="","",SUBSTITUTE(SUBSTITUTE(SUBSTITUTE(SUBSTITUTE(SUBSTITUTE(SUBSTITUTE(SUBSTITUTE(TRIM(A11),".",""),"/",""),"-","")," ",""),"(",""),")",""),"+",""))</f>
      </c>
      <c r="H11" s="6">
        <f>IF(G11="","",IF(LEN(G11)&lt;&gt;14,"ERRO: "&amp;LEN(G11)&amp;" dígitos",IF(NOT(ISNUMBER(VALUE(G11))),"ERRO: não numérico",IF(AND(VALUE(MID(G11,13,1))=IF(MOD(SUMPRODUCT(--MID(G11,{1,2,3,4,5,6,7,8,9,10,11,12},1),{5,4,3,2,9,8,7,6,5,4,3,2}),11)&lt;2,0,11-MOD(SUMPRODUCT(--MID(G11,{1,2,3,4,5,6,7,8,9,10,11,12},1),{5,4,3,2,9,8,7,6,5,4,3,2}),11)),VALUE(MID(G11,14,1))=IF(MOD(SUMPRODUCT(--MID(G11,{1,2,3,4,5,6,7,8,9,10,11,12,13},1),{6,5,4,3,2,9,8,7,6,5,4,3,2}),11)&lt;2,0,11-MOD(SUMPRODUCT(--MID(G11,{1,2,3,4,5,6,7,8,9,10,11,12,13},1),{6,5,4,3,2,9,8,7,6,5,4,3,2}),11))),"OK","AVISO: dígito verificador (conferir na org)"))))</f>
      </c>
      <c r="I11" s="6">
        <f>IF(G11="","",IF(COUNTIF($G$2:$G$2001,G11)&gt;1,"DUPLICADO","OK"))</f>
      </c>
      <c r="J11" s="6">
        <f>IF(COUNTA(A11:F11)=0,"",IF(AND(A11&lt;&gt;"",E11&lt;&gt;""),"OK","ERRO: faltam "&amp;IF(A11="","CNPJ; ","")&amp;IF(E11="","Novo gerente; ","")))</f>
      </c>
      <c r="K11" s="6">
        <f>IF(COUNTA(A11:F11)=0,"",IF(AND(LEFT(H11,4)&lt;&gt;"ERRO",I11="OK",J11="OK"),"OK","REVISAR"))</f>
      </c>
    </row>
    <row r="12">
      <c r="A12" s="5"/>
      <c r="B12" s="4"/>
      <c r="C12" s="4"/>
      <c r="D12" s="4"/>
      <c r="E12" s="5"/>
      <c r="F12" s="4"/>
      <c r="G12" s="6">
        <f>IF(A12="","",SUBSTITUTE(SUBSTITUTE(SUBSTITUTE(SUBSTITUTE(SUBSTITUTE(SUBSTITUTE(SUBSTITUTE(TRIM(A12),".",""),"/",""),"-","")," ",""),"(",""),")",""),"+",""))</f>
      </c>
      <c r="H12" s="6">
        <f>IF(G12="","",IF(LEN(G12)&lt;&gt;14,"ERRO: "&amp;LEN(G12)&amp;" dígitos",IF(NOT(ISNUMBER(VALUE(G12))),"ERRO: não numérico",IF(AND(VALUE(MID(G12,13,1))=IF(MOD(SUMPRODUCT(--MID(G12,{1,2,3,4,5,6,7,8,9,10,11,12},1),{5,4,3,2,9,8,7,6,5,4,3,2}),11)&lt;2,0,11-MOD(SUMPRODUCT(--MID(G12,{1,2,3,4,5,6,7,8,9,10,11,12},1),{5,4,3,2,9,8,7,6,5,4,3,2}),11)),VALUE(MID(G12,14,1))=IF(MOD(SUMPRODUCT(--MID(G12,{1,2,3,4,5,6,7,8,9,10,11,12,13},1),{6,5,4,3,2,9,8,7,6,5,4,3,2}),11)&lt;2,0,11-MOD(SUMPRODUCT(--MID(G12,{1,2,3,4,5,6,7,8,9,10,11,12,13},1),{6,5,4,3,2,9,8,7,6,5,4,3,2}),11))),"OK","AVISO: dígito verificador (conferir na org)"))))</f>
      </c>
      <c r="I12" s="6">
        <f>IF(G12="","",IF(COUNTIF($G$2:$G$2001,G12)&gt;1,"DUPLICADO","OK"))</f>
      </c>
      <c r="J12" s="6">
        <f>IF(COUNTA(A12:F12)=0,"",IF(AND(A12&lt;&gt;"",E12&lt;&gt;""),"OK","ERRO: faltam "&amp;IF(A12="","CNPJ; ","")&amp;IF(E12="","Novo gerente; ","")))</f>
      </c>
      <c r="K12" s="6">
        <f>IF(COUNTA(A12:F12)=0,"",IF(AND(LEFT(H12,4)&lt;&gt;"ERRO",I12="OK",J12="OK"),"OK","REVISAR"))</f>
      </c>
    </row>
    <row r="13">
      <c r="A13" s="5"/>
      <c r="B13" s="4"/>
      <c r="C13" s="4"/>
      <c r="D13" s="4"/>
      <c r="E13" s="5"/>
      <c r="F13" s="4"/>
      <c r="G13" s="6">
        <f>IF(A13="","",SUBSTITUTE(SUBSTITUTE(SUBSTITUTE(SUBSTITUTE(SUBSTITUTE(SUBSTITUTE(SUBSTITUTE(TRIM(A13),".",""),"/",""),"-","")," ",""),"(",""),")",""),"+",""))</f>
      </c>
      <c r="H13" s="6">
        <f>IF(G13="","",IF(LEN(G13)&lt;&gt;14,"ERRO: "&amp;LEN(G13)&amp;" dígitos",IF(NOT(ISNUMBER(VALUE(G13))),"ERRO: não numérico",IF(AND(VALUE(MID(G13,13,1))=IF(MOD(SUMPRODUCT(--MID(G13,{1,2,3,4,5,6,7,8,9,10,11,12},1),{5,4,3,2,9,8,7,6,5,4,3,2}),11)&lt;2,0,11-MOD(SUMPRODUCT(--MID(G13,{1,2,3,4,5,6,7,8,9,10,11,12},1),{5,4,3,2,9,8,7,6,5,4,3,2}),11)),VALUE(MID(G13,14,1))=IF(MOD(SUMPRODUCT(--MID(G13,{1,2,3,4,5,6,7,8,9,10,11,12,13},1),{6,5,4,3,2,9,8,7,6,5,4,3,2}),11)&lt;2,0,11-MOD(SUMPRODUCT(--MID(G13,{1,2,3,4,5,6,7,8,9,10,11,12,13},1),{6,5,4,3,2,9,8,7,6,5,4,3,2}),11))),"OK","AVISO: dígito verificador (conferir na org)"))))</f>
      </c>
      <c r="I13" s="6">
        <f>IF(G13="","",IF(COUNTIF($G$2:$G$2001,G13)&gt;1,"DUPLICADO","OK"))</f>
      </c>
      <c r="J13" s="6">
        <f>IF(COUNTA(A13:F13)=0,"",IF(AND(A13&lt;&gt;"",E13&lt;&gt;""),"OK","ERRO: faltam "&amp;IF(A13="","CNPJ; ","")&amp;IF(E13="","Novo gerente; ","")))</f>
      </c>
      <c r="K13" s="6">
        <f>IF(COUNTA(A13:F13)=0,"",IF(AND(LEFT(H13,4)&lt;&gt;"ERRO",I13="OK",J13="OK"),"OK","REVISAR"))</f>
      </c>
    </row>
    <row r="14">
      <c r="A14" s="5"/>
      <c r="B14" s="4"/>
      <c r="C14" s="4"/>
      <c r="D14" s="4"/>
      <c r="E14" s="5"/>
      <c r="F14" s="4"/>
      <c r="G14" s="6">
        <f>IF(A14="","",SUBSTITUTE(SUBSTITUTE(SUBSTITUTE(SUBSTITUTE(SUBSTITUTE(SUBSTITUTE(SUBSTITUTE(TRIM(A14),".",""),"/",""),"-","")," ",""),"(",""),")",""),"+",""))</f>
      </c>
      <c r="H14" s="6">
        <f>IF(G14="","",IF(LEN(G14)&lt;&gt;14,"ERRO: "&amp;LEN(G14)&amp;" dígitos",IF(NOT(ISNUMBER(VALUE(G14))),"ERRO: não numérico",IF(AND(VALUE(MID(G14,13,1))=IF(MOD(SUMPRODUCT(--MID(G14,{1,2,3,4,5,6,7,8,9,10,11,12},1),{5,4,3,2,9,8,7,6,5,4,3,2}),11)&lt;2,0,11-MOD(SUMPRODUCT(--MID(G14,{1,2,3,4,5,6,7,8,9,10,11,12},1),{5,4,3,2,9,8,7,6,5,4,3,2}),11)),VALUE(MID(G14,14,1))=IF(MOD(SUMPRODUCT(--MID(G14,{1,2,3,4,5,6,7,8,9,10,11,12,13},1),{6,5,4,3,2,9,8,7,6,5,4,3,2}),11)&lt;2,0,11-MOD(SUMPRODUCT(--MID(G14,{1,2,3,4,5,6,7,8,9,10,11,12,13},1),{6,5,4,3,2,9,8,7,6,5,4,3,2}),11))),"OK","AVISO: dígito verificador (conferir na org)"))))</f>
      </c>
      <c r="I14" s="6">
        <f>IF(G14="","",IF(COUNTIF($G$2:$G$2001,G14)&gt;1,"DUPLICADO","OK"))</f>
      </c>
      <c r="J14" s="6">
        <f>IF(COUNTA(A14:F14)=0,"",IF(AND(A14&lt;&gt;"",E14&lt;&gt;""),"OK","ERRO: faltam "&amp;IF(A14="","CNPJ; ","")&amp;IF(E14="","Novo gerente; ","")))</f>
      </c>
      <c r="K14" s="6">
        <f>IF(COUNTA(A14:F14)=0,"",IF(AND(LEFT(H14,4)&lt;&gt;"ERRO",I14="OK",J14="OK"),"OK","REVISAR"))</f>
      </c>
    </row>
    <row r="15">
      <c r="A15" s="5"/>
      <c r="B15" s="4"/>
      <c r="C15" s="4"/>
      <c r="D15" s="4"/>
      <c r="E15" s="5"/>
      <c r="F15" s="4"/>
      <c r="G15" s="6">
        <f>IF(A15="","",SUBSTITUTE(SUBSTITUTE(SUBSTITUTE(SUBSTITUTE(SUBSTITUTE(SUBSTITUTE(SUBSTITUTE(TRIM(A15),".",""),"/",""),"-","")," ",""),"(",""),")",""),"+",""))</f>
      </c>
      <c r="H15" s="6">
        <f>IF(G15="","",IF(LEN(G15)&lt;&gt;14,"ERRO: "&amp;LEN(G15)&amp;" dígitos",IF(NOT(ISNUMBER(VALUE(G15))),"ERRO: não numérico",IF(AND(VALUE(MID(G15,13,1))=IF(MOD(SUMPRODUCT(--MID(G15,{1,2,3,4,5,6,7,8,9,10,11,12},1),{5,4,3,2,9,8,7,6,5,4,3,2}),11)&lt;2,0,11-MOD(SUMPRODUCT(--MID(G15,{1,2,3,4,5,6,7,8,9,10,11,12},1),{5,4,3,2,9,8,7,6,5,4,3,2}),11)),VALUE(MID(G15,14,1))=IF(MOD(SUMPRODUCT(--MID(G15,{1,2,3,4,5,6,7,8,9,10,11,12,13},1),{6,5,4,3,2,9,8,7,6,5,4,3,2}),11)&lt;2,0,11-MOD(SUMPRODUCT(--MID(G15,{1,2,3,4,5,6,7,8,9,10,11,12,13},1),{6,5,4,3,2,9,8,7,6,5,4,3,2}),11))),"OK","AVISO: dígito verificador (conferir na org)"))))</f>
      </c>
      <c r="I15" s="6">
        <f>IF(G15="","",IF(COUNTIF($G$2:$G$2001,G15)&gt;1,"DUPLICADO","OK"))</f>
      </c>
      <c r="J15" s="6">
        <f>IF(COUNTA(A15:F15)=0,"",IF(AND(A15&lt;&gt;"",E15&lt;&gt;""),"OK","ERRO: faltam "&amp;IF(A15="","CNPJ; ","")&amp;IF(E15="","Novo gerente; ","")))</f>
      </c>
      <c r="K15" s="6">
        <f>IF(COUNTA(A15:F15)=0,"",IF(AND(LEFT(H15,4)&lt;&gt;"ERRO",I15="OK",J15="OK"),"OK","REVISAR"))</f>
      </c>
    </row>
    <row r="16">
      <c r="A16" s="5"/>
      <c r="B16" s="4"/>
      <c r="C16" s="4"/>
      <c r="D16" s="4"/>
      <c r="E16" s="5"/>
      <c r="F16" s="4"/>
      <c r="G16" s="6">
        <f>IF(A16="","",SUBSTITUTE(SUBSTITUTE(SUBSTITUTE(SUBSTITUTE(SUBSTITUTE(SUBSTITUTE(SUBSTITUTE(TRIM(A16),".",""),"/",""),"-","")," ",""),"(",""),")",""),"+",""))</f>
      </c>
      <c r="H16" s="6">
        <f>IF(G16="","",IF(LEN(G16)&lt;&gt;14,"ERRO: "&amp;LEN(G16)&amp;" dígitos",IF(NOT(ISNUMBER(VALUE(G16))),"ERRO: não numérico",IF(AND(VALUE(MID(G16,13,1))=IF(MOD(SUMPRODUCT(--MID(G16,{1,2,3,4,5,6,7,8,9,10,11,12},1),{5,4,3,2,9,8,7,6,5,4,3,2}),11)&lt;2,0,11-MOD(SUMPRODUCT(--MID(G16,{1,2,3,4,5,6,7,8,9,10,11,12},1),{5,4,3,2,9,8,7,6,5,4,3,2}),11)),VALUE(MID(G16,14,1))=IF(MOD(SUMPRODUCT(--MID(G16,{1,2,3,4,5,6,7,8,9,10,11,12,13},1),{6,5,4,3,2,9,8,7,6,5,4,3,2}),11)&lt;2,0,11-MOD(SUMPRODUCT(--MID(G16,{1,2,3,4,5,6,7,8,9,10,11,12,13},1),{6,5,4,3,2,9,8,7,6,5,4,3,2}),11))),"OK","AVISO: dígito verificador (conferir na org)"))))</f>
      </c>
      <c r="I16" s="6">
        <f>IF(G16="","",IF(COUNTIF($G$2:$G$2001,G16)&gt;1,"DUPLICADO","OK"))</f>
      </c>
      <c r="J16" s="6">
        <f>IF(COUNTA(A16:F16)=0,"",IF(AND(A16&lt;&gt;"",E16&lt;&gt;""),"OK","ERRO: faltam "&amp;IF(A16="","CNPJ; ","")&amp;IF(E16="","Novo gerente; ","")))</f>
      </c>
      <c r="K16" s="6">
        <f>IF(COUNTA(A16:F16)=0,"",IF(AND(LEFT(H16,4)&lt;&gt;"ERRO",I16="OK",J16="OK"),"OK","REVISAR"))</f>
      </c>
    </row>
    <row r="17">
      <c r="A17" s="5"/>
      <c r="B17" s="4"/>
      <c r="C17" s="4"/>
      <c r="D17" s="4"/>
      <c r="E17" s="5"/>
      <c r="F17" s="4"/>
      <c r="G17" s="6">
        <f>IF(A17="","",SUBSTITUTE(SUBSTITUTE(SUBSTITUTE(SUBSTITUTE(SUBSTITUTE(SUBSTITUTE(SUBSTITUTE(TRIM(A17),".",""),"/",""),"-","")," ",""),"(",""),")",""),"+",""))</f>
      </c>
      <c r="H17" s="6">
        <f>IF(G17="","",IF(LEN(G17)&lt;&gt;14,"ERRO: "&amp;LEN(G17)&amp;" dígitos",IF(NOT(ISNUMBER(VALUE(G17))),"ERRO: não numérico",IF(AND(VALUE(MID(G17,13,1))=IF(MOD(SUMPRODUCT(--MID(G17,{1,2,3,4,5,6,7,8,9,10,11,12},1),{5,4,3,2,9,8,7,6,5,4,3,2}),11)&lt;2,0,11-MOD(SUMPRODUCT(--MID(G17,{1,2,3,4,5,6,7,8,9,10,11,12},1),{5,4,3,2,9,8,7,6,5,4,3,2}),11)),VALUE(MID(G17,14,1))=IF(MOD(SUMPRODUCT(--MID(G17,{1,2,3,4,5,6,7,8,9,10,11,12,13},1),{6,5,4,3,2,9,8,7,6,5,4,3,2}),11)&lt;2,0,11-MOD(SUMPRODUCT(--MID(G17,{1,2,3,4,5,6,7,8,9,10,11,12,13},1),{6,5,4,3,2,9,8,7,6,5,4,3,2}),11))),"OK","AVISO: dígito verificador (conferir na org)"))))</f>
      </c>
      <c r="I17" s="6">
        <f>IF(G17="","",IF(COUNTIF($G$2:$G$2001,G17)&gt;1,"DUPLICADO","OK"))</f>
      </c>
      <c r="J17" s="6">
        <f>IF(COUNTA(A17:F17)=0,"",IF(AND(A17&lt;&gt;"",E17&lt;&gt;""),"OK","ERRO: faltam "&amp;IF(A17="","CNPJ; ","")&amp;IF(E17="","Novo gerente; ","")))</f>
      </c>
      <c r="K17" s="6">
        <f>IF(COUNTA(A17:F17)=0,"",IF(AND(LEFT(H17,4)&lt;&gt;"ERRO",I17="OK",J17="OK"),"OK","REVISAR"))</f>
      </c>
    </row>
    <row r="18">
      <c r="A18" s="5"/>
      <c r="B18" s="4"/>
      <c r="C18" s="4"/>
      <c r="D18" s="4"/>
      <c r="E18" s="5"/>
      <c r="F18" s="4"/>
      <c r="G18" s="6">
        <f>IF(A18="","",SUBSTITUTE(SUBSTITUTE(SUBSTITUTE(SUBSTITUTE(SUBSTITUTE(SUBSTITUTE(SUBSTITUTE(TRIM(A18),".",""),"/",""),"-","")," ",""),"(",""),")",""),"+",""))</f>
      </c>
      <c r="H18" s="6">
        <f>IF(G18="","",IF(LEN(G18)&lt;&gt;14,"ERRO: "&amp;LEN(G18)&amp;" dígitos",IF(NOT(ISNUMBER(VALUE(G18))),"ERRO: não numérico",IF(AND(VALUE(MID(G18,13,1))=IF(MOD(SUMPRODUCT(--MID(G18,{1,2,3,4,5,6,7,8,9,10,11,12},1),{5,4,3,2,9,8,7,6,5,4,3,2}),11)&lt;2,0,11-MOD(SUMPRODUCT(--MID(G18,{1,2,3,4,5,6,7,8,9,10,11,12},1),{5,4,3,2,9,8,7,6,5,4,3,2}),11)),VALUE(MID(G18,14,1))=IF(MOD(SUMPRODUCT(--MID(G18,{1,2,3,4,5,6,7,8,9,10,11,12,13},1),{6,5,4,3,2,9,8,7,6,5,4,3,2}),11)&lt;2,0,11-MOD(SUMPRODUCT(--MID(G18,{1,2,3,4,5,6,7,8,9,10,11,12,13},1),{6,5,4,3,2,9,8,7,6,5,4,3,2}),11))),"OK","AVISO: dígito verificador (conferir na org)"))))</f>
      </c>
      <c r="I18" s="6">
        <f>IF(G18="","",IF(COUNTIF($G$2:$G$2001,G18)&gt;1,"DUPLICADO","OK"))</f>
      </c>
      <c r="J18" s="6">
        <f>IF(COUNTA(A18:F18)=0,"",IF(AND(A18&lt;&gt;"",E18&lt;&gt;""),"OK","ERRO: faltam "&amp;IF(A18="","CNPJ; ","")&amp;IF(E18="","Novo gerente; ","")))</f>
      </c>
      <c r="K18" s="6">
        <f>IF(COUNTA(A18:F18)=0,"",IF(AND(LEFT(H18,4)&lt;&gt;"ERRO",I18="OK",J18="OK"),"OK","REVISAR"))</f>
      </c>
    </row>
    <row r="19">
      <c r="A19" s="5"/>
      <c r="B19" s="4"/>
      <c r="C19" s="4"/>
      <c r="D19" s="4"/>
      <c r="E19" s="5"/>
      <c r="F19" s="4"/>
      <c r="G19" s="6">
        <f>IF(A19="","",SUBSTITUTE(SUBSTITUTE(SUBSTITUTE(SUBSTITUTE(SUBSTITUTE(SUBSTITUTE(SUBSTITUTE(TRIM(A19),".",""),"/",""),"-","")," ",""),"(",""),")",""),"+",""))</f>
      </c>
      <c r="H19" s="6">
        <f>IF(G19="","",IF(LEN(G19)&lt;&gt;14,"ERRO: "&amp;LEN(G19)&amp;" dígitos",IF(NOT(ISNUMBER(VALUE(G19))),"ERRO: não numérico",IF(AND(VALUE(MID(G19,13,1))=IF(MOD(SUMPRODUCT(--MID(G19,{1,2,3,4,5,6,7,8,9,10,11,12},1),{5,4,3,2,9,8,7,6,5,4,3,2}),11)&lt;2,0,11-MOD(SUMPRODUCT(--MID(G19,{1,2,3,4,5,6,7,8,9,10,11,12},1),{5,4,3,2,9,8,7,6,5,4,3,2}),11)),VALUE(MID(G19,14,1))=IF(MOD(SUMPRODUCT(--MID(G19,{1,2,3,4,5,6,7,8,9,10,11,12,13},1),{6,5,4,3,2,9,8,7,6,5,4,3,2}),11)&lt;2,0,11-MOD(SUMPRODUCT(--MID(G19,{1,2,3,4,5,6,7,8,9,10,11,12,13},1),{6,5,4,3,2,9,8,7,6,5,4,3,2}),11))),"OK","AVISO: dígito verificador (conferir na org)"))))</f>
      </c>
      <c r="I19" s="6">
        <f>IF(G19="","",IF(COUNTIF($G$2:$G$2001,G19)&gt;1,"DUPLICADO","OK"))</f>
      </c>
      <c r="J19" s="6">
        <f>IF(COUNTA(A19:F19)=0,"",IF(AND(A19&lt;&gt;"",E19&lt;&gt;""),"OK","ERRO: faltam "&amp;IF(A19="","CNPJ; ","")&amp;IF(E19="","Novo gerente; ","")))</f>
      </c>
      <c r="K19" s="6">
        <f>IF(COUNTA(A19:F19)=0,"",IF(AND(LEFT(H19,4)&lt;&gt;"ERRO",I19="OK",J19="OK"),"OK","REVISAR"))</f>
      </c>
    </row>
    <row r="20">
      <c r="A20" s="5"/>
      <c r="B20" s="4"/>
      <c r="C20" s="4"/>
      <c r="D20" s="4"/>
      <c r="E20" s="5"/>
      <c r="F20" s="4"/>
      <c r="G20" s="6">
        <f>IF(A20="","",SUBSTITUTE(SUBSTITUTE(SUBSTITUTE(SUBSTITUTE(SUBSTITUTE(SUBSTITUTE(SUBSTITUTE(TRIM(A20),".",""),"/",""),"-","")," ",""),"(",""),")",""),"+",""))</f>
      </c>
      <c r="H20" s="6">
        <f>IF(G20="","",IF(LEN(G20)&lt;&gt;14,"ERRO: "&amp;LEN(G20)&amp;" dígitos",IF(NOT(ISNUMBER(VALUE(G20))),"ERRO: não numérico",IF(AND(VALUE(MID(G20,13,1))=IF(MOD(SUMPRODUCT(--MID(G20,{1,2,3,4,5,6,7,8,9,10,11,12},1),{5,4,3,2,9,8,7,6,5,4,3,2}),11)&lt;2,0,11-MOD(SUMPRODUCT(--MID(G20,{1,2,3,4,5,6,7,8,9,10,11,12},1),{5,4,3,2,9,8,7,6,5,4,3,2}),11)),VALUE(MID(G20,14,1))=IF(MOD(SUMPRODUCT(--MID(G20,{1,2,3,4,5,6,7,8,9,10,11,12,13},1),{6,5,4,3,2,9,8,7,6,5,4,3,2}),11)&lt;2,0,11-MOD(SUMPRODUCT(--MID(G20,{1,2,3,4,5,6,7,8,9,10,11,12,13},1),{6,5,4,3,2,9,8,7,6,5,4,3,2}),11))),"OK","AVISO: dígito verificador (conferir na org)"))))</f>
      </c>
      <c r="I20" s="6">
        <f>IF(G20="","",IF(COUNTIF($G$2:$G$2001,G20)&gt;1,"DUPLICADO","OK"))</f>
      </c>
      <c r="J20" s="6">
        <f>IF(COUNTA(A20:F20)=0,"",IF(AND(A20&lt;&gt;"",E20&lt;&gt;""),"OK","ERRO: faltam "&amp;IF(A20="","CNPJ; ","")&amp;IF(E20="","Novo gerente; ","")))</f>
      </c>
      <c r="K20" s="6">
        <f>IF(COUNTA(A20:F20)=0,"",IF(AND(LEFT(H20,4)&lt;&gt;"ERRO",I20="OK",J20="OK"),"OK","REVISAR"))</f>
      </c>
    </row>
    <row r="21">
      <c r="A21" s="5"/>
      <c r="B21" s="4"/>
      <c r="C21" s="4"/>
      <c r="D21" s="4"/>
      <c r="E21" s="5"/>
      <c r="F21" s="4"/>
      <c r="G21" s="6">
        <f>IF(A21="","",SUBSTITUTE(SUBSTITUTE(SUBSTITUTE(SUBSTITUTE(SUBSTITUTE(SUBSTITUTE(SUBSTITUTE(TRIM(A21),".",""),"/",""),"-","")," ",""),"(",""),")",""),"+",""))</f>
      </c>
      <c r="H21" s="6">
        <f>IF(G21="","",IF(LEN(G21)&lt;&gt;14,"ERRO: "&amp;LEN(G21)&amp;" dígitos",IF(NOT(ISNUMBER(VALUE(G21))),"ERRO: não numérico",IF(AND(VALUE(MID(G21,13,1))=IF(MOD(SUMPRODUCT(--MID(G21,{1,2,3,4,5,6,7,8,9,10,11,12},1),{5,4,3,2,9,8,7,6,5,4,3,2}),11)&lt;2,0,11-MOD(SUMPRODUCT(--MID(G21,{1,2,3,4,5,6,7,8,9,10,11,12},1),{5,4,3,2,9,8,7,6,5,4,3,2}),11)),VALUE(MID(G21,14,1))=IF(MOD(SUMPRODUCT(--MID(G21,{1,2,3,4,5,6,7,8,9,10,11,12,13},1),{6,5,4,3,2,9,8,7,6,5,4,3,2}),11)&lt;2,0,11-MOD(SUMPRODUCT(--MID(G21,{1,2,3,4,5,6,7,8,9,10,11,12,13},1),{6,5,4,3,2,9,8,7,6,5,4,3,2}),11))),"OK","AVISO: dígito verificador (conferir na org)"))))</f>
      </c>
      <c r="I21" s="6">
        <f>IF(G21="","",IF(COUNTIF($G$2:$G$2001,G21)&gt;1,"DUPLICADO","OK"))</f>
      </c>
      <c r="J21" s="6">
        <f>IF(COUNTA(A21:F21)=0,"",IF(AND(A21&lt;&gt;"",E21&lt;&gt;""),"OK","ERRO: faltam "&amp;IF(A21="","CNPJ; ","")&amp;IF(E21="","Novo gerente; ","")))</f>
      </c>
      <c r="K21" s="6">
        <f>IF(COUNTA(A21:F21)=0,"",IF(AND(LEFT(H21,4)&lt;&gt;"ERRO",I21="OK",J21="OK"),"OK","REVISAR"))</f>
      </c>
    </row>
    <row r="22">
      <c r="A22" s="5"/>
      <c r="B22" s="4"/>
      <c r="C22" s="4"/>
      <c r="D22" s="4"/>
      <c r="E22" s="5"/>
      <c r="F22" s="4"/>
      <c r="G22" s="6">
        <f>IF(A22="","",SUBSTITUTE(SUBSTITUTE(SUBSTITUTE(SUBSTITUTE(SUBSTITUTE(SUBSTITUTE(SUBSTITUTE(TRIM(A22),".",""),"/",""),"-","")," ",""),"(",""),")",""),"+",""))</f>
      </c>
      <c r="H22" s="6">
        <f>IF(G22="","",IF(LEN(G22)&lt;&gt;14,"ERRO: "&amp;LEN(G22)&amp;" dígitos",IF(NOT(ISNUMBER(VALUE(G22))),"ERRO: não numérico",IF(AND(VALUE(MID(G22,13,1))=IF(MOD(SUMPRODUCT(--MID(G22,{1,2,3,4,5,6,7,8,9,10,11,12},1),{5,4,3,2,9,8,7,6,5,4,3,2}),11)&lt;2,0,11-MOD(SUMPRODUCT(--MID(G22,{1,2,3,4,5,6,7,8,9,10,11,12},1),{5,4,3,2,9,8,7,6,5,4,3,2}),11)),VALUE(MID(G22,14,1))=IF(MOD(SUMPRODUCT(--MID(G22,{1,2,3,4,5,6,7,8,9,10,11,12,13},1),{6,5,4,3,2,9,8,7,6,5,4,3,2}),11)&lt;2,0,11-MOD(SUMPRODUCT(--MID(G22,{1,2,3,4,5,6,7,8,9,10,11,12,13},1),{6,5,4,3,2,9,8,7,6,5,4,3,2}),11))),"OK","AVISO: dígito verificador (conferir na org)"))))</f>
      </c>
      <c r="I22" s="6">
        <f>IF(G22="","",IF(COUNTIF($G$2:$G$2001,G22)&gt;1,"DUPLICADO","OK"))</f>
      </c>
      <c r="J22" s="6">
        <f>IF(COUNTA(A22:F22)=0,"",IF(AND(A22&lt;&gt;"",E22&lt;&gt;""),"OK","ERRO: faltam "&amp;IF(A22="","CNPJ; ","")&amp;IF(E22="","Novo gerente; ","")))</f>
      </c>
      <c r="K22" s="6">
        <f>IF(COUNTA(A22:F22)=0,"",IF(AND(LEFT(H22,4)&lt;&gt;"ERRO",I22="OK",J22="OK"),"OK","REVISAR"))</f>
      </c>
    </row>
    <row r="23">
      <c r="A23" s="5"/>
      <c r="B23" s="4"/>
      <c r="C23" s="4"/>
      <c r="D23" s="4"/>
      <c r="E23" s="5"/>
      <c r="F23" s="4"/>
      <c r="G23" s="6">
        <f>IF(A23="","",SUBSTITUTE(SUBSTITUTE(SUBSTITUTE(SUBSTITUTE(SUBSTITUTE(SUBSTITUTE(SUBSTITUTE(TRIM(A23),".",""),"/",""),"-","")," ",""),"(",""),")",""),"+",""))</f>
      </c>
      <c r="H23" s="6">
        <f>IF(G23="","",IF(LEN(G23)&lt;&gt;14,"ERRO: "&amp;LEN(G23)&amp;" dígitos",IF(NOT(ISNUMBER(VALUE(G23))),"ERRO: não numérico",IF(AND(VALUE(MID(G23,13,1))=IF(MOD(SUMPRODUCT(--MID(G23,{1,2,3,4,5,6,7,8,9,10,11,12},1),{5,4,3,2,9,8,7,6,5,4,3,2}),11)&lt;2,0,11-MOD(SUMPRODUCT(--MID(G23,{1,2,3,4,5,6,7,8,9,10,11,12},1),{5,4,3,2,9,8,7,6,5,4,3,2}),11)),VALUE(MID(G23,14,1))=IF(MOD(SUMPRODUCT(--MID(G23,{1,2,3,4,5,6,7,8,9,10,11,12,13},1),{6,5,4,3,2,9,8,7,6,5,4,3,2}),11)&lt;2,0,11-MOD(SUMPRODUCT(--MID(G23,{1,2,3,4,5,6,7,8,9,10,11,12,13},1),{6,5,4,3,2,9,8,7,6,5,4,3,2}),11))),"OK","AVISO: dígito verificador (conferir na org)"))))</f>
      </c>
      <c r="I23" s="6">
        <f>IF(G23="","",IF(COUNTIF($G$2:$G$2001,G23)&gt;1,"DUPLICADO","OK"))</f>
      </c>
      <c r="J23" s="6">
        <f>IF(COUNTA(A23:F23)=0,"",IF(AND(A23&lt;&gt;"",E23&lt;&gt;""),"OK","ERRO: faltam "&amp;IF(A23="","CNPJ; ","")&amp;IF(E23="","Novo gerente; ","")))</f>
      </c>
      <c r="K23" s="6">
        <f>IF(COUNTA(A23:F23)=0,"",IF(AND(LEFT(H23,4)&lt;&gt;"ERRO",I23="OK",J23="OK"),"OK","REVISAR"))</f>
      </c>
    </row>
    <row r="24">
      <c r="A24" s="5"/>
      <c r="B24" s="4"/>
      <c r="C24" s="4"/>
      <c r="D24" s="4"/>
      <c r="E24" s="5"/>
      <c r="F24" s="4"/>
      <c r="G24" s="6">
        <f>IF(A24="","",SUBSTITUTE(SUBSTITUTE(SUBSTITUTE(SUBSTITUTE(SUBSTITUTE(SUBSTITUTE(SUBSTITUTE(TRIM(A24),".",""),"/",""),"-","")," ",""),"(",""),")",""),"+",""))</f>
      </c>
      <c r="H24" s="6">
        <f>IF(G24="","",IF(LEN(G24)&lt;&gt;14,"ERRO: "&amp;LEN(G24)&amp;" dígitos",IF(NOT(ISNUMBER(VALUE(G24))),"ERRO: não numérico",IF(AND(VALUE(MID(G24,13,1))=IF(MOD(SUMPRODUCT(--MID(G24,{1,2,3,4,5,6,7,8,9,10,11,12},1),{5,4,3,2,9,8,7,6,5,4,3,2}),11)&lt;2,0,11-MOD(SUMPRODUCT(--MID(G24,{1,2,3,4,5,6,7,8,9,10,11,12},1),{5,4,3,2,9,8,7,6,5,4,3,2}),11)),VALUE(MID(G24,14,1))=IF(MOD(SUMPRODUCT(--MID(G24,{1,2,3,4,5,6,7,8,9,10,11,12,13},1),{6,5,4,3,2,9,8,7,6,5,4,3,2}),11)&lt;2,0,11-MOD(SUMPRODUCT(--MID(G24,{1,2,3,4,5,6,7,8,9,10,11,12,13},1),{6,5,4,3,2,9,8,7,6,5,4,3,2}),11))),"OK","AVISO: dígito verificador (conferir na org)"))))</f>
      </c>
      <c r="I24" s="6">
        <f>IF(G24="","",IF(COUNTIF($G$2:$G$2001,G24)&gt;1,"DUPLICADO","OK"))</f>
      </c>
      <c r="J24" s="6">
        <f>IF(COUNTA(A24:F24)=0,"",IF(AND(A24&lt;&gt;"",E24&lt;&gt;""),"OK","ERRO: faltam "&amp;IF(A24="","CNPJ; ","")&amp;IF(E24="","Novo gerente; ","")))</f>
      </c>
      <c r="K24" s="6">
        <f>IF(COUNTA(A24:F24)=0,"",IF(AND(LEFT(H24,4)&lt;&gt;"ERRO",I24="OK",J24="OK"),"OK","REVISAR"))</f>
      </c>
    </row>
    <row r="25">
      <c r="A25" s="5"/>
      <c r="B25" s="4"/>
      <c r="C25" s="4"/>
      <c r="D25" s="4"/>
      <c r="E25" s="5"/>
      <c r="F25" s="4"/>
      <c r="G25" s="6">
        <f>IF(A25="","",SUBSTITUTE(SUBSTITUTE(SUBSTITUTE(SUBSTITUTE(SUBSTITUTE(SUBSTITUTE(SUBSTITUTE(TRIM(A25),".",""),"/",""),"-","")," ",""),"(",""),")",""),"+",""))</f>
      </c>
      <c r="H25" s="6">
        <f>IF(G25="","",IF(LEN(G25)&lt;&gt;14,"ERRO: "&amp;LEN(G25)&amp;" dígitos",IF(NOT(ISNUMBER(VALUE(G25))),"ERRO: não numérico",IF(AND(VALUE(MID(G25,13,1))=IF(MOD(SUMPRODUCT(--MID(G25,{1,2,3,4,5,6,7,8,9,10,11,12},1),{5,4,3,2,9,8,7,6,5,4,3,2}),11)&lt;2,0,11-MOD(SUMPRODUCT(--MID(G25,{1,2,3,4,5,6,7,8,9,10,11,12},1),{5,4,3,2,9,8,7,6,5,4,3,2}),11)),VALUE(MID(G25,14,1))=IF(MOD(SUMPRODUCT(--MID(G25,{1,2,3,4,5,6,7,8,9,10,11,12,13},1),{6,5,4,3,2,9,8,7,6,5,4,3,2}),11)&lt;2,0,11-MOD(SUMPRODUCT(--MID(G25,{1,2,3,4,5,6,7,8,9,10,11,12,13},1),{6,5,4,3,2,9,8,7,6,5,4,3,2}),11))),"OK","AVISO: dígito verificador (conferir na org)"))))</f>
      </c>
      <c r="I25" s="6">
        <f>IF(G25="","",IF(COUNTIF($G$2:$G$2001,G25)&gt;1,"DUPLICADO","OK"))</f>
      </c>
      <c r="J25" s="6">
        <f>IF(COUNTA(A25:F25)=0,"",IF(AND(A25&lt;&gt;"",E25&lt;&gt;""),"OK","ERRO: faltam "&amp;IF(A25="","CNPJ; ","")&amp;IF(E25="","Novo gerente; ","")))</f>
      </c>
      <c r="K25" s="6">
        <f>IF(COUNTA(A25:F25)=0,"",IF(AND(LEFT(H25,4)&lt;&gt;"ERRO",I25="OK",J25="OK"),"OK","REVISAR"))</f>
      </c>
    </row>
    <row r="26">
      <c r="A26" s="5"/>
      <c r="B26" s="4"/>
      <c r="C26" s="4"/>
      <c r="D26" s="4"/>
      <c r="E26" s="5"/>
      <c r="F26" s="4"/>
      <c r="G26" s="6">
        <f>IF(A26="","",SUBSTITUTE(SUBSTITUTE(SUBSTITUTE(SUBSTITUTE(SUBSTITUTE(SUBSTITUTE(SUBSTITUTE(TRIM(A26),".",""),"/",""),"-","")," ",""),"(",""),")",""),"+",""))</f>
      </c>
      <c r="H26" s="6">
        <f>IF(G26="","",IF(LEN(G26)&lt;&gt;14,"ERRO: "&amp;LEN(G26)&amp;" dígitos",IF(NOT(ISNUMBER(VALUE(G26))),"ERRO: não numérico",IF(AND(VALUE(MID(G26,13,1))=IF(MOD(SUMPRODUCT(--MID(G26,{1,2,3,4,5,6,7,8,9,10,11,12},1),{5,4,3,2,9,8,7,6,5,4,3,2}),11)&lt;2,0,11-MOD(SUMPRODUCT(--MID(G26,{1,2,3,4,5,6,7,8,9,10,11,12},1),{5,4,3,2,9,8,7,6,5,4,3,2}),11)),VALUE(MID(G26,14,1))=IF(MOD(SUMPRODUCT(--MID(G26,{1,2,3,4,5,6,7,8,9,10,11,12,13},1),{6,5,4,3,2,9,8,7,6,5,4,3,2}),11)&lt;2,0,11-MOD(SUMPRODUCT(--MID(G26,{1,2,3,4,5,6,7,8,9,10,11,12,13},1),{6,5,4,3,2,9,8,7,6,5,4,3,2}),11))),"OK","AVISO: dígito verificador (conferir na org)"))))</f>
      </c>
      <c r="I26" s="6">
        <f>IF(G26="","",IF(COUNTIF($G$2:$G$2001,G26)&gt;1,"DUPLICADO","OK"))</f>
      </c>
      <c r="J26" s="6">
        <f>IF(COUNTA(A26:F26)=0,"",IF(AND(A26&lt;&gt;"",E26&lt;&gt;""),"OK","ERRO: faltam "&amp;IF(A26="","CNPJ; ","")&amp;IF(E26="","Novo gerente; ","")))</f>
      </c>
      <c r="K26" s="6">
        <f>IF(COUNTA(A26:F26)=0,"",IF(AND(LEFT(H26,4)&lt;&gt;"ERRO",I26="OK",J26="OK"),"OK","REVISAR"))</f>
      </c>
    </row>
    <row r="27">
      <c r="A27" s="5"/>
      <c r="B27" s="4"/>
      <c r="C27" s="4"/>
      <c r="D27" s="4"/>
      <c r="E27" s="5"/>
      <c r="F27" s="4"/>
      <c r="G27" s="6">
        <f>IF(A27="","",SUBSTITUTE(SUBSTITUTE(SUBSTITUTE(SUBSTITUTE(SUBSTITUTE(SUBSTITUTE(SUBSTITUTE(TRIM(A27),".",""),"/",""),"-","")," ",""),"(",""),")",""),"+",""))</f>
      </c>
      <c r="H27" s="6">
        <f>IF(G27="","",IF(LEN(G27)&lt;&gt;14,"ERRO: "&amp;LEN(G27)&amp;" dígitos",IF(NOT(ISNUMBER(VALUE(G27))),"ERRO: não numérico",IF(AND(VALUE(MID(G27,13,1))=IF(MOD(SUMPRODUCT(--MID(G27,{1,2,3,4,5,6,7,8,9,10,11,12},1),{5,4,3,2,9,8,7,6,5,4,3,2}),11)&lt;2,0,11-MOD(SUMPRODUCT(--MID(G27,{1,2,3,4,5,6,7,8,9,10,11,12},1),{5,4,3,2,9,8,7,6,5,4,3,2}),11)),VALUE(MID(G27,14,1))=IF(MOD(SUMPRODUCT(--MID(G27,{1,2,3,4,5,6,7,8,9,10,11,12,13},1),{6,5,4,3,2,9,8,7,6,5,4,3,2}),11)&lt;2,0,11-MOD(SUMPRODUCT(--MID(G27,{1,2,3,4,5,6,7,8,9,10,11,12,13},1),{6,5,4,3,2,9,8,7,6,5,4,3,2}),11))),"OK","AVISO: dígito verificador (conferir na org)"))))</f>
      </c>
      <c r="I27" s="6">
        <f>IF(G27="","",IF(COUNTIF($G$2:$G$2001,G27)&gt;1,"DUPLICADO","OK"))</f>
      </c>
      <c r="J27" s="6">
        <f>IF(COUNTA(A27:F27)=0,"",IF(AND(A27&lt;&gt;"",E27&lt;&gt;""),"OK","ERRO: faltam "&amp;IF(A27="","CNPJ; ","")&amp;IF(E27="","Novo gerente; ","")))</f>
      </c>
      <c r="K27" s="6">
        <f>IF(COUNTA(A27:F27)=0,"",IF(AND(LEFT(H27,4)&lt;&gt;"ERRO",I27="OK",J27="OK"),"OK","REVISAR"))</f>
      </c>
    </row>
    <row r="28">
      <c r="A28" s="5"/>
      <c r="B28" s="4"/>
      <c r="C28" s="4"/>
      <c r="D28" s="4"/>
      <c r="E28" s="5"/>
      <c r="F28" s="4"/>
      <c r="G28" s="6">
        <f>IF(A28="","",SUBSTITUTE(SUBSTITUTE(SUBSTITUTE(SUBSTITUTE(SUBSTITUTE(SUBSTITUTE(SUBSTITUTE(TRIM(A28),".",""),"/",""),"-","")," ",""),"(",""),")",""),"+",""))</f>
      </c>
      <c r="H28" s="6">
        <f>IF(G28="","",IF(LEN(G28)&lt;&gt;14,"ERRO: "&amp;LEN(G28)&amp;" dígitos",IF(NOT(ISNUMBER(VALUE(G28))),"ERRO: não numérico",IF(AND(VALUE(MID(G28,13,1))=IF(MOD(SUMPRODUCT(--MID(G28,{1,2,3,4,5,6,7,8,9,10,11,12},1),{5,4,3,2,9,8,7,6,5,4,3,2}),11)&lt;2,0,11-MOD(SUMPRODUCT(--MID(G28,{1,2,3,4,5,6,7,8,9,10,11,12},1),{5,4,3,2,9,8,7,6,5,4,3,2}),11)),VALUE(MID(G28,14,1))=IF(MOD(SUMPRODUCT(--MID(G28,{1,2,3,4,5,6,7,8,9,10,11,12,13},1),{6,5,4,3,2,9,8,7,6,5,4,3,2}),11)&lt;2,0,11-MOD(SUMPRODUCT(--MID(G28,{1,2,3,4,5,6,7,8,9,10,11,12,13},1),{6,5,4,3,2,9,8,7,6,5,4,3,2}),11))),"OK","AVISO: dígito verificador (conferir na org)"))))</f>
      </c>
      <c r="I28" s="6">
        <f>IF(G28="","",IF(COUNTIF($G$2:$G$2001,G28)&gt;1,"DUPLICADO","OK"))</f>
      </c>
      <c r="J28" s="6">
        <f>IF(COUNTA(A28:F28)=0,"",IF(AND(A28&lt;&gt;"",E28&lt;&gt;""),"OK","ERRO: faltam "&amp;IF(A28="","CNPJ; ","")&amp;IF(E28="","Novo gerente; ","")))</f>
      </c>
      <c r="K28" s="6">
        <f>IF(COUNTA(A28:F28)=0,"",IF(AND(LEFT(H28,4)&lt;&gt;"ERRO",I28="OK",J28="OK"),"OK","REVISAR"))</f>
      </c>
    </row>
    <row r="29">
      <c r="A29" s="5"/>
      <c r="B29" s="4"/>
      <c r="C29" s="4"/>
      <c r="D29" s="4"/>
      <c r="E29" s="5"/>
      <c r="F29" s="4"/>
      <c r="G29" s="6">
        <f>IF(A29="","",SUBSTITUTE(SUBSTITUTE(SUBSTITUTE(SUBSTITUTE(SUBSTITUTE(SUBSTITUTE(SUBSTITUTE(TRIM(A29),".",""),"/",""),"-","")," ",""),"(",""),")",""),"+",""))</f>
      </c>
      <c r="H29" s="6">
        <f>IF(G29="","",IF(LEN(G29)&lt;&gt;14,"ERRO: "&amp;LEN(G29)&amp;" dígitos",IF(NOT(ISNUMBER(VALUE(G29))),"ERRO: não numérico",IF(AND(VALUE(MID(G29,13,1))=IF(MOD(SUMPRODUCT(--MID(G29,{1,2,3,4,5,6,7,8,9,10,11,12},1),{5,4,3,2,9,8,7,6,5,4,3,2}),11)&lt;2,0,11-MOD(SUMPRODUCT(--MID(G29,{1,2,3,4,5,6,7,8,9,10,11,12},1),{5,4,3,2,9,8,7,6,5,4,3,2}),11)),VALUE(MID(G29,14,1))=IF(MOD(SUMPRODUCT(--MID(G29,{1,2,3,4,5,6,7,8,9,10,11,12,13},1),{6,5,4,3,2,9,8,7,6,5,4,3,2}),11)&lt;2,0,11-MOD(SUMPRODUCT(--MID(G29,{1,2,3,4,5,6,7,8,9,10,11,12,13},1),{6,5,4,3,2,9,8,7,6,5,4,3,2}),11))),"OK","AVISO: dígito verificador (conferir na org)"))))</f>
      </c>
      <c r="I29" s="6">
        <f>IF(G29="","",IF(COUNTIF($G$2:$G$2001,G29)&gt;1,"DUPLICADO","OK"))</f>
      </c>
      <c r="J29" s="6">
        <f>IF(COUNTA(A29:F29)=0,"",IF(AND(A29&lt;&gt;"",E29&lt;&gt;""),"OK","ERRO: faltam "&amp;IF(A29="","CNPJ; ","")&amp;IF(E29="","Novo gerente; ","")))</f>
      </c>
      <c r="K29" s="6">
        <f>IF(COUNTA(A29:F29)=0,"",IF(AND(LEFT(H29,4)&lt;&gt;"ERRO",I29="OK",J29="OK"),"OK","REVISAR"))</f>
      </c>
    </row>
    <row r="30">
      <c r="A30" s="5"/>
      <c r="B30" s="4"/>
      <c r="C30" s="4"/>
      <c r="D30" s="4"/>
      <c r="E30" s="5"/>
      <c r="F30" s="4"/>
      <c r="G30" s="6">
        <f>IF(A30="","",SUBSTITUTE(SUBSTITUTE(SUBSTITUTE(SUBSTITUTE(SUBSTITUTE(SUBSTITUTE(SUBSTITUTE(TRIM(A30),".",""),"/",""),"-","")," ",""),"(",""),")",""),"+",""))</f>
      </c>
      <c r="H30" s="6">
        <f>IF(G30="","",IF(LEN(G30)&lt;&gt;14,"ERRO: "&amp;LEN(G30)&amp;" dígitos",IF(NOT(ISNUMBER(VALUE(G30))),"ERRO: não numérico",IF(AND(VALUE(MID(G30,13,1))=IF(MOD(SUMPRODUCT(--MID(G30,{1,2,3,4,5,6,7,8,9,10,11,12},1),{5,4,3,2,9,8,7,6,5,4,3,2}),11)&lt;2,0,11-MOD(SUMPRODUCT(--MID(G30,{1,2,3,4,5,6,7,8,9,10,11,12},1),{5,4,3,2,9,8,7,6,5,4,3,2}),11)),VALUE(MID(G30,14,1))=IF(MOD(SUMPRODUCT(--MID(G30,{1,2,3,4,5,6,7,8,9,10,11,12,13},1),{6,5,4,3,2,9,8,7,6,5,4,3,2}),11)&lt;2,0,11-MOD(SUMPRODUCT(--MID(G30,{1,2,3,4,5,6,7,8,9,10,11,12,13},1),{6,5,4,3,2,9,8,7,6,5,4,3,2}),11))),"OK","AVISO: dígito verificador (conferir na org)"))))</f>
      </c>
      <c r="I30" s="6">
        <f>IF(G30="","",IF(COUNTIF($G$2:$G$2001,G30)&gt;1,"DUPLICADO","OK"))</f>
      </c>
      <c r="J30" s="6">
        <f>IF(COUNTA(A30:F30)=0,"",IF(AND(A30&lt;&gt;"",E30&lt;&gt;""),"OK","ERRO: faltam "&amp;IF(A30="","CNPJ; ","")&amp;IF(E30="","Novo gerente; ","")))</f>
      </c>
      <c r="K30" s="6">
        <f>IF(COUNTA(A30:F30)=0,"",IF(AND(LEFT(H30,4)&lt;&gt;"ERRO",I30="OK",J30="OK"),"OK","REVISAR"))</f>
      </c>
    </row>
    <row r="31">
      <c r="A31" s="5"/>
      <c r="B31" s="4"/>
      <c r="C31" s="4"/>
      <c r="D31" s="4"/>
      <c r="E31" s="5"/>
      <c r="F31" s="4"/>
      <c r="G31" s="6">
        <f>IF(A31="","",SUBSTITUTE(SUBSTITUTE(SUBSTITUTE(SUBSTITUTE(SUBSTITUTE(SUBSTITUTE(SUBSTITUTE(TRIM(A31),".",""),"/",""),"-","")," ",""),"(",""),")",""),"+",""))</f>
      </c>
      <c r="H31" s="6">
        <f>IF(G31="","",IF(LEN(G31)&lt;&gt;14,"ERRO: "&amp;LEN(G31)&amp;" dígitos",IF(NOT(ISNUMBER(VALUE(G31))),"ERRO: não numérico",IF(AND(VALUE(MID(G31,13,1))=IF(MOD(SUMPRODUCT(--MID(G31,{1,2,3,4,5,6,7,8,9,10,11,12},1),{5,4,3,2,9,8,7,6,5,4,3,2}),11)&lt;2,0,11-MOD(SUMPRODUCT(--MID(G31,{1,2,3,4,5,6,7,8,9,10,11,12},1),{5,4,3,2,9,8,7,6,5,4,3,2}),11)),VALUE(MID(G31,14,1))=IF(MOD(SUMPRODUCT(--MID(G31,{1,2,3,4,5,6,7,8,9,10,11,12,13},1),{6,5,4,3,2,9,8,7,6,5,4,3,2}),11)&lt;2,0,11-MOD(SUMPRODUCT(--MID(G31,{1,2,3,4,5,6,7,8,9,10,11,12,13},1),{6,5,4,3,2,9,8,7,6,5,4,3,2}),11))),"OK","AVISO: dígito verificador (conferir na org)"))))</f>
      </c>
      <c r="I31" s="6">
        <f>IF(G31="","",IF(COUNTIF($G$2:$G$2001,G31)&gt;1,"DUPLICADO","OK"))</f>
      </c>
      <c r="J31" s="6">
        <f>IF(COUNTA(A31:F31)=0,"",IF(AND(A31&lt;&gt;"",E31&lt;&gt;""),"OK","ERRO: faltam "&amp;IF(A31="","CNPJ; ","")&amp;IF(E31="","Novo gerente; ","")))</f>
      </c>
      <c r="K31" s="6">
        <f>IF(COUNTA(A31:F31)=0,"",IF(AND(LEFT(H31,4)&lt;&gt;"ERRO",I31="OK",J31="OK"),"OK","REVISAR"))</f>
      </c>
    </row>
    <row r="32">
      <c r="A32" s="5"/>
      <c r="B32" s="4"/>
      <c r="C32" s="4"/>
      <c r="D32" s="4"/>
      <c r="E32" s="5"/>
      <c r="F32" s="4"/>
      <c r="G32" s="6">
        <f>IF(A32="","",SUBSTITUTE(SUBSTITUTE(SUBSTITUTE(SUBSTITUTE(SUBSTITUTE(SUBSTITUTE(SUBSTITUTE(TRIM(A32),".",""),"/",""),"-","")," ",""),"(",""),")",""),"+",""))</f>
      </c>
      <c r="H32" s="6">
        <f>IF(G32="","",IF(LEN(G32)&lt;&gt;14,"ERRO: "&amp;LEN(G32)&amp;" dígitos",IF(NOT(ISNUMBER(VALUE(G32))),"ERRO: não numérico",IF(AND(VALUE(MID(G32,13,1))=IF(MOD(SUMPRODUCT(--MID(G32,{1,2,3,4,5,6,7,8,9,10,11,12},1),{5,4,3,2,9,8,7,6,5,4,3,2}),11)&lt;2,0,11-MOD(SUMPRODUCT(--MID(G32,{1,2,3,4,5,6,7,8,9,10,11,12},1),{5,4,3,2,9,8,7,6,5,4,3,2}),11)),VALUE(MID(G32,14,1))=IF(MOD(SUMPRODUCT(--MID(G32,{1,2,3,4,5,6,7,8,9,10,11,12,13},1),{6,5,4,3,2,9,8,7,6,5,4,3,2}),11)&lt;2,0,11-MOD(SUMPRODUCT(--MID(G32,{1,2,3,4,5,6,7,8,9,10,11,12,13},1),{6,5,4,3,2,9,8,7,6,5,4,3,2}),11))),"OK","AVISO: dígito verificador (conferir na org)"))))</f>
      </c>
      <c r="I32" s="6">
        <f>IF(G32="","",IF(COUNTIF($G$2:$G$2001,G32)&gt;1,"DUPLICADO","OK"))</f>
      </c>
      <c r="J32" s="6">
        <f>IF(COUNTA(A32:F32)=0,"",IF(AND(A32&lt;&gt;"",E32&lt;&gt;""),"OK","ERRO: faltam "&amp;IF(A32="","CNPJ; ","")&amp;IF(E32="","Novo gerente; ","")))</f>
      </c>
      <c r="K32" s="6">
        <f>IF(COUNTA(A32:F32)=0,"",IF(AND(LEFT(H32,4)&lt;&gt;"ERRO",I32="OK",J32="OK"),"OK","REVISAR"))</f>
      </c>
    </row>
    <row r="33">
      <c r="A33" s="5"/>
      <c r="B33" s="4"/>
      <c r="C33" s="4"/>
      <c r="D33" s="4"/>
      <c r="E33" s="5"/>
      <c r="F33" s="4"/>
      <c r="G33" s="6">
        <f>IF(A33="","",SUBSTITUTE(SUBSTITUTE(SUBSTITUTE(SUBSTITUTE(SUBSTITUTE(SUBSTITUTE(SUBSTITUTE(TRIM(A33),".",""),"/",""),"-","")," ",""),"(",""),")",""),"+",""))</f>
      </c>
      <c r="H33" s="6">
        <f>IF(G33="","",IF(LEN(G33)&lt;&gt;14,"ERRO: "&amp;LEN(G33)&amp;" dígitos",IF(NOT(ISNUMBER(VALUE(G33))),"ERRO: não numérico",IF(AND(VALUE(MID(G33,13,1))=IF(MOD(SUMPRODUCT(--MID(G33,{1,2,3,4,5,6,7,8,9,10,11,12},1),{5,4,3,2,9,8,7,6,5,4,3,2}),11)&lt;2,0,11-MOD(SUMPRODUCT(--MID(G33,{1,2,3,4,5,6,7,8,9,10,11,12},1),{5,4,3,2,9,8,7,6,5,4,3,2}),11)),VALUE(MID(G33,14,1))=IF(MOD(SUMPRODUCT(--MID(G33,{1,2,3,4,5,6,7,8,9,10,11,12,13},1),{6,5,4,3,2,9,8,7,6,5,4,3,2}),11)&lt;2,0,11-MOD(SUMPRODUCT(--MID(G33,{1,2,3,4,5,6,7,8,9,10,11,12,13},1),{6,5,4,3,2,9,8,7,6,5,4,3,2}),11))),"OK","AVISO: dígito verificador (conferir na org)"))))</f>
      </c>
      <c r="I33" s="6">
        <f>IF(G33="","",IF(COUNTIF($G$2:$G$2001,G33)&gt;1,"DUPLICADO","OK"))</f>
      </c>
      <c r="J33" s="6">
        <f>IF(COUNTA(A33:F33)=0,"",IF(AND(A33&lt;&gt;"",E33&lt;&gt;""),"OK","ERRO: faltam "&amp;IF(A33="","CNPJ; ","")&amp;IF(E33="","Novo gerente; ","")))</f>
      </c>
      <c r="K33" s="6">
        <f>IF(COUNTA(A33:F33)=0,"",IF(AND(LEFT(H33,4)&lt;&gt;"ERRO",I33="OK",J33="OK"),"OK","REVISAR"))</f>
      </c>
    </row>
    <row r="34">
      <c r="A34" s="5"/>
      <c r="B34" s="4"/>
      <c r="C34" s="4"/>
      <c r="D34" s="4"/>
      <c r="E34" s="5"/>
      <c r="F34" s="4"/>
      <c r="G34" s="6">
        <f>IF(A34="","",SUBSTITUTE(SUBSTITUTE(SUBSTITUTE(SUBSTITUTE(SUBSTITUTE(SUBSTITUTE(SUBSTITUTE(TRIM(A34),".",""),"/",""),"-","")," ",""),"(",""),")",""),"+",""))</f>
      </c>
      <c r="H34" s="6">
        <f>IF(G34="","",IF(LEN(G34)&lt;&gt;14,"ERRO: "&amp;LEN(G34)&amp;" dígitos",IF(NOT(ISNUMBER(VALUE(G34))),"ERRO: não numérico",IF(AND(VALUE(MID(G34,13,1))=IF(MOD(SUMPRODUCT(--MID(G34,{1,2,3,4,5,6,7,8,9,10,11,12},1),{5,4,3,2,9,8,7,6,5,4,3,2}),11)&lt;2,0,11-MOD(SUMPRODUCT(--MID(G34,{1,2,3,4,5,6,7,8,9,10,11,12},1),{5,4,3,2,9,8,7,6,5,4,3,2}),11)),VALUE(MID(G34,14,1))=IF(MOD(SUMPRODUCT(--MID(G34,{1,2,3,4,5,6,7,8,9,10,11,12,13},1),{6,5,4,3,2,9,8,7,6,5,4,3,2}),11)&lt;2,0,11-MOD(SUMPRODUCT(--MID(G34,{1,2,3,4,5,6,7,8,9,10,11,12,13},1),{6,5,4,3,2,9,8,7,6,5,4,3,2}),11))),"OK","AVISO: dígito verificador (conferir na org)"))))</f>
      </c>
      <c r="I34" s="6">
        <f>IF(G34="","",IF(COUNTIF($G$2:$G$2001,G34)&gt;1,"DUPLICADO","OK"))</f>
      </c>
      <c r="J34" s="6">
        <f>IF(COUNTA(A34:F34)=0,"",IF(AND(A34&lt;&gt;"",E34&lt;&gt;""),"OK","ERRO: faltam "&amp;IF(A34="","CNPJ; ","")&amp;IF(E34="","Novo gerente; ","")))</f>
      </c>
      <c r="K34" s="6">
        <f>IF(COUNTA(A34:F34)=0,"",IF(AND(LEFT(H34,4)&lt;&gt;"ERRO",I34="OK",J34="OK"),"OK","REVISAR"))</f>
      </c>
    </row>
    <row r="35">
      <c r="A35" s="5"/>
      <c r="B35" s="4"/>
      <c r="C35" s="4"/>
      <c r="D35" s="4"/>
      <c r="E35" s="5"/>
      <c r="F35" s="4"/>
      <c r="G35" s="6">
        <f>IF(A35="","",SUBSTITUTE(SUBSTITUTE(SUBSTITUTE(SUBSTITUTE(SUBSTITUTE(SUBSTITUTE(SUBSTITUTE(TRIM(A35),".",""),"/",""),"-","")," ",""),"(",""),")",""),"+",""))</f>
      </c>
      <c r="H35" s="6">
        <f>IF(G35="","",IF(LEN(G35)&lt;&gt;14,"ERRO: "&amp;LEN(G35)&amp;" dígitos",IF(NOT(ISNUMBER(VALUE(G35))),"ERRO: não numérico",IF(AND(VALUE(MID(G35,13,1))=IF(MOD(SUMPRODUCT(--MID(G35,{1,2,3,4,5,6,7,8,9,10,11,12},1),{5,4,3,2,9,8,7,6,5,4,3,2}),11)&lt;2,0,11-MOD(SUMPRODUCT(--MID(G35,{1,2,3,4,5,6,7,8,9,10,11,12},1),{5,4,3,2,9,8,7,6,5,4,3,2}),11)),VALUE(MID(G35,14,1))=IF(MOD(SUMPRODUCT(--MID(G35,{1,2,3,4,5,6,7,8,9,10,11,12,13},1),{6,5,4,3,2,9,8,7,6,5,4,3,2}),11)&lt;2,0,11-MOD(SUMPRODUCT(--MID(G35,{1,2,3,4,5,6,7,8,9,10,11,12,13},1),{6,5,4,3,2,9,8,7,6,5,4,3,2}),11))),"OK","AVISO: dígito verificador (conferir na org)"))))</f>
      </c>
      <c r="I35" s="6">
        <f>IF(G35="","",IF(COUNTIF($G$2:$G$2001,G35)&gt;1,"DUPLICADO","OK"))</f>
      </c>
      <c r="J35" s="6">
        <f>IF(COUNTA(A35:F35)=0,"",IF(AND(A35&lt;&gt;"",E35&lt;&gt;""),"OK","ERRO: faltam "&amp;IF(A35="","CNPJ; ","")&amp;IF(E35="","Novo gerente; ","")))</f>
      </c>
      <c r="K35" s="6">
        <f>IF(COUNTA(A35:F35)=0,"",IF(AND(LEFT(H35,4)&lt;&gt;"ERRO",I35="OK",J35="OK"),"OK","REVISAR"))</f>
      </c>
    </row>
    <row r="36">
      <c r="A36" s="5"/>
      <c r="B36" s="4"/>
      <c r="C36" s="4"/>
      <c r="D36" s="4"/>
      <c r="E36" s="5"/>
      <c r="F36" s="4"/>
      <c r="G36" s="6">
        <f>IF(A36="","",SUBSTITUTE(SUBSTITUTE(SUBSTITUTE(SUBSTITUTE(SUBSTITUTE(SUBSTITUTE(SUBSTITUTE(TRIM(A36),".",""),"/",""),"-","")," ",""),"(",""),")",""),"+",""))</f>
      </c>
      <c r="H36" s="6">
        <f>IF(G36="","",IF(LEN(G36)&lt;&gt;14,"ERRO: "&amp;LEN(G36)&amp;" dígitos",IF(NOT(ISNUMBER(VALUE(G36))),"ERRO: não numérico",IF(AND(VALUE(MID(G36,13,1))=IF(MOD(SUMPRODUCT(--MID(G36,{1,2,3,4,5,6,7,8,9,10,11,12},1),{5,4,3,2,9,8,7,6,5,4,3,2}),11)&lt;2,0,11-MOD(SUMPRODUCT(--MID(G36,{1,2,3,4,5,6,7,8,9,10,11,12},1),{5,4,3,2,9,8,7,6,5,4,3,2}),11)),VALUE(MID(G36,14,1))=IF(MOD(SUMPRODUCT(--MID(G36,{1,2,3,4,5,6,7,8,9,10,11,12,13},1),{6,5,4,3,2,9,8,7,6,5,4,3,2}),11)&lt;2,0,11-MOD(SUMPRODUCT(--MID(G36,{1,2,3,4,5,6,7,8,9,10,11,12,13},1),{6,5,4,3,2,9,8,7,6,5,4,3,2}),11))),"OK","AVISO: dígito verificador (conferir na org)"))))</f>
      </c>
      <c r="I36" s="6">
        <f>IF(G36="","",IF(COUNTIF($G$2:$G$2001,G36)&gt;1,"DUPLICADO","OK"))</f>
      </c>
      <c r="J36" s="6">
        <f>IF(COUNTA(A36:F36)=0,"",IF(AND(A36&lt;&gt;"",E36&lt;&gt;""),"OK","ERRO: faltam "&amp;IF(A36="","CNPJ; ","")&amp;IF(E36="","Novo gerente; ","")))</f>
      </c>
      <c r="K36" s="6">
        <f>IF(COUNTA(A36:F36)=0,"",IF(AND(LEFT(H36,4)&lt;&gt;"ERRO",I36="OK",J36="OK"),"OK","REVISAR"))</f>
      </c>
    </row>
    <row r="37">
      <c r="A37" s="5"/>
      <c r="B37" s="4"/>
      <c r="C37" s="4"/>
      <c r="D37" s="4"/>
      <c r="E37" s="5"/>
      <c r="F37" s="4"/>
      <c r="G37" s="6">
        <f>IF(A37="","",SUBSTITUTE(SUBSTITUTE(SUBSTITUTE(SUBSTITUTE(SUBSTITUTE(SUBSTITUTE(SUBSTITUTE(TRIM(A37),".",""),"/",""),"-","")," ",""),"(",""),")",""),"+",""))</f>
      </c>
      <c r="H37" s="6">
        <f>IF(G37="","",IF(LEN(G37)&lt;&gt;14,"ERRO: "&amp;LEN(G37)&amp;" dígitos",IF(NOT(ISNUMBER(VALUE(G37))),"ERRO: não numérico",IF(AND(VALUE(MID(G37,13,1))=IF(MOD(SUMPRODUCT(--MID(G37,{1,2,3,4,5,6,7,8,9,10,11,12},1),{5,4,3,2,9,8,7,6,5,4,3,2}),11)&lt;2,0,11-MOD(SUMPRODUCT(--MID(G37,{1,2,3,4,5,6,7,8,9,10,11,12},1),{5,4,3,2,9,8,7,6,5,4,3,2}),11)),VALUE(MID(G37,14,1))=IF(MOD(SUMPRODUCT(--MID(G37,{1,2,3,4,5,6,7,8,9,10,11,12,13},1),{6,5,4,3,2,9,8,7,6,5,4,3,2}),11)&lt;2,0,11-MOD(SUMPRODUCT(--MID(G37,{1,2,3,4,5,6,7,8,9,10,11,12,13},1),{6,5,4,3,2,9,8,7,6,5,4,3,2}),11))),"OK","AVISO: dígito verificador (conferir na org)"))))</f>
      </c>
      <c r="I37" s="6">
        <f>IF(G37="","",IF(COUNTIF($G$2:$G$2001,G37)&gt;1,"DUPLICADO","OK"))</f>
      </c>
      <c r="J37" s="6">
        <f>IF(COUNTA(A37:F37)=0,"",IF(AND(A37&lt;&gt;"",E37&lt;&gt;""),"OK","ERRO: faltam "&amp;IF(A37="","CNPJ; ","")&amp;IF(E37="","Novo gerente; ","")))</f>
      </c>
      <c r="K37" s="6">
        <f>IF(COUNTA(A37:F37)=0,"",IF(AND(LEFT(H37,4)&lt;&gt;"ERRO",I37="OK",J37="OK"),"OK","REVISAR"))</f>
      </c>
    </row>
    <row r="38">
      <c r="A38" s="5"/>
      <c r="B38" s="4"/>
      <c r="C38" s="4"/>
      <c r="D38" s="4"/>
      <c r="E38" s="5"/>
      <c r="F38" s="4"/>
      <c r="G38" s="6">
        <f>IF(A38="","",SUBSTITUTE(SUBSTITUTE(SUBSTITUTE(SUBSTITUTE(SUBSTITUTE(SUBSTITUTE(SUBSTITUTE(TRIM(A38),".",""),"/",""),"-","")," ",""),"(",""),")",""),"+",""))</f>
      </c>
      <c r="H38" s="6">
        <f>IF(G38="","",IF(LEN(G38)&lt;&gt;14,"ERRO: "&amp;LEN(G38)&amp;" dígitos",IF(NOT(ISNUMBER(VALUE(G38))),"ERRO: não numérico",IF(AND(VALUE(MID(G38,13,1))=IF(MOD(SUMPRODUCT(--MID(G38,{1,2,3,4,5,6,7,8,9,10,11,12},1),{5,4,3,2,9,8,7,6,5,4,3,2}),11)&lt;2,0,11-MOD(SUMPRODUCT(--MID(G38,{1,2,3,4,5,6,7,8,9,10,11,12},1),{5,4,3,2,9,8,7,6,5,4,3,2}),11)),VALUE(MID(G38,14,1))=IF(MOD(SUMPRODUCT(--MID(G38,{1,2,3,4,5,6,7,8,9,10,11,12,13},1),{6,5,4,3,2,9,8,7,6,5,4,3,2}),11)&lt;2,0,11-MOD(SUMPRODUCT(--MID(G38,{1,2,3,4,5,6,7,8,9,10,11,12,13},1),{6,5,4,3,2,9,8,7,6,5,4,3,2}),11))),"OK","AVISO: dígito verificador (conferir na org)"))))</f>
      </c>
      <c r="I38" s="6">
        <f>IF(G38="","",IF(COUNTIF($G$2:$G$2001,G38)&gt;1,"DUPLICADO","OK"))</f>
      </c>
      <c r="J38" s="6">
        <f>IF(COUNTA(A38:F38)=0,"",IF(AND(A38&lt;&gt;"",E38&lt;&gt;""),"OK","ERRO: faltam "&amp;IF(A38="","CNPJ; ","")&amp;IF(E38="","Novo gerente; ","")))</f>
      </c>
      <c r="K38" s="6">
        <f>IF(COUNTA(A38:F38)=0,"",IF(AND(LEFT(H38,4)&lt;&gt;"ERRO",I38="OK",J38="OK"),"OK","REVISAR"))</f>
      </c>
    </row>
    <row r="39">
      <c r="A39" s="5"/>
      <c r="B39" s="4"/>
      <c r="C39" s="4"/>
      <c r="D39" s="4"/>
      <c r="E39" s="5"/>
      <c r="F39" s="4"/>
      <c r="G39" s="6">
        <f>IF(A39="","",SUBSTITUTE(SUBSTITUTE(SUBSTITUTE(SUBSTITUTE(SUBSTITUTE(SUBSTITUTE(SUBSTITUTE(TRIM(A39),".",""),"/",""),"-","")," ",""),"(",""),")",""),"+",""))</f>
      </c>
      <c r="H39" s="6">
        <f>IF(G39="","",IF(LEN(G39)&lt;&gt;14,"ERRO: "&amp;LEN(G39)&amp;" dígitos",IF(NOT(ISNUMBER(VALUE(G39))),"ERRO: não numérico",IF(AND(VALUE(MID(G39,13,1))=IF(MOD(SUMPRODUCT(--MID(G39,{1,2,3,4,5,6,7,8,9,10,11,12},1),{5,4,3,2,9,8,7,6,5,4,3,2}),11)&lt;2,0,11-MOD(SUMPRODUCT(--MID(G39,{1,2,3,4,5,6,7,8,9,10,11,12},1),{5,4,3,2,9,8,7,6,5,4,3,2}),11)),VALUE(MID(G39,14,1))=IF(MOD(SUMPRODUCT(--MID(G39,{1,2,3,4,5,6,7,8,9,10,11,12,13},1),{6,5,4,3,2,9,8,7,6,5,4,3,2}),11)&lt;2,0,11-MOD(SUMPRODUCT(--MID(G39,{1,2,3,4,5,6,7,8,9,10,11,12,13},1),{6,5,4,3,2,9,8,7,6,5,4,3,2}),11))),"OK","AVISO: dígito verificador (conferir na org)"))))</f>
      </c>
      <c r="I39" s="6">
        <f>IF(G39="","",IF(COUNTIF($G$2:$G$2001,G39)&gt;1,"DUPLICADO","OK"))</f>
      </c>
      <c r="J39" s="6">
        <f>IF(COUNTA(A39:F39)=0,"",IF(AND(A39&lt;&gt;"",E39&lt;&gt;""),"OK","ERRO: faltam "&amp;IF(A39="","CNPJ; ","")&amp;IF(E39="","Novo gerente; ","")))</f>
      </c>
      <c r="K39" s="6">
        <f>IF(COUNTA(A39:F39)=0,"",IF(AND(LEFT(H39,4)&lt;&gt;"ERRO",I39="OK",J39="OK"),"OK","REVISAR"))</f>
      </c>
    </row>
    <row r="40">
      <c r="A40" s="5"/>
      <c r="B40" s="4"/>
      <c r="C40" s="4"/>
      <c r="D40" s="4"/>
      <c r="E40" s="5"/>
      <c r="F40" s="4"/>
      <c r="G40" s="6">
        <f>IF(A40="","",SUBSTITUTE(SUBSTITUTE(SUBSTITUTE(SUBSTITUTE(SUBSTITUTE(SUBSTITUTE(SUBSTITUTE(TRIM(A40),".",""),"/",""),"-","")," ",""),"(",""),")",""),"+",""))</f>
      </c>
      <c r="H40" s="6">
        <f>IF(G40="","",IF(LEN(G40)&lt;&gt;14,"ERRO: "&amp;LEN(G40)&amp;" dígitos",IF(NOT(ISNUMBER(VALUE(G40))),"ERRO: não numérico",IF(AND(VALUE(MID(G40,13,1))=IF(MOD(SUMPRODUCT(--MID(G40,{1,2,3,4,5,6,7,8,9,10,11,12},1),{5,4,3,2,9,8,7,6,5,4,3,2}),11)&lt;2,0,11-MOD(SUMPRODUCT(--MID(G40,{1,2,3,4,5,6,7,8,9,10,11,12},1),{5,4,3,2,9,8,7,6,5,4,3,2}),11)),VALUE(MID(G40,14,1))=IF(MOD(SUMPRODUCT(--MID(G40,{1,2,3,4,5,6,7,8,9,10,11,12,13},1),{6,5,4,3,2,9,8,7,6,5,4,3,2}),11)&lt;2,0,11-MOD(SUMPRODUCT(--MID(G40,{1,2,3,4,5,6,7,8,9,10,11,12,13},1),{6,5,4,3,2,9,8,7,6,5,4,3,2}),11))),"OK","AVISO: dígito verificador (conferir na org)"))))</f>
      </c>
      <c r="I40" s="6">
        <f>IF(G40="","",IF(COUNTIF($G$2:$G$2001,G40)&gt;1,"DUPLICADO","OK"))</f>
      </c>
      <c r="J40" s="6">
        <f>IF(COUNTA(A40:F40)=0,"",IF(AND(A40&lt;&gt;"",E40&lt;&gt;""),"OK","ERRO: faltam "&amp;IF(A40="","CNPJ; ","")&amp;IF(E40="","Novo gerente; ","")))</f>
      </c>
      <c r="K40" s="6">
        <f>IF(COUNTA(A40:F40)=0,"",IF(AND(LEFT(H40,4)&lt;&gt;"ERRO",I40="OK",J40="OK"),"OK","REVISAR"))</f>
      </c>
    </row>
    <row r="41">
      <c r="A41" s="5"/>
      <c r="B41" s="4"/>
      <c r="C41" s="4"/>
      <c r="D41" s="4"/>
      <c r="E41" s="5"/>
      <c r="F41" s="4"/>
      <c r="G41" s="6">
        <f>IF(A41="","",SUBSTITUTE(SUBSTITUTE(SUBSTITUTE(SUBSTITUTE(SUBSTITUTE(SUBSTITUTE(SUBSTITUTE(TRIM(A41),".",""),"/",""),"-","")," ",""),"(",""),")",""),"+",""))</f>
      </c>
      <c r="H41" s="6">
        <f>IF(G41="","",IF(LEN(G41)&lt;&gt;14,"ERRO: "&amp;LEN(G41)&amp;" dígitos",IF(NOT(ISNUMBER(VALUE(G41))),"ERRO: não numérico",IF(AND(VALUE(MID(G41,13,1))=IF(MOD(SUMPRODUCT(--MID(G41,{1,2,3,4,5,6,7,8,9,10,11,12},1),{5,4,3,2,9,8,7,6,5,4,3,2}),11)&lt;2,0,11-MOD(SUMPRODUCT(--MID(G41,{1,2,3,4,5,6,7,8,9,10,11,12},1),{5,4,3,2,9,8,7,6,5,4,3,2}),11)),VALUE(MID(G41,14,1))=IF(MOD(SUMPRODUCT(--MID(G41,{1,2,3,4,5,6,7,8,9,10,11,12,13},1),{6,5,4,3,2,9,8,7,6,5,4,3,2}),11)&lt;2,0,11-MOD(SUMPRODUCT(--MID(G41,{1,2,3,4,5,6,7,8,9,10,11,12,13},1),{6,5,4,3,2,9,8,7,6,5,4,3,2}),11))),"OK","AVISO: dígito verificador (conferir na org)"))))</f>
      </c>
      <c r="I41" s="6">
        <f>IF(G41="","",IF(COUNTIF($G$2:$G$2001,G41)&gt;1,"DUPLICADO","OK"))</f>
      </c>
      <c r="J41" s="6">
        <f>IF(COUNTA(A41:F41)=0,"",IF(AND(A41&lt;&gt;"",E41&lt;&gt;""),"OK","ERRO: faltam "&amp;IF(A41="","CNPJ; ","")&amp;IF(E41="","Novo gerente; ","")))</f>
      </c>
      <c r="K41" s="6">
        <f>IF(COUNTA(A41:F41)=0,"",IF(AND(LEFT(H41,4)&lt;&gt;"ERRO",I41="OK",J41="OK"),"OK","REVISAR"))</f>
      </c>
    </row>
    <row r="42">
      <c r="A42" s="5"/>
      <c r="B42" s="4"/>
      <c r="C42" s="4"/>
      <c r="D42" s="4"/>
      <c r="E42" s="5"/>
      <c r="F42" s="4"/>
      <c r="G42" s="6">
        <f>IF(A42="","",SUBSTITUTE(SUBSTITUTE(SUBSTITUTE(SUBSTITUTE(SUBSTITUTE(SUBSTITUTE(SUBSTITUTE(TRIM(A42),".",""),"/",""),"-","")," ",""),"(",""),")",""),"+",""))</f>
      </c>
      <c r="H42" s="6">
        <f>IF(G42="","",IF(LEN(G42)&lt;&gt;14,"ERRO: "&amp;LEN(G42)&amp;" dígitos",IF(NOT(ISNUMBER(VALUE(G42))),"ERRO: não numérico",IF(AND(VALUE(MID(G42,13,1))=IF(MOD(SUMPRODUCT(--MID(G42,{1,2,3,4,5,6,7,8,9,10,11,12},1),{5,4,3,2,9,8,7,6,5,4,3,2}),11)&lt;2,0,11-MOD(SUMPRODUCT(--MID(G42,{1,2,3,4,5,6,7,8,9,10,11,12},1),{5,4,3,2,9,8,7,6,5,4,3,2}),11)),VALUE(MID(G42,14,1))=IF(MOD(SUMPRODUCT(--MID(G42,{1,2,3,4,5,6,7,8,9,10,11,12,13},1),{6,5,4,3,2,9,8,7,6,5,4,3,2}),11)&lt;2,0,11-MOD(SUMPRODUCT(--MID(G42,{1,2,3,4,5,6,7,8,9,10,11,12,13},1),{6,5,4,3,2,9,8,7,6,5,4,3,2}),11))),"OK","AVISO: dígito verificador (conferir na org)"))))</f>
      </c>
      <c r="I42" s="6">
        <f>IF(G42="","",IF(COUNTIF($G$2:$G$2001,G42)&gt;1,"DUPLICADO","OK"))</f>
      </c>
      <c r="J42" s="6">
        <f>IF(COUNTA(A42:F42)=0,"",IF(AND(A42&lt;&gt;"",E42&lt;&gt;""),"OK","ERRO: faltam "&amp;IF(A42="","CNPJ; ","")&amp;IF(E42="","Novo gerente; ","")))</f>
      </c>
      <c r="K42" s="6">
        <f>IF(COUNTA(A42:F42)=0,"",IF(AND(LEFT(H42,4)&lt;&gt;"ERRO",I42="OK",J42="OK"),"OK","REVISAR"))</f>
      </c>
    </row>
    <row r="43">
      <c r="A43" s="5"/>
      <c r="B43" s="4"/>
      <c r="C43" s="4"/>
      <c r="D43" s="4"/>
      <c r="E43" s="5"/>
      <c r="F43" s="4"/>
      <c r="G43" s="6">
        <f>IF(A43="","",SUBSTITUTE(SUBSTITUTE(SUBSTITUTE(SUBSTITUTE(SUBSTITUTE(SUBSTITUTE(SUBSTITUTE(TRIM(A43),".",""),"/",""),"-","")," ",""),"(",""),")",""),"+",""))</f>
      </c>
      <c r="H43" s="6">
        <f>IF(G43="","",IF(LEN(G43)&lt;&gt;14,"ERRO: "&amp;LEN(G43)&amp;" dígitos",IF(NOT(ISNUMBER(VALUE(G43))),"ERRO: não numérico",IF(AND(VALUE(MID(G43,13,1))=IF(MOD(SUMPRODUCT(--MID(G43,{1,2,3,4,5,6,7,8,9,10,11,12},1),{5,4,3,2,9,8,7,6,5,4,3,2}),11)&lt;2,0,11-MOD(SUMPRODUCT(--MID(G43,{1,2,3,4,5,6,7,8,9,10,11,12},1),{5,4,3,2,9,8,7,6,5,4,3,2}),11)),VALUE(MID(G43,14,1))=IF(MOD(SUMPRODUCT(--MID(G43,{1,2,3,4,5,6,7,8,9,10,11,12,13},1),{6,5,4,3,2,9,8,7,6,5,4,3,2}),11)&lt;2,0,11-MOD(SUMPRODUCT(--MID(G43,{1,2,3,4,5,6,7,8,9,10,11,12,13},1),{6,5,4,3,2,9,8,7,6,5,4,3,2}),11))),"OK","AVISO: dígito verificador (conferir na org)"))))</f>
      </c>
      <c r="I43" s="6">
        <f>IF(G43="","",IF(COUNTIF($G$2:$G$2001,G43)&gt;1,"DUPLICADO","OK"))</f>
      </c>
      <c r="J43" s="6">
        <f>IF(COUNTA(A43:F43)=0,"",IF(AND(A43&lt;&gt;"",E43&lt;&gt;""),"OK","ERRO: faltam "&amp;IF(A43="","CNPJ; ","")&amp;IF(E43="","Novo gerente; ","")))</f>
      </c>
      <c r="K43" s="6">
        <f>IF(COUNTA(A43:F43)=0,"",IF(AND(LEFT(H43,4)&lt;&gt;"ERRO",I43="OK",J43="OK"),"OK","REVISAR"))</f>
      </c>
    </row>
    <row r="44">
      <c r="A44" s="5"/>
      <c r="B44" s="4"/>
      <c r="C44" s="4"/>
      <c r="D44" s="4"/>
      <c r="E44" s="5"/>
      <c r="F44" s="4"/>
      <c r="G44" s="6">
        <f>IF(A44="","",SUBSTITUTE(SUBSTITUTE(SUBSTITUTE(SUBSTITUTE(SUBSTITUTE(SUBSTITUTE(SUBSTITUTE(TRIM(A44),".",""),"/",""),"-","")," ",""),"(",""),")",""),"+",""))</f>
      </c>
      <c r="H44" s="6">
        <f>IF(G44="","",IF(LEN(G44)&lt;&gt;14,"ERRO: "&amp;LEN(G44)&amp;" dígitos",IF(NOT(ISNUMBER(VALUE(G44))),"ERRO: não numérico",IF(AND(VALUE(MID(G44,13,1))=IF(MOD(SUMPRODUCT(--MID(G44,{1,2,3,4,5,6,7,8,9,10,11,12},1),{5,4,3,2,9,8,7,6,5,4,3,2}),11)&lt;2,0,11-MOD(SUMPRODUCT(--MID(G44,{1,2,3,4,5,6,7,8,9,10,11,12},1),{5,4,3,2,9,8,7,6,5,4,3,2}),11)),VALUE(MID(G44,14,1))=IF(MOD(SUMPRODUCT(--MID(G44,{1,2,3,4,5,6,7,8,9,10,11,12,13},1),{6,5,4,3,2,9,8,7,6,5,4,3,2}),11)&lt;2,0,11-MOD(SUMPRODUCT(--MID(G44,{1,2,3,4,5,6,7,8,9,10,11,12,13},1),{6,5,4,3,2,9,8,7,6,5,4,3,2}),11))),"OK","AVISO: dígito verificador (conferir na org)"))))</f>
      </c>
      <c r="I44" s="6">
        <f>IF(G44="","",IF(COUNTIF($G$2:$G$2001,G44)&gt;1,"DUPLICADO","OK"))</f>
      </c>
      <c r="J44" s="6">
        <f>IF(COUNTA(A44:F44)=0,"",IF(AND(A44&lt;&gt;"",E44&lt;&gt;""),"OK","ERRO: faltam "&amp;IF(A44="","CNPJ; ","")&amp;IF(E44="","Novo gerente; ","")))</f>
      </c>
      <c r="K44" s="6">
        <f>IF(COUNTA(A44:F44)=0,"",IF(AND(LEFT(H44,4)&lt;&gt;"ERRO",I44="OK",J44="OK"),"OK","REVISAR"))</f>
      </c>
    </row>
    <row r="45">
      <c r="A45" s="5"/>
      <c r="B45" s="4"/>
      <c r="C45" s="4"/>
      <c r="D45" s="4"/>
      <c r="E45" s="5"/>
      <c r="F45" s="4"/>
      <c r="G45" s="6">
        <f>IF(A45="","",SUBSTITUTE(SUBSTITUTE(SUBSTITUTE(SUBSTITUTE(SUBSTITUTE(SUBSTITUTE(SUBSTITUTE(TRIM(A45),".",""),"/",""),"-","")," ",""),"(",""),")",""),"+",""))</f>
      </c>
      <c r="H45" s="6">
        <f>IF(G45="","",IF(LEN(G45)&lt;&gt;14,"ERRO: "&amp;LEN(G45)&amp;" dígitos",IF(NOT(ISNUMBER(VALUE(G45))),"ERRO: não numérico",IF(AND(VALUE(MID(G45,13,1))=IF(MOD(SUMPRODUCT(--MID(G45,{1,2,3,4,5,6,7,8,9,10,11,12},1),{5,4,3,2,9,8,7,6,5,4,3,2}),11)&lt;2,0,11-MOD(SUMPRODUCT(--MID(G45,{1,2,3,4,5,6,7,8,9,10,11,12},1),{5,4,3,2,9,8,7,6,5,4,3,2}),11)),VALUE(MID(G45,14,1))=IF(MOD(SUMPRODUCT(--MID(G45,{1,2,3,4,5,6,7,8,9,10,11,12,13},1),{6,5,4,3,2,9,8,7,6,5,4,3,2}),11)&lt;2,0,11-MOD(SUMPRODUCT(--MID(G45,{1,2,3,4,5,6,7,8,9,10,11,12,13},1),{6,5,4,3,2,9,8,7,6,5,4,3,2}),11))),"OK","AVISO: dígito verificador (conferir na org)"))))</f>
      </c>
      <c r="I45" s="6">
        <f>IF(G45="","",IF(COUNTIF($G$2:$G$2001,G45)&gt;1,"DUPLICADO","OK"))</f>
      </c>
      <c r="J45" s="6">
        <f>IF(COUNTA(A45:F45)=0,"",IF(AND(A45&lt;&gt;"",E45&lt;&gt;""),"OK","ERRO: faltam "&amp;IF(A45="","CNPJ; ","")&amp;IF(E45="","Novo gerente; ","")))</f>
      </c>
      <c r="K45" s="6">
        <f>IF(COUNTA(A45:F45)=0,"",IF(AND(LEFT(H45,4)&lt;&gt;"ERRO",I45="OK",J45="OK"),"OK","REVISAR"))</f>
      </c>
    </row>
    <row r="46">
      <c r="A46" s="5"/>
      <c r="B46" s="4"/>
      <c r="C46" s="4"/>
      <c r="D46" s="4"/>
      <c r="E46" s="5"/>
      <c r="F46" s="4"/>
      <c r="G46" s="6">
        <f>IF(A46="","",SUBSTITUTE(SUBSTITUTE(SUBSTITUTE(SUBSTITUTE(SUBSTITUTE(SUBSTITUTE(SUBSTITUTE(TRIM(A46),".",""),"/",""),"-","")," ",""),"(",""),")",""),"+",""))</f>
      </c>
      <c r="H46" s="6">
        <f>IF(G46="","",IF(LEN(G46)&lt;&gt;14,"ERRO: "&amp;LEN(G46)&amp;" dígitos",IF(NOT(ISNUMBER(VALUE(G46))),"ERRO: não numérico",IF(AND(VALUE(MID(G46,13,1))=IF(MOD(SUMPRODUCT(--MID(G46,{1,2,3,4,5,6,7,8,9,10,11,12},1),{5,4,3,2,9,8,7,6,5,4,3,2}),11)&lt;2,0,11-MOD(SUMPRODUCT(--MID(G46,{1,2,3,4,5,6,7,8,9,10,11,12},1),{5,4,3,2,9,8,7,6,5,4,3,2}),11)),VALUE(MID(G46,14,1))=IF(MOD(SUMPRODUCT(--MID(G46,{1,2,3,4,5,6,7,8,9,10,11,12,13},1),{6,5,4,3,2,9,8,7,6,5,4,3,2}),11)&lt;2,0,11-MOD(SUMPRODUCT(--MID(G46,{1,2,3,4,5,6,7,8,9,10,11,12,13},1),{6,5,4,3,2,9,8,7,6,5,4,3,2}),11))),"OK","AVISO: dígito verificador (conferir na org)"))))</f>
      </c>
      <c r="I46" s="6">
        <f>IF(G46="","",IF(COUNTIF($G$2:$G$2001,G46)&gt;1,"DUPLICADO","OK"))</f>
      </c>
      <c r="J46" s="6">
        <f>IF(COUNTA(A46:F46)=0,"",IF(AND(A46&lt;&gt;"",E46&lt;&gt;""),"OK","ERRO: faltam "&amp;IF(A46="","CNPJ; ","")&amp;IF(E46="","Novo gerente; ","")))</f>
      </c>
      <c r="K46" s="6">
        <f>IF(COUNTA(A46:F46)=0,"",IF(AND(LEFT(H46,4)&lt;&gt;"ERRO",I46="OK",J46="OK"),"OK","REVISAR"))</f>
      </c>
    </row>
    <row r="47">
      <c r="A47" s="5"/>
      <c r="B47" s="4"/>
      <c r="C47" s="4"/>
      <c r="D47" s="4"/>
      <c r="E47" s="5"/>
      <c r="F47" s="4"/>
      <c r="G47" s="6">
        <f>IF(A47="","",SUBSTITUTE(SUBSTITUTE(SUBSTITUTE(SUBSTITUTE(SUBSTITUTE(SUBSTITUTE(SUBSTITUTE(TRIM(A47),".",""),"/",""),"-","")," ",""),"(",""),")",""),"+",""))</f>
      </c>
      <c r="H47" s="6">
        <f>IF(G47="","",IF(LEN(G47)&lt;&gt;14,"ERRO: "&amp;LEN(G47)&amp;" dígitos",IF(NOT(ISNUMBER(VALUE(G47))),"ERRO: não numérico",IF(AND(VALUE(MID(G47,13,1))=IF(MOD(SUMPRODUCT(--MID(G47,{1,2,3,4,5,6,7,8,9,10,11,12},1),{5,4,3,2,9,8,7,6,5,4,3,2}),11)&lt;2,0,11-MOD(SUMPRODUCT(--MID(G47,{1,2,3,4,5,6,7,8,9,10,11,12},1),{5,4,3,2,9,8,7,6,5,4,3,2}),11)),VALUE(MID(G47,14,1))=IF(MOD(SUMPRODUCT(--MID(G47,{1,2,3,4,5,6,7,8,9,10,11,12,13},1),{6,5,4,3,2,9,8,7,6,5,4,3,2}),11)&lt;2,0,11-MOD(SUMPRODUCT(--MID(G47,{1,2,3,4,5,6,7,8,9,10,11,12,13},1),{6,5,4,3,2,9,8,7,6,5,4,3,2}),11))),"OK","AVISO: dígito verificador (conferir na org)"))))</f>
      </c>
      <c r="I47" s="6">
        <f>IF(G47="","",IF(COUNTIF($G$2:$G$2001,G47)&gt;1,"DUPLICADO","OK"))</f>
      </c>
      <c r="J47" s="6">
        <f>IF(COUNTA(A47:F47)=0,"",IF(AND(A47&lt;&gt;"",E47&lt;&gt;""),"OK","ERRO: faltam "&amp;IF(A47="","CNPJ; ","")&amp;IF(E47="","Novo gerente; ","")))</f>
      </c>
      <c r="K47" s="6">
        <f>IF(COUNTA(A47:F47)=0,"",IF(AND(LEFT(H47,4)&lt;&gt;"ERRO",I47="OK",J47="OK"),"OK","REVISAR"))</f>
      </c>
    </row>
    <row r="48">
      <c r="A48" s="5"/>
      <c r="B48" s="4"/>
      <c r="C48" s="4"/>
      <c r="D48" s="4"/>
      <c r="E48" s="5"/>
      <c r="F48" s="4"/>
      <c r="G48" s="6">
        <f>IF(A48="","",SUBSTITUTE(SUBSTITUTE(SUBSTITUTE(SUBSTITUTE(SUBSTITUTE(SUBSTITUTE(SUBSTITUTE(TRIM(A48),".",""),"/",""),"-","")," ",""),"(",""),")",""),"+",""))</f>
      </c>
      <c r="H48" s="6">
        <f>IF(G48="","",IF(LEN(G48)&lt;&gt;14,"ERRO: "&amp;LEN(G48)&amp;" dígitos",IF(NOT(ISNUMBER(VALUE(G48))),"ERRO: não numérico",IF(AND(VALUE(MID(G48,13,1))=IF(MOD(SUMPRODUCT(--MID(G48,{1,2,3,4,5,6,7,8,9,10,11,12},1),{5,4,3,2,9,8,7,6,5,4,3,2}),11)&lt;2,0,11-MOD(SUMPRODUCT(--MID(G48,{1,2,3,4,5,6,7,8,9,10,11,12},1),{5,4,3,2,9,8,7,6,5,4,3,2}),11)),VALUE(MID(G48,14,1))=IF(MOD(SUMPRODUCT(--MID(G48,{1,2,3,4,5,6,7,8,9,10,11,12,13},1),{6,5,4,3,2,9,8,7,6,5,4,3,2}),11)&lt;2,0,11-MOD(SUMPRODUCT(--MID(G48,{1,2,3,4,5,6,7,8,9,10,11,12,13},1),{6,5,4,3,2,9,8,7,6,5,4,3,2}),11))),"OK","AVISO: dígito verificador (conferir na org)"))))</f>
      </c>
      <c r="I48" s="6">
        <f>IF(G48="","",IF(COUNTIF($G$2:$G$2001,G48)&gt;1,"DUPLICADO","OK"))</f>
      </c>
      <c r="J48" s="6">
        <f>IF(COUNTA(A48:F48)=0,"",IF(AND(A48&lt;&gt;"",E48&lt;&gt;""),"OK","ERRO: faltam "&amp;IF(A48="","CNPJ; ","")&amp;IF(E48="","Novo gerente; ","")))</f>
      </c>
      <c r="K48" s="6">
        <f>IF(COUNTA(A48:F48)=0,"",IF(AND(LEFT(H48,4)&lt;&gt;"ERRO",I48="OK",J48="OK"),"OK","REVISAR"))</f>
      </c>
    </row>
    <row r="49">
      <c r="A49" s="5"/>
      <c r="B49" s="4"/>
      <c r="C49" s="4"/>
      <c r="D49" s="4"/>
      <c r="E49" s="5"/>
      <c r="F49" s="4"/>
      <c r="G49" s="6">
        <f>IF(A49="","",SUBSTITUTE(SUBSTITUTE(SUBSTITUTE(SUBSTITUTE(SUBSTITUTE(SUBSTITUTE(SUBSTITUTE(TRIM(A49),".",""),"/",""),"-","")," ",""),"(",""),")",""),"+",""))</f>
      </c>
      <c r="H49" s="6">
        <f>IF(G49="","",IF(LEN(G49)&lt;&gt;14,"ERRO: "&amp;LEN(G49)&amp;" dígitos",IF(NOT(ISNUMBER(VALUE(G49))),"ERRO: não numérico",IF(AND(VALUE(MID(G49,13,1))=IF(MOD(SUMPRODUCT(--MID(G49,{1,2,3,4,5,6,7,8,9,10,11,12},1),{5,4,3,2,9,8,7,6,5,4,3,2}),11)&lt;2,0,11-MOD(SUMPRODUCT(--MID(G49,{1,2,3,4,5,6,7,8,9,10,11,12},1),{5,4,3,2,9,8,7,6,5,4,3,2}),11)),VALUE(MID(G49,14,1))=IF(MOD(SUMPRODUCT(--MID(G49,{1,2,3,4,5,6,7,8,9,10,11,12,13},1),{6,5,4,3,2,9,8,7,6,5,4,3,2}),11)&lt;2,0,11-MOD(SUMPRODUCT(--MID(G49,{1,2,3,4,5,6,7,8,9,10,11,12,13},1),{6,5,4,3,2,9,8,7,6,5,4,3,2}),11))),"OK","AVISO: dígito verificador (conferir na org)"))))</f>
      </c>
      <c r="I49" s="6">
        <f>IF(G49="","",IF(COUNTIF($G$2:$G$2001,G49)&gt;1,"DUPLICADO","OK"))</f>
      </c>
      <c r="J49" s="6">
        <f>IF(COUNTA(A49:F49)=0,"",IF(AND(A49&lt;&gt;"",E49&lt;&gt;""),"OK","ERRO: faltam "&amp;IF(A49="","CNPJ; ","")&amp;IF(E49="","Novo gerente; ","")))</f>
      </c>
      <c r="K49" s="6">
        <f>IF(COUNTA(A49:F49)=0,"",IF(AND(LEFT(H49,4)&lt;&gt;"ERRO",I49="OK",J49="OK"),"OK","REVISAR"))</f>
      </c>
    </row>
    <row r="50">
      <c r="A50" s="5"/>
      <c r="B50" s="4"/>
      <c r="C50" s="4"/>
      <c r="D50" s="4"/>
      <c r="E50" s="5"/>
      <c r="F50" s="4"/>
      <c r="G50" s="6">
        <f>IF(A50="","",SUBSTITUTE(SUBSTITUTE(SUBSTITUTE(SUBSTITUTE(SUBSTITUTE(SUBSTITUTE(SUBSTITUTE(TRIM(A50),".",""),"/",""),"-","")," ",""),"(",""),")",""),"+",""))</f>
      </c>
      <c r="H50" s="6">
        <f>IF(G50="","",IF(LEN(G50)&lt;&gt;14,"ERRO: "&amp;LEN(G50)&amp;" dígitos",IF(NOT(ISNUMBER(VALUE(G50))),"ERRO: não numérico",IF(AND(VALUE(MID(G50,13,1))=IF(MOD(SUMPRODUCT(--MID(G50,{1,2,3,4,5,6,7,8,9,10,11,12},1),{5,4,3,2,9,8,7,6,5,4,3,2}),11)&lt;2,0,11-MOD(SUMPRODUCT(--MID(G50,{1,2,3,4,5,6,7,8,9,10,11,12},1),{5,4,3,2,9,8,7,6,5,4,3,2}),11)),VALUE(MID(G50,14,1))=IF(MOD(SUMPRODUCT(--MID(G50,{1,2,3,4,5,6,7,8,9,10,11,12,13},1),{6,5,4,3,2,9,8,7,6,5,4,3,2}),11)&lt;2,0,11-MOD(SUMPRODUCT(--MID(G50,{1,2,3,4,5,6,7,8,9,10,11,12,13},1),{6,5,4,3,2,9,8,7,6,5,4,3,2}),11))),"OK","AVISO: dígito verificador (conferir na org)"))))</f>
      </c>
      <c r="I50" s="6">
        <f>IF(G50="","",IF(COUNTIF($G$2:$G$2001,G50)&gt;1,"DUPLICADO","OK"))</f>
      </c>
      <c r="J50" s="6">
        <f>IF(COUNTA(A50:F50)=0,"",IF(AND(A50&lt;&gt;"",E50&lt;&gt;""),"OK","ERRO: faltam "&amp;IF(A50="","CNPJ; ","")&amp;IF(E50="","Novo gerente; ","")))</f>
      </c>
      <c r="K50" s="6">
        <f>IF(COUNTA(A50:F50)=0,"",IF(AND(LEFT(H50,4)&lt;&gt;"ERRO",I50="OK",J50="OK"),"OK","REVISAR"))</f>
      </c>
    </row>
    <row r="51">
      <c r="A51" s="5"/>
      <c r="B51" s="4"/>
      <c r="C51" s="4"/>
      <c r="D51" s="4"/>
      <c r="E51" s="5"/>
      <c r="F51" s="4"/>
      <c r="G51" s="6">
        <f>IF(A51="","",SUBSTITUTE(SUBSTITUTE(SUBSTITUTE(SUBSTITUTE(SUBSTITUTE(SUBSTITUTE(SUBSTITUTE(TRIM(A51),".",""),"/",""),"-","")," ",""),"(",""),")",""),"+",""))</f>
      </c>
      <c r="H51" s="6">
        <f>IF(G51="","",IF(LEN(G51)&lt;&gt;14,"ERRO: "&amp;LEN(G51)&amp;" dígitos",IF(NOT(ISNUMBER(VALUE(G51))),"ERRO: não numérico",IF(AND(VALUE(MID(G51,13,1))=IF(MOD(SUMPRODUCT(--MID(G51,{1,2,3,4,5,6,7,8,9,10,11,12},1),{5,4,3,2,9,8,7,6,5,4,3,2}),11)&lt;2,0,11-MOD(SUMPRODUCT(--MID(G51,{1,2,3,4,5,6,7,8,9,10,11,12},1),{5,4,3,2,9,8,7,6,5,4,3,2}),11)),VALUE(MID(G51,14,1))=IF(MOD(SUMPRODUCT(--MID(G51,{1,2,3,4,5,6,7,8,9,10,11,12,13},1),{6,5,4,3,2,9,8,7,6,5,4,3,2}),11)&lt;2,0,11-MOD(SUMPRODUCT(--MID(G51,{1,2,3,4,5,6,7,8,9,10,11,12,13},1),{6,5,4,3,2,9,8,7,6,5,4,3,2}),11))),"OK","AVISO: dígito verificador (conferir na org)"))))</f>
      </c>
      <c r="I51" s="6">
        <f>IF(G51="","",IF(COUNTIF($G$2:$G$2001,G51)&gt;1,"DUPLICADO","OK"))</f>
      </c>
      <c r="J51" s="6">
        <f>IF(COUNTA(A51:F51)=0,"",IF(AND(A51&lt;&gt;"",E51&lt;&gt;""),"OK","ERRO: faltam "&amp;IF(A51="","CNPJ; ","")&amp;IF(E51="","Novo gerente; ","")))</f>
      </c>
      <c r="K51" s="6">
        <f>IF(COUNTA(A51:F51)=0,"",IF(AND(LEFT(H51,4)&lt;&gt;"ERRO",I51="OK",J51="OK"),"OK","REVISAR"))</f>
      </c>
    </row>
    <row r="52">
      <c r="A52" s="5"/>
      <c r="B52" s="4"/>
      <c r="C52" s="4"/>
      <c r="D52" s="4"/>
      <c r="E52" s="5"/>
      <c r="F52" s="4"/>
      <c r="G52" s="6">
        <f>IF(A52="","",SUBSTITUTE(SUBSTITUTE(SUBSTITUTE(SUBSTITUTE(SUBSTITUTE(SUBSTITUTE(SUBSTITUTE(TRIM(A52),".",""),"/",""),"-","")," ",""),"(",""),")",""),"+",""))</f>
      </c>
      <c r="H52" s="6">
        <f>IF(G52="","",IF(LEN(G52)&lt;&gt;14,"ERRO: "&amp;LEN(G52)&amp;" dígitos",IF(NOT(ISNUMBER(VALUE(G52))),"ERRO: não numérico",IF(AND(VALUE(MID(G52,13,1))=IF(MOD(SUMPRODUCT(--MID(G52,{1,2,3,4,5,6,7,8,9,10,11,12},1),{5,4,3,2,9,8,7,6,5,4,3,2}),11)&lt;2,0,11-MOD(SUMPRODUCT(--MID(G52,{1,2,3,4,5,6,7,8,9,10,11,12},1),{5,4,3,2,9,8,7,6,5,4,3,2}),11)),VALUE(MID(G52,14,1))=IF(MOD(SUMPRODUCT(--MID(G52,{1,2,3,4,5,6,7,8,9,10,11,12,13},1),{6,5,4,3,2,9,8,7,6,5,4,3,2}),11)&lt;2,0,11-MOD(SUMPRODUCT(--MID(G52,{1,2,3,4,5,6,7,8,9,10,11,12,13},1),{6,5,4,3,2,9,8,7,6,5,4,3,2}),11))),"OK","AVISO: dígito verificador (conferir na org)"))))</f>
      </c>
      <c r="I52" s="6">
        <f>IF(G52="","",IF(COUNTIF($G$2:$G$2001,G52)&gt;1,"DUPLICADO","OK"))</f>
      </c>
      <c r="J52" s="6">
        <f>IF(COUNTA(A52:F52)=0,"",IF(AND(A52&lt;&gt;"",E52&lt;&gt;""),"OK","ERRO: faltam "&amp;IF(A52="","CNPJ; ","")&amp;IF(E52="","Novo gerente; ","")))</f>
      </c>
      <c r="K52" s="6">
        <f>IF(COUNTA(A52:F52)=0,"",IF(AND(LEFT(H52,4)&lt;&gt;"ERRO",I52="OK",J52="OK"),"OK","REVISAR"))</f>
      </c>
    </row>
    <row r="53">
      <c r="A53" s="5"/>
      <c r="B53" s="4"/>
      <c r="C53" s="4"/>
      <c r="D53" s="4"/>
      <c r="E53" s="5"/>
      <c r="F53" s="4"/>
      <c r="G53" s="6">
        <f>IF(A53="","",SUBSTITUTE(SUBSTITUTE(SUBSTITUTE(SUBSTITUTE(SUBSTITUTE(SUBSTITUTE(SUBSTITUTE(TRIM(A53),".",""),"/",""),"-","")," ",""),"(",""),")",""),"+",""))</f>
      </c>
      <c r="H53" s="6">
        <f>IF(G53="","",IF(LEN(G53)&lt;&gt;14,"ERRO: "&amp;LEN(G53)&amp;" dígitos",IF(NOT(ISNUMBER(VALUE(G53))),"ERRO: não numérico",IF(AND(VALUE(MID(G53,13,1))=IF(MOD(SUMPRODUCT(--MID(G53,{1,2,3,4,5,6,7,8,9,10,11,12},1),{5,4,3,2,9,8,7,6,5,4,3,2}),11)&lt;2,0,11-MOD(SUMPRODUCT(--MID(G53,{1,2,3,4,5,6,7,8,9,10,11,12},1),{5,4,3,2,9,8,7,6,5,4,3,2}),11)),VALUE(MID(G53,14,1))=IF(MOD(SUMPRODUCT(--MID(G53,{1,2,3,4,5,6,7,8,9,10,11,12,13},1),{6,5,4,3,2,9,8,7,6,5,4,3,2}),11)&lt;2,0,11-MOD(SUMPRODUCT(--MID(G53,{1,2,3,4,5,6,7,8,9,10,11,12,13},1),{6,5,4,3,2,9,8,7,6,5,4,3,2}),11))),"OK","AVISO: dígito verificador (conferir na org)"))))</f>
      </c>
      <c r="I53" s="6">
        <f>IF(G53="","",IF(COUNTIF($G$2:$G$2001,G53)&gt;1,"DUPLICADO","OK"))</f>
      </c>
      <c r="J53" s="6">
        <f>IF(COUNTA(A53:F53)=0,"",IF(AND(A53&lt;&gt;"",E53&lt;&gt;""),"OK","ERRO: faltam "&amp;IF(A53="","CNPJ; ","")&amp;IF(E53="","Novo gerente; ","")))</f>
      </c>
      <c r="K53" s="6">
        <f>IF(COUNTA(A53:F53)=0,"",IF(AND(LEFT(H53,4)&lt;&gt;"ERRO",I53="OK",J53="OK"),"OK","REVISAR"))</f>
      </c>
    </row>
    <row r="54">
      <c r="A54" s="5"/>
      <c r="B54" s="4"/>
      <c r="C54" s="4"/>
      <c r="D54" s="4"/>
      <c r="E54" s="5"/>
      <c r="F54" s="4"/>
      <c r="G54" s="6">
        <f>IF(A54="","",SUBSTITUTE(SUBSTITUTE(SUBSTITUTE(SUBSTITUTE(SUBSTITUTE(SUBSTITUTE(SUBSTITUTE(TRIM(A54),".",""),"/",""),"-","")," ",""),"(",""),")",""),"+",""))</f>
      </c>
      <c r="H54" s="6">
        <f>IF(G54="","",IF(LEN(G54)&lt;&gt;14,"ERRO: "&amp;LEN(G54)&amp;" dígitos",IF(NOT(ISNUMBER(VALUE(G54))),"ERRO: não numérico",IF(AND(VALUE(MID(G54,13,1))=IF(MOD(SUMPRODUCT(--MID(G54,{1,2,3,4,5,6,7,8,9,10,11,12},1),{5,4,3,2,9,8,7,6,5,4,3,2}),11)&lt;2,0,11-MOD(SUMPRODUCT(--MID(G54,{1,2,3,4,5,6,7,8,9,10,11,12},1),{5,4,3,2,9,8,7,6,5,4,3,2}),11)),VALUE(MID(G54,14,1))=IF(MOD(SUMPRODUCT(--MID(G54,{1,2,3,4,5,6,7,8,9,10,11,12,13},1),{6,5,4,3,2,9,8,7,6,5,4,3,2}),11)&lt;2,0,11-MOD(SUMPRODUCT(--MID(G54,{1,2,3,4,5,6,7,8,9,10,11,12,13},1),{6,5,4,3,2,9,8,7,6,5,4,3,2}),11))),"OK","AVISO: dígito verificador (conferir na org)"))))</f>
      </c>
      <c r="I54" s="6">
        <f>IF(G54="","",IF(COUNTIF($G$2:$G$2001,G54)&gt;1,"DUPLICADO","OK"))</f>
      </c>
      <c r="J54" s="6">
        <f>IF(COUNTA(A54:F54)=0,"",IF(AND(A54&lt;&gt;"",E54&lt;&gt;""),"OK","ERRO: faltam "&amp;IF(A54="","CNPJ; ","")&amp;IF(E54="","Novo gerente; ","")))</f>
      </c>
      <c r="K54" s="6">
        <f>IF(COUNTA(A54:F54)=0,"",IF(AND(LEFT(H54,4)&lt;&gt;"ERRO",I54="OK",J54="OK"),"OK","REVISAR"))</f>
      </c>
    </row>
    <row r="55">
      <c r="A55" s="5"/>
      <c r="B55" s="4"/>
      <c r="C55" s="4"/>
      <c r="D55" s="4"/>
      <c r="E55" s="5"/>
      <c r="F55" s="4"/>
      <c r="G55" s="6">
        <f>IF(A55="","",SUBSTITUTE(SUBSTITUTE(SUBSTITUTE(SUBSTITUTE(SUBSTITUTE(SUBSTITUTE(SUBSTITUTE(TRIM(A55),".",""),"/",""),"-","")," ",""),"(",""),")",""),"+",""))</f>
      </c>
      <c r="H55" s="6">
        <f>IF(G55="","",IF(LEN(G55)&lt;&gt;14,"ERRO: "&amp;LEN(G55)&amp;" dígitos",IF(NOT(ISNUMBER(VALUE(G55))),"ERRO: não numérico",IF(AND(VALUE(MID(G55,13,1))=IF(MOD(SUMPRODUCT(--MID(G55,{1,2,3,4,5,6,7,8,9,10,11,12},1),{5,4,3,2,9,8,7,6,5,4,3,2}),11)&lt;2,0,11-MOD(SUMPRODUCT(--MID(G55,{1,2,3,4,5,6,7,8,9,10,11,12},1),{5,4,3,2,9,8,7,6,5,4,3,2}),11)),VALUE(MID(G55,14,1))=IF(MOD(SUMPRODUCT(--MID(G55,{1,2,3,4,5,6,7,8,9,10,11,12,13},1),{6,5,4,3,2,9,8,7,6,5,4,3,2}),11)&lt;2,0,11-MOD(SUMPRODUCT(--MID(G55,{1,2,3,4,5,6,7,8,9,10,11,12,13},1),{6,5,4,3,2,9,8,7,6,5,4,3,2}),11))),"OK","AVISO: dígito verificador (conferir na org)"))))</f>
      </c>
      <c r="I55" s="6">
        <f>IF(G55="","",IF(COUNTIF($G$2:$G$2001,G55)&gt;1,"DUPLICADO","OK"))</f>
      </c>
      <c r="J55" s="6">
        <f>IF(COUNTA(A55:F55)=0,"",IF(AND(A55&lt;&gt;"",E55&lt;&gt;""),"OK","ERRO: faltam "&amp;IF(A55="","CNPJ; ","")&amp;IF(E55="","Novo gerente; ","")))</f>
      </c>
      <c r="K55" s="6">
        <f>IF(COUNTA(A55:F55)=0,"",IF(AND(LEFT(H55,4)&lt;&gt;"ERRO",I55="OK",J55="OK"),"OK","REVISAR"))</f>
      </c>
    </row>
    <row r="56">
      <c r="A56" s="5"/>
      <c r="B56" s="4"/>
      <c r="C56" s="4"/>
      <c r="D56" s="4"/>
      <c r="E56" s="5"/>
      <c r="F56" s="4"/>
      <c r="G56" s="6">
        <f>IF(A56="","",SUBSTITUTE(SUBSTITUTE(SUBSTITUTE(SUBSTITUTE(SUBSTITUTE(SUBSTITUTE(SUBSTITUTE(TRIM(A56),".",""),"/",""),"-","")," ",""),"(",""),")",""),"+",""))</f>
      </c>
      <c r="H56" s="6">
        <f>IF(G56="","",IF(LEN(G56)&lt;&gt;14,"ERRO: "&amp;LEN(G56)&amp;" dígitos",IF(NOT(ISNUMBER(VALUE(G56))),"ERRO: não numérico",IF(AND(VALUE(MID(G56,13,1))=IF(MOD(SUMPRODUCT(--MID(G56,{1,2,3,4,5,6,7,8,9,10,11,12},1),{5,4,3,2,9,8,7,6,5,4,3,2}),11)&lt;2,0,11-MOD(SUMPRODUCT(--MID(G56,{1,2,3,4,5,6,7,8,9,10,11,12},1),{5,4,3,2,9,8,7,6,5,4,3,2}),11)),VALUE(MID(G56,14,1))=IF(MOD(SUMPRODUCT(--MID(G56,{1,2,3,4,5,6,7,8,9,10,11,12,13},1),{6,5,4,3,2,9,8,7,6,5,4,3,2}),11)&lt;2,0,11-MOD(SUMPRODUCT(--MID(G56,{1,2,3,4,5,6,7,8,9,10,11,12,13},1),{6,5,4,3,2,9,8,7,6,5,4,3,2}),11))),"OK","AVISO: dígito verificador (conferir na org)"))))</f>
      </c>
      <c r="I56" s="6">
        <f>IF(G56="","",IF(COUNTIF($G$2:$G$2001,G56)&gt;1,"DUPLICADO","OK"))</f>
      </c>
      <c r="J56" s="6">
        <f>IF(COUNTA(A56:F56)=0,"",IF(AND(A56&lt;&gt;"",E56&lt;&gt;""),"OK","ERRO: faltam "&amp;IF(A56="","CNPJ; ","")&amp;IF(E56="","Novo gerente; ","")))</f>
      </c>
      <c r="K56" s="6">
        <f>IF(COUNTA(A56:F56)=0,"",IF(AND(LEFT(H56,4)&lt;&gt;"ERRO",I56="OK",J56="OK"),"OK","REVISAR"))</f>
      </c>
    </row>
    <row r="57">
      <c r="A57" s="5"/>
      <c r="B57" s="4"/>
      <c r="C57" s="4"/>
      <c r="D57" s="4"/>
      <c r="E57" s="5"/>
      <c r="F57" s="4"/>
      <c r="G57" s="6">
        <f>IF(A57="","",SUBSTITUTE(SUBSTITUTE(SUBSTITUTE(SUBSTITUTE(SUBSTITUTE(SUBSTITUTE(SUBSTITUTE(TRIM(A57),".",""),"/",""),"-","")," ",""),"(",""),")",""),"+",""))</f>
      </c>
      <c r="H57" s="6">
        <f>IF(G57="","",IF(LEN(G57)&lt;&gt;14,"ERRO: "&amp;LEN(G57)&amp;" dígitos",IF(NOT(ISNUMBER(VALUE(G57))),"ERRO: não numérico",IF(AND(VALUE(MID(G57,13,1))=IF(MOD(SUMPRODUCT(--MID(G57,{1,2,3,4,5,6,7,8,9,10,11,12},1),{5,4,3,2,9,8,7,6,5,4,3,2}),11)&lt;2,0,11-MOD(SUMPRODUCT(--MID(G57,{1,2,3,4,5,6,7,8,9,10,11,12},1),{5,4,3,2,9,8,7,6,5,4,3,2}),11)),VALUE(MID(G57,14,1))=IF(MOD(SUMPRODUCT(--MID(G57,{1,2,3,4,5,6,7,8,9,10,11,12,13},1),{6,5,4,3,2,9,8,7,6,5,4,3,2}),11)&lt;2,0,11-MOD(SUMPRODUCT(--MID(G57,{1,2,3,4,5,6,7,8,9,10,11,12,13},1),{6,5,4,3,2,9,8,7,6,5,4,3,2}),11))),"OK","AVISO: dígito verificador (conferir na org)"))))</f>
      </c>
      <c r="I57" s="6">
        <f>IF(G57="","",IF(COUNTIF($G$2:$G$2001,G57)&gt;1,"DUPLICADO","OK"))</f>
      </c>
      <c r="J57" s="6">
        <f>IF(COUNTA(A57:F57)=0,"",IF(AND(A57&lt;&gt;"",E57&lt;&gt;""),"OK","ERRO: faltam "&amp;IF(A57="","CNPJ; ","")&amp;IF(E57="","Novo gerente; ","")))</f>
      </c>
      <c r="K57" s="6">
        <f>IF(COUNTA(A57:F57)=0,"",IF(AND(LEFT(H57,4)&lt;&gt;"ERRO",I57="OK",J57="OK"),"OK","REVISAR"))</f>
      </c>
    </row>
    <row r="58">
      <c r="A58" s="5"/>
      <c r="B58" s="4"/>
      <c r="C58" s="4"/>
      <c r="D58" s="4"/>
      <c r="E58" s="5"/>
      <c r="F58" s="4"/>
      <c r="G58" s="6">
        <f>IF(A58="","",SUBSTITUTE(SUBSTITUTE(SUBSTITUTE(SUBSTITUTE(SUBSTITUTE(SUBSTITUTE(SUBSTITUTE(TRIM(A58),".",""),"/",""),"-","")," ",""),"(",""),")",""),"+",""))</f>
      </c>
      <c r="H58" s="6">
        <f>IF(G58="","",IF(LEN(G58)&lt;&gt;14,"ERRO: "&amp;LEN(G58)&amp;" dígitos",IF(NOT(ISNUMBER(VALUE(G58))),"ERRO: não numérico",IF(AND(VALUE(MID(G58,13,1))=IF(MOD(SUMPRODUCT(--MID(G58,{1,2,3,4,5,6,7,8,9,10,11,12},1),{5,4,3,2,9,8,7,6,5,4,3,2}),11)&lt;2,0,11-MOD(SUMPRODUCT(--MID(G58,{1,2,3,4,5,6,7,8,9,10,11,12},1),{5,4,3,2,9,8,7,6,5,4,3,2}),11)),VALUE(MID(G58,14,1))=IF(MOD(SUMPRODUCT(--MID(G58,{1,2,3,4,5,6,7,8,9,10,11,12,13},1),{6,5,4,3,2,9,8,7,6,5,4,3,2}),11)&lt;2,0,11-MOD(SUMPRODUCT(--MID(G58,{1,2,3,4,5,6,7,8,9,10,11,12,13},1),{6,5,4,3,2,9,8,7,6,5,4,3,2}),11))),"OK","AVISO: dígito verificador (conferir na org)"))))</f>
      </c>
      <c r="I58" s="6">
        <f>IF(G58="","",IF(COUNTIF($G$2:$G$2001,G58)&gt;1,"DUPLICADO","OK"))</f>
      </c>
      <c r="J58" s="6">
        <f>IF(COUNTA(A58:F58)=0,"",IF(AND(A58&lt;&gt;"",E58&lt;&gt;""),"OK","ERRO: faltam "&amp;IF(A58="","CNPJ; ","")&amp;IF(E58="","Novo gerente; ","")))</f>
      </c>
      <c r="K58" s="6">
        <f>IF(COUNTA(A58:F58)=0,"",IF(AND(LEFT(H58,4)&lt;&gt;"ERRO",I58="OK",J58="OK"),"OK","REVISAR"))</f>
      </c>
    </row>
    <row r="59">
      <c r="A59" s="5"/>
      <c r="B59" s="4"/>
      <c r="C59" s="4"/>
      <c r="D59" s="4"/>
      <c r="E59" s="5"/>
      <c r="F59" s="4"/>
      <c r="G59" s="6">
        <f>IF(A59="","",SUBSTITUTE(SUBSTITUTE(SUBSTITUTE(SUBSTITUTE(SUBSTITUTE(SUBSTITUTE(SUBSTITUTE(TRIM(A59),".",""),"/",""),"-","")," ",""),"(",""),")",""),"+",""))</f>
      </c>
      <c r="H59" s="6">
        <f>IF(G59="","",IF(LEN(G59)&lt;&gt;14,"ERRO: "&amp;LEN(G59)&amp;" dígitos",IF(NOT(ISNUMBER(VALUE(G59))),"ERRO: não numérico",IF(AND(VALUE(MID(G59,13,1))=IF(MOD(SUMPRODUCT(--MID(G59,{1,2,3,4,5,6,7,8,9,10,11,12},1),{5,4,3,2,9,8,7,6,5,4,3,2}),11)&lt;2,0,11-MOD(SUMPRODUCT(--MID(G59,{1,2,3,4,5,6,7,8,9,10,11,12},1),{5,4,3,2,9,8,7,6,5,4,3,2}),11)),VALUE(MID(G59,14,1))=IF(MOD(SUMPRODUCT(--MID(G59,{1,2,3,4,5,6,7,8,9,10,11,12,13},1),{6,5,4,3,2,9,8,7,6,5,4,3,2}),11)&lt;2,0,11-MOD(SUMPRODUCT(--MID(G59,{1,2,3,4,5,6,7,8,9,10,11,12,13},1),{6,5,4,3,2,9,8,7,6,5,4,3,2}),11))),"OK","AVISO: dígito verificador (conferir na org)"))))</f>
      </c>
      <c r="I59" s="6">
        <f>IF(G59="","",IF(COUNTIF($G$2:$G$2001,G59)&gt;1,"DUPLICADO","OK"))</f>
      </c>
      <c r="J59" s="6">
        <f>IF(COUNTA(A59:F59)=0,"",IF(AND(A59&lt;&gt;"",E59&lt;&gt;""),"OK","ERRO: faltam "&amp;IF(A59="","CNPJ; ","")&amp;IF(E59="","Novo gerente; ","")))</f>
      </c>
      <c r="K59" s="6">
        <f>IF(COUNTA(A59:F59)=0,"",IF(AND(LEFT(H59,4)&lt;&gt;"ERRO",I59="OK",J59="OK"),"OK","REVISAR"))</f>
      </c>
    </row>
    <row r="60">
      <c r="A60" s="5"/>
      <c r="B60" s="4"/>
      <c r="C60" s="4"/>
      <c r="D60" s="4"/>
      <c r="E60" s="5"/>
      <c r="F60" s="4"/>
      <c r="G60" s="6">
        <f>IF(A60="","",SUBSTITUTE(SUBSTITUTE(SUBSTITUTE(SUBSTITUTE(SUBSTITUTE(SUBSTITUTE(SUBSTITUTE(TRIM(A60),".",""),"/",""),"-","")," ",""),"(",""),")",""),"+",""))</f>
      </c>
      <c r="H60" s="6">
        <f>IF(G60="","",IF(LEN(G60)&lt;&gt;14,"ERRO: "&amp;LEN(G60)&amp;" dígitos",IF(NOT(ISNUMBER(VALUE(G60))),"ERRO: não numérico",IF(AND(VALUE(MID(G60,13,1))=IF(MOD(SUMPRODUCT(--MID(G60,{1,2,3,4,5,6,7,8,9,10,11,12},1),{5,4,3,2,9,8,7,6,5,4,3,2}),11)&lt;2,0,11-MOD(SUMPRODUCT(--MID(G60,{1,2,3,4,5,6,7,8,9,10,11,12},1),{5,4,3,2,9,8,7,6,5,4,3,2}),11)),VALUE(MID(G60,14,1))=IF(MOD(SUMPRODUCT(--MID(G60,{1,2,3,4,5,6,7,8,9,10,11,12,13},1),{6,5,4,3,2,9,8,7,6,5,4,3,2}),11)&lt;2,0,11-MOD(SUMPRODUCT(--MID(G60,{1,2,3,4,5,6,7,8,9,10,11,12,13},1),{6,5,4,3,2,9,8,7,6,5,4,3,2}),11))),"OK","AVISO: dígito verificador (conferir na org)"))))</f>
      </c>
      <c r="I60" s="6">
        <f>IF(G60="","",IF(COUNTIF($G$2:$G$2001,G60)&gt;1,"DUPLICADO","OK"))</f>
      </c>
      <c r="J60" s="6">
        <f>IF(COUNTA(A60:F60)=0,"",IF(AND(A60&lt;&gt;"",E60&lt;&gt;""),"OK","ERRO: faltam "&amp;IF(A60="","CNPJ; ","")&amp;IF(E60="","Novo gerente; ","")))</f>
      </c>
      <c r="K60" s="6">
        <f>IF(COUNTA(A60:F60)=0,"",IF(AND(LEFT(H60,4)&lt;&gt;"ERRO",I60="OK",J60="OK"),"OK","REVISAR"))</f>
      </c>
    </row>
    <row r="61">
      <c r="A61" s="5"/>
      <c r="B61" s="4"/>
      <c r="C61" s="4"/>
      <c r="D61" s="4"/>
      <c r="E61" s="5"/>
      <c r="F61" s="4"/>
      <c r="G61" s="6">
        <f>IF(A61="","",SUBSTITUTE(SUBSTITUTE(SUBSTITUTE(SUBSTITUTE(SUBSTITUTE(SUBSTITUTE(SUBSTITUTE(TRIM(A61),".",""),"/",""),"-","")," ",""),"(",""),")",""),"+",""))</f>
      </c>
      <c r="H61" s="6">
        <f>IF(G61="","",IF(LEN(G61)&lt;&gt;14,"ERRO: "&amp;LEN(G61)&amp;" dígitos",IF(NOT(ISNUMBER(VALUE(G61))),"ERRO: não numérico",IF(AND(VALUE(MID(G61,13,1))=IF(MOD(SUMPRODUCT(--MID(G61,{1,2,3,4,5,6,7,8,9,10,11,12},1),{5,4,3,2,9,8,7,6,5,4,3,2}),11)&lt;2,0,11-MOD(SUMPRODUCT(--MID(G61,{1,2,3,4,5,6,7,8,9,10,11,12},1),{5,4,3,2,9,8,7,6,5,4,3,2}),11)),VALUE(MID(G61,14,1))=IF(MOD(SUMPRODUCT(--MID(G61,{1,2,3,4,5,6,7,8,9,10,11,12,13},1),{6,5,4,3,2,9,8,7,6,5,4,3,2}),11)&lt;2,0,11-MOD(SUMPRODUCT(--MID(G61,{1,2,3,4,5,6,7,8,9,10,11,12,13},1),{6,5,4,3,2,9,8,7,6,5,4,3,2}),11))),"OK","AVISO: dígito verificador (conferir na org)"))))</f>
      </c>
      <c r="I61" s="6">
        <f>IF(G61="","",IF(COUNTIF($G$2:$G$2001,G61)&gt;1,"DUPLICADO","OK"))</f>
      </c>
      <c r="J61" s="6">
        <f>IF(COUNTA(A61:F61)=0,"",IF(AND(A61&lt;&gt;"",E61&lt;&gt;""),"OK","ERRO: faltam "&amp;IF(A61="","CNPJ; ","")&amp;IF(E61="","Novo gerente; ","")))</f>
      </c>
      <c r="K61" s="6">
        <f>IF(COUNTA(A61:F61)=0,"",IF(AND(LEFT(H61,4)&lt;&gt;"ERRO",I61="OK",J61="OK"),"OK","REVISAR"))</f>
      </c>
    </row>
    <row r="62">
      <c r="A62" s="5"/>
      <c r="B62" s="4"/>
      <c r="C62" s="4"/>
      <c r="D62" s="4"/>
      <c r="E62" s="5"/>
      <c r="F62" s="4"/>
      <c r="G62" s="6">
        <f>IF(A62="","",SUBSTITUTE(SUBSTITUTE(SUBSTITUTE(SUBSTITUTE(SUBSTITUTE(SUBSTITUTE(SUBSTITUTE(TRIM(A62),".",""),"/",""),"-","")," ",""),"(",""),")",""),"+",""))</f>
      </c>
      <c r="H62" s="6">
        <f>IF(G62="","",IF(LEN(G62)&lt;&gt;14,"ERRO: "&amp;LEN(G62)&amp;" dígitos",IF(NOT(ISNUMBER(VALUE(G62))),"ERRO: não numérico",IF(AND(VALUE(MID(G62,13,1))=IF(MOD(SUMPRODUCT(--MID(G62,{1,2,3,4,5,6,7,8,9,10,11,12},1),{5,4,3,2,9,8,7,6,5,4,3,2}),11)&lt;2,0,11-MOD(SUMPRODUCT(--MID(G62,{1,2,3,4,5,6,7,8,9,10,11,12},1),{5,4,3,2,9,8,7,6,5,4,3,2}),11)),VALUE(MID(G62,14,1))=IF(MOD(SUMPRODUCT(--MID(G62,{1,2,3,4,5,6,7,8,9,10,11,12,13},1),{6,5,4,3,2,9,8,7,6,5,4,3,2}),11)&lt;2,0,11-MOD(SUMPRODUCT(--MID(G62,{1,2,3,4,5,6,7,8,9,10,11,12,13},1),{6,5,4,3,2,9,8,7,6,5,4,3,2}),11))),"OK","AVISO: dígito verificador (conferir na org)"))))</f>
      </c>
      <c r="I62" s="6">
        <f>IF(G62="","",IF(COUNTIF($G$2:$G$2001,G62)&gt;1,"DUPLICADO","OK"))</f>
      </c>
      <c r="J62" s="6">
        <f>IF(COUNTA(A62:F62)=0,"",IF(AND(A62&lt;&gt;"",E62&lt;&gt;""),"OK","ERRO: faltam "&amp;IF(A62="","CNPJ; ","")&amp;IF(E62="","Novo gerente; ","")))</f>
      </c>
      <c r="K62" s="6">
        <f>IF(COUNTA(A62:F62)=0,"",IF(AND(LEFT(H62,4)&lt;&gt;"ERRO",I62="OK",J62="OK"),"OK","REVISAR"))</f>
      </c>
    </row>
    <row r="63">
      <c r="A63" s="5"/>
      <c r="B63" s="4"/>
      <c r="C63" s="4"/>
      <c r="D63" s="4"/>
      <c r="E63" s="5"/>
      <c r="F63" s="4"/>
      <c r="G63" s="6">
        <f>IF(A63="","",SUBSTITUTE(SUBSTITUTE(SUBSTITUTE(SUBSTITUTE(SUBSTITUTE(SUBSTITUTE(SUBSTITUTE(TRIM(A63),".",""),"/",""),"-","")," ",""),"(",""),")",""),"+",""))</f>
      </c>
      <c r="H63" s="6">
        <f>IF(G63="","",IF(LEN(G63)&lt;&gt;14,"ERRO: "&amp;LEN(G63)&amp;" dígitos",IF(NOT(ISNUMBER(VALUE(G63))),"ERRO: não numérico",IF(AND(VALUE(MID(G63,13,1))=IF(MOD(SUMPRODUCT(--MID(G63,{1,2,3,4,5,6,7,8,9,10,11,12},1),{5,4,3,2,9,8,7,6,5,4,3,2}),11)&lt;2,0,11-MOD(SUMPRODUCT(--MID(G63,{1,2,3,4,5,6,7,8,9,10,11,12},1),{5,4,3,2,9,8,7,6,5,4,3,2}),11)),VALUE(MID(G63,14,1))=IF(MOD(SUMPRODUCT(--MID(G63,{1,2,3,4,5,6,7,8,9,10,11,12,13},1),{6,5,4,3,2,9,8,7,6,5,4,3,2}),11)&lt;2,0,11-MOD(SUMPRODUCT(--MID(G63,{1,2,3,4,5,6,7,8,9,10,11,12,13},1),{6,5,4,3,2,9,8,7,6,5,4,3,2}),11))),"OK","AVISO: dígito verificador (conferir na org)"))))</f>
      </c>
      <c r="I63" s="6">
        <f>IF(G63="","",IF(COUNTIF($G$2:$G$2001,G63)&gt;1,"DUPLICADO","OK"))</f>
      </c>
      <c r="J63" s="6">
        <f>IF(COUNTA(A63:F63)=0,"",IF(AND(A63&lt;&gt;"",E63&lt;&gt;""),"OK","ERRO: faltam "&amp;IF(A63="","CNPJ; ","")&amp;IF(E63="","Novo gerente; ","")))</f>
      </c>
      <c r="K63" s="6">
        <f>IF(COUNTA(A63:F63)=0,"",IF(AND(LEFT(H63,4)&lt;&gt;"ERRO",I63="OK",J63="OK"),"OK","REVISAR"))</f>
      </c>
    </row>
    <row r="64">
      <c r="A64" s="5"/>
      <c r="B64" s="4"/>
      <c r="C64" s="4"/>
      <c r="D64" s="4"/>
      <c r="E64" s="5"/>
      <c r="F64" s="4"/>
      <c r="G64" s="6">
        <f>IF(A64="","",SUBSTITUTE(SUBSTITUTE(SUBSTITUTE(SUBSTITUTE(SUBSTITUTE(SUBSTITUTE(SUBSTITUTE(TRIM(A64),".",""),"/",""),"-","")," ",""),"(",""),")",""),"+",""))</f>
      </c>
      <c r="H64" s="6">
        <f>IF(G64="","",IF(LEN(G64)&lt;&gt;14,"ERRO: "&amp;LEN(G64)&amp;" dígitos",IF(NOT(ISNUMBER(VALUE(G64))),"ERRO: não numérico",IF(AND(VALUE(MID(G64,13,1))=IF(MOD(SUMPRODUCT(--MID(G64,{1,2,3,4,5,6,7,8,9,10,11,12},1),{5,4,3,2,9,8,7,6,5,4,3,2}),11)&lt;2,0,11-MOD(SUMPRODUCT(--MID(G64,{1,2,3,4,5,6,7,8,9,10,11,12},1),{5,4,3,2,9,8,7,6,5,4,3,2}),11)),VALUE(MID(G64,14,1))=IF(MOD(SUMPRODUCT(--MID(G64,{1,2,3,4,5,6,7,8,9,10,11,12,13},1),{6,5,4,3,2,9,8,7,6,5,4,3,2}),11)&lt;2,0,11-MOD(SUMPRODUCT(--MID(G64,{1,2,3,4,5,6,7,8,9,10,11,12,13},1),{6,5,4,3,2,9,8,7,6,5,4,3,2}),11))),"OK","AVISO: dígito verificador (conferir na org)"))))</f>
      </c>
      <c r="I64" s="6">
        <f>IF(G64="","",IF(COUNTIF($G$2:$G$2001,G64)&gt;1,"DUPLICADO","OK"))</f>
      </c>
      <c r="J64" s="6">
        <f>IF(COUNTA(A64:F64)=0,"",IF(AND(A64&lt;&gt;"",E64&lt;&gt;""),"OK","ERRO: faltam "&amp;IF(A64="","CNPJ; ","")&amp;IF(E64="","Novo gerente; ","")))</f>
      </c>
      <c r="K64" s="6">
        <f>IF(COUNTA(A64:F64)=0,"",IF(AND(LEFT(H64,4)&lt;&gt;"ERRO",I64="OK",J64="OK"),"OK","REVISAR"))</f>
      </c>
    </row>
    <row r="65">
      <c r="A65" s="5"/>
      <c r="B65" s="4"/>
      <c r="C65" s="4"/>
      <c r="D65" s="4"/>
      <c r="E65" s="5"/>
      <c r="F65" s="4"/>
      <c r="G65" s="6">
        <f>IF(A65="","",SUBSTITUTE(SUBSTITUTE(SUBSTITUTE(SUBSTITUTE(SUBSTITUTE(SUBSTITUTE(SUBSTITUTE(TRIM(A65),".",""),"/",""),"-","")," ",""),"(",""),")",""),"+",""))</f>
      </c>
      <c r="H65" s="6">
        <f>IF(G65="","",IF(LEN(G65)&lt;&gt;14,"ERRO: "&amp;LEN(G65)&amp;" dígitos",IF(NOT(ISNUMBER(VALUE(G65))),"ERRO: não numérico",IF(AND(VALUE(MID(G65,13,1))=IF(MOD(SUMPRODUCT(--MID(G65,{1,2,3,4,5,6,7,8,9,10,11,12},1),{5,4,3,2,9,8,7,6,5,4,3,2}),11)&lt;2,0,11-MOD(SUMPRODUCT(--MID(G65,{1,2,3,4,5,6,7,8,9,10,11,12},1),{5,4,3,2,9,8,7,6,5,4,3,2}),11)),VALUE(MID(G65,14,1))=IF(MOD(SUMPRODUCT(--MID(G65,{1,2,3,4,5,6,7,8,9,10,11,12,13},1),{6,5,4,3,2,9,8,7,6,5,4,3,2}),11)&lt;2,0,11-MOD(SUMPRODUCT(--MID(G65,{1,2,3,4,5,6,7,8,9,10,11,12,13},1),{6,5,4,3,2,9,8,7,6,5,4,3,2}),11))),"OK","AVISO: dígito verificador (conferir na org)"))))</f>
      </c>
      <c r="I65" s="6">
        <f>IF(G65="","",IF(COUNTIF($G$2:$G$2001,G65)&gt;1,"DUPLICADO","OK"))</f>
      </c>
      <c r="J65" s="6">
        <f>IF(COUNTA(A65:F65)=0,"",IF(AND(A65&lt;&gt;"",E65&lt;&gt;""),"OK","ERRO: faltam "&amp;IF(A65="","CNPJ; ","")&amp;IF(E65="","Novo gerente; ","")))</f>
      </c>
      <c r="K65" s="6">
        <f>IF(COUNTA(A65:F65)=0,"",IF(AND(LEFT(H65,4)&lt;&gt;"ERRO",I65="OK",J65="OK"),"OK","REVISAR"))</f>
      </c>
    </row>
    <row r="66">
      <c r="A66" s="5"/>
      <c r="B66" s="4"/>
      <c r="C66" s="4"/>
      <c r="D66" s="4"/>
      <c r="E66" s="5"/>
      <c r="F66" s="4"/>
      <c r="G66" s="6">
        <f>IF(A66="","",SUBSTITUTE(SUBSTITUTE(SUBSTITUTE(SUBSTITUTE(SUBSTITUTE(SUBSTITUTE(SUBSTITUTE(TRIM(A66),".",""),"/",""),"-","")," ",""),"(",""),")",""),"+",""))</f>
      </c>
      <c r="H66" s="6">
        <f>IF(G66="","",IF(LEN(G66)&lt;&gt;14,"ERRO: "&amp;LEN(G66)&amp;" dígitos",IF(NOT(ISNUMBER(VALUE(G66))),"ERRO: não numérico",IF(AND(VALUE(MID(G66,13,1))=IF(MOD(SUMPRODUCT(--MID(G66,{1,2,3,4,5,6,7,8,9,10,11,12},1),{5,4,3,2,9,8,7,6,5,4,3,2}),11)&lt;2,0,11-MOD(SUMPRODUCT(--MID(G66,{1,2,3,4,5,6,7,8,9,10,11,12},1),{5,4,3,2,9,8,7,6,5,4,3,2}),11)),VALUE(MID(G66,14,1))=IF(MOD(SUMPRODUCT(--MID(G66,{1,2,3,4,5,6,7,8,9,10,11,12,13},1),{6,5,4,3,2,9,8,7,6,5,4,3,2}),11)&lt;2,0,11-MOD(SUMPRODUCT(--MID(G66,{1,2,3,4,5,6,7,8,9,10,11,12,13},1),{6,5,4,3,2,9,8,7,6,5,4,3,2}),11))),"OK","AVISO: dígito verificador (conferir na org)"))))</f>
      </c>
      <c r="I66" s="6">
        <f>IF(G66="","",IF(COUNTIF($G$2:$G$2001,G66)&gt;1,"DUPLICADO","OK"))</f>
      </c>
      <c r="J66" s="6">
        <f>IF(COUNTA(A66:F66)=0,"",IF(AND(A66&lt;&gt;"",E66&lt;&gt;""),"OK","ERRO: faltam "&amp;IF(A66="","CNPJ; ","")&amp;IF(E66="","Novo gerente; ","")))</f>
      </c>
      <c r="K66" s="6">
        <f>IF(COUNTA(A66:F66)=0,"",IF(AND(LEFT(H66,4)&lt;&gt;"ERRO",I66="OK",J66="OK"),"OK","REVISAR"))</f>
      </c>
    </row>
    <row r="67">
      <c r="A67" s="5"/>
      <c r="B67" s="4"/>
      <c r="C67" s="4"/>
      <c r="D67" s="4"/>
      <c r="E67" s="5"/>
      <c r="F67" s="4"/>
      <c r="G67" s="6">
        <f>IF(A67="","",SUBSTITUTE(SUBSTITUTE(SUBSTITUTE(SUBSTITUTE(SUBSTITUTE(SUBSTITUTE(SUBSTITUTE(TRIM(A67),".",""),"/",""),"-","")," ",""),"(",""),")",""),"+",""))</f>
      </c>
      <c r="H67" s="6">
        <f>IF(G67="","",IF(LEN(G67)&lt;&gt;14,"ERRO: "&amp;LEN(G67)&amp;" dígitos",IF(NOT(ISNUMBER(VALUE(G67))),"ERRO: não numérico",IF(AND(VALUE(MID(G67,13,1))=IF(MOD(SUMPRODUCT(--MID(G67,{1,2,3,4,5,6,7,8,9,10,11,12},1),{5,4,3,2,9,8,7,6,5,4,3,2}),11)&lt;2,0,11-MOD(SUMPRODUCT(--MID(G67,{1,2,3,4,5,6,7,8,9,10,11,12},1),{5,4,3,2,9,8,7,6,5,4,3,2}),11)),VALUE(MID(G67,14,1))=IF(MOD(SUMPRODUCT(--MID(G67,{1,2,3,4,5,6,7,8,9,10,11,12,13},1),{6,5,4,3,2,9,8,7,6,5,4,3,2}),11)&lt;2,0,11-MOD(SUMPRODUCT(--MID(G67,{1,2,3,4,5,6,7,8,9,10,11,12,13},1),{6,5,4,3,2,9,8,7,6,5,4,3,2}),11))),"OK","AVISO: dígito verificador (conferir na org)"))))</f>
      </c>
      <c r="I67" s="6">
        <f>IF(G67="","",IF(COUNTIF($G$2:$G$2001,G67)&gt;1,"DUPLICADO","OK"))</f>
      </c>
      <c r="J67" s="6">
        <f>IF(COUNTA(A67:F67)=0,"",IF(AND(A67&lt;&gt;"",E67&lt;&gt;""),"OK","ERRO: faltam "&amp;IF(A67="","CNPJ; ","")&amp;IF(E67="","Novo gerente; ","")))</f>
      </c>
      <c r="K67" s="6">
        <f>IF(COUNTA(A67:F67)=0,"",IF(AND(LEFT(H67,4)&lt;&gt;"ERRO",I67="OK",J67="OK"),"OK","REVISAR"))</f>
      </c>
    </row>
    <row r="68">
      <c r="A68" s="5"/>
      <c r="B68" s="4"/>
      <c r="C68" s="4"/>
      <c r="D68" s="4"/>
      <c r="E68" s="5"/>
      <c r="F68" s="4"/>
      <c r="G68" s="6">
        <f>IF(A68="","",SUBSTITUTE(SUBSTITUTE(SUBSTITUTE(SUBSTITUTE(SUBSTITUTE(SUBSTITUTE(SUBSTITUTE(TRIM(A68),".",""),"/",""),"-","")," ",""),"(",""),")",""),"+",""))</f>
      </c>
      <c r="H68" s="6">
        <f>IF(G68="","",IF(LEN(G68)&lt;&gt;14,"ERRO: "&amp;LEN(G68)&amp;" dígitos",IF(NOT(ISNUMBER(VALUE(G68))),"ERRO: não numérico",IF(AND(VALUE(MID(G68,13,1))=IF(MOD(SUMPRODUCT(--MID(G68,{1,2,3,4,5,6,7,8,9,10,11,12},1),{5,4,3,2,9,8,7,6,5,4,3,2}),11)&lt;2,0,11-MOD(SUMPRODUCT(--MID(G68,{1,2,3,4,5,6,7,8,9,10,11,12},1),{5,4,3,2,9,8,7,6,5,4,3,2}),11)),VALUE(MID(G68,14,1))=IF(MOD(SUMPRODUCT(--MID(G68,{1,2,3,4,5,6,7,8,9,10,11,12,13},1),{6,5,4,3,2,9,8,7,6,5,4,3,2}),11)&lt;2,0,11-MOD(SUMPRODUCT(--MID(G68,{1,2,3,4,5,6,7,8,9,10,11,12,13},1),{6,5,4,3,2,9,8,7,6,5,4,3,2}),11))),"OK","AVISO: dígito verificador (conferir na org)"))))</f>
      </c>
      <c r="I68" s="6">
        <f>IF(G68="","",IF(COUNTIF($G$2:$G$2001,G68)&gt;1,"DUPLICADO","OK"))</f>
      </c>
      <c r="J68" s="6">
        <f>IF(COUNTA(A68:F68)=0,"",IF(AND(A68&lt;&gt;"",E68&lt;&gt;""),"OK","ERRO: faltam "&amp;IF(A68="","CNPJ; ","")&amp;IF(E68="","Novo gerente; ","")))</f>
      </c>
      <c r="K68" s="6">
        <f>IF(COUNTA(A68:F68)=0,"",IF(AND(LEFT(H68,4)&lt;&gt;"ERRO",I68="OK",J68="OK"),"OK","REVISAR"))</f>
      </c>
    </row>
    <row r="69">
      <c r="A69" s="5"/>
      <c r="B69" s="4"/>
      <c r="C69" s="4"/>
      <c r="D69" s="4"/>
      <c r="E69" s="5"/>
      <c r="F69" s="4"/>
      <c r="G69" s="6">
        <f>IF(A69="","",SUBSTITUTE(SUBSTITUTE(SUBSTITUTE(SUBSTITUTE(SUBSTITUTE(SUBSTITUTE(SUBSTITUTE(TRIM(A69),".",""),"/",""),"-","")," ",""),"(",""),")",""),"+",""))</f>
      </c>
      <c r="H69" s="6">
        <f>IF(G69="","",IF(LEN(G69)&lt;&gt;14,"ERRO: "&amp;LEN(G69)&amp;" dígitos",IF(NOT(ISNUMBER(VALUE(G69))),"ERRO: não numérico",IF(AND(VALUE(MID(G69,13,1))=IF(MOD(SUMPRODUCT(--MID(G69,{1,2,3,4,5,6,7,8,9,10,11,12},1),{5,4,3,2,9,8,7,6,5,4,3,2}),11)&lt;2,0,11-MOD(SUMPRODUCT(--MID(G69,{1,2,3,4,5,6,7,8,9,10,11,12},1),{5,4,3,2,9,8,7,6,5,4,3,2}),11)),VALUE(MID(G69,14,1))=IF(MOD(SUMPRODUCT(--MID(G69,{1,2,3,4,5,6,7,8,9,10,11,12,13},1),{6,5,4,3,2,9,8,7,6,5,4,3,2}),11)&lt;2,0,11-MOD(SUMPRODUCT(--MID(G69,{1,2,3,4,5,6,7,8,9,10,11,12,13},1),{6,5,4,3,2,9,8,7,6,5,4,3,2}),11))),"OK","AVISO: dígito verificador (conferir na org)"))))</f>
      </c>
      <c r="I69" s="6">
        <f>IF(G69="","",IF(COUNTIF($G$2:$G$2001,G69)&gt;1,"DUPLICADO","OK"))</f>
      </c>
      <c r="J69" s="6">
        <f>IF(COUNTA(A69:F69)=0,"",IF(AND(A69&lt;&gt;"",E69&lt;&gt;""),"OK","ERRO: faltam "&amp;IF(A69="","CNPJ; ","")&amp;IF(E69="","Novo gerente; ","")))</f>
      </c>
      <c r="K69" s="6">
        <f>IF(COUNTA(A69:F69)=0,"",IF(AND(LEFT(H69,4)&lt;&gt;"ERRO",I69="OK",J69="OK"),"OK","REVISAR"))</f>
      </c>
    </row>
    <row r="70">
      <c r="A70" s="5"/>
      <c r="B70" s="4"/>
      <c r="C70" s="4"/>
      <c r="D70" s="4"/>
      <c r="E70" s="5"/>
      <c r="F70" s="4"/>
      <c r="G70" s="6">
        <f>IF(A70="","",SUBSTITUTE(SUBSTITUTE(SUBSTITUTE(SUBSTITUTE(SUBSTITUTE(SUBSTITUTE(SUBSTITUTE(TRIM(A70),".",""),"/",""),"-","")," ",""),"(",""),")",""),"+",""))</f>
      </c>
      <c r="H70" s="6">
        <f>IF(G70="","",IF(LEN(G70)&lt;&gt;14,"ERRO: "&amp;LEN(G70)&amp;" dígitos",IF(NOT(ISNUMBER(VALUE(G70))),"ERRO: não numérico",IF(AND(VALUE(MID(G70,13,1))=IF(MOD(SUMPRODUCT(--MID(G70,{1,2,3,4,5,6,7,8,9,10,11,12},1),{5,4,3,2,9,8,7,6,5,4,3,2}),11)&lt;2,0,11-MOD(SUMPRODUCT(--MID(G70,{1,2,3,4,5,6,7,8,9,10,11,12},1),{5,4,3,2,9,8,7,6,5,4,3,2}),11)),VALUE(MID(G70,14,1))=IF(MOD(SUMPRODUCT(--MID(G70,{1,2,3,4,5,6,7,8,9,10,11,12,13},1),{6,5,4,3,2,9,8,7,6,5,4,3,2}),11)&lt;2,0,11-MOD(SUMPRODUCT(--MID(G70,{1,2,3,4,5,6,7,8,9,10,11,12,13},1),{6,5,4,3,2,9,8,7,6,5,4,3,2}),11))),"OK","AVISO: dígito verificador (conferir na org)"))))</f>
      </c>
      <c r="I70" s="6">
        <f>IF(G70="","",IF(COUNTIF($G$2:$G$2001,G70)&gt;1,"DUPLICADO","OK"))</f>
      </c>
      <c r="J70" s="6">
        <f>IF(COUNTA(A70:F70)=0,"",IF(AND(A70&lt;&gt;"",E70&lt;&gt;""),"OK","ERRO: faltam "&amp;IF(A70="","CNPJ; ","")&amp;IF(E70="","Novo gerente; ","")))</f>
      </c>
      <c r="K70" s="6">
        <f>IF(COUNTA(A70:F70)=0,"",IF(AND(LEFT(H70,4)&lt;&gt;"ERRO",I70="OK",J70="OK"),"OK","REVISAR"))</f>
      </c>
    </row>
    <row r="71">
      <c r="A71" s="5"/>
      <c r="B71" s="4"/>
      <c r="C71" s="4"/>
      <c r="D71" s="4"/>
      <c r="E71" s="5"/>
      <c r="F71" s="4"/>
      <c r="G71" s="6">
        <f>IF(A71="","",SUBSTITUTE(SUBSTITUTE(SUBSTITUTE(SUBSTITUTE(SUBSTITUTE(SUBSTITUTE(SUBSTITUTE(TRIM(A71),".",""),"/",""),"-","")," ",""),"(",""),")",""),"+",""))</f>
      </c>
      <c r="H71" s="6">
        <f>IF(G71="","",IF(LEN(G71)&lt;&gt;14,"ERRO: "&amp;LEN(G71)&amp;" dígitos",IF(NOT(ISNUMBER(VALUE(G71))),"ERRO: não numérico",IF(AND(VALUE(MID(G71,13,1))=IF(MOD(SUMPRODUCT(--MID(G71,{1,2,3,4,5,6,7,8,9,10,11,12},1),{5,4,3,2,9,8,7,6,5,4,3,2}),11)&lt;2,0,11-MOD(SUMPRODUCT(--MID(G71,{1,2,3,4,5,6,7,8,9,10,11,12},1),{5,4,3,2,9,8,7,6,5,4,3,2}),11)),VALUE(MID(G71,14,1))=IF(MOD(SUMPRODUCT(--MID(G71,{1,2,3,4,5,6,7,8,9,10,11,12,13},1),{6,5,4,3,2,9,8,7,6,5,4,3,2}),11)&lt;2,0,11-MOD(SUMPRODUCT(--MID(G71,{1,2,3,4,5,6,7,8,9,10,11,12,13},1),{6,5,4,3,2,9,8,7,6,5,4,3,2}),11))),"OK","AVISO: dígito verificador (conferir na org)"))))</f>
      </c>
      <c r="I71" s="6">
        <f>IF(G71="","",IF(COUNTIF($G$2:$G$2001,G71)&gt;1,"DUPLICADO","OK"))</f>
      </c>
      <c r="J71" s="6">
        <f>IF(COUNTA(A71:F71)=0,"",IF(AND(A71&lt;&gt;"",E71&lt;&gt;""),"OK","ERRO: faltam "&amp;IF(A71="","CNPJ; ","")&amp;IF(E71="","Novo gerente; ","")))</f>
      </c>
      <c r="K71" s="6">
        <f>IF(COUNTA(A71:F71)=0,"",IF(AND(LEFT(H71,4)&lt;&gt;"ERRO",I71="OK",J71="OK"),"OK","REVISAR"))</f>
      </c>
    </row>
    <row r="72">
      <c r="A72" s="5"/>
      <c r="B72" s="4"/>
      <c r="C72" s="4"/>
      <c r="D72" s="4"/>
      <c r="E72" s="5"/>
      <c r="F72" s="4"/>
      <c r="G72" s="6">
        <f>IF(A72="","",SUBSTITUTE(SUBSTITUTE(SUBSTITUTE(SUBSTITUTE(SUBSTITUTE(SUBSTITUTE(SUBSTITUTE(TRIM(A72),".",""),"/",""),"-","")," ",""),"(",""),")",""),"+",""))</f>
      </c>
      <c r="H72" s="6">
        <f>IF(G72="","",IF(LEN(G72)&lt;&gt;14,"ERRO: "&amp;LEN(G72)&amp;" dígitos",IF(NOT(ISNUMBER(VALUE(G72))),"ERRO: não numérico",IF(AND(VALUE(MID(G72,13,1))=IF(MOD(SUMPRODUCT(--MID(G72,{1,2,3,4,5,6,7,8,9,10,11,12},1),{5,4,3,2,9,8,7,6,5,4,3,2}),11)&lt;2,0,11-MOD(SUMPRODUCT(--MID(G72,{1,2,3,4,5,6,7,8,9,10,11,12},1),{5,4,3,2,9,8,7,6,5,4,3,2}),11)),VALUE(MID(G72,14,1))=IF(MOD(SUMPRODUCT(--MID(G72,{1,2,3,4,5,6,7,8,9,10,11,12,13},1),{6,5,4,3,2,9,8,7,6,5,4,3,2}),11)&lt;2,0,11-MOD(SUMPRODUCT(--MID(G72,{1,2,3,4,5,6,7,8,9,10,11,12,13},1),{6,5,4,3,2,9,8,7,6,5,4,3,2}),11))),"OK","AVISO: dígito verificador (conferir na org)"))))</f>
      </c>
      <c r="I72" s="6">
        <f>IF(G72="","",IF(COUNTIF($G$2:$G$2001,G72)&gt;1,"DUPLICADO","OK"))</f>
      </c>
      <c r="J72" s="6">
        <f>IF(COUNTA(A72:F72)=0,"",IF(AND(A72&lt;&gt;"",E72&lt;&gt;""),"OK","ERRO: faltam "&amp;IF(A72="","CNPJ; ","")&amp;IF(E72="","Novo gerente; ","")))</f>
      </c>
      <c r="K72" s="6">
        <f>IF(COUNTA(A72:F72)=0,"",IF(AND(LEFT(H72,4)&lt;&gt;"ERRO",I72="OK",J72="OK"),"OK","REVISAR"))</f>
      </c>
    </row>
    <row r="73">
      <c r="A73" s="5"/>
      <c r="B73" s="4"/>
      <c r="C73" s="4"/>
      <c r="D73" s="4"/>
      <c r="E73" s="5"/>
      <c r="F73" s="4"/>
      <c r="G73" s="6">
        <f>IF(A73="","",SUBSTITUTE(SUBSTITUTE(SUBSTITUTE(SUBSTITUTE(SUBSTITUTE(SUBSTITUTE(SUBSTITUTE(TRIM(A73),".",""),"/",""),"-","")," ",""),"(",""),")",""),"+",""))</f>
      </c>
      <c r="H73" s="6">
        <f>IF(G73="","",IF(LEN(G73)&lt;&gt;14,"ERRO: "&amp;LEN(G73)&amp;" dígitos",IF(NOT(ISNUMBER(VALUE(G73))),"ERRO: não numérico",IF(AND(VALUE(MID(G73,13,1))=IF(MOD(SUMPRODUCT(--MID(G73,{1,2,3,4,5,6,7,8,9,10,11,12},1),{5,4,3,2,9,8,7,6,5,4,3,2}),11)&lt;2,0,11-MOD(SUMPRODUCT(--MID(G73,{1,2,3,4,5,6,7,8,9,10,11,12},1),{5,4,3,2,9,8,7,6,5,4,3,2}),11)),VALUE(MID(G73,14,1))=IF(MOD(SUMPRODUCT(--MID(G73,{1,2,3,4,5,6,7,8,9,10,11,12,13},1),{6,5,4,3,2,9,8,7,6,5,4,3,2}),11)&lt;2,0,11-MOD(SUMPRODUCT(--MID(G73,{1,2,3,4,5,6,7,8,9,10,11,12,13},1),{6,5,4,3,2,9,8,7,6,5,4,3,2}),11))),"OK","AVISO: dígito verificador (conferir na org)"))))</f>
      </c>
      <c r="I73" s="6">
        <f>IF(G73="","",IF(COUNTIF($G$2:$G$2001,G73)&gt;1,"DUPLICADO","OK"))</f>
      </c>
      <c r="J73" s="6">
        <f>IF(COUNTA(A73:F73)=0,"",IF(AND(A73&lt;&gt;"",E73&lt;&gt;""),"OK","ERRO: faltam "&amp;IF(A73="","CNPJ; ","")&amp;IF(E73="","Novo gerente; ","")))</f>
      </c>
      <c r="K73" s="6">
        <f>IF(COUNTA(A73:F73)=0,"",IF(AND(LEFT(H73,4)&lt;&gt;"ERRO",I73="OK",J73="OK"),"OK","REVISAR"))</f>
      </c>
    </row>
    <row r="74">
      <c r="A74" s="5"/>
      <c r="B74" s="4"/>
      <c r="C74" s="4"/>
      <c r="D74" s="4"/>
      <c r="E74" s="5"/>
      <c r="F74" s="4"/>
      <c r="G74" s="6">
        <f>IF(A74="","",SUBSTITUTE(SUBSTITUTE(SUBSTITUTE(SUBSTITUTE(SUBSTITUTE(SUBSTITUTE(SUBSTITUTE(TRIM(A74),".",""),"/",""),"-","")," ",""),"(",""),")",""),"+",""))</f>
      </c>
      <c r="H74" s="6">
        <f>IF(G74="","",IF(LEN(G74)&lt;&gt;14,"ERRO: "&amp;LEN(G74)&amp;" dígitos",IF(NOT(ISNUMBER(VALUE(G74))),"ERRO: não numérico",IF(AND(VALUE(MID(G74,13,1))=IF(MOD(SUMPRODUCT(--MID(G74,{1,2,3,4,5,6,7,8,9,10,11,12},1),{5,4,3,2,9,8,7,6,5,4,3,2}),11)&lt;2,0,11-MOD(SUMPRODUCT(--MID(G74,{1,2,3,4,5,6,7,8,9,10,11,12},1),{5,4,3,2,9,8,7,6,5,4,3,2}),11)),VALUE(MID(G74,14,1))=IF(MOD(SUMPRODUCT(--MID(G74,{1,2,3,4,5,6,7,8,9,10,11,12,13},1),{6,5,4,3,2,9,8,7,6,5,4,3,2}),11)&lt;2,0,11-MOD(SUMPRODUCT(--MID(G74,{1,2,3,4,5,6,7,8,9,10,11,12,13},1),{6,5,4,3,2,9,8,7,6,5,4,3,2}),11))),"OK","AVISO: dígito verificador (conferir na org)"))))</f>
      </c>
      <c r="I74" s="6">
        <f>IF(G74="","",IF(COUNTIF($G$2:$G$2001,G74)&gt;1,"DUPLICADO","OK"))</f>
      </c>
      <c r="J74" s="6">
        <f>IF(COUNTA(A74:F74)=0,"",IF(AND(A74&lt;&gt;"",E74&lt;&gt;""),"OK","ERRO: faltam "&amp;IF(A74="","CNPJ; ","")&amp;IF(E74="","Novo gerente; ","")))</f>
      </c>
      <c r="K74" s="6">
        <f>IF(COUNTA(A74:F74)=0,"",IF(AND(LEFT(H74,4)&lt;&gt;"ERRO",I74="OK",J74="OK"),"OK","REVISAR"))</f>
      </c>
    </row>
    <row r="75">
      <c r="A75" s="5"/>
      <c r="B75" s="4"/>
      <c r="C75" s="4"/>
      <c r="D75" s="4"/>
      <c r="E75" s="5"/>
      <c r="F75" s="4"/>
      <c r="G75" s="6">
        <f>IF(A75="","",SUBSTITUTE(SUBSTITUTE(SUBSTITUTE(SUBSTITUTE(SUBSTITUTE(SUBSTITUTE(SUBSTITUTE(TRIM(A75),".",""),"/",""),"-","")," ",""),"(",""),")",""),"+",""))</f>
      </c>
      <c r="H75" s="6">
        <f>IF(G75="","",IF(LEN(G75)&lt;&gt;14,"ERRO: "&amp;LEN(G75)&amp;" dígitos",IF(NOT(ISNUMBER(VALUE(G75))),"ERRO: não numérico",IF(AND(VALUE(MID(G75,13,1))=IF(MOD(SUMPRODUCT(--MID(G75,{1,2,3,4,5,6,7,8,9,10,11,12},1),{5,4,3,2,9,8,7,6,5,4,3,2}),11)&lt;2,0,11-MOD(SUMPRODUCT(--MID(G75,{1,2,3,4,5,6,7,8,9,10,11,12},1),{5,4,3,2,9,8,7,6,5,4,3,2}),11)),VALUE(MID(G75,14,1))=IF(MOD(SUMPRODUCT(--MID(G75,{1,2,3,4,5,6,7,8,9,10,11,12,13},1),{6,5,4,3,2,9,8,7,6,5,4,3,2}),11)&lt;2,0,11-MOD(SUMPRODUCT(--MID(G75,{1,2,3,4,5,6,7,8,9,10,11,12,13},1),{6,5,4,3,2,9,8,7,6,5,4,3,2}),11))),"OK","AVISO: dígito verificador (conferir na org)"))))</f>
      </c>
      <c r="I75" s="6">
        <f>IF(G75="","",IF(COUNTIF($G$2:$G$2001,G75)&gt;1,"DUPLICADO","OK"))</f>
      </c>
      <c r="J75" s="6">
        <f>IF(COUNTA(A75:F75)=0,"",IF(AND(A75&lt;&gt;"",E75&lt;&gt;""),"OK","ERRO: faltam "&amp;IF(A75="","CNPJ; ","")&amp;IF(E75="","Novo gerente; ","")))</f>
      </c>
      <c r="K75" s="6">
        <f>IF(COUNTA(A75:F75)=0,"",IF(AND(LEFT(H75,4)&lt;&gt;"ERRO",I75="OK",J75="OK"),"OK","REVISAR"))</f>
      </c>
    </row>
    <row r="76">
      <c r="A76" s="5"/>
      <c r="B76" s="4"/>
      <c r="C76" s="4"/>
      <c r="D76" s="4"/>
      <c r="E76" s="5"/>
      <c r="F76" s="4"/>
      <c r="G76" s="6">
        <f>IF(A76="","",SUBSTITUTE(SUBSTITUTE(SUBSTITUTE(SUBSTITUTE(SUBSTITUTE(SUBSTITUTE(SUBSTITUTE(TRIM(A76),".",""),"/",""),"-","")," ",""),"(",""),")",""),"+",""))</f>
      </c>
      <c r="H76" s="6">
        <f>IF(G76="","",IF(LEN(G76)&lt;&gt;14,"ERRO: "&amp;LEN(G76)&amp;" dígitos",IF(NOT(ISNUMBER(VALUE(G76))),"ERRO: não numérico",IF(AND(VALUE(MID(G76,13,1))=IF(MOD(SUMPRODUCT(--MID(G76,{1,2,3,4,5,6,7,8,9,10,11,12},1),{5,4,3,2,9,8,7,6,5,4,3,2}),11)&lt;2,0,11-MOD(SUMPRODUCT(--MID(G76,{1,2,3,4,5,6,7,8,9,10,11,12},1),{5,4,3,2,9,8,7,6,5,4,3,2}),11)),VALUE(MID(G76,14,1))=IF(MOD(SUMPRODUCT(--MID(G76,{1,2,3,4,5,6,7,8,9,10,11,12,13},1),{6,5,4,3,2,9,8,7,6,5,4,3,2}),11)&lt;2,0,11-MOD(SUMPRODUCT(--MID(G76,{1,2,3,4,5,6,7,8,9,10,11,12,13},1),{6,5,4,3,2,9,8,7,6,5,4,3,2}),11))),"OK","AVISO: dígito verificador (conferir na org)"))))</f>
      </c>
      <c r="I76" s="6">
        <f>IF(G76="","",IF(COUNTIF($G$2:$G$2001,G76)&gt;1,"DUPLICADO","OK"))</f>
      </c>
      <c r="J76" s="6">
        <f>IF(COUNTA(A76:F76)=0,"",IF(AND(A76&lt;&gt;"",E76&lt;&gt;""),"OK","ERRO: faltam "&amp;IF(A76="","CNPJ; ","")&amp;IF(E76="","Novo gerente; ","")))</f>
      </c>
      <c r="K76" s="6">
        <f>IF(COUNTA(A76:F76)=0,"",IF(AND(LEFT(H76,4)&lt;&gt;"ERRO",I76="OK",J76="OK"),"OK","REVISAR"))</f>
      </c>
    </row>
    <row r="77">
      <c r="A77" s="5"/>
      <c r="B77" s="4"/>
      <c r="C77" s="4"/>
      <c r="D77" s="4"/>
      <c r="E77" s="5"/>
      <c r="F77" s="4"/>
      <c r="G77" s="6">
        <f>IF(A77="","",SUBSTITUTE(SUBSTITUTE(SUBSTITUTE(SUBSTITUTE(SUBSTITUTE(SUBSTITUTE(SUBSTITUTE(TRIM(A77),".",""),"/",""),"-","")," ",""),"(",""),")",""),"+",""))</f>
      </c>
      <c r="H77" s="6">
        <f>IF(G77="","",IF(LEN(G77)&lt;&gt;14,"ERRO: "&amp;LEN(G77)&amp;" dígitos",IF(NOT(ISNUMBER(VALUE(G77))),"ERRO: não numérico",IF(AND(VALUE(MID(G77,13,1))=IF(MOD(SUMPRODUCT(--MID(G77,{1,2,3,4,5,6,7,8,9,10,11,12},1),{5,4,3,2,9,8,7,6,5,4,3,2}),11)&lt;2,0,11-MOD(SUMPRODUCT(--MID(G77,{1,2,3,4,5,6,7,8,9,10,11,12},1),{5,4,3,2,9,8,7,6,5,4,3,2}),11)),VALUE(MID(G77,14,1))=IF(MOD(SUMPRODUCT(--MID(G77,{1,2,3,4,5,6,7,8,9,10,11,12,13},1),{6,5,4,3,2,9,8,7,6,5,4,3,2}),11)&lt;2,0,11-MOD(SUMPRODUCT(--MID(G77,{1,2,3,4,5,6,7,8,9,10,11,12,13},1),{6,5,4,3,2,9,8,7,6,5,4,3,2}),11))),"OK","AVISO: dígito verificador (conferir na org)"))))</f>
      </c>
      <c r="I77" s="6">
        <f>IF(G77="","",IF(COUNTIF($G$2:$G$2001,G77)&gt;1,"DUPLICADO","OK"))</f>
      </c>
      <c r="J77" s="6">
        <f>IF(COUNTA(A77:F77)=0,"",IF(AND(A77&lt;&gt;"",E77&lt;&gt;""),"OK","ERRO: faltam "&amp;IF(A77="","CNPJ; ","")&amp;IF(E77="","Novo gerente; ","")))</f>
      </c>
      <c r="K77" s="6">
        <f>IF(COUNTA(A77:F77)=0,"",IF(AND(LEFT(H77,4)&lt;&gt;"ERRO",I77="OK",J77="OK"),"OK","REVISAR"))</f>
      </c>
    </row>
    <row r="78">
      <c r="A78" s="5"/>
      <c r="B78" s="4"/>
      <c r="C78" s="4"/>
      <c r="D78" s="4"/>
      <c r="E78" s="5"/>
      <c r="F78" s="4"/>
      <c r="G78" s="6">
        <f>IF(A78="","",SUBSTITUTE(SUBSTITUTE(SUBSTITUTE(SUBSTITUTE(SUBSTITUTE(SUBSTITUTE(SUBSTITUTE(TRIM(A78),".",""),"/",""),"-","")," ",""),"(",""),")",""),"+",""))</f>
      </c>
      <c r="H78" s="6">
        <f>IF(G78="","",IF(LEN(G78)&lt;&gt;14,"ERRO: "&amp;LEN(G78)&amp;" dígitos",IF(NOT(ISNUMBER(VALUE(G78))),"ERRO: não numérico",IF(AND(VALUE(MID(G78,13,1))=IF(MOD(SUMPRODUCT(--MID(G78,{1,2,3,4,5,6,7,8,9,10,11,12},1),{5,4,3,2,9,8,7,6,5,4,3,2}),11)&lt;2,0,11-MOD(SUMPRODUCT(--MID(G78,{1,2,3,4,5,6,7,8,9,10,11,12},1),{5,4,3,2,9,8,7,6,5,4,3,2}),11)),VALUE(MID(G78,14,1))=IF(MOD(SUMPRODUCT(--MID(G78,{1,2,3,4,5,6,7,8,9,10,11,12,13},1),{6,5,4,3,2,9,8,7,6,5,4,3,2}),11)&lt;2,0,11-MOD(SUMPRODUCT(--MID(G78,{1,2,3,4,5,6,7,8,9,10,11,12,13},1),{6,5,4,3,2,9,8,7,6,5,4,3,2}),11))),"OK","AVISO: dígito verificador (conferir na org)"))))</f>
      </c>
      <c r="I78" s="6">
        <f>IF(G78="","",IF(COUNTIF($G$2:$G$2001,G78)&gt;1,"DUPLICADO","OK"))</f>
      </c>
      <c r="J78" s="6">
        <f>IF(COUNTA(A78:F78)=0,"",IF(AND(A78&lt;&gt;"",E78&lt;&gt;""),"OK","ERRO: faltam "&amp;IF(A78="","CNPJ; ","")&amp;IF(E78="","Novo gerente; ","")))</f>
      </c>
      <c r="K78" s="6">
        <f>IF(COUNTA(A78:F78)=0,"",IF(AND(LEFT(H78,4)&lt;&gt;"ERRO",I78="OK",J78="OK"),"OK","REVISAR"))</f>
      </c>
    </row>
    <row r="79">
      <c r="A79" s="5"/>
      <c r="B79" s="4"/>
      <c r="C79" s="4"/>
      <c r="D79" s="4"/>
      <c r="E79" s="5"/>
      <c r="F79" s="4"/>
      <c r="G79" s="6">
        <f>IF(A79="","",SUBSTITUTE(SUBSTITUTE(SUBSTITUTE(SUBSTITUTE(SUBSTITUTE(SUBSTITUTE(SUBSTITUTE(TRIM(A79),".",""),"/",""),"-","")," ",""),"(",""),")",""),"+",""))</f>
      </c>
      <c r="H79" s="6">
        <f>IF(G79="","",IF(LEN(G79)&lt;&gt;14,"ERRO: "&amp;LEN(G79)&amp;" dígitos",IF(NOT(ISNUMBER(VALUE(G79))),"ERRO: não numérico",IF(AND(VALUE(MID(G79,13,1))=IF(MOD(SUMPRODUCT(--MID(G79,{1,2,3,4,5,6,7,8,9,10,11,12},1),{5,4,3,2,9,8,7,6,5,4,3,2}),11)&lt;2,0,11-MOD(SUMPRODUCT(--MID(G79,{1,2,3,4,5,6,7,8,9,10,11,12},1),{5,4,3,2,9,8,7,6,5,4,3,2}),11)),VALUE(MID(G79,14,1))=IF(MOD(SUMPRODUCT(--MID(G79,{1,2,3,4,5,6,7,8,9,10,11,12,13},1),{6,5,4,3,2,9,8,7,6,5,4,3,2}),11)&lt;2,0,11-MOD(SUMPRODUCT(--MID(G79,{1,2,3,4,5,6,7,8,9,10,11,12,13},1),{6,5,4,3,2,9,8,7,6,5,4,3,2}),11))),"OK","AVISO: dígito verificador (conferir na org)"))))</f>
      </c>
      <c r="I79" s="6">
        <f>IF(G79="","",IF(COUNTIF($G$2:$G$2001,G79)&gt;1,"DUPLICADO","OK"))</f>
      </c>
      <c r="J79" s="6">
        <f>IF(COUNTA(A79:F79)=0,"",IF(AND(A79&lt;&gt;"",E79&lt;&gt;""),"OK","ERRO: faltam "&amp;IF(A79="","CNPJ; ","")&amp;IF(E79="","Novo gerente; ","")))</f>
      </c>
      <c r="K79" s="6">
        <f>IF(COUNTA(A79:F79)=0,"",IF(AND(LEFT(H79,4)&lt;&gt;"ERRO",I79="OK",J79="OK"),"OK","REVISAR"))</f>
      </c>
    </row>
    <row r="80">
      <c r="A80" s="5"/>
      <c r="B80" s="4"/>
      <c r="C80" s="4"/>
      <c r="D80" s="4"/>
      <c r="E80" s="5"/>
      <c r="F80" s="4"/>
      <c r="G80" s="6">
        <f>IF(A80="","",SUBSTITUTE(SUBSTITUTE(SUBSTITUTE(SUBSTITUTE(SUBSTITUTE(SUBSTITUTE(SUBSTITUTE(TRIM(A80),".",""),"/",""),"-","")," ",""),"(",""),")",""),"+",""))</f>
      </c>
      <c r="H80" s="6">
        <f>IF(G80="","",IF(LEN(G80)&lt;&gt;14,"ERRO: "&amp;LEN(G80)&amp;" dígitos",IF(NOT(ISNUMBER(VALUE(G80))),"ERRO: não numérico",IF(AND(VALUE(MID(G80,13,1))=IF(MOD(SUMPRODUCT(--MID(G80,{1,2,3,4,5,6,7,8,9,10,11,12},1),{5,4,3,2,9,8,7,6,5,4,3,2}),11)&lt;2,0,11-MOD(SUMPRODUCT(--MID(G80,{1,2,3,4,5,6,7,8,9,10,11,12},1),{5,4,3,2,9,8,7,6,5,4,3,2}),11)),VALUE(MID(G80,14,1))=IF(MOD(SUMPRODUCT(--MID(G80,{1,2,3,4,5,6,7,8,9,10,11,12,13},1),{6,5,4,3,2,9,8,7,6,5,4,3,2}),11)&lt;2,0,11-MOD(SUMPRODUCT(--MID(G80,{1,2,3,4,5,6,7,8,9,10,11,12,13},1),{6,5,4,3,2,9,8,7,6,5,4,3,2}),11))),"OK","AVISO: dígito verificador (conferir na org)"))))</f>
      </c>
      <c r="I80" s="6">
        <f>IF(G80="","",IF(COUNTIF($G$2:$G$2001,G80)&gt;1,"DUPLICADO","OK"))</f>
      </c>
      <c r="J80" s="6">
        <f>IF(COUNTA(A80:F80)=0,"",IF(AND(A80&lt;&gt;"",E80&lt;&gt;""),"OK","ERRO: faltam "&amp;IF(A80="","CNPJ; ","")&amp;IF(E80="","Novo gerente; ","")))</f>
      </c>
      <c r="K80" s="6">
        <f>IF(COUNTA(A80:F80)=0,"",IF(AND(LEFT(H80,4)&lt;&gt;"ERRO",I80="OK",J80="OK"),"OK","REVISAR"))</f>
      </c>
    </row>
    <row r="81">
      <c r="A81" s="5"/>
      <c r="B81" s="4"/>
      <c r="C81" s="4"/>
      <c r="D81" s="4"/>
      <c r="E81" s="5"/>
      <c r="F81" s="4"/>
      <c r="G81" s="6">
        <f>IF(A81="","",SUBSTITUTE(SUBSTITUTE(SUBSTITUTE(SUBSTITUTE(SUBSTITUTE(SUBSTITUTE(SUBSTITUTE(TRIM(A81),".",""),"/",""),"-","")," ",""),"(",""),")",""),"+",""))</f>
      </c>
      <c r="H81" s="6">
        <f>IF(G81="","",IF(LEN(G81)&lt;&gt;14,"ERRO: "&amp;LEN(G81)&amp;" dígitos",IF(NOT(ISNUMBER(VALUE(G81))),"ERRO: não numérico",IF(AND(VALUE(MID(G81,13,1))=IF(MOD(SUMPRODUCT(--MID(G81,{1,2,3,4,5,6,7,8,9,10,11,12},1),{5,4,3,2,9,8,7,6,5,4,3,2}),11)&lt;2,0,11-MOD(SUMPRODUCT(--MID(G81,{1,2,3,4,5,6,7,8,9,10,11,12},1),{5,4,3,2,9,8,7,6,5,4,3,2}),11)),VALUE(MID(G81,14,1))=IF(MOD(SUMPRODUCT(--MID(G81,{1,2,3,4,5,6,7,8,9,10,11,12,13},1),{6,5,4,3,2,9,8,7,6,5,4,3,2}),11)&lt;2,0,11-MOD(SUMPRODUCT(--MID(G81,{1,2,3,4,5,6,7,8,9,10,11,12,13},1),{6,5,4,3,2,9,8,7,6,5,4,3,2}),11))),"OK","AVISO: dígito verificador (conferir na org)"))))</f>
      </c>
      <c r="I81" s="6">
        <f>IF(G81="","",IF(COUNTIF($G$2:$G$2001,G81)&gt;1,"DUPLICADO","OK"))</f>
      </c>
      <c r="J81" s="6">
        <f>IF(COUNTA(A81:F81)=0,"",IF(AND(A81&lt;&gt;"",E81&lt;&gt;""),"OK","ERRO: faltam "&amp;IF(A81="","CNPJ; ","")&amp;IF(E81="","Novo gerente; ","")))</f>
      </c>
      <c r="K81" s="6">
        <f>IF(COUNTA(A81:F81)=0,"",IF(AND(LEFT(H81,4)&lt;&gt;"ERRO",I81="OK",J81="OK"),"OK","REVISAR"))</f>
      </c>
    </row>
    <row r="82">
      <c r="A82" s="5"/>
      <c r="B82" s="4"/>
      <c r="C82" s="4"/>
      <c r="D82" s="4"/>
      <c r="E82" s="5"/>
      <c r="F82" s="4"/>
      <c r="G82" s="6">
        <f>IF(A82="","",SUBSTITUTE(SUBSTITUTE(SUBSTITUTE(SUBSTITUTE(SUBSTITUTE(SUBSTITUTE(SUBSTITUTE(TRIM(A82),".",""),"/",""),"-","")," ",""),"(",""),")",""),"+",""))</f>
      </c>
      <c r="H82" s="6">
        <f>IF(G82="","",IF(LEN(G82)&lt;&gt;14,"ERRO: "&amp;LEN(G82)&amp;" dígitos",IF(NOT(ISNUMBER(VALUE(G82))),"ERRO: não numérico",IF(AND(VALUE(MID(G82,13,1))=IF(MOD(SUMPRODUCT(--MID(G82,{1,2,3,4,5,6,7,8,9,10,11,12},1),{5,4,3,2,9,8,7,6,5,4,3,2}),11)&lt;2,0,11-MOD(SUMPRODUCT(--MID(G82,{1,2,3,4,5,6,7,8,9,10,11,12},1),{5,4,3,2,9,8,7,6,5,4,3,2}),11)),VALUE(MID(G82,14,1))=IF(MOD(SUMPRODUCT(--MID(G82,{1,2,3,4,5,6,7,8,9,10,11,12,13},1),{6,5,4,3,2,9,8,7,6,5,4,3,2}),11)&lt;2,0,11-MOD(SUMPRODUCT(--MID(G82,{1,2,3,4,5,6,7,8,9,10,11,12,13},1),{6,5,4,3,2,9,8,7,6,5,4,3,2}),11))),"OK","AVISO: dígito verificador (conferir na org)"))))</f>
      </c>
      <c r="I82" s="6">
        <f>IF(G82="","",IF(COUNTIF($G$2:$G$2001,G82)&gt;1,"DUPLICADO","OK"))</f>
      </c>
      <c r="J82" s="6">
        <f>IF(COUNTA(A82:F82)=0,"",IF(AND(A82&lt;&gt;"",E82&lt;&gt;""),"OK","ERRO: faltam "&amp;IF(A82="","CNPJ; ","")&amp;IF(E82="","Novo gerente; ","")))</f>
      </c>
      <c r="K82" s="6">
        <f>IF(COUNTA(A82:F82)=0,"",IF(AND(LEFT(H82,4)&lt;&gt;"ERRO",I82="OK",J82="OK"),"OK","REVISAR"))</f>
      </c>
    </row>
    <row r="83">
      <c r="A83" s="5"/>
      <c r="B83" s="4"/>
      <c r="C83" s="4"/>
      <c r="D83" s="4"/>
      <c r="E83" s="5"/>
      <c r="F83" s="4"/>
      <c r="G83" s="6">
        <f>IF(A83="","",SUBSTITUTE(SUBSTITUTE(SUBSTITUTE(SUBSTITUTE(SUBSTITUTE(SUBSTITUTE(SUBSTITUTE(TRIM(A83),".",""),"/",""),"-","")," ",""),"(",""),")",""),"+",""))</f>
      </c>
      <c r="H83" s="6">
        <f>IF(G83="","",IF(LEN(G83)&lt;&gt;14,"ERRO: "&amp;LEN(G83)&amp;" dígitos",IF(NOT(ISNUMBER(VALUE(G83))),"ERRO: não numérico",IF(AND(VALUE(MID(G83,13,1))=IF(MOD(SUMPRODUCT(--MID(G83,{1,2,3,4,5,6,7,8,9,10,11,12},1),{5,4,3,2,9,8,7,6,5,4,3,2}),11)&lt;2,0,11-MOD(SUMPRODUCT(--MID(G83,{1,2,3,4,5,6,7,8,9,10,11,12},1),{5,4,3,2,9,8,7,6,5,4,3,2}),11)),VALUE(MID(G83,14,1))=IF(MOD(SUMPRODUCT(--MID(G83,{1,2,3,4,5,6,7,8,9,10,11,12,13},1),{6,5,4,3,2,9,8,7,6,5,4,3,2}),11)&lt;2,0,11-MOD(SUMPRODUCT(--MID(G83,{1,2,3,4,5,6,7,8,9,10,11,12,13},1),{6,5,4,3,2,9,8,7,6,5,4,3,2}),11))),"OK","AVISO: dígito verificador (conferir na org)"))))</f>
      </c>
      <c r="I83" s="6">
        <f>IF(G83="","",IF(COUNTIF($G$2:$G$2001,G83)&gt;1,"DUPLICADO","OK"))</f>
      </c>
      <c r="J83" s="6">
        <f>IF(COUNTA(A83:F83)=0,"",IF(AND(A83&lt;&gt;"",E83&lt;&gt;""),"OK","ERRO: faltam "&amp;IF(A83="","CNPJ; ","")&amp;IF(E83="","Novo gerente; ","")))</f>
      </c>
      <c r="K83" s="6">
        <f>IF(COUNTA(A83:F83)=0,"",IF(AND(LEFT(H83,4)&lt;&gt;"ERRO",I83="OK",J83="OK"),"OK","REVISAR"))</f>
      </c>
    </row>
    <row r="84">
      <c r="A84" s="5"/>
      <c r="B84" s="4"/>
      <c r="C84" s="4"/>
      <c r="D84" s="4"/>
      <c r="E84" s="5"/>
      <c r="F84" s="4"/>
      <c r="G84" s="6">
        <f>IF(A84="","",SUBSTITUTE(SUBSTITUTE(SUBSTITUTE(SUBSTITUTE(SUBSTITUTE(SUBSTITUTE(SUBSTITUTE(TRIM(A84),".",""),"/",""),"-","")," ",""),"(",""),")",""),"+",""))</f>
      </c>
      <c r="H84" s="6">
        <f>IF(G84="","",IF(LEN(G84)&lt;&gt;14,"ERRO: "&amp;LEN(G84)&amp;" dígitos",IF(NOT(ISNUMBER(VALUE(G84))),"ERRO: não numérico",IF(AND(VALUE(MID(G84,13,1))=IF(MOD(SUMPRODUCT(--MID(G84,{1,2,3,4,5,6,7,8,9,10,11,12},1),{5,4,3,2,9,8,7,6,5,4,3,2}),11)&lt;2,0,11-MOD(SUMPRODUCT(--MID(G84,{1,2,3,4,5,6,7,8,9,10,11,12},1),{5,4,3,2,9,8,7,6,5,4,3,2}),11)),VALUE(MID(G84,14,1))=IF(MOD(SUMPRODUCT(--MID(G84,{1,2,3,4,5,6,7,8,9,10,11,12,13},1),{6,5,4,3,2,9,8,7,6,5,4,3,2}),11)&lt;2,0,11-MOD(SUMPRODUCT(--MID(G84,{1,2,3,4,5,6,7,8,9,10,11,12,13},1),{6,5,4,3,2,9,8,7,6,5,4,3,2}),11))),"OK","AVISO: dígito verificador (conferir na org)"))))</f>
      </c>
      <c r="I84" s="6">
        <f>IF(G84="","",IF(COUNTIF($G$2:$G$2001,G84)&gt;1,"DUPLICADO","OK"))</f>
      </c>
      <c r="J84" s="6">
        <f>IF(COUNTA(A84:F84)=0,"",IF(AND(A84&lt;&gt;"",E84&lt;&gt;""),"OK","ERRO: faltam "&amp;IF(A84="","CNPJ; ","")&amp;IF(E84="","Novo gerente; ","")))</f>
      </c>
      <c r="K84" s="6">
        <f>IF(COUNTA(A84:F84)=0,"",IF(AND(LEFT(H84,4)&lt;&gt;"ERRO",I84="OK",J84="OK"),"OK","REVISAR"))</f>
      </c>
    </row>
    <row r="85">
      <c r="A85" s="5"/>
      <c r="B85" s="4"/>
      <c r="C85" s="4"/>
      <c r="D85" s="4"/>
      <c r="E85" s="5"/>
      <c r="F85" s="4"/>
      <c r="G85" s="6">
        <f>IF(A85="","",SUBSTITUTE(SUBSTITUTE(SUBSTITUTE(SUBSTITUTE(SUBSTITUTE(SUBSTITUTE(SUBSTITUTE(TRIM(A85),".",""),"/",""),"-","")," ",""),"(",""),")",""),"+",""))</f>
      </c>
      <c r="H85" s="6">
        <f>IF(G85="","",IF(LEN(G85)&lt;&gt;14,"ERRO: "&amp;LEN(G85)&amp;" dígitos",IF(NOT(ISNUMBER(VALUE(G85))),"ERRO: não numérico",IF(AND(VALUE(MID(G85,13,1))=IF(MOD(SUMPRODUCT(--MID(G85,{1,2,3,4,5,6,7,8,9,10,11,12},1),{5,4,3,2,9,8,7,6,5,4,3,2}),11)&lt;2,0,11-MOD(SUMPRODUCT(--MID(G85,{1,2,3,4,5,6,7,8,9,10,11,12},1),{5,4,3,2,9,8,7,6,5,4,3,2}),11)),VALUE(MID(G85,14,1))=IF(MOD(SUMPRODUCT(--MID(G85,{1,2,3,4,5,6,7,8,9,10,11,12,13},1),{6,5,4,3,2,9,8,7,6,5,4,3,2}),11)&lt;2,0,11-MOD(SUMPRODUCT(--MID(G85,{1,2,3,4,5,6,7,8,9,10,11,12,13},1),{6,5,4,3,2,9,8,7,6,5,4,3,2}),11))),"OK","AVISO: dígito verificador (conferir na org)"))))</f>
      </c>
      <c r="I85" s="6">
        <f>IF(G85="","",IF(COUNTIF($G$2:$G$2001,G85)&gt;1,"DUPLICADO","OK"))</f>
      </c>
      <c r="J85" s="6">
        <f>IF(COUNTA(A85:F85)=0,"",IF(AND(A85&lt;&gt;"",E85&lt;&gt;""),"OK","ERRO: faltam "&amp;IF(A85="","CNPJ; ","")&amp;IF(E85="","Novo gerente; ","")))</f>
      </c>
      <c r="K85" s="6">
        <f>IF(COUNTA(A85:F85)=0,"",IF(AND(LEFT(H85,4)&lt;&gt;"ERRO",I85="OK",J85="OK"),"OK","REVISAR"))</f>
      </c>
    </row>
    <row r="86">
      <c r="A86" s="5"/>
      <c r="B86" s="4"/>
      <c r="C86" s="4"/>
      <c r="D86" s="4"/>
      <c r="E86" s="5"/>
      <c r="F86" s="4"/>
      <c r="G86" s="6">
        <f>IF(A86="","",SUBSTITUTE(SUBSTITUTE(SUBSTITUTE(SUBSTITUTE(SUBSTITUTE(SUBSTITUTE(SUBSTITUTE(TRIM(A86),".",""),"/",""),"-","")," ",""),"(",""),")",""),"+",""))</f>
      </c>
      <c r="H86" s="6">
        <f>IF(G86="","",IF(LEN(G86)&lt;&gt;14,"ERRO: "&amp;LEN(G86)&amp;" dígitos",IF(NOT(ISNUMBER(VALUE(G86))),"ERRO: não numérico",IF(AND(VALUE(MID(G86,13,1))=IF(MOD(SUMPRODUCT(--MID(G86,{1,2,3,4,5,6,7,8,9,10,11,12},1),{5,4,3,2,9,8,7,6,5,4,3,2}),11)&lt;2,0,11-MOD(SUMPRODUCT(--MID(G86,{1,2,3,4,5,6,7,8,9,10,11,12},1),{5,4,3,2,9,8,7,6,5,4,3,2}),11)),VALUE(MID(G86,14,1))=IF(MOD(SUMPRODUCT(--MID(G86,{1,2,3,4,5,6,7,8,9,10,11,12,13},1),{6,5,4,3,2,9,8,7,6,5,4,3,2}),11)&lt;2,0,11-MOD(SUMPRODUCT(--MID(G86,{1,2,3,4,5,6,7,8,9,10,11,12,13},1),{6,5,4,3,2,9,8,7,6,5,4,3,2}),11))),"OK","AVISO: dígito verificador (conferir na org)"))))</f>
      </c>
      <c r="I86" s="6">
        <f>IF(G86="","",IF(COUNTIF($G$2:$G$2001,G86)&gt;1,"DUPLICADO","OK"))</f>
      </c>
      <c r="J86" s="6">
        <f>IF(COUNTA(A86:F86)=0,"",IF(AND(A86&lt;&gt;"",E86&lt;&gt;""),"OK","ERRO: faltam "&amp;IF(A86="","CNPJ; ","")&amp;IF(E86="","Novo gerente; ","")))</f>
      </c>
      <c r="K86" s="6">
        <f>IF(COUNTA(A86:F86)=0,"",IF(AND(LEFT(H86,4)&lt;&gt;"ERRO",I86="OK",J86="OK"),"OK","REVISAR"))</f>
      </c>
    </row>
    <row r="87">
      <c r="A87" s="5"/>
      <c r="B87" s="4"/>
      <c r="C87" s="4"/>
      <c r="D87" s="4"/>
      <c r="E87" s="5"/>
      <c r="F87" s="4"/>
      <c r="G87" s="6">
        <f>IF(A87="","",SUBSTITUTE(SUBSTITUTE(SUBSTITUTE(SUBSTITUTE(SUBSTITUTE(SUBSTITUTE(SUBSTITUTE(TRIM(A87),".",""),"/",""),"-","")," ",""),"(",""),")",""),"+",""))</f>
      </c>
      <c r="H87" s="6">
        <f>IF(G87="","",IF(LEN(G87)&lt;&gt;14,"ERRO: "&amp;LEN(G87)&amp;" dígitos",IF(NOT(ISNUMBER(VALUE(G87))),"ERRO: não numérico",IF(AND(VALUE(MID(G87,13,1))=IF(MOD(SUMPRODUCT(--MID(G87,{1,2,3,4,5,6,7,8,9,10,11,12},1),{5,4,3,2,9,8,7,6,5,4,3,2}),11)&lt;2,0,11-MOD(SUMPRODUCT(--MID(G87,{1,2,3,4,5,6,7,8,9,10,11,12},1),{5,4,3,2,9,8,7,6,5,4,3,2}),11)),VALUE(MID(G87,14,1))=IF(MOD(SUMPRODUCT(--MID(G87,{1,2,3,4,5,6,7,8,9,10,11,12,13},1),{6,5,4,3,2,9,8,7,6,5,4,3,2}),11)&lt;2,0,11-MOD(SUMPRODUCT(--MID(G87,{1,2,3,4,5,6,7,8,9,10,11,12,13},1),{6,5,4,3,2,9,8,7,6,5,4,3,2}),11))),"OK","AVISO: dígito verificador (conferir na org)"))))</f>
      </c>
      <c r="I87" s="6">
        <f>IF(G87="","",IF(COUNTIF($G$2:$G$2001,G87)&gt;1,"DUPLICADO","OK"))</f>
      </c>
      <c r="J87" s="6">
        <f>IF(COUNTA(A87:F87)=0,"",IF(AND(A87&lt;&gt;"",E87&lt;&gt;""),"OK","ERRO: faltam "&amp;IF(A87="","CNPJ; ","")&amp;IF(E87="","Novo gerente; ","")))</f>
      </c>
      <c r="K87" s="6">
        <f>IF(COUNTA(A87:F87)=0,"",IF(AND(LEFT(H87,4)&lt;&gt;"ERRO",I87="OK",J87="OK"),"OK","REVISAR"))</f>
      </c>
    </row>
    <row r="88">
      <c r="A88" s="5"/>
      <c r="B88" s="4"/>
      <c r="C88" s="4"/>
      <c r="D88" s="4"/>
      <c r="E88" s="5"/>
      <c r="F88" s="4"/>
      <c r="G88" s="6">
        <f>IF(A88="","",SUBSTITUTE(SUBSTITUTE(SUBSTITUTE(SUBSTITUTE(SUBSTITUTE(SUBSTITUTE(SUBSTITUTE(TRIM(A88),".",""),"/",""),"-","")," ",""),"(",""),")",""),"+",""))</f>
      </c>
      <c r="H88" s="6">
        <f>IF(G88="","",IF(LEN(G88)&lt;&gt;14,"ERRO: "&amp;LEN(G88)&amp;" dígitos",IF(NOT(ISNUMBER(VALUE(G88))),"ERRO: não numérico",IF(AND(VALUE(MID(G88,13,1))=IF(MOD(SUMPRODUCT(--MID(G88,{1,2,3,4,5,6,7,8,9,10,11,12},1),{5,4,3,2,9,8,7,6,5,4,3,2}),11)&lt;2,0,11-MOD(SUMPRODUCT(--MID(G88,{1,2,3,4,5,6,7,8,9,10,11,12},1),{5,4,3,2,9,8,7,6,5,4,3,2}),11)),VALUE(MID(G88,14,1))=IF(MOD(SUMPRODUCT(--MID(G88,{1,2,3,4,5,6,7,8,9,10,11,12,13},1),{6,5,4,3,2,9,8,7,6,5,4,3,2}),11)&lt;2,0,11-MOD(SUMPRODUCT(--MID(G88,{1,2,3,4,5,6,7,8,9,10,11,12,13},1),{6,5,4,3,2,9,8,7,6,5,4,3,2}),11))),"OK","AVISO: dígito verificador (conferir na org)"))))</f>
      </c>
      <c r="I88" s="6">
        <f>IF(G88="","",IF(COUNTIF($G$2:$G$2001,G88)&gt;1,"DUPLICADO","OK"))</f>
      </c>
      <c r="J88" s="6">
        <f>IF(COUNTA(A88:F88)=0,"",IF(AND(A88&lt;&gt;"",E88&lt;&gt;""),"OK","ERRO: faltam "&amp;IF(A88="","CNPJ; ","")&amp;IF(E88="","Novo gerente; ","")))</f>
      </c>
      <c r="K88" s="6">
        <f>IF(COUNTA(A88:F88)=0,"",IF(AND(LEFT(H88,4)&lt;&gt;"ERRO",I88="OK",J88="OK"),"OK","REVISAR"))</f>
      </c>
    </row>
    <row r="89">
      <c r="A89" s="5"/>
      <c r="B89" s="4"/>
      <c r="C89" s="4"/>
      <c r="D89" s="4"/>
      <c r="E89" s="5"/>
      <c r="F89" s="4"/>
      <c r="G89" s="6">
        <f>IF(A89="","",SUBSTITUTE(SUBSTITUTE(SUBSTITUTE(SUBSTITUTE(SUBSTITUTE(SUBSTITUTE(SUBSTITUTE(TRIM(A89),".",""),"/",""),"-","")," ",""),"(",""),")",""),"+",""))</f>
      </c>
      <c r="H89" s="6">
        <f>IF(G89="","",IF(LEN(G89)&lt;&gt;14,"ERRO: "&amp;LEN(G89)&amp;" dígitos",IF(NOT(ISNUMBER(VALUE(G89))),"ERRO: não numérico",IF(AND(VALUE(MID(G89,13,1))=IF(MOD(SUMPRODUCT(--MID(G89,{1,2,3,4,5,6,7,8,9,10,11,12},1),{5,4,3,2,9,8,7,6,5,4,3,2}),11)&lt;2,0,11-MOD(SUMPRODUCT(--MID(G89,{1,2,3,4,5,6,7,8,9,10,11,12},1),{5,4,3,2,9,8,7,6,5,4,3,2}),11)),VALUE(MID(G89,14,1))=IF(MOD(SUMPRODUCT(--MID(G89,{1,2,3,4,5,6,7,8,9,10,11,12,13},1),{6,5,4,3,2,9,8,7,6,5,4,3,2}),11)&lt;2,0,11-MOD(SUMPRODUCT(--MID(G89,{1,2,3,4,5,6,7,8,9,10,11,12,13},1),{6,5,4,3,2,9,8,7,6,5,4,3,2}),11))),"OK","AVISO: dígito verificador (conferir na org)"))))</f>
      </c>
      <c r="I89" s="6">
        <f>IF(G89="","",IF(COUNTIF($G$2:$G$2001,G89)&gt;1,"DUPLICADO","OK"))</f>
      </c>
      <c r="J89" s="6">
        <f>IF(COUNTA(A89:F89)=0,"",IF(AND(A89&lt;&gt;"",E89&lt;&gt;""),"OK","ERRO: faltam "&amp;IF(A89="","CNPJ; ","")&amp;IF(E89="","Novo gerente; ","")))</f>
      </c>
      <c r="K89" s="6">
        <f>IF(COUNTA(A89:F89)=0,"",IF(AND(LEFT(H89,4)&lt;&gt;"ERRO",I89="OK",J89="OK"),"OK","REVISAR"))</f>
      </c>
    </row>
    <row r="90">
      <c r="A90" s="5"/>
      <c r="B90" s="4"/>
      <c r="C90" s="4"/>
      <c r="D90" s="4"/>
      <c r="E90" s="5"/>
      <c r="F90" s="4"/>
      <c r="G90" s="6">
        <f>IF(A90="","",SUBSTITUTE(SUBSTITUTE(SUBSTITUTE(SUBSTITUTE(SUBSTITUTE(SUBSTITUTE(SUBSTITUTE(TRIM(A90),".",""),"/",""),"-","")," ",""),"(",""),")",""),"+",""))</f>
      </c>
      <c r="H90" s="6">
        <f>IF(G90="","",IF(LEN(G90)&lt;&gt;14,"ERRO: "&amp;LEN(G90)&amp;" dígitos",IF(NOT(ISNUMBER(VALUE(G90))),"ERRO: não numérico",IF(AND(VALUE(MID(G90,13,1))=IF(MOD(SUMPRODUCT(--MID(G90,{1,2,3,4,5,6,7,8,9,10,11,12},1),{5,4,3,2,9,8,7,6,5,4,3,2}),11)&lt;2,0,11-MOD(SUMPRODUCT(--MID(G90,{1,2,3,4,5,6,7,8,9,10,11,12},1),{5,4,3,2,9,8,7,6,5,4,3,2}),11)),VALUE(MID(G90,14,1))=IF(MOD(SUMPRODUCT(--MID(G90,{1,2,3,4,5,6,7,8,9,10,11,12,13},1),{6,5,4,3,2,9,8,7,6,5,4,3,2}),11)&lt;2,0,11-MOD(SUMPRODUCT(--MID(G90,{1,2,3,4,5,6,7,8,9,10,11,12,13},1),{6,5,4,3,2,9,8,7,6,5,4,3,2}),11))),"OK","AVISO: dígito verificador (conferir na org)"))))</f>
      </c>
      <c r="I90" s="6">
        <f>IF(G90="","",IF(COUNTIF($G$2:$G$2001,G90)&gt;1,"DUPLICADO","OK"))</f>
      </c>
      <c r="J90" s="6">
        <f>IF(COUNTA(A90:F90)=0,"",IF(AND(A90&lt;&gt;"",E90&lt;&gt;""),"OK","ERRO: faltam "&amp;IF(A90="","CNPJ; ","")&amp;IF(E90="","Novo gerente; ","")))</f>
      </c>
      <c r="K90" s="6">
        <f>IF(COUNTA(A90:F90)=0,"",IF(AND(LEFT(H90,4)&lt;&gt;"ERRO",I90="OK",J90="OK"),"OK","REVISAR"))</f>
      </c>
    </row>
    <row r="91">
      <c r="A91" s="5"/>
      <c r="B91" s="4"/>
      <c r="C91" s="4"/>
      <c r="D91" s="4"/>
      <c r="E91" s="5"/>
      <c r="F91" s="4"/>
      <c r="G91" s="6">
        <f>IF(A91="","",SUBSTITUTE(SUBSTITUTE(SUBSTITUTE(SUBSTITUTE(SUBSTITUTE(SUBSTITUTE(SUBSTITUTE(TRIM(A91),".",""),"/",""),"-","")," ",""),"(",""),")",""),"+",""))</f>
      </c>
      <c r="H91" s="6">
        <f>IF(G91="","",IF(LEN(G91)&lt;&gt;14,"ERRO: "&amp;LEN(G91)&amp;" dígitos",IF(NOT(ISNUMBER(VALUE(G91))),"ERRO: não numérico",IF(AND(VALUE(MID(G91,13,1))=IF(MOD(SUMPRODUCT(--MID(G91,{1,2,3,4,5,6,7,8,9,10,11,12},1),{5,4,3,2,9,8,7,6,5,4,3,2}),11)&lt;2,0,11-MOD(SUMPRODUCT(--MID(G91,{1,2,3,4,5,6,7,8,9,10,11,12},1),{5,4,3,2,9,8,7,6,5,4,3,2}),11)),VALUE(MID(G91,14,1))=IF(MOD(SUMPRODUCT(--MID(G91,{1,2,3,4,5,6,7,8,9,10,11,12,13},1),{6,5,4,3,2,9,8,7,6,5,4,3,2}),11)&lt;2,0,11-MOD(SUMPRODUCT(--MID(G91,{1,2,3,4,5,6,7,8,9,10,11,12,13},1),{6,5,4,3,2,9,8,7,6,5,4,3,2}),11))),"OK","AVISO: dígito verificador (conferir na org)"))))</f>
      </c>
      <c r="I91" s="6">
        <f>IF(G91="","",IF(COUNTIF($G$2:$G$2001,G91)&gt;1,"DUPLICADO","OK"))</f>
      </c>
      <c r="J91" s="6">
        <f>IF(COUNTA(A91:F91)=0,"",IF(AND(A91&lt;&gt;"",E91&lt;&gt;""),"OK","ERRO: faltam "&amp;IF(A91="","CNPJ; ","")&amp;IF(E91="","Novo gerente; ","")))</f>
      </c>
      <c r="K91" s="6">
        <f>IF(COUNTA(A91:F91)=0,"",IF(AND(LEFT(H91,4)&lt;&gt;"ERRO",I91="OK",J91="OK"),"OK","REVISAR"))</f>
      </c>
    </row>
    <row r="92">
      <c r="A92" s="5"/>
      <c r="B92" s="4"/>
      <c r="C92" s="4"/>
      <c r="D92" s="4"/>
      <c r="E92" s="5"/>
      <c r="F92" s="4"/>
      <c r="G92" s="6">
        <f>IF(A92="","",SUBSTITUTE(SUBSTITUTE(SUBSTITUTE(SUBSTITUTE(SUBSTITUTE(SUBSTITUTE(SUBSTITUTE(TRIM(A92),".",""),"/",""),"-","")," ",""),"(",""),")",""),"+",""))</f>
      </c>
      <c r="H92" s="6">
        <f>IF(G92="","",IF(LEN(G92)&lt;&gt;14,"ERRO: "&amp;LEN(G92)&amp;" dígitos",IF(NOT(ISNUMBER(VALUE(G92))),"ERRO: não numérico",IF(AND(VALUE(MID(G92,13,1))=IF(MOD(SUMPRODUCT(--MID(G92,{1,2,3,4,5,6,7,8,9,10,11,12},1),{5,4,3,2,9,8,7,6,5,4,3,2}),11)&lt;2,0,11-MOD(SUMPRODUCT(--MID(G92,{1,2,3,4,5,6,7,8,9,10,11,12},1),{5,4,3,2,9,8,7,6,5,4,3,2}),11)),VALUE(MID(G92,14,1))=IF(MOD(SUMPRODUCT(--MID(G92,{1,2,3,4,5,6,7,8,9,10,11,12,13},1),{6,5,4,3,2,9,8,7,6,5,4,3,2}),11)&lt;2,0,11-MOD(SUMPRODUCT(--MID(G92,{1,2,3,4,5,6,7,8,9,10,11,12,13},1),{6,5,4,3,2,9,8,7,6,5,4,3,2}),11))),"OK","AVISO: dígito verificador (conferir na org)"))))</f>
      </c>
      <c r="I92" s="6">
        <f>IF(G92="","",IF(COUNTIF($G$2:$G$2001,G92)&gt;1,"DUPLICADO","OK"))</f>
      </c>
      <c r="J92" s="6">
        <f>IF(COUNTA(A92:F92)=0,"",IF(AND(A92&lt;&gt;"",E92&lt;&gt;""),"OK","ERRO: faltam "&amp;IF(A92="","CNPJ; ","")&amp;IF(E92="","Novo gerente; ","")))</f>
      </c>
      <c r="K92" s="6">
        <f>IF(COUNTA(A92:F92)=0,"",IF(AND(LEFT(H92,4)&lt;&gt;"ERRO",I92="OK",J92="OK"),"OK","REVISAR"))</f>
      </c>
    </row>
    <row r="93">
      <c r="A93" s="5"/>
      <c r="B93" s="4"/>
      <c r="C93" s="4"/>
      <c r="D93" s="4"/>
      <c r="E93" s="5"/>
      <c r="F93" s="4"/>
      <c r="G93" s="6">
        <f>IF(A93="","",SUBSTITUTE(SUBSTITUTE(SUBSTITUTE(SUBSTITUTE(SUBSTITUTE(SUBSTITUTE(SUBSTITUTE(TRIM(A93),".",""),"/",""),"-","")," ",""),"(",""),")",""),"+",""))</f>
      </c>
      <c r="H93" s="6">
        <f>IF(G93="","",IF(LEN(G93)&lt;&gt;14,"ERRO: "&amp;LEN(G93)&amp;" dígitos",IF(NOT(ISNUMBER(VALUE(G93))),"ERRO: não numérico",IF(AND(VALUE(MID(G93,13,1))=IF(MOD(SUMPRODUCT(--MID(G93,{1,2,3,4,5,6,7,8,9,10,11,12},1),{5,4,3,2,9,8,7,6,5,4,3,2}),11)&lt;2,0,11-MOD(SUMPRODUCT(--MID(G93,{1,2,3,4,5,6,7,8,9,10,11,12},1),{5,4,3,2,9,8,7,6,5,4,3,2}),11)),VALUE(MID(G93,14,1))=IF(MOD(SUMPRODUCT(--MID(G93,{1,2,3,4,5,6,7,8,9,10,11,12,13},1),{6,5,4,3,2,9,8,7,6,5,4,3,2}),11)&lt;2,0,11-MOD(SUMPRODUCT(--MID(G93,{1,2,3,4,5,6,7,8,9,10,11,12,13},1),{6,5,4,3,2,9,8,7,6,5,4,3,2}),11))),"OK","AVISO: dígito verificador (conferir na org)"))))</f>
      </c>
      <c r="I93" s="6">
        <f>IF(G93="","",IF(COUNTIF($G$2:$G$2001,G93)&gt;1,"DUPLICADO","OK"))</f>
      </c>
      <c r="J93" s="6">
        <f>IF(COUNTA(A93:F93)=0,"",IF(AND(A93&lt;&gt;"",E93&lt;&gt;""),"OK","ERRO: faltam "&amp;IF(A93="","CNPJ; ","")&amp;IF(E93="","Novo gerente; ","")))</f>
      </c>
      <c r="K93" s="6">
        <f>IF(COUNTA(A93:F93)=0,"",IF(AND(LEFT(H93,4)&lt;&gt;"ERRO",I93="OK",J93="OK"),"OK","REVISAR"))</f>
      </c>
    </row>
    <row r="94">
      <c r="A94" s="5"/>
      <c r="B94" s="4"/>
      <c r="C94" s="4"/>
      <c r="D94" s="4"/>
      <c r="E94" s="5"/>
      <c r="F94" s="4"/>
      <c r="G94" s="6">
        <f>IF(A94="","",SUBSTITUTE(SUBSTITUTE(SUBSTITUTE(SUBSTITUTE(SUBSTITUTE(SUBSTITUTE(SUBSTITUTE(TRIM(A94),".",""),"/",""),"-","")," ",""),"(",""),")",""),"+",""))</f>
      </c>
      <c r="H94" s="6">
        <f>IF(G94="","",IF(LEN(G94)&lt;&gt;14,"ERRO: "&amp;LEN(G94)&amp;" dígitos",IF(NOT(ISNUMBER(VALUE(G94))),"ERRO: não numérico",IF(AND(VALUE(MID(G94,13,1))=IF(MOD(SUMPRODUCT(--MID(G94,{1,2,3,4,5,6,7,8,9,10,11,12},1),{5,4,3,2,9,8,7,6,5,4,3,2}),11)&lt;2,0,11-MOD(SUMPRODUCT(--MID(G94,{1,2,3,4,5,6,7,8,9,10,11,12},1),{5,4,3,2,9,8,7,6,5,4,3,2}),11)),VALUE(MID(G94,14,1))=IF(MOD(SUMPRODUCT(--MID(G94,{1,2,3,4,5,6,7,8,9,10,11,12,13},1),{6,5,4,3,2,9,8,7,6,5,4,3,2}),11)&lt;2,0,11-MOD(SUMPRODUCT(--MID(G94,{1,2,3,4,5,6,7,8,9,10,11,12,13},1),{6,5,4,3,2,9,8,7,6,5,4,3,2}),11))),"OK","AVISO: dígito verificador (conferir na org)"))))</f>
      </c>
      <c r="I94" s="6">
        <f>IF(G94="","",IF(COUNTIF($G$2:$G$2001,G94)&gt;1,"DUPLICADO","OK"))</f>
      </c>
      <c r="J94" s="6">
        <f>IF(COUNTA(A94:F94)=0,"",IF(AND(A94&lt;&gt;"",E94&lt;&gt;""),"OK","ERRO: faltam "&amp;IF(A94="","CNPJ; ","")&amp;IF(E94="","Novo gerente; ","")))</f>
      </c>
      <c r="K94" s="6">
        <f>IF(COUNTA(A94:F94)=0,"",IF(AND(LEFT(H94,4)&lt;&gt;"ERRO",I94="OK",J94="OK"),"OK","REVISAR"))</f>
      </c>
    </row>
    <row r="95">
      <c r="A95" s="5"/>
      <c r="B95" s="4"/>
      <c r="C95" s="4"/>
      <c r="D95" s="4"/>
      <c r="E95" s="5"/>
      <c r="F95" s="4"/>
      <c r="G95" s="6">
        <f>IF(A95="","",SUBSTITUTE(SUBSTITUTE(SUBSTITUTE(SUBSTITUTE(SUBSTITUTE(SUBSTITUTE(SUBSTITUTE(TRIM(A95),".",""),"/",""),"-","")," ",""),"(",""),")",""),"+",""))</f>
      </c>
      <c r="H95" s="6">
        <f>IF(G95="","",IF(LEN(G95)&lt;&gt;14,"ERRO: "&amp;LEN(G95)&amp;" dígitos",IF(NOT(ISNUMBER(VALUE(G95))),"ERRO: não numérico",IF(AND(VALUE(MID(G95,13,1))=IF(MOD(SUMPRODUCT(--MID(G95,{1,2,3,4,5,6,7,8,9,10,11,12},1),{5,4,3,2,9,8,7,6,5,4,3,2}),11)&lt;2,0,11-MOD(SUMPRODUCT(--MID(G95,{1,2,3,4,5,6,7,8,9,10,11,12},1),{5,4,3,2,9,8,7,6,5,4,3,2}),11)),VALUE(MID(G95,14,1))=IF(MOD(SUMPRODUCT(--MID(G95,{1,2,3,4,5,6,7,8,9,10,11,12,13},1),{6,5,4,3,2,9,8,7,6,5,4,3,2}),11)&lt;2,0,11-MOD(SUMPRODUCT(--MID(G95,{1,2,3,4,5,6,7,8,9,10,11,12,13},1),{6,5,4,3,2,9,8,7,6,5,4,3,2}),11))),"OK","AVISO: dígito verificador (conferir na org)"))))</f>
      </c>
      <c r="I95" s="6">
        <f>IF(G95="","",IF(COUNTIF($G$2:$G$2001,G95)&gt;1,"DUPLICADO","OK"))</f>
      </c>
      <c r="J95" s="6">
        <f>IF(COUNTA(A95:F95)=0,"",IF(AND(A95&lt;&gt;"",E95&lt;&gt;""),"OK","ERRO: faltam "&amp;IF(A95="","CNPJ; ","")&amp;IF(E95="","Novo gerente; ","")))</f>
      </c>
      <c r="K95" s="6">
        <f>IF(COUNTA(A95:F95)=0,"",IF(AND(LEFT(H95,4)&lt;&gt;"ERRO",I95="OK",J95="OK"),"OK","REVISAR"))</f>
      </c>
    </row>
    <row r="96">
      <c r="A96" s="5"/>
      <c r="B96" s="4"/>
      <c r="C96" s="4"/>
      <c r="D96" s="4"/>
      <c r="E96" s="5"/>
      <c r="F96" s="4"/>
      <c r="G96" s="6">
        <f>IF(A96="","",SUBSTITUTE(SUBSTITUTE(SUBSTITUTE(SUBSTITUTE(SUBSTITUTE(SUBSTITUTE(SUBSTITUTE(TRIM(A96),".",""),"/",""),"-","")," ",""),"(",""),")",""),"+",""))</f>
      </c>
      <c r="H96" s="6">
        <f>IF(G96="","",IF(LEN(G96)&lt;&gt;14,"ERRO: "&amp;LEN(G96)&amp;" dígitos",IF(NOT(ISNUMBER(VALUE(G96))),"ERRO: não numérico",IF(AND(VALUE(MID(G96,13,1))=IF(MOD(SUMPRODUCT(--MID(G96,{1,2,3,4,5,6,7,8,9,10,11,12},1),{5,4,3,2,9,8,7,6,5,4,3,2}),11)&lt;2,0,11-MOD(SUMPRODUCT(--MID(G96,{1,2,3,4,5,6,7,8,9,10,11,12},1),{5,4,3,2,9,8,7,6,5,4,3,2}),11)),VALUE(MID(G96,14,1))=IF(MOD(SUMPRODUCT(--MID(G96,{1,2,3,4,5,6,7,8,9,10,11,12,13},1),{6,5,4,3,2,9,8,7,6,5,4,3,2}),11)&lt;2,0,11-MOD(SUMPRODUCT(--MID(G96,{1,2,3,4,5,6,7,8,9,10,11,12,13},1),{6,5,4,3,2,9,8,7,6,5,4,3,2}),11))),"OK","AVISO: dígito verificador (conferir na org)"))))</f>
      </c>
      <c r="I96" s="6">
        <f>IF(G96="","",IF(COUNTIF($G$2:$G$2001,G96)&gt;1,"DUPLICADO","OK"))</f>
      </c>
      <c r="J96" s="6">
        <f>IF(COUNTA(A96:F96)=0,"",IF(AND(A96&lt;&gt;"",E96&lt;&gt;""),"OK","ERRO: faltam "&amp;IF(A96="","CNPJ; ","")&amp;IF(E96="","Novo gerente; ","")))</f>
      </c>
      <c r="K96" s="6">
        <f>IF(COUNTA(A96:F96)=0,"",IF(AND(LEFT(H96,4)&lt;&gt;"ERRO",I96="OK",J96="OK"),"OK","REVISAR"))</f>
      </c>
    </row>
    <row r="97">
      <c r="A97" s="5"/>
      <c r="B97" s="4"/>
      <c r="C97" s="4"/>
      <c r="D97" s="4"/>
      <c r="E97" s="5"/>
      <c r="F97" s="4"/>
      <c r="G97" s="6">
        <f>IF(A97="","",SUBSTITUTE(SUBSTITUTE(SUBSTITUTE(SUBSTITUTE(SUBSTITUTE(SUBSTITUTE(SUBSTITUTE(TRIM(A97),".",""),"/",""),"-","")," ",""),"(",""),")",""),"+",""))</f>
      </c>
      <c r="H97" s="6">
        <f>IF(G97="","",IF(LEN(G97)&lt;&gt;14,"ERRO: "&amp;LEN(G97)&amp;" dígitos",IF(NOT(ISNUMBER(VALUE(G97))),"ERRO: não numérico",IF(AND(VALUE(MID(G97,13,1))=IF(MOD(SUMPRODUCT(--MID(G97,{1,2,3,4,5,6,7,8,9,10,11,12},1),{5,4,3,2,9,8,7,6,5,4,3,2}),11)&lt;2,0,11-MOD(SUMPRODUCT(--MID(G97,{1,2,3,4,5,6,7,8,9,10,11,12},1),{5,4,3,2,9,8,7,6,5,4,3,2}),11)),VALUE(MID(G97,14,1))=IF(MOD(SUMPRODUCT(--MID(G97,{1,2,3,4,5,6,7,8,9,10,11,12,13},1),{6,5,4,3,2,9,8,7,6,5,4,3,2}),11)&lt;2,0,11-MOD(SUMPRODUCT(--MID(G97,{1,2,3,4,5,6,7,8,9,10,11,12,13},1),{6,5,4,3,2,9,8,7,6,5,4,3,2}),11))),"OK","AVISO: dígito verificador (conferir na org)"))))</f>
      </c>
      <c r="I97" s="6">
        <f>IF(G97="","",IF(COUNTIF($G$2:$G$2001,G97)&gt;1,"DUPLICADO","OK"))</f>
      </c>
      <c r="J97" s="6">
        <f>IF(COUNTA(A97:F97)=0,"",IF(AND(A97&lt;&gt;"",E97&lt;&gt;""),"OK","ERRO: faltam "&amp;IF(A97="","CNPJ; ","")&amp;IF(E97="","Novo gerente; ","")))</f>
      </c>
      <c r="K97" s="6">
        <f>IF(COUNTA(A97:F97)=0,"",IF(AND(LEFT(H97,4)&lt;&gt;"ERRO",I97="OK",J97="OK"),"OK","REVISAR"))</f>
      </c>
    </row>
    <row r="98">
      <c r="A98" s="5"/>
      <c r="B98" s="4"/>
      <c r="C98" s="4"/>
      <c r="D98" s="4"/>
      <c r="E98" s="5"/>
      <c r="F98" s="4"/>
      <c r="G98" s="6">
        <f>IF(A98="","",SUBSTITUTE(SUBSTITUTE(SUBSTITUTE(SUBSTITUTE(SUBSTITUTE(SUBSTITUTE(SUBSTITUTE(TRIM(A98),".",""),"/",""),"-","")," ",""),"(",""),")",""),"+",""))</f>
      </c>
      <c r="H98" s="6">
        <f>IF(G98="","",IF(LEN(G98)&lt;&gt;14,"ERRO: "&amp;LEN(G98)&amp;" dígitos",IF(NOT(ISNUMBER(VALUE(G98))),"ERRO: não numérico",IF(AND(VALUE(MID(G98,13,1))=IF(MOD(SUMPRODUCT(--MID(G98,{1,2,3,4,5,6,7,8,9,10,11,12},1),{5,4,3,2,9,8,7,6,5,4,3,2}),11)&lt;2,0,11-MOD(SUMPRODUCT(--MID(G98,{1,2,3,4,5,6,7,8,9,10,11,12},1),{5,4,3,2,9,8,7,6,5,4,3,2}),11)),VALUE(MID(G98,14,1))=IF(MOD(SUMPRODUCT(--MID(G98,{1,2,3,4,5,6,7,8,9,10,11,12,13},1),{6,5,4,3,2,9,8,7,6,5,4,3,2}),11)&lt;2,0,11-MOD(SUMPRODUCT(--MID(G98,{1,2,3,4,5,6,7,8,9,10,11,12,13},1),{6,5,4,3,2,9,8,7,6,5,4,3,2}),11))),"OK","AVISO: dígito verificador (conferir na org)"))))</f>
      </c>
      <c r="I98" s="6">
        <f>IF(G98="","",IF(COUNTIF($G$2:$G$2001,G98)&gt;1,"DUPLICADO","OK"))</f>
      </c>
      <c r="J98" s="6">
        <f>IF(COUNTA(A98:F98)=0,"",IF(AND(A98&lt;&gt;"",E98&lt;&gt;""),"OK","ERRO: faltam "&amp;IF(A98="","CNPJ; ","")&amp;IF(E98="","Novo gerente; ","")))</f>
      </c>
      <c r="K98" s="6">
        <f>IF(COUNTA(A98:F98)=0,"",IF(AND(LEFT(H98,4)&lt;&gt;"ERRO",I98="OK",J98="OK"),"OK","REVISAR"))</f>
      </c>
    </row>
    <row r="99">
      <c r="A99" s="5"/>
      <c r="B99" s="4"/>
      <c r="C99" s="4"/>
      <c r="D99" s="4"/>
      <c r="E99" s="5"/>
      <c r="F99" s="4"/>
      <c r="G99" s="6">
        <f>IF(A99="","",SUBSTITUTE(SUBSTITUTE(SUBSTITUTE(SUBSTITUTE(SUBSTITUTE(SUBSTITUTE(SUBSTITUTE(TRIM(A99),".",""),"/",""),"-","")," ",""),"(",""),")",""),"+",""))</f>
      </c>
      <c r="H99" s="6">
        <f>IF(G99="","",IF(LEN(G99)&lt;&gt;14,"ERRO: "&amp;LEN(G99)&amp;" dígitos",IF(NOT(ISNUMBER(VALUE(G99))),"ERRO: não numérico",IF(AND(VALUE(MID(G99,13,1))=IF(MOD(SUMPRODUCT(--MID(G99,{1,2,3,4,5,6,7,8,9,10,11,12},1),{5,4,3,2,9,8,7,6,5,4,3,2}),11)&lt;2,0,11-MOD(SUMPRODUCT(--MID(G99,{1,2,3,4,5,6,7,8,9,10,11,12},1),{5,4,3,2,9,8,7,6,5,4,3,2}),11)),VALUE(MID(G99,14,1))=IF(MOD(SUMPRODUCT(--MID(G99,{1,2,3,4,5,6,7,8,9,10,11,12,13},1),{6,5,4,3,2,9,8,7,6,5,4,3,2}),11)&lt;2,0,11-MOD(SUMPRODUCT(--MID(G99,{1,2,3,4,5,6,7,8,9,10,11,12,13},1),{6,5,4,3,2,9,8,7,6,5,4,3,2}),11))),"OK","AVISO: dígito verificador (conferir na org)"))))</f>
      </c>
      <c r="I99" s="6">
        <f>IF(G99="","",IF(COUNTIF($G$2:$G$2001,G99)&gt;1,"DUPLICADO","OK"))</f>
      </c>
      <c r="J99" s="6">
        <f>IF(COUNTA(A99:F99)=0,"",IF(AND(A99&lt;&gt;"",E99&lt;&gt;""),"OK","ERRO: faltam "&amp;IF(A99="","CNPJ; ","")&amp;IF(E99="","Novo gerente; ","")))</f>
      </c>
      <c r="K99" s="6">
        <f>IF(COUNTA(A99:F99)=0,"",IF(AND(LEFT(H99,4)&lt;&gt;"ERRO",I99="OK",J99="OK"),"OK","REVISAR"))</f>
      </c>
    </row>
    <row r="100">
      <c r="A100" s="5"/>
      <c r="B100" s="4"/>
      <c r="C100" s="4"/>
      <c r="D100" s="4"/>
      <c r="E100" s="5"/>
      <c r="F100" s="4"/>
      <c r="G100" s="6">
        <f>IF(A100="","",SUBSTITUTE(SUBSTITUTE(SUBSTITUTE(SUBSTITUTE(SUBSTITUTE(SUBSTITUTE(SUBSTITUTE(TRIM(A100),".",""),"/",""),"-","")," ",""),"(",""),")",""),"+",""))</f>
      </c>
      <c r="H100" s="6">
        <f>IF(G100="","",IF(LEN(G100)&lt;&gt;14,"ERRO: "&amp;LEN(G100)&amp;" dígitos",IF(NOT(ISNUMBER(VALUE(G100))),"ERRO: não numérico",IF(AND(VALUE(MID(G100,13,1))=IF(MOD(SUMPRODUCT(--MID(G100,{1,2,3,4,5,6,7,8,9,10,11,12},1),{5,4,3,2,9,8,7,6,5,4,3,2}),11)&lt;2,0,11-MOD(SUMPRODUCT(--MID(G100,{1,2,3,4,5,6,7,8,9,10,11,12},1),{5,4,3,2,9,8,7,6,5,4,3,2}),11)),VALUE(MID(G100,14,1))=IF(MOD(SUMPRODUCT(--MID(G100,{1,2,3,4,5,6,7,8,9,10,11,12,13},1),{6,5,4,3,2,9,8,7,6,5,4,3,2}),11)&lt;2,0,11-MOD(SUMPRODUCT(--MID(G100,{1,2,3,4,5,6,7,8,9,10,11,12,13},1),{6,5,4,3,2,9,8,7,6,5,4,3,2}),11))),"OK","AVISO: dígito verificador (conferir na org)"))))</f>
      </c>
      <c r="I100" s="6">
        <f>IF(G100="","",IF(COUNTIF($G$2:$G$2001,G100)&gt;1,"DUPLICADO","OK"))</f>
      </c>
      <c r="J100" s="6">
        <f>IF(COUNTA(A100:F100)=0,"",IF(AND(A100&lt;&gt;"",E100&lt;&gt;""),"OK","ERRO: faltam "&amp;IF(A100="","CNPJ; ","")&amp;IF(E100="","Novo gerente; ","")))</f>
      </c>
      <c r="K100" s="6">
        <f>IF(COUNTA(A100:F100)=0,"",IF(AND(LEFT(H100,4)&lt;&gt;"ERRO",I100="OK",J100="OK"),"OK","REVISAR"))</f>
      </c>
    </row>
    <row r="101">
      <c r="A101" s="5"/>
      <c r="B101" s="4"/>
      <c r="C101" s="4"/>
      <c r="D101" s="4"/>
      <c r="E101" s="5"/>
      <c r="F101" s="4"/>
      <c r="G101" s="6">
        <f>IF(A101="","",SUBSTITUTE(SUBSTITUTE(SUBSTITUTE(SUBSTITUTE(SUBSTITUTE(SUBSTITUTE(SUBSTITUTE(TRIM(A101),".",""),"/",""),"-","")," ",""),"(",""),")",""),"+",""))</f>
      </c>
      <c r="H101" s="6">
        <f>IF(G101="","",IF(LEN(G101)&lt;&gt;14,"ERRO: "&amp;LEN(G101)&amp;" dígitos",IF(NOT(ISNUMBER(VALUE(G101))),"ERRO: não numérico",IF(AND(VALUE(MID(G101,13,1))=IF(MOD(SUMPRODUCT(--MID(G101,{1,2,3,4,5,6,7,8,9,10,11,12},1),{5,4,3,2,9,8,7,6,5,4,3,2}),11)&lt;2,0,11-MOD(SUMPRODUCT(--MID(G101,{1,2,3,4,5,6,7,8,9,10,11,12},1),{5,4,3,2,9,8,7,6,5,4,3,2}),11)),VALUE(MID(G101,14,1))=IF(MOD(SUMPRODUCT(--MID(G101,{1,2,3,4,5,6,7,8,9,10,11,12,13},1),{6,5,4,3,2,9,8,7,6,5,4,3,2}),11)&lt;2,0,11-MOD(SUMPRODUCT(--MID(G101,{1,2,3,4,5,6,7,8,9,10,11,12,13},1),{6,5,4,3,2,9,8,7,6,5,4,3,2}),11))),"OK","AVISO: dígito verificador (conferir na org)"))))</f>
      </c>
      <c r="I101" s="6">
        <f>IF(G101="","",IF(COUNTIF($G$2:$G$2001,G101)&gt;1,"DUPLICADO","OK"))</f>
      </c>
      <c r="J101" s="6">
        <f>IF(COUNTA(A101:F101)=0,"",IF(AND(A101&lt;&gt;"",E101&lt;&gt;""),"OK","ERRO: faltam "&amp;IF(A101="","CNPJ; ","")&amp;IF(E101="","Novo gerente; ","")))</f>
      </c>
      <c r="K101" s="6">
        <f>IF(COUNTA(A101:F101)=0,"",IF(AND(LEFT(H101,4)&lt;&gt;"ERRO",I101="OK",J101="OK"),"OK","REVISAR"))</f>
      </c>
    </row>
    <row r="102">
      <c r="A102" s="5"/>
      <c r="B102" s="4"/>
      <c r="C102" s="4"/>
      <c r="D102" s="4"/>
      <c r="E102" s="5"/>
      <c r="F102" s="4"/>
      <c r="G102" s="6">
        <f>IF(A102="","",SUBSTITUTE(SUBSTITUTE(SUBSTITUTE(SUBSTITUTE(SUBSTITUTE(SUBSTITUTE(SUBSTITUTE(TRIM(A102),".",""),"/",""),"-","")," ",""),"(",""),")",""),"+",""))</f>
      </c>
      <c r="H102" s="6">
        <f>IF(G102="","",IF(LEN(G102)&lt;&gt;14,"ERRO: "&amp;LEN(G102)&amp;" dígitos",IF(NOT(ISNUMBER(VALUE(G102))),"ERRO: não numérico",IF(AND(VALUE(MID(G102,13,1))=IF(MOD(SUMPRODUCT(--MID(G102,{1,2,3,4,5,6,7,8,9,10,11,12},1),{5,4,3,2,9,8,7,6,5,4,3,2}),11)&lt;2,0,11-MOD(SUMPRODUCT(--MID(G102,{1,2,3,4,5,6,7,8,9,10,11,12},1),{5,4,3,2,9,8,7,6,5,4,3,2}),11)),VALUE(MID(G102,14,1))=IF(MOD(SUMPRODUCT(--MID(G102,{1,2,3,4,5,6,7,8,9,10,11,12,13},1),{6,5,4,3,2,9,8,7,6,5,4,3,2}),11)&lt;2,0,11-MOD(SUMPRODUCT(--MID(G102,{1,2,3,4,5,6,7,8,9,10,11,12,13},1),{6,5,4,3,2,9,8,7,6,5,4,3,2}),11))),"OK","AVISO: dígito verificador (conferir na org)"))))</f>
      </c>
      <c r="I102" s="6">
        <f>IF(G102="","",IF(COUNTIF($G$2:$G$2001,G102)&gt;1,"DUPLICADO","OK"))</f>
      </c>
      <c r="J102" s="6">
        <f>IF(COUNTA(A102:F102)=0,"",IF(AND(A102&lt;&gt;"",E102&lt;&gt;""),"OK","ERRO: faltam "&amp;IF(A102="","CNPJ; ","")&amp;IF(E102="","Novo gerente; ","")))</f>
      </c>
      <c r="K102" s="6">
        <f>IF(COUNTA(A102:F102)=0,"",IF(AND(LEFT(H102,4)&lt;&gt;"ERRO",I102="OK",J102="OK"),"OK","REVISAR"))</f>
      </c>
    </row>
    <row r="103">
      <c r="A103" s="5"/>
      <c r="B103" s="4"/>
      <c r="C103" s="4"/>
      <c r="D103" s="4"/>
      <c r="E103" s="5"/>
      <c r="F103" s="4"/>
      <c r="G103" s="6">
        <f>IF(A103="","",SUBSTITUTE(SUBSTITUTE(SUBSTITUTE(SUBSTITUTE(SUBSTITUTE(SUBSTITUTE(SUBSTITUTE(TRIM(A103),".",""),"/",""),"-","")," ",""),"(",""),")",""),"+",""))</f>
      </c>
      <c r="H103" s="6">
        <f>IF(G103="","",IF(LEN(G103)&lt;&gt;14,"ERRO: "&amp;LEN(G103)&amp;" dígitos",IF(NOT(ISNUMBER(VALUE(G103))),"ERRO: não numérico",IF(AND(VALUE(MID(G103,13,1))=IF(MOD(SUMPRODUCT(--MID(G103,{1,2,3,4,5,6,7,8,9,10,11,12},1),{5,4,3,2,9,8,7,6,5,4,3,2}),11)&lt;2,0,11-MOD(SUMPRODUCT(--MID(G103,{1,2,3,4,5,6,7,8,9,10,11,12},1),{5,4,3,2,9,8,7,6,5,4,3,2}),11)),VALUE(MID(G103,14,1))=IF(MOD(SUMPRODUCT(--MID(G103,{1,2,3,4,5,6,7,8,9,10,11,12,13},1),{6,5,4,3,2,9,8,7,6,5,4,3,2}),11)&lt;2,0,11-MOD(SUMPRODUCT(--MID(G103,{1,2,3,4,5,6,7,8,9,10,11,12,13},1),{6,5,4,3,2,9,8,7,6,5,4,3,2}),11))),"OK","AVISO: dígito verificador (conferir na org)"))))</f>
      </c>
      <c r="I103" s="6">
        <f>IF(G103="","",IF(COUNTIF($G$2:$G$2001,G103)&gt;1,"DUPLICADO","OK"))</f>
      </c>
      <c r="J103" s="6">
        <f>IF(COUNTA(A103:F103)=0,"",IF(AND(A103&lt;&gt;"",E103&lt;&gt;""),"OK","ERRO: faltam "&amp;IF(A103="","CNPJ; ","")&amp;IF(E103="","Novo gerente; ","")))</f>
      </c>
      <c r="K103" s="6">
        <f>IF(COUNTA(A103:F103)=0,"",IF(AND(LEFT(H103,4)&lt;&gt;"ERRO",I103="OK",J103="OK"),"OK","REVISAR"))</f>
      </c>
    </row>
    <row r="104">
      <c r="A104" s="5"/>
      <c r="B104" s="4"/>
      <c r="C104" s="4"/>
      <c r="D104" s="4"/>
      <c r="E104" s="5"/>
      <c r="F104" s="4"/>
      <c r="G104" s="6">
        <f>IF(A104="","",SUBSTITUTE(SUBSTITUTE(SUBSTITUTE(SUBSTITUTE(SUBSTITUTE(SUBSTITUTE(SUBSTITUTE(TRIM(A104),".",""),"/",""),"-","")," ",""),"(",""),")",""),"+",""))</f>
      </c>
      <c r="H104" s="6">
        <f>IF(G104="","",IF(LEN(G104)&lt;&gt;14,"ERRO: "&amp;LEN(G104)&amp;" dígitos",IF(NOT(ISNUMBER(VALUE(G104))),"ERRO: não numérico",IF(AND(VALUE(MID(G104,13,1))=IF(MOD(SUMPRODUCT(--MID(G104,{1,2,3,4,5,6,7,8,9,10,11,12},1),{5,4,3,2,9,8,7,6,5,4,3,2}),11)&lt;2,0,11-MOD(SUMPRODUCT(--MID(G104,{1,2,3,4,5,6,7,8,9,10,11,12},1),{5,4,3,2,9,8,7,6,5,4,3,2}),11)),VALUE(MID(G104,14,1))=IF(MOD(SUMPRODUCT(--MID(G104,{1,2,3,4,5,6,7,8,9,10,11,12,13},1),{6,5,4,3,2,9,8,7,6,5,4,3,2}),11)&lt;2,0,11-MOD(SUMPRODUCT(--MID(G104,{1,2,3,4,5,6,7,8,9,10,11,12,13},1),{6,5,4,3,2,9,8,7,6,5,4,3,2}),11))),"OK","AVISO: dígito verificador (conferir na org)"))))</f>
      </c>
      <c r="I104" s="6">
        <f>IF(G104="","",IF(COUNTIF($G$2:$G$2001,G104)&gt;1,"DUPLICADO","OK"))</f>
      </c>
      <c r="J104" s="6">
        <f>IF(COUNTA(A104:F104)=0,"",IF(AND(A104&lt;&gt;"",E104&lt;&gt;""),"OK","ERRO: faltam "&amp;IF(A104="","CNPJ; ","")&amp;IF(E104="","Novo gerente; ","")))</f>
      </c>
      <c r="K104" s="6">
        <f>IF(COUNTA(A104:F104)=0,"",IF(AND(LEFT(H104,4)&lt;&gt;"ERRO",I104="OK",J104="OK"),"OK","REVISAR"))</f>
      </c>
    </row>
    <row r="105">
      <c r="A105" s="5"/>
      <c r="B105" s="4"/>
      <c r="C105" s="4"/>
      <c r="D105" s="4"/>
      <c r="E105" s="5"/>
      <c r="F105" s="4"/>
      <c r="G105" s="6">
        <f>IF(A105="","",SUBSTITUTE(SUBSTITUTE(SUBSTITUTE(SUBSTITUTE(SUBSTITUTE(SUBSTITUTE(SUBSTITUTE(TRIM(A105),".",""),"/",""),"-","")," ",""),"(",""),")",""),"+",""))</f>
      </c>
      <c r="H105" s="6">
        <f>IF(G105="","",IF(LEN(G105)&lt;&gt;14,"ERRO: "&amp;LEN(G105)&amp;" dígitos",IF(NOT(ISNUMBER(VALUE(G105))),"ERRO: não numérico",IF(AND(VALUE(MID(G105,13,1))=IF(MOD(SUMPRODUCT(--MID(G105,{1,2,3,4,5,6,7,8,9,10,11,12},1),{5,4,3,2,9,8,7,6,5,4,3,2}),11)&lt;2,0,11-MOD(SUMPRODUCT(--MID(G105,{1,2,3,4,5,6,7,8,9,10,11,12},1),{5,4,3,2,9,8,7,6,5,4,3,2}),11)),VALUE(MID(G105,14,1))=IF(MOD(SUMPRODUCT(--MID(G105,{1,2,3,4,5,6,7,8,9,10,11,12,13},1),{6,5,4,3,2,9,8,7,6,5,4,3,2}),11)&lt;2,0,11-MOD(SUMPRODUCT(--MID(G105,{1,2,3,4,5,6,7,8,9,10,11,12,13},1),{6,5,4,3,2,9,8,7,6,5,4,3,2}),11))),"OK","AVISO: dígito verificador (conferir na org)"))))</f>
      </c>
      <c r="I105" s="6">
        <f>IF(G105="","",IF(COUNTIF($G$2:$G$2001,G105)&gt;1,"DUPLICADO","OK"))</f>
      </c>
      <c r="J105" s="6">
        <f>IF(COUNTA(A105:F105)=0,"",IF(AND(A105&lt;&gt;"",E105&lt;&gt;""),"OK","ERRO: faltam "&amp;IF(A105="","CNPJ; ","")&amp;IF(E105="","Novo gerente; ","")))</f>
      </c>
      <c r="K105" s="6">
        <f>IF(COUNTA(A105:F105)=0,"",IF(AND(LEFT(H105,4)&lt;&gt;"ERRO",I105="OK",J105="OK"),"OK","REVISAR"))</f>
      </c>
    </row>
    <row r="106">
      <c r="A106" s="5"/>
      <c r="B106" s="4"/>
      <c r="C106" s="4"/>
      <c r="D106" s="4"/>
      <c r="E106" s="5"/>
      <c r="F106" s="4"/>
      <c r="G106" s="6">
        <f>IF(A106="","",SUBSTITUTE(SUBSTITUTE(SUBSTITUTE(SUBSTITUTE(SUBSTITUTE(SUBSTITUTE(SUBSTITUTE(TRIM(A106),".",""),"/",""),"-","")," ",""),"(",""),")",""),"+",""))</f>
      </c>
      <c r="H106" s="6">
        <f>IF(G106="","",IF(LEN(G106)&lt;&gt;14,"ERRO: "&amp;LEN(G106)&amp;" dígitos",IF(NOT(ISNUMBER(VALUE(G106))),"ERRO: não numérico",IF(AND(VALUE(MID(G106,13,1))=IF(MOD(SUMPRODUCT(--MID(G106,{1,2,3,4,5,6,7,8,9,10,11,12},1),{5,4,3,2,9,8,7,6,5,4,3,2}),11)&lt;2,0,11-MOD(SUMPRODUCT(--MID(G106,{1,2,3,4,5,6,7,8,9,10,11,12},1),{5,4,3,2,9,8,7,6,5,4,3,2}),11)),VALUE(MID(G106,14,1))=IF(MOD(SUMPRODUCT(--MID(G106,{1,2,3,4,5,6,7,8,9,10,11,12,13},1),{6,5,4,3,2,9,8,7,6,5,4,3,2}),11)&lt;2,0,11-MOD(SUMPRODUCT(--MID(G106,{1,2,3,4,5,6,7,8,9,10,11,12,13},1),{6,5,4,3,2,9,8,7,6,5,4,3,2}),11))),"OK","AVISO: dígito verificador (conferir na org)"))))</f>
      </c>
      <c r="I106" s="6">
        <f>IF(G106="","",IF(COUNTIF($G$2:$G$2001,G106)&gt;1,"DUPLICADO","OK"))</f>
      </c>
      <c r="J106" s="6">
        <f>IF(COUNTA(A106:F106)=0,"",IF(AND(A106&lt;&gt;"",E106&lt;&gt;""),"OK","ERRO: faltam "&amp;IF(A106="","CNPJ; ","")&amp;IF(E106="","Novo gerente; ","")))</f>
      </c>
      <c r="K106" s="6">
        <f>IF(COUNTA(A106:F106)=0,"",IF(AND(LEFT(H106,4)&lt;&gt;"ERRO",I106="OK",J106="OK"),"OK","REVISAR"))</f>
      </c>
    </row>
    <row r="107">
      <c r="A107" s="5"/>
      <c r="B107" s="4"/>
      <c r="C107" s="4"/>
      <c r="D107" s="4"/>
      <c r="E107" s="5"/>
      <c r="F107" s="4"/>
      <c r="G107" s="6">
        <f>IF(A107="","",SUBSTITUTE(SUBSTITUTE(SUBSTITUTE(SUBSTITUTE(SUBSTITUTE(SUBSTITUTE(SUBSTITUTE(TRIM(A107),".",""),"/",""),"-","")," ",""),"(",""),")",""),"+",""))</f>
      </c>
      <c r="H107" s="6">
        <f>IF(G107="","",IF(LEN(G107)&lt;&gt;14,"ERRO: "&amp;LEN(G107)&amp;" dígitos",IF(NOT(ISNUMBER(VALUE(G107))),"ERRO: não numérico",IF(AND(VALUE(MID(G107,13,1))=IF(MOD(SUMPRODUCT(--MID(G107,{1,2,3,4,5,6,7,8,9,10,11,12},1),{5,4,3,2,9,8,7,6,5,4,3,2}),11)&lt;2,0,11-MOD(SUMPRODUCT(--MID(G107,{1,2,3,4,5,6,7,8,9,10,11,12},1),{5,4,3,2,9,8,7,6,5,4,3,2}),11)),VALUE(MID(G107,14,1))=IF(MOD(SUMPRODUCT(--MID(G107,{1,2,3,4,5,6,7,8,9,10,11,12,13},1),{6,5,4,3,2,9,8,7,6,5,4,3,2}),11)&lt;2,0,11-MOD(SUMPRODUCT(--MID(G107,{1,2,3,4,5,6,7,8,9,10,11,12,13},1),{6,5,4,3,2,9,8,7,6,5,4,3,2}),11))),"OK","AVISO: dígito verificador (conferir na org)"))))</f>
      </c>
      <c r="I107" s="6">
        <f>IF(G107="","",IF(COUNTIF($G$2:$G$2001,G107)&gt;1,"DUPLICADO","OK"))</f>
      </c>
      <c r="J107" s="6">
        <f>IF(COUNTA(A107:F107)=0,"",IF(AND(A107&lt;&gt;"",E107&lt;&gt;""),"OK","ERRO: faltam "&amp;IF(A107="","CNPJ; ","")&amp;IF(E107="","Novo gerente; ","")))</f>
      </c>
      <c r="K107" s="6">
        <f>IF(COUNTA(A107:F107)=0,"",IF(AND(LEFT(H107,4)&lt;&gt;"ERRO",I107="OK",J107="OK"),"OK","REVISAR"))</f>
      </c>
    </row>
    <row r="108">
      <c r="A108" s="5"/>
      <c r="B108" s="4"/>
      <c r="C108" s="4"/>
      <c r="D108" s="4"/>
      <c r="E108" s="5"/>
      <c r="F108" s="4"/>
      <c r="G108" s="6">
        <f>IF(A108="","",SUBSTITUTE(SUBSTITUTE(SUBSTITUTE(SUBSTITUTE(SUBSTITUTE(SUBSTITUTE(SUBSTITUTE(TRIM(A108),".",""),"/",""),"-","")," ",""),"(",""),")",""),"+",""))</f>
      </c>
      <c r="H108" s="6">
        <f>IF(G108="","",IF(LEN(G108)&lt;&gt;14,"ERRO: "&amp;LEN(G108)&amp;" dígitos",IF(NOT(ISNUMBER(VALUE(G108))),"ERRO: não numérico",IF(AND(VALUE(MID(G108,13,1))=IF(MOD(SUMPRODUCT(--MID(G108,{1,2,3,4,5,6,7,8,9,10,11,12},1),{5,4,3,2,9,8,7,6,5,4,3,2}),11)&lt;2,0,11-MOD(SUMPRODUCT(--MID(G108,{1,2,3,4,5,6,7,8,9,10,11,12},1),{5,4,3,2,9,8,7,6,5,4,3,2}),11)),VALUE(MID(G108,14,1))=IF(MOD(SUMPRODUCT(--MID(G108,{1,2,3,4,5,6,7,8,9,10,11,12,13},1),{6,5,4,3,2,9,8,7,6,5,4,3,2}),11)&lt;2,0,11-MOD(SUMPRODUCT(--MID(G108,{1,2,3,4,5,6,7,8,9,10,11,12,13},1),{6,5,4,3,2,9,8,7,6,5,4,3,2}),11))),"OK","AVISO: dígito verificador (conferir na org)"))))</f>
      </c>
      <c r="I108" s="6">
        <f>IF(G108="","",IF(COUNTIF($G$2:$G$2001,G108)&gt;1,"DUPLICADO","OK"))</f>
      </c>
      <c r="J108" s="6">
        <f>IF(COUNTA(A108:F108)=0,"",IF(AND(A108&lt;&gt;"",E108&lt;&gt;""),"OK","ERRO: faltam "&amp;IF(A108="","CNPJ; ","")&amp;IF(E108="","Novo gerente; ","")))</f>
      </c>
      <c r="K108" s="6">
        <f>IF(COUNTA(A108:F108)=0,"",IF(AND(LEFT(H108,4)&lt;&gt;"ERRO",I108="OK",J108="OK"),"OK","REVISAR"))</f>
      </c>
    </row>
    <row r="109">
      <c r="A109" s="5"/>
      <c r="B109" s="4"/>
      <c r="C109" s="4"/>
      <c r="D109" s="4"/>
      <c r="E109" s="5"/>
      <c r="F109" s="4"/>
      <c r="G109" s="6">
        <f>IF(A109="","",SUBSTITUTE(SUBSTITUTE(SUBSTITUTE(SUBSTITUTE(SUBSTITUTE(SUBSTITUTE(SUBSTITUTE(TRIM(A109),".",""),"/",""),"-","")," ",""),"(",""),")",""),"+",""))</f>
      </c>
      <c r="H109" s="6">
        <f>IF(G109="","",IF(LEN(G109)&lt;&gt;14,"ERRO: "&amp;LEN(G109)&amp;" dígitos",IF(NOT(ISNUMBER(VALUE(G109))),"ERRO: não numérico",IF(AND(VALUE(MID(G109,13,1))=IF(MOD(SUMPRODUCT(--MID(G109,{1,2,3,4,5,6,7,8,9,10,11,12},1),{5,4,3,2,9,8,7,6,5,4,3,2}),11)&lt;2,0,11-MOD(SUMPRODUCT(--MID(G109,{1,2,3,4,5,6,7,8,9,10,11,12},1),{5,4,3,2,9,8,7,6,5,4,3,2}),11)),VALUE(MID(G109,14,1))=IF(MOD(SUMPRODUCT(--MID(G109,{1,2,3,4,5,6,7,8,9,10,11,12,13},1),{6,5,4,3,2,9,8,7,6,5,4,3,2}),11)&lt;2,0,11-MOD(SUMPRODUCT(--MID(G109,{1,2,3,4,5,6,7,8,9,10,11,12,13},1),{6,5,4,3,2,9,8,7,6,5,4,3,2}),11))),"OK","AVISO: dígito verificador (conferir na org)"))))</f>
      </c>
      <c r="I109" s="6">
        <f>IF(G109="","",IF(COUNTIF($G$2:$G$2001,G109)&gt;1,"DUPLICADO","OK"))</f>
      </c>
      <c r="J109" s="6">
        <f>IF(COUNTA(A109:F109)=0,"",IF(AND(A109&lt;&gt;"",E109&lt;&gt;""),"OK","ERRO: faltam "&amp;IF(A109="","CNPJ; ","")&amp;IF(E109="","Novo gerente; ","")))</f>
      </c>
      <c r="K109" s="6">
        <f>IF(COUNTA(A109:F109)=0,"",IF(AND(LEFT(H109,4)&lt;&gt;"ERRO",I109="OK",J109="OK"),"OK","REVISAR"))</f>
      </c>
    </row>
    <row r="110">
      <c r="A110" s="5"/>
      <c r="B110" s="4"/>
      <c r="C110" s="4"/>
      <c r="D110" s="4"/>
      <c r="E110" s="5"/>
      <c r="F110" s="4"/>
      <c r="G110" s="6">
        <f>IF(A110="","",SUBSTITUTE(SUBSTITUTE(SUBSTITUTE(SUBSTITUTE(SUBSTITUTE(SUBSTITUTE(SUBSTITUTE(TRIM(A110),".",""),"/",""),"-","")," ",""),"(",""),")",""),"+",""))</f>
      </c>
      <c r="H110" s="6">
        <f>IF(G110="","",IF(LEN(G110)&lt;&gt;14,"ERRO: "&amp;LEN(G110)&amp;" dígitos",IF(NOT(ISNUMBER(VALUE(G110))),"ERRO: não numérico",IF(AND(VALUE(MID(G110,13,1))=IF(MOD(SUMPRODUCT(--MID(G110,{1,2,3,4,5,6,7,8,9,10,11,12},1),{5,4,3,2,9,8,7,6,5,4,3,2}),11)&lt;2,0,11-MOD(SUMPRODUCT(--MID(G110,{1,2,3,4,5,6,7,8,9,10,11,12},1),{5,4,3,2,9,8,7,6,5,4,3,2}),11)),VALUE(MID(G110,14,1))=IF(MOD(SUMPRODUCT(--MID(G110,{1,2,3,4,5,6,7,8,9,10,11,12,13},1),{6,5,4,3,2,9,8,7,6,5,4,3,2}),11)&lt;2,0,11-MOD(SUMPRODUCT(--MID(G110,{1,2,3,4,5,6,7,8,9,10,11,12,13},1),{6,5,4,3,2,9,8,7,6,5,4,3,2}),11))),"OK","AVISO: dígito verificador (conferir na org)"))))</f>
      </c>
      <c r="I110" s="6">
        <f>IF(G110="","",IF(COUNTIF($G$2:$G$2001,G110)&gt;1,"DUPLICADO","OK"))</f>
      </c>
      <c r="J110" s="6">
        <f>IF(COUNTA(A110:F110)=0,"",IF(AND(A110&lt;&gt;"",E110&lt;&gt;""),"OK","ERRO: faltam "&amp;IF(A110="","CNPJ; ","")&amp;IF(E110="","Novo gerente; ","")))</f>
      </c>
      <c r="K110" s="6">
        <f>IF(COUNTA(A110:F110)=0,"",IF(AND(LEFT(H110,4)&lt;&gt;"ERRO",I110="OK",J110="OK"),"OK","REVISAR"))</f>
      </c>
    </row>
    <row r="111">
      <c r="A111" s="5"/>
      <c r="B111" s="4"/>
      <c r="C111" s="4"/>
      <c r="D111" s="4"/>
      <c r="E111" s="5"/>
      <c r="F111" s="4"/>
      <c r="G111" s="6">
        <f>IF(A111="","",SUBSTITUTE(SUBSTITUTE(SUBSTITUTE(SUBSTITUTE(SUBSTITUTE(SUBSTITUTE(SUBSTITUTE(TRIM(A111),".",""),"/",""),"-","")," ",""),"(",""),")",""),"+",""))</f>
      </c>
      <c r="H111" s="6">
        <f>IF(G111="","",IF(LEN(G111)&lt;&gt;14,"ERRO: "&amp;LEN(G111)&amp;" dígitos",IF(NOT(ISNUMBER(VALUE(G111))),"ERRO: não numérico",IF(AND(VALUE(MID(G111,13,1))=IF(MOD(SUMPRODUCT(--MID(G111,{1,2,3,4,5,6,7,8,9,10,11,12},1),{5,4,3,2,9,8,7,6,5,4,3,2}),11)&lt;2,0,11-MOD(SUMPRODUCT(--MID(G111,{1,2,3,4,5,6,7,8,9,10,11,12},1),{5,4,3,2,9,8,7,6,5,4,3,2}),11)),VALUE(MID(G111,14,1))=IF(MOD(SUMPRODUCT(--MID(G111,{1,2,3,4,5,6,7,8,9,10,11,12,13},1),{6,5,4,3,2,9,8,7,6,5,4,3,2}),11)&lt;2,0,11-MOD(SUMPRODUCT(--MID(G111,{1,2,3,4,5,6,7,8,9,10,11,12,13},1),{6,5,4,3,2,9,8,7,6,5,4,3,2}),11))),"OK","AVISO: dígito verificador (conferir na org)"))))</f>
      </c>
      <c r="I111" s="6">
        <f>IF(G111="","",IF(COUNTIF($G$2:$G$2001,G111)&gt;1,"DUPLICADO","OK"))</f>
      </c>
      <c r="J111" s="6">
        <f>IF(COUNTA(A111:F111)=0,"",IF(AND(A111&lt;&gt;"",E111&lt;&gt;""),"OK","ERRO: faltam "&amp;IF(A111="","CNPJ; ","")&amp;IF(E111="","Novo gerente; ","")))</f>
      </c>
      <c r="K111" s="6">
        <f>IF(COUNTA(A111:F111)=0,"",IF(AND(LEFT(H111,4)&lt;&gt;"ERRO",I111="OK",J111="OK"),"OK","REVISAR"))</f>
      </c>
    </row>
    <row r="112">
      <c r="A112" s="5"/>
      <c r="B112" s="4"/>
      <c r="C112" s="4"/>
      <c r="D112" s="4"/>
      <c r="E112" s="5"/>
      <c r="F112" s="4"/>
      <c r="G112" s="6">
        <f>IF(A112="","",SUBSTITUTE(SUBSTITUTE(SUBSTITUTE(SUBSTITUTE(SUBSTITUTE(SUBSTITUTE(SUBSTITUTE(TRIM(A112),".",""),"/",""),"-","")," ",""),"(",""),")",""),"+",""))</f>
      </c>
      <c r="H112" s="6">
        <f>IF(G112="","",IF(LEN(G112)&lt;&gt;14,"ERRO: "&amp;LEN(G112)&amp;" dígitos",IF(NOT(ISNUMBER(VALUE(G112))),"ERRO: não numérico",IF(AND(VALUE(MID(G112,13,1))=IF(MOD(SUMPRODUCT(--MID(G112,{1,2,3,4,5,6,7,8,9,10,11,12},1),{5,4,3,2,9,8,7,6,5,4,3,2}),11)&lt;2,0,11-MOD(SUMPRODUCT(--MID(G112,{1,2,3,4,5,6,7,8,9,10,11,12},1),{5,4,3,2,9,8,7,6,5,4,3,2}),11)),VALUE(MID(G112,14,1))=IF(MOD(SUMPRODUCT(--MID(G112,{1,2,3,4,5,6,7,8,9,10,11,12,13},1),{6,5,4,3,2,9,8,7,6,5,4,3,2}),11)&lt;2,0,11-MOD(SUMPRODUCT(--MID(G112,{1,2,3,4,5,6,7,8,9,10,11,12,13},1),{6,5,4,3,2,9,8,7,6,5,4,3,2}),11))),"OK","AVISO: dígito verificador (conferir na org)"))))</f>
      </c>
      <c r="I112" s="6">
        <f>IF(G112="","",IF(COUNTIF($G$2:$G$2001,G112)&gt;1,"DUPLICADO","OK"))</f>
      </c>
      <c r="J112" s="6">
        <f>IF(COUNTA(A112:F112)=0,"",IF(AND(A112&lt;&gt;"",E112&lt;&gt;""),"OK","ERRO: faltam "&amp;IF(A112="","CNPJ; ","")&amp;IF(E112="","Novo gerente; ","")))</f>
      </c>
      <c r="K112" s="6">
        <f>IF(COUNTA(A112:F112)=0,"",IF(AND(LEFT(H112,4)&lt;&gt;"ERRO",I112="OK",J112="OK"),"OK","REVISAR"))</f>
      </c>
    </row>
    <row r="113">
      <c r="A113" s="5"/>
      <c r="B113" s="4"/>
      <c r="C113" s="4"/>
      <c r="D113" s="4"/>
      <c r="E113" s="5"/>
      <c r="F113" s="4"/>
      <c r="G113" s="6">
        <f>IF(A113="","",SUBSTITUTE(SUBSTITUTE(SUBSTITUTE(SUBSTITUTE(SUBSTITUTE(SUBSTITUTE(SUBSTITUTE(TRIM(A113),".",""),"/",""),"-","")," ",""),"(",""),")",""),"+",""))</f>
      </c>
      <c r="H113" s="6">
        <f>IF(G113="","",IF(LEN(G113)&lt;&gt;14,"ERRO: "&amp;LEN(G113)&amp;" dígitos",IF(NOT(ISNUMBER(VALUE(G113))),"ERRO: não numérico",IF(AND(VALUE(MID(G113,13,1))=IF(MOD(SUMPRODUCT(--MID(G113,{1,2,3,4,5,6,7,8,9,10,11,12},1),{5,4,3,2,9,8,7,6,5,4,3,2}),11)&lt;2,0,11-MOD(SUMPRODUCT(--MID(G113,{1,2,3,4,5,6,7,8,9,10,11,12},1),{5,4,3,2,9,8,7,6,5,4,3,2}),11)),VALUE(MID(G113,14,1))=IF(MOD(SUMPRODUCT(--MID(G113,{1,2,3,4,5,6,7,8,9,10,11,12,13},1),{6,5,4,3,2,9,8,7,6,5,4,3,2}),11)&lt;2,0,11-MOD(SUMPRODUCT(--MID(G113,{1,2,3,4,5,6,7,8,9,10,11,12,13},1),{6,5,4,3,2,9,8,7,6,5,4,3,2}),11))),"OK","AVISO: dígito verificador (conferir na org)"))))</f>
      </c>
      <c r="I113" s="6">
        <f>IF(G113="","",IF(COUNTIF($G$2:$G$2001,G113)&gt;1,"DUPLICADO","OK"))</f>
      </c>
      <c r="J113" s="6">
        <f>IF(COUNTA(A113:F113)=0,"",IF(AND(A113&lt;&gt;"",E113&lt;&gt;""),"OK","ERRO: faltam "&amp;IF(A113="","CNPJ; ","")&amp;IF(E113="","Novo gerente; ","")))</f>
      </c>
      <c r="K113" s="6">
        <f>IF(COUNTA(A113:F113)=0,"",IF(AND(LEFT(H113,4)&lt;&gt;"ERRO",I113="OK",J113="OK"),"OK","REVISAR"))</f>
      </c>
    </row>
    <row r="114">
      <c r="A114" s="5"/>
      <c r="B114" s="4"/>
      <c r="C114" s="4"/>
      <c r="D114" s="4"/>
      <c r="E114" s="5"/>
      <c r="F114" s="4"/>
      <c r="G114" s="6">
        <f>IF(A114="","",SUBSTITUTE(SUBSTITUTE(SUBSTITUTE(SUBSTITUTE(SUBSTITUTE(SUBSTITUTE(SUBSTITUTE(TRIM(A114),".",""),"/",""),"-","")," ",""),"(",""),")",""),"+",""))</f>
      </c>
      <c r="H114" s="6">
        <f>IF(G114="","",IF(LEN(G114)&lt;&gt;14,"ERRO: "&amp;LEN(G114)&amp;" dígitos",IF(NOT(ISNUMBER(VALUE(G114))),"ERRO: não numérico",IF(AND(VALUE(MID(G114,13,1))=IF(MOD(SUMPRODUCT(--MID(G114,{1,2,3,4,5,6,7,8,9,10,11,12},1),{5,4,3,2,9,8,7,6,5,4,3,2}),11)&lt;2,0,11-MOD(SUMPRODUCT(--MID(G114,{1,2,3,4,5,6,7,8,9,10,11,12},1),{5,4,3,2,9,8,7,6,5,4,3,2}),11)),VALUE(MID(G114,14,1))=IF(MOD(SUMPRODUCT(--MID(G114,{1,2,3,4,5,6,7,8,9,10,11,12,13},1),{6,5,4,3,2,9,8,7,6,5,4,3,2}),11)&lt;2,0,11-MOD(SUMPRODUCT(--MID(G114,{1,2,3,4,5,6,7,8,9,10,11,12,13},1),{6,5,4,3,2,9,8,7,6,5,4,3,2}),11))),"OK","AVISO: dígito verificador (conferir na org)"))))</f>
      </c>
      <c r="I114" s="6">
        <f>IF(G114="","",IF(COUNTIF($G$2:$G$2001,G114)&gt;1,"DUPLICADO","OK"))</f>
      </c>
      <c r="J114" s="6">
        <f>IF(COUNTA(A114:F114)=0,"",IF(AND(A114&lt;&gt;"",E114&lt;&gt;""),"OK","ERRO: faltam "&amp;IF(A114="","CNPJ; ","")&amp;IF(E114="","Novo gerente; ","")))</f>
      </c>
      <c r="K114" s="6">
        <f>IF(COUNTA(A114:F114)=0,"",IF(AND(LEFT(H114,4)&lt;&gt;"ERRO",I114="OK",J114="OK"),"OK","REVISAR"))</f>
      </c>
    </row>
    <row r="115">
      <c r="A115" s="5"/>
      <c r="B115" s="4"/>
      <c r="C115" s="4"/>
      <c r="D115" s="4"/>
      <c r="E115" s="5"/>
      <c r="F115" s="4"/>
      <c r="G115" s="6">
        <f>IF(A115="","",SUBSTITUTE(SUBSTITUTE(SUBSTITUTE(SUBSTITUTE(SUBSTITUTE(SUBSTITUTE(SUBSTITUTE(TRIM(A115),".",""),"/",""),"-","")," ",""),"(",""),")",""),"+",""))</f>
      </c>
      <c r="H115" s="6">
        <f>IF(G115="","",IF(LEN(G115)&lt;&gt;14,"ERRO: "&amp;LEN(G115)&amp;" dígitos",IF(NOT(ISNUMBER(VALUE(G115))),"ERRO: não numérico",IF(AND(VALUE(MID(G115,13,1))=IF(MOD(SUMPRODUCT(--MID(G115,{1,2,3,4,5,6,7,8,9,10,11,12},1),{5,4,3,2,9,8,7,6,5,4,3,2}),11)&lt;2,0,11-MOD(SUMPRODUCT(--MID(G115,{1,2,3,4,5,6,7,8,9,10,11,12},1),{5,4,3,2,9,8,7,6,5,4,3,2}),11)),VALUE(MID(G115,14,1))=IF(MOD(SUMPRODUCT(--MID(G115,{1,2,3,4,5,6,7,8,9,10,11,12,13},1),{6,5,4,3,2,9,8,7,6,5,4,3,2}),11)&lt;2,0,11-MOD(SUMPRODUCT(--MID(G115,{1,2,3,4,5,6,7,8,9,10,11,12,13},1),{6,5,4,3,2,9,8,7,6,5,4,3,2}),11))),"OK","AVISO: dígito verificador (conferir na org)"))))</f>
      </c>
      <c r="I115" s="6">
        <f>IF(G115="","",IF(COUNTIF($G$2:$G$2001,G115)&gt;1,"DUPLICADO","OK"))</f>
      </c>
      <c r="J115" s="6">
        <f>IF(COUNTA(A115:F115)=0,"",IF(AND(A115&lt;&gt;"",E115&lt;&gt;""),"OK","ERRO: faltam "&amp;IF(A115="","CNPJ; ","")&amp;IF(E115="","Novo gerente; ","")))</f>
      </c>
      <c r="K115" s="6">
        <f>IF(COUNTA(A115:F115)=0,"",IF(AND(LEFT(H115,4)&lt;&gt;"ERRO",I115="OK",J115="OK"),"OK","REVISAR"))</f>
      </c>
    </row>
    <row r="116">
      <c r="A116" s="5"/>
      <c r="B116" s="4"/>
      <c r="C116" s="4"/>
      <c r="D116" s="4"/>
      <c r="E116" s="5"/>
      <c r="F116" s="4"/>
      <c r="G116" s="6">
        <f>IF(A116="","",SUBSTITUTE(SUBSTITUTE(SUBSTITUTE(SUBSTITUTE(SUBSTITUTE(SUBSTITUTE(SUBSTITUTE(TRIM(A116),".",""),"/",""),"-","")," ",""),"(",""),")",""),"+",""))</f>
      </c>
      <c r="H116" s="6">
        <f>IF(G116="","",IF(LEN(G116)&lt;&gt;14,"ERRO: "&amp;LEN(G116)&amp;" dígitos",IF(NOT(ISNUMBER(VALUE(G116))),"ERRO: não numérico",IF(AND(VALUE(MID(G116,13,1))=IF(MOD(SUMPRODUCT(--MID(G116,{1,2,3,4,5,6,7,8,9,10,11,12},1),{5,4,3,2,9,8,7,6,5,4,3,2}),11)&lt;2,0,11-MOD(SUMPRODUCT(--MID(G116,{1,2,3,4,5,6,7,8,9,10,11,12},1),{5,4,3,2,9,8,7,6,5,4,3,2}),11)),VALUE(MID(G116,14,1))=IF(MOD(SUMPRODUCT(--MID(G116,{1,2,3,4,5,6,7,8,9,10,11,12,13},1),{6,5,4,3,2,9,8,7,6,5,4,3,2}),11)&lt;2,0,11-MOD(SUMPRODUCT(--MID(G116,{1,2,3,4,5,6,7,8,9,10,11,12,13},1),{6,5,4,3,2,9,8,7,6,5,4,3,2}),11))),"OK","AVISO: dígito verificador (conferir na org)"))))</f>
      </c>
      <c r="I116" s="6">
        <f>IF(G116="","",IF(COUNTIF($G$2:$G$2001,G116)&gt;1,"DUPLICADO","OK"))</f>
      </c>
      <c r="J116" s="6">
        <f>IF(COUNTA(A116:F116)=0,"",IF(AND(A116&lt;&gt;"",E116&lt;&gt;""),"OK","ERRO: faltam "&amp;IF(A116="","CNPJ; ","")&amp;IF(E116="","Novo gerente; ","")))</f>
      </c>
      <c r="K116" s="6">
        <f>IF(COUNTA(A116:F116)=0,"",IF(AND(LEFT(H116,4)&lt;&gt;"ERRO",I116="OK",J116="OK"),"OK","REVISAR"))</f>
      </c>
    </row>
    <row r="117">
      <c r="A117" s="5"/>
      <c r="B117" s="4"/>
      <c r="C117" s="4"/>
      <c r="D117" s="4"/>
      <c r="E117" s="5"/>
      <c r="F117" s="4"/>
      <c r="G117" s="6">
        <f>IF(A117="","",SUBSTITUTE(SUBSTITUTE(SUBSTITUTE(SUBSTITUTE(SUBSTITUTE(SUBSTITUTE(SUBSTITUTE(TRIM(A117),".",""),"/",""),"-","")," ",""),"(",""),")",""),"+",""))</f>
      </c>
      <c r="H117" s="6">
        <f>IF(G117="","",IF(LEN(G117)&lt;&gt;14,"ERRO: "&amp;LEN(G117)&amp;" dígitos",IF(NOT(ISNUMBER(VALUE(G117))),"ERRO: não numérico",IF(AND(VALUE(MID(G117,13,1))=IF(MOD(SUMPRODUCT(--MID(G117,{1,2,3,4,5,6,7,8,9,10,11,12},1),{5,4,3,2,9,8,7,6,5,4,3,2}),11)&lt;2,0,11-MOD(SUMPRODUCT(--MID(G117,{1,2,3,4,5,6,7,8,9,10,11,12},1),{5,4,3,2,9,8,7,6,5,4,3,2}),11)),VALUE(MID(G117,14,1))=IF(MOD(SUMPRODUCT(--MID(G117,{1,2,3,4,5,6,7,8,9,10,11,12,13},1),{6,5,4,3,2,9,8,7,6,5,4,3,2}),11)&lt;2,0,11-MOD(SUMPRODUCT(--MID(G117,{1,2,3,4,5,6,7,8,9,10,11,12,13},1),{6,5,4,3,2,9,8,7,6,5,4,3,2}),11))),"OK","AVISO: dígito verificador (conferir na org)"))))</f>
      </c>
      <c r="I117" s="6">
        <f>IF(G117="","",IF(COUNTIF($G$2:$G$2001,G117)&gt;1,"DUPLICADO","OK"))</f>
      </c>
      <c r="J117" s="6">
        <f>IF(COUNTA(A117:F117)=0,"",IF(AND(A117&lt;&gt;"",E117&lt;&gt;""),"OK","ERRO: faltam "&amp;IF(A117="","CNPJ; ","")&amp;IF(E117="","Novo gerente; ","")))</f>
      </c>
      <c r="K117" s="6">
        <f>IF(COUNTA(A117:F117)=0,"",IF(AND(LEFT(H117,4)&lt;&gt;"ERRO",I117="OK",J117="OK"),"OK","REVISAR"))</f>
      </c>
    </row>
    <row r="118">
      <c r="A118" s="5"/>
      <c r="B118" s="4"/>
      <c r="C118" s="4"/>
      <c r="D118" s="4"/>
      <c r="E118" s="5"/>
      <c r="F118" s="4"/>
      <c r="G118" s="6">
        <f>IF(A118="","",SUBSTITUTE(SUBSTITUTE(SUBSTITUTE(SUBSTITUTE(SUBSTITUTE(SUBSTITUTE(SUBSTITUTE(TRIM(A118),".",""),"/",""),"-","")," ",""),"(",""),")",""),"+",""))</f>
      </c>
      <c r="H118" s="6">
        <f>IF(G118="","",IF(LEN(G118)&lt;&gt;14,"ERRO: "&amp;LEN(G118)&amp;" dígitos",IF(NOT(ISNUMBER(VALUE(G118))),"ERRO: não numérico",IF(AND(VALUE(MID(G118,13,1))=IF(MOD(SUMPRODUCT(--MID(G118,{1,2,3,4,5,6,7,8,9,10,11,12},1),{5,4,3,2,9,8,7,6,5,4,3,2}),11)&lt;2,0,11-MOD(SUMPRODUCT(--MID(G118,{1,2,3,4,5,6,7,8,9,10,11,12},1),{5,4,3,2,9,8,7,6,5,4,3,2}),11)),VALUE(MID(G118,14,1))=IF(MOD(SUMPRODUCT(--MID(G118,{1,2,3,4,5,6,7,8,9,10,11,12,13},1),{6,5,4,3,2,9,8,7,6,5,4,3,2}),11)&lt;2,0,11-MOD(SUMPRODUCT(--MID(G118,{1,2,3,4,5,6,7,8,9,10,11,12,13},1),{6,5,4,3,2,9,8,7,6,5,4,3,2}),11))),"OK","AVISO: dígito verificador (conferir na org)"))))</f>
      </c>
      <c r="I118" s="6">
        <f>IF(G118="","",IF(COUNTIF($G$2:$G$2001,G118)&gt;1,"DUPLICADO","OK"))</f>
      </c>
      <c r="J118" s="6">
        <f>IF(COUNTA(A118:F118)=0,"",IF(AND(A118&lt;&gt;"",E118&lt;&gt;""),"OK","ERRO: faltam "&amp;IF(A118="","CNPJ; ","")&amp;IF(E118="","Novo gerente; ","")))</f>
      </c>
      <c r="K118" s="6">
        <f>IF(COUNTA(A118:F118)=0,"",IF(AND(LEFT(H118,4)&lt;&gt;"ERRO",I118="OK",J118="OK"),"OK","REVISAR"))</f>
      </c>
    </row>
    <row r="119">
      <c r="A119" s="5"/>
      <c r="B119" s="4"/>
      <c r="C119" s="4"/>
      <c r="D119" s="4"/>
      <c r="E119" s="5"/>
      <c r="F119" s="4"/>
      <c r="G119" s="6">
        <f>IF(A119="","",SUBSTITUTE(SUBSTITUTE(SUBSTITUTE(SUBSTITUTE(SUBSTITUTE(SUBSTITUTE(SUBSTITUTE(TRIM(A119),".",""),"/",""),"-","")," ",""),"(",""),")",""),"+",""))</f>
      </c>
      <c r="H119" s="6">
        <f>IF(G119="","",IF(LEN(G119)&lt;&gt;14,"ERRO: "&amp;LEN(G119)&amp;" dígitos",IF(NOT(ISNUMBER(VALUE(G119))),"ERRO: não numérico",IF(AND(VALUE(MID(G119,13,1))=IF(MOD(SUMPRODUCT(--MID(G119,{1,2,3,4,5,6,7,8,9,10,11,12},1),{5,4,3,2,9,8,7,6,5,4,3,2}),11)&lt;2,0,11-MOD(SUMPRODUCT(--MID(G119,{1,2,3,4,5,6,7,8,9,10,11,12},1),{5,4,3,2,9,8,7,6,5,4,3,2}),11)),VALUE(MID(G119,14,1))=IF(MOD(SUMPRODUCT(--MID(G119,{1,2,3,4,5,6,7,8,9,10,11,12,13},1),{6,5,4,3,2,9,8,7,6,5,4,3,2}),11)&lt;2,0,11-MOD(SUMPRODUCT(--MID(G119,{1,2,3,4,5,6,7,8,9,10,11,12,13},1),{6,5,4,3,2,9,8,7,6,5,4,3,2}),11))),"OK","AVISO: dígito verificador (conferir na org)"))))</f>
      </c>
      <c r="I119" s="6">
        <f>IF(G119="","",IF(COUNTIF($G$2:$G$2001,G119)&gt;1,"DUPLICADO","OK"))</f>
      </c>
      <c r="J119" s="6">
        <f>IF(COUNTA(A119:F119)=0,"",IF(AND(A119&lt;&gt;"",E119&lt;&gt;""),"OK","ERRO: faltam "&amp;IF(A119="","CNPJ; ","")&amp;IF(E119="","Novo gerente; ","")))</f>
      </c>
      <c r="K119" s="6">
        <f>IF(COUNTA(A119:F119)=0,"",IF(AND(LEFT(H119,4)&lt;&gt;"ERRO",I119="OK",J119="OK"),"OK","REVISAR"))</f>
      </c>
    </row>
    <row r="120">
      <c r="A120" s="5"/>
      <c r="B120" s="4"/>
      <c r="C120" s="4"/>
      <c r="D120" s="4"/>
      <c r="E120" s="5"/>
      <c r="F120" s="4"/>
      <c r="G120" s="6">
        <f>IF(A120="","",SUBSTITUTE(SUBSTITUTE(SUBSTITUTE(SUBSTITUTE(SUBSTITUTE(SUBSTITUTE(SUBSTITUTE(TRIM(A120),".",""),"/",""),"-","")," ",""),"(",""),")",""),"+",""))</f>
      </c>
      <c r="H120" s="6">
        <f>IF(G120="","",IF(LEN(G120)&lt;&gt;14,"ERRO: "&amp;LEN(G120)&amp;" dígitos",IF(NOT(ISNUMBER(VALUE(G120))),"ERRO: não numérico",IF(AND(VALUE(MID(G120,13,1))=IF(MOD(SUMPRODUCT(--MID(G120,{1,2,3,4,5,6,7,8,9,10,11,12},1),{5,4,3,2,9,8,7,6,5,4,3,2}),11)&lt;2,0,11-MOD(SUMPRODUCT(--MID(G120,{1,2,3,4,5,6,7,8,9,10,11,12},1),{5,4,3,2,9,8,7,6,5,4,3,2}),11)),VALUE(MID(G120,14,1))=IF(MOD(SUMPRODUCT(--MID(G120,{1,2,3,4,5,6,7,8,9,10,11,12,13},1),{6,5,4,3,2,9,8,7,6,5,4,3,2}),11)&lt;2,0,11-MOD(SUMPRODUCT(--MID(G120,{1,2,3,4,5,6,7,8,9,10,11,12,13},1),{6,5,4,3,2,9,8,7,6,5,4,3,2}),11))),"OK","AVISO: dígito verificador (conferir na org)"))))</f>
      </c>
      <c r="I120" s="6">
        <f>IF(G120="","",IF(COUNTIF($G$2:$G$2001,G120)&gt;1,"DUPLICADO","OK"))</f>
      </c>
      <c r="J120" s="6">
        <f>IF(COUNTA(A120:F120)=0,"",IF(AND(A120&lt;&gt;"",E120&lt;&gt;""),"OK","ERRO: faltam "&amp;IF(A120="","CNPJ; ","")&amp;IF(E120="","Novo gerente; ","")))</f>
      </c>
      <c r="K120" s="6">
        <f>IF(COUNTA(A120:F120)=0,"",IF(AND(LEFT(H120,4)&lt;&gt;"ERRO",I120="OK",J120="OK"),"OK","REVISAR"))</f>
      </c>
    </row>
    <row r="121">
      <c r="A121" s="5"/>
      <c r="B121" s="4"/>
      <c r="C121" s="4"/>
      <c r="D121" s="4"/>
      <c r="E121" s="5"/>
      <c r="F121" s="4"/>
      <c r="G121" s="6">
        <f>IF(A121="","",SUBSTITUTE(SUBSTITUTE(SUBSTITUTE(SUBSTITUTE(SUBSTITUTE(SUBSTITUTE(SUBSTITUTE(TRIM(A121),".",""),"/",""),"-","")," ",""),"(",""),")",""),"+",""))</f>
      </c>
      <c r="H121" s="6">
        <f>IF(G121="","",IF(LEN(G121)&lt;&gt;14,"ERRO: "&amp;LEN(G121)&amp;" dígitos",IF(NOT(ISNUMBER(VALUE(G121))),"ERRO: não numérico",IF(AND(VALUE(MID(G121,13,1))=IF(MOD(SUMPRODUCT(--MID(G121,{1,2,3,4,5,6,7,8,9,10,11,12},1),{5,4,3,2,9,8,7,6,5,4,3,2}),11)&lt;2,0,11-MOD(SUMPRODUCT(--MID(G121,{1,2,3,4,5,6,7,8,9,10,11,12},1),{5,4,3,2,9,8,7,6,5,4,3,2}),11)),VALUE(MID(G121,14,1))=IF(MOD(SUMPRODUCT(--MID(G121,{1,2,3,4,5,6,7,8,9,10,11,12,13},1),{6,5,4,3,2,9,8,7,6,5,4,3,2}),11)&lt;2,0,11-MOD(SUMPRODUCT(--MID(G121,{1,2,3,4,5,6,7,8,9,10,11,12,13},1),{6,5,4,3,2,9,8,7,6,5,4,3,2}),11))),"OK","AVISO: dígito verificador (conferir na org)"))))</f>
      </c>
      <c r="I121" s="6">
        <f>IF(G121="","",IF(COUNTIF($G$2:$G$2001,G121)&gt;1,"DUPLICADO","OK"))</f>
      </c>
      <c r="J121" s="6">
        <f>IF(COUNTA(A121:F121)=0,"",IF(AND(A121&lt;&gt;"",E121&lt;&gt;""),"OK","ERRO: faltam "&amp;IF(A121="","CNPJ; ","")&amp;IF(E121="","Novo gerente; ","")))</f>
      </c>
      <c r="K121" s="6">
        <f>IF(COUNTA(A121:F121)=0,"",IF(AND(LEFT(H121,4)&lt;&gt;"ERRO",I121="OK",J121="OK"),"OK","REVISAR"))</f>
      </c>
    </row>
    <row r="122">
      <c r="A122" s="5"/>
      <c r="B122" s="4"/>
      <c r="C122" s="4"/>
      <c r="D122" s="4"/>
      <c r="E122" s="5"/>
      <c r="F122" s="4"/>
      <c r="G122" s="6">
        <f>IF(A122="","",SUBSTITUTE(SUBSTITUTE(SUBSTITUTE(SUBSTITUTE(SUBSTITUTE(SUBSTITUTE(SUBSTITUTE(TRIM(A122),".",""),"/",""),"-","")," ",""),"(",""),")",""),"+",""))</f>
      </c>
      <c r="H122" s="6">
        <f>IF(G122="","",IF(LEN(G122)&lt;&gt;14,"ERRO: "&amp;LEN(G122)&amp;" dígitos",IF(NOT(ISNUMBER(VALUE(G122))),"ERRO: não numérico",IF(AND(VALUE(MID(G122,13,1))=IF(MOD(SUMPRODUCT(--MID(G122,{1,2,3,4,5,6,7,8,9,10,11,12},1),{5,4,3,2,9,8,7,6,5,4,3,2}),11)&lt;2,0,11-MOD(SUMPRODUCT(--MID(G122,{1,2,3,4,5,6,7,8,9,10,11,12},1),{5,4,3,2,9,8,7,6,5,4,3,2}),11)),VALUE(MID(G122,14,1))=IF(MOD(SUMPRODUCT(--MID(G122,{1,2,3,4,5,6,7,8,9,10,11,12,13},1),{6,5,4,3,2,9,8,7,6,5,4,3,2}),11)&lt;2,0,11-MOD(SUMPRODUCT(--MID(G122,{1,2,3,4,5,6,7,8,9,10,11,12,13},1),{6,5,4,3,2,9,8,7,6,5,4,3,2}),11))),"OK","AVISO: dígito verificador (conferir na org)"))))</f>
      </c>
      <c r="I122" s="6">
        <f>IF(G122="","",IF(COUNTIF($G$2:$G$2001,G122)&gt;1,"DUPLICADO","OK"))</f>
      </c>
      <c r="J122" s="6">
        <f>IF(COUNTA(A122:F122)=0,"",IF(AND(A122&lt;&gt;"",E122&lt;&gt;""),"OK","ERRO: faltam "&amp;IF(A122="","CNPJ; ","")&amp;IF(E122="","Novo gerente; ","")))</f>
      </c>
      <c r="K122" s="6">
        <f>IF(COUNTA(A122:F122)=0,"",IF(AND(LEFT(H122,4)&lt;&gt;"ERRO",I122="OK",J122="OK"),"OK","REVISAR"))</f>
      </c>
    </row>
    <row r="123">
      <c r="A123" s="5"/>
      <c r="B123" s="4"/>
      <c r="C123" s="4"/>
      <c r="D123" s="4"/>
      <c r="E123" s="5"/>
      <c r="F123" s="4"/>
      <c r="G123" s="6">
        <f>IF(A123="","",SUBSTITUTE(SUBSTITUTE(SUBSTITUTE(SUBSTITUTE(SUBSTITUTE(SUBSTITUTE(SUBSTITUTE(TRIM(A123),".",""),"/",""),"-","")," ",""),"(",""),")",""),"+",""))</f>
      </c>
      <c r="H123" s="6">
        <f>IF(G123="","",IF(LEN(G123)&lt;&gt;14,"ERRO: "&amp;LEN(G123)&amp;" dígitos",IF(NOT(ISNUMBER(VALUE(G123))),"ERRO: não numérico",IF(AND(VALUE(MID(G123,13,1))=IF(MOD(SUMPRODUCT(--MID(G123,{1,2,3,4,5,6,7,8,9,10,11,12},1),{5,4,3,2,9,8,7,6,5,4,3,2}),11)&lt;2,0,11-MOD(SUMPRODUCT(--MID(G123,{1,2,3,4,5,6,7,8,9,10,11,12},1),{5,4,3,2,9,8,7,6,5,4,3,2}),11)),VALUE(MID(G123,14,1))=IF(MOD(SUMPRODUCT(--MID(G123,{1,2,3,4,5,6,7,8,9,10,11,12,13},1),{6,5,4,3,2,9,8,7,6,5,4,3,2}),11)&lt;2,0,11-MOD(SUMPRODUCT(--MID(G123,{1,2,3,4,5,6,7,8,9,10,11,12,13},1),{6,5,4,3,2,9,8,7,6,5,4,3,2}),11))),"OK","AVISO: dígito verificador (conferir na org)"))))</f>
      </c>
      <c r="I123" s="6">
        <f>IF(G123="","",IF(COUNTIF($G$2:$G$2001,G123)&gt;1,"DUPLICADO","OK"))</f>
      </c>
      <c r="J123" s="6">
        <f>IF(COUNTA(A123:F123)=0,"",IF(AND(A123&lt;&gt;"",E123&lt;&gt;""),"OK","ERRO: faltam "&amp;IF(A123="","CNPJ; ","")&amp;IF(E123="","Novo gerente; ","")))</f>
      </c>
      <c r="K123" s="6">
        <f>IF(COUNTA(A123:F123)=0,"",IF(AND(LEFT(H123,4)&lt;&gt;"ERRO",I123="OK",J123="OK"),"OK","REVISAR"))</f>
      </c>
    </row>
    <row r="124">
      <c r="A124" s="5"/>
      <c r="B124" s="4"/>
      <c r="C124" s="4"/>
      <c r="D124" s="4"/>
      <c r="E124" s="5"/>
      <c r="F124" s="4"/>
      <c r="G124" s="6">
        <f>IF(A124="","",SUBSTITUTE(SUBSTITUTE(SUBSTITUTE(SUBSTITUTE(SUBSTITUTE(SUBSTITUTE(SUBSTITUTE(TRIM(A124),".",""),"/",""),"-","")," ",""),"(",""),")",""),"+",""))</f>
      </c>
      <c r="H124" s="6">
        <f>IF(G124="","",IF(LEN(G124)&lt;&gt;14,"ERRO: "&amp;LEN(G124)&amp;" dígitos",IF(NOT(ISNUMBER(VALUE(G124))),"ERRO: não numérico",IF(AND(VALUE(MID(G124,13,1))=IF(MOD(SUMPRODUCT(--MID(G124,{1,2,3,4,5,6,7,8,9,10,11,12},1),{5,4,3,2,9,8,7,6,5,4,3,2}),11)&lt;2,0,11-MOD(SUMPRODUCT(--MID(G124,{1,2,3,4,5,6,7,8,9,10,11,12},1),{5,4,3,2,9,8,7,6,5,4,3,2}),11)),VALUE(MID(G124,14,1))=IF(MOD(SUMPRODUCT(--MID(G124,{1,2,3,4,5,6,7,8,9,10,11,12,13},1),{6,5,4,3,2,9,8,7,6,5,4,3,2}),11)&lt;2,0,11-MOD(SUMPRODUCT(--MID(G124,{1,2,3,4,5,6,7,8,9,10,11,12,13},1),{6,5,4,3,2,9,8,7,6,5,4,3,2}),11))),"OK","AVISO: dígito verificador (conferir na org)"))))</f>
      </c>
      <c r="I124" s="6">
        <f>IF(G124="","",IF(COUNTIF($G$2:$G$2001,G124)&gt;1,"DUPLICADO","OK"))</f>
      </c>
      <c r="J124" s="6">
        <f>IF(COUNTA(A124:F124)=0,"",IF(AND(A124&lt;&gt;"",E124&lt;&gt;""),"OK","ERRO: faltam "&amp;IF(A124="","CNPJ; ","")&amp;IF(E124="","Novo gerente; ","")))</f>
      </c>
      <c r="K124" s="6">
        <f>IF(COUNTA(A124:F124)=0,"",IF(AND(LEFT(H124,4)&lt;&gt;"ERRO",I124="OK",J124="OK"),"OK","REVISAR"))</f>
      </c>
    </row>
    <row r="125">
      <c r="A125" s="5"/>
      <c r="B125" s="4"/>
      <c r="C125" s="4"/>
      <c r="D125" s="4"/>
      <c r="E125" s="5"/>
      <c r="F125" s="4"/>
      <c r="G125" s="6">
        <f>IF(A125="","",SUBSTITUTE(SUBSTITUTE(SUBSTITUTE(SUBSTITUTE(SUBSTITUTE(SUBSTITUTE(SUBSTITUTE(TRIM(A125),".",""),"/",""),"-","")," ",""),"(",""),")",""),"+",""))</f>
      </c>
      <c r="H125" s="6">
        <f>IF(G125="","",IF(LEN(G125)&lt;&gt;14,"ERRO: "&amp;LEN(G125)&amp;" dígitos",IF(NOT(ISNUMBER(VALUE(G125))),"ERRO: não numérico",IF(AND(VALUE(MID(G125,13,1))=IF(MOD(SUMPRODUCT(--MID(G125,{1,2,3,4,5,6,7,8,9,10,11,12},1),{5,4,3,2,9,8,7,6,5,4,3,2}),11)&lt;2,0,11-MOD(SUMPRODUCT(--MID(G125,{1,2,3,4,5,6,7,8,9,10,11,12},1),{5,4,3,2,9,8,7,6,5,4,3,2}),11)),VALUE(MID(G125,14,1))=IF(MOD(SUMPRODUCT(--MID(G125,{1,2,3,4,5,6,7,8,9,10,11,12,13},1),{6,5,4,3,2,9,8,7,6,5,4,3,2}),11)&lt;2,0,11-MOD(SUMPRODUCT(--MID(G125,{1,2,3,4,5,6,7,8,9,10,11,12,13},1),{6,5,4,3,2,9,8,7,6,5,4,3,2}),11))),"OK","AVISO: dígito verificador (conferir na org)"))))</f>
      </c>
      <c r="I125" s="6">
        <f>IF(G125="","",IF(COUNTIF($G$2:$G$2001,G125)&gt;1,"DUPLICADO","OK"))</f>
      </c>
      <c r="J125" s="6">
        <f>IF(COUNTA(A125:F125)=0,"",IF(AND(A125&lt;&gt;"",E125&lt;&gt;""),"OK","ERRO: faltam "&amp;IF(A125="","CNPJ; ","")&amp;IF(E125="","Novo gerente; ","")))</f>
      </c>
      <c r="K125" s="6">
        <f>IF(COUNTA(A125:F125)=0,"",IF(AND(LEFT(H125,4)&lt;&gt;"ERRO",I125="OK",J125="OK"),"OK","REVISAR"))</f>
      </c>
    </row>
    <row r="126">
      <c r="A126" s="5"/>
      <c r="B126" s="4"/>
      <c r="C126" s="4"/>
      <c r="D126" s="4"/>
      <c r="E126" s="5"/>
      <c r="F126" s="4"/>
      <c r="G126" s="6">
        <f>IF(A126="","",SUBSTITUTE(SUBSTITUTE(SUBSTITUTE(SUBSTITUTE(SUBSTITUTE(SUBSTITUTE(SUBSTITUTE(TRIM(A126),".",""),"/",""),"-","")," ",""),"(",""),")",""),"+",""))</f>
      </c>
      <c r="H126" s="6">
        <f>IF(G126="","",IF(LEN(G126)&lt;&gt;14,"ERRO: "&amp;LEN(G126)&amp;" dígitos",IF(NOT(ISNUMBER(VALUE(G126))),"ERRO: não numérico",IF(AND(VALUE(MID(G126,13,1))=IF(MOD(SUMPRODUCT(--MID(G126,{1,2,3,4,5,6,7,8,9,10,11,12},1),{5,4,3,2,9,8,7,6,5,4,3,2}),11)&lt;2,0,11-MOD(SUMPRODUCT(--MID(G126,{1,2,3,4,5,6,7,8,9,10,11,12},1),{5,4,3,2,9,8,7,6,5,4,3,2}),11)),VALUE(MID(G126,14,1))=IF(MOD(SUMPRODUCT(--MID(G126,{1,2,3,4,5,6,7,8,9,10,11,12,13},1),{6,5,4,3,2,9,8,7,6,5,4,3,2}),11)&lt;2,0,11-MOD(SUMPRODUCT(--MID(G126,{1,2,3,4,5,6,7,8,9,10,11,12,13},1),{6,5,4,3,2,9,8,7,6,5,4,3,2}),11))),"OK","AVISO: dígito verificador (conferir na org)"))))</f>
      </c>
      <c r="I126" s="6">
        <f>IF(G126="","",IF(COUNTIF($G$2:$G$2001,G126)&gt;1,"DUPLICADO","OK"))</f>
      </c>
      <c r="J126" s="6">
        <f>IF(COUNTA(A126:F126)=0,"",IF(AND(A126&lt;&gt;"",E126&lt;&gt;""),"OK","ERRO: faltam "&amp;IF(A126="","CNPJ; ","")&amp;IF(E126="","Novo gerente; ","")))</f>
      </c>
      <c r="K126" s="6">
        <f>IF(COUNTA(A126:F126)=0,"",IF(AND(LEFT(H126,4)&lt;&gt;"ERRO",I126="OK",J126="OK"),"OK","REVISAR"))</f>
      </c>
    </row>
    <row r="127">
      <c r="A127" s="5"/>
      <c r="B127" s="4"/>
      <c r="C127" s="4"/>
      <c r="D127" s="4"/>
      <c r="E127" s="5"/>
      <c r="F127" s="4"/>
      <c r="G127" s="6">
        <f>IF(A127="","",SUBSTITUTE(SUBSTITUTE(SUBSTITUTE(SUBSTITUTE(SUBSTITUTE(SUBSTITUTE(SUBSTITUTE(TRIM(A127),".",""),"/",""),"-","")," ",""),"(",""),")",""),"+",""))</f>
      </c>
      <c r="H127" s="6">
        <f>IF(G127="","",IF(LEN(G127)&lt;&gt;14,"ERRO: "&amp;LEN(G127)&amp;" dígitos",IF(NOT(ISNUMBER(VALUE(G127))),"ERRO: não numérico",IF(AND(VALUE(MID(G127,13,1))=IF(MOD(SUMPRODUCT(--MID(G127,{1,2,3,4,5,6,7,8,9,10,11,12},1),{5,4,3,2,9,8,7,6,5,4,3,2}),11)&lt;2,0,11-MOD(SUMPRODUCT(--MID(G127,{1,2,3,4,5,6,7,8,9,10,11,12},1),{5,4,3,2,9,8,7,6,5,4,3,2}),11)),VALUE(MID(G127,14,1))=IF(MOD(SUMPRODUCT(--MID(G127,{1,2,3,4,5,6,7,8,9,10,11,12,13},1),{6,5,4,3,2,9,8,7,6,5,4,3,2}),11)&lt;2,0,11-MOD(SUMPRODUCT(--MID(G127,{1,2,3,4,5,6,7,8,9,10,11,12,13},1),{6,5,4,3,2,9,8,7,6,5,4,3,2}),11))),"OK","AVISO: dígito verificador (conferir na org)"))))</f>
      </c>
      <c r="I127" s="6">
        <f>IF(G127="","",IF(COUNTIF($G$2:$G$2001,G127)&gt;1,"DUPLICADO","OK"))</f>
      </c>
      <c r="J127" s="6">
        <f>IF(COUNTA(A127:F127)=0,"",IF(AND(A127&lt;&gt;"",E127&lt;&gt;""),"OK","ERRO: faltam "&amp;IF(A127="","CNPJ; ","")&amp;IF(E127="","Novo gerente; ","")))</f>
      </c>
      <c r="K127" s="6">
        <f>IF(COUNTA(A127:F127)=0,"",IF(AND(LEFT(H127,4)&lt;&gt;"ERRO",I127="OK",J127="OK"),"OK","REVISAR"))</f>
      </c>
    </row>
    <row r="128">
      <c r="A128" s="5"/>
      <c r="B128" s="4"/>
      <c r="C128" s="4"/>
      <c r="D128" s="4"/>
      <c r="E128" s="5"/>
      <c r="F128" s="4"/>
      <c r="G128" s="6">
        <f>IF(A128="","",SUBSTITUTE(SUBSTITUTE(SUBSTITUTE(SUBSTITUTE(SUBSTITUTE(SUBSTITUTE(SUBSTITUTE(TRIM(A128),".",""),"/",""),"-","")," ",""),"(",""),")",""),"+",""))</f>
      </c>
      <c r="H128" s="6">
        <f>IF(G128="","",IF(LEN(G128)&lt;&gt;14,"ERRO: "&amp;LEN(G128)&amp;" dígitos",IF(NOT(ISNUMBER(VALUE(G128))),"ERRO: não numérico",IF(AND(VALUE(MID(G128,13,1))=IF(MOD(SUMPRODUCT(--MID(G128,{1,2,3,4,5,6,7,8,9,10,11,12},1),{5,4,3,2,9,8,7,6,5,4,3,2}),11)&lt;2,0,11-MOD(SUMPRODUCT(--MID(G128,{1,2,3,4,5,6,7,8,9,10,11,12},1),{5,4,3,2,9,8,7,6,5,4,3,2}),11)),VALUE(MID(G128,14,1))=IF(MOD(SUMPRODUCT(--MID(G128,{1,2,3,4,5,6,7,8,9,10,11,12,13},1),{6,5,4,3,2,9,8,7,6,5,4,3,2}),11)&lt;2,0,11-MOD(SUMPRODUCT(--MID(G128,{1,2,3,4,5,6,7,8,9,10,11,12,13},1),{6,5,4,3,2,9,8,7,6,5,4,3,2}),11))),"OK","AVISO: dígito verificador (conferir na org)"))))</f>
      </c>
      <c r="I128" s="6">
        <f>IF(G128="","",IF(COUNTIF($G$2:$G$2001,G128)&gt;1,"DUPLICADO","OK"))</f>
      </c>
      <c r="J128" s="6">
        <f>IF(COUNTA(A128:F128)=0,"",IF(AND(A128&lt;&gt;"",E128&lt;&gt;""),"OK","ERRO: faltam "&amp;IF(A128="","CNPJ; ","")&amp;IF(E128="","Novo gerente; ","")))</f>
      </c>
      <c r="K128" s="6">
        <f>IF(COUNTA(A128:F128)=0,"",IF(AND(LEFT(H128,4)&lt;&gt;"ERRO",I128="OK",J128="OK"),"OK","REVISAR"))</f>
      </c>
    </row>
    <row r="129">
      <c r="A129" s="5"/>
      <c r="B129" s="4"/>
      <c r="C129" s="4"/>
      <c r="D129" s="4"/>
      <c r="E129" s="5"/>
      <c r="F129" s="4"/>
      <c r="G129" s="6">
        <f>IF(A129="","",SUBSTITUTE(SUBSTITUTE(SUBSTITUTE(SUBSTITUTE(SUBSTITUTE(SUBSTITUTE(SUBSTITUTE(TRIM(A129),".",""),"/",""),"-","")," ",""),"(",""),")",""),"+",""))</f>
      </c>
      <c r="H129" s="6">
        <f>IF(G129="","",IF(LEN(G129)&lt;&gt;14,"ERRO: "&amp;LEN(G129)&amp;" dígitos",IF(NOT(ISNUMBER(VALUE(G129))),"ERRO: não numérico",IF(AND(VALUE(MID(G129,13,1))=IF(MOD(SUMPRODUCT(--MID(G129,{1,2,3,4,5,6,7,8,9,10,11,12},1),{5,4,3,2,9,8,7,6,5,4,3,2}),11)&lt;2,0,11-MOD(SUMPRODUCT(--MID(G129,{1,2,3,4,5,6,7,8,9,10,11,12},1),{5,4,3,2,9,8,7,6,5,4,3,2}),11)),VALUE(MID(G129,14,1))=IF(MOD(SUMPRODUCT(--MID(G129,{1,2,3,4,5,6,7,8,9,10,11,12,13},1),{6,5,4,3,2,9,8,7,6,5,4,3,2}),11)&lt;2,0,11-MOD(SUMPRODUCT(--MID(G129,{1,2,3,4,5,6,7,8,9,10,11,12,13},1),{6,5,4,3,2,9,8,7,6,5,4,3,2}),11))),"OK","AVISO: dígito verificador (conferir na org)"))))</f>
      </c>
      <c r="I129" s="6">
        <f>IF(G129="","",IF(COUNTIF($G$2:$G$2001,G129)&gt;1,"DUPLICADO","OK"))</f>
      </c>
      <c r="J129" s="6">
        <f>IF(COUNTA(A129:F129)=0,"",IF(AND(A129&lt;&gt;"",E129&lt;&gt;""),"OK","ERRO: faltam "&amp;IF(A129="","CNPJ; ","")&amp;IF(E129="","Novo gerente; ","")))</f>
      </c>
      <c r="K129" s="6">
        <f>IF(COUNTA(A129:F129)=0,"",IF(AND(LEFT(H129,4)&lt;&gt;"ERRO",I129="OK",J129="OK"),"OK","REVISAR"))</f>
      </c>
    </row>
    <row r="130">
      <c r="A130" s="5"/>
      <c r="B130" s="4"/>
      <c r="C130" s="4"/>
      <c r="D130" s="4"/>
      <c r="E130" s="5"/>
      <c r="F130" s="4"/>
      <c r="G130" s="6">
        <f>IF(A130="","",SUBSTITUTE(SUBSTITUTE(SUBSTITUTE(SUBSTITUTE(SUBSTITUTE(SUBSTITUTE(SUBSTITUTE(TRIM(A130),".",""),"/",""),"-","")," ",""),"(",""),")",""),"+",""))</f>
      </c>
      <c r="H130" s="6">
        <f>IF(G130="","",IF(LEN(G130)&lt;&gt;14,"ERRO: "&amp;LEN(G130)&amp;" dígitos",IF(NOT(ISNUMBER(VALUE(G130))),"ERRO: não numérico",IF(AND(VALUE(MID(G130,13,1))=IF(MOD(SUMPRODUCT(--MID(G130,{1,2,3,4,5,6,7,8,9,10,11,12},1),{5,4,3,2,9,8,7,6,5,4,3,2}),11)&lt;2,0,11-MOD(SUMPRODUCT(--MID(G130,{1,2,3,4,5,6,7,8,9,10,11,12},1),{5,4,3,2,9,8,7,6,5,4,3,2}),11)),VALUE(MID(G130,14,1))=IF(MOD(SUMPRODUCT(--MID(G130,{1,2,3,4,5,6,7,8,9,10,11,12,13},1),{6,5,4,3,2,9,8,7,6,5,4,3,2}),11)&lt;2,0,11-MOD(SUMPRODUCT(--MID(G130,{1,2,3,4,5,6,7,8,9,10,11,12,13},1),{6,5,4,3,2,9,8,7,6,5,4,3,2}),11))),"OK","AVISO: dígito verificador (conferir na org)"))))</f>
      </c>
      <c r="I130" s="6">
        <f>IF(G130="","",IF(COUNTIF($G$2:$G$2001,G130)&gt;1,"DUPLICADO","OK"))</f>
      </c>
      <c r="J130" s="6">
        <f>IF(COUNTA(A130:F130)=0,"",IF(AND(A130&lt;&gt;"",E130&lt;&gt;""),"OK","ERRO: faltam "&amp;IF(A130="","CNPJ; ","")&amp;IF(E130="","Novo gerente; ","")))</f>
      </c>
      <c r="K130" s="6">
        <f>IF(COUNTA(A130:F130)=0,"",IF(AND(LEFT(H130,4)&lt;&gt;"ERRO",I130="OK",J130="OK"),"OK","REVISAR"))</f>
      </c>
    </row>
    <row r="131">
      <c r="A131" s="5"/>
      <c r="B131" s="4"/>
      <c r="C131" s="4"/>
      <c r="D131" s="4"/>
      <c r="E131" s="5"/>
      <c r="F131" s="4"/>
      <c r="G131" s="6">
        <f>IF(A131="","",SUBSTITUTE(SUBSTITUTE(SUBSTITUTE(SUBSTITUTE(SUBSTITUTE(SUBSTITUTE(SUBSTITUTE(TRIM(A131),".",""),"/",""),"-","")," ",""),"(",""),")",""),"+",""))</f>
      </c>
      <c r="H131" s="6">
        <f>IF(G131="","",IF(LEN(G131)&lt;&gt;14,"ERRO: "&amp;LEN(G131)&amp;" dígitos",IF(NOT(ISNUMBER(VALUE(G131))),"ERRO: não numérico",IF(AND(VALUE(MID(G131,13,1))=IF(MOD(SUMPRODUCT(--MID(G131,{1,2,3,4,5,6,7,8,9,10,11,12},1),{5,4,3,2,9,8,7,6,5,4,3,2}),11)&lt;2,0,11-MOD(SUMPRODUCT(--MID(G131,{1,2,3,4,5,6,7,8,9,10,11,12},1),{5,4,3,2,9,8,7,6,5,4,3,2}),11)),VALUE(MID(G131,14,1))=IF(MOD(SUMPRODUCT(--MID(G131,{1,2,3,4,5,6,7,8,9,10,11,12,13},1),{6,5,4,3,2,9,8,7,6,5,4,3,2}),11)&lt;2,0,11-MOD(SUMPRODUCT(--MID(G131,{1,2,3,4,5,6,7,8,9,10,11,12,13},1),{6,5,4,3,2,9,8,7,6,5,4,3,2}),11))),"OK","AVISO: dígito verificador (conferir na org)"))))</f>
      </c>
      <c r="I131" s="6">
        <f>IF(G131="","",IF(COUNTIF($G$2:$G$2001,G131)&gt;1,"DUPLICADO","OK"))</f>
      </c>
      <c r="J131" s="6">
        <f>IF(COUNTA(A131:F131)=0,"",IF(AND(A131&lt;&gt;"",E131&lt;&gt;""),"OK","ERRO: faltam "&amp;IF(A131="","CNPJ; ","")&amp;IF(E131="","Novo gerente; ","")))</f>
      </c>
      <c r="K131" s="6">
        <f>IF(COUNTA(A131:F131)=0,"",IF(AND(LEFT(H131,4)&lt;&gt;"ERRO",I131="OK",J131="OK"),"OK","REVISAR"))</f>
      </c>
    </row>
    <row r="132">
      <c r="A132" s="5"/>
      <c r="B132" s="4"/>
      <c r="C132" s="4"/>
      <c r="D132" s="4"/>
      <c r="E132" s="5"/>
      <c r="F132" s="4"/>
      <c r="G132" s="6">
        <f>IF(A132="","",SUBSTITUTE(SUBSTITUTE(SUBSTITUTE(SUBSTITUTE(SUBSTITUTE(SUBSTITUTE(SUBSTITUTE(TRIM(A132),".",""),"/",""),"-","")," ",""),"(",""),")",""),"+",""))</f>
      </c>
      <c r="H132" s="6">
        <f>IF(G132="","",IF(LEN(G132)&lt;&gt;14,"ERRO: "&amp;LEN(G132)&amp;" dígitos",IF(NOT(ISNUMBER(VALUE(G132))),"ERRO: não numérico",IF(AND(VALUE(MID(G132,13,1))=IF(MOD(SUMPRODUCT(--MID(G132,{1,2,3,4,5,6,7,8,9,10,11,12},1),{5,4,3,2,9,8,7,6,5,4,3,2}),11)&lt;2,0,11-MOD(SUMPRODUCT(--MID(G132,{1,2,3,4,5,6,7,8,9,10,11,12},1),{5,4,3,2,9,8,7,6,5,4,3,2}),11)),VALUE(MID(G132,14,1))=IF(MOD(SUMPRODUCT(--MID(G132,{1,2,3,4,5,6,7,8,9,10,11,12,13},1),{6,5,4,3,2,9,8,7,6,5,4,3,2}),11)&lt;2,0,11-MOD(SUMPRODUCT(--MID(G132,{1,2,3,4,5,6,7,8,9,10,11,12,13},1),{6,5,4,3,2,9,8,7,6,5,4,3,2}),11))),"OK","AVISO: dígito verificador (conferir na org)"))))</f>
      </c>
      <c r="I132" s="6">
        <f>IF(G132="","",IF(COUNTIF($G$2:$G$2001,G132)&gt;1,"DUPLICADO","OK"))</f>
      </c>
      <c r="J132" s="6">
        <f>IF(COUNTA(A132:F132)=0,"",IF(AND(A132&lt;&gt;"",E132&lt;&gt;""),"OK","ERRO: faltam "&amp;IF(A132="","CNPJ; ","")&amp;IF(E132="","Novo gerente; ","")))</f>
      </c>
      <c r="K132" s="6">
        <f>IF(COUNTA(A132:F132)=0,"",IF(AND(LEFT(H132,4)&lt;&gt;"ERRO",I132="OK",J132="OK"),"OK","REVISAR"))</f>
      </c>
    </row>
    <row r="133">
      <c r="A133" s="5"/>
      <c r="B133" s="4"/>
      <c r="C133" s="4"/>
      <c r="D133" s="4"/>
      <c r="E133" s="5"/>
      <c r="F133" s="4"/>
      <c r="G133" s="6">
        <f>IF(A133="","",SUBSTITUTE(SUBSTITUTE(SUBSTITUTE(SUBSTITUTE(SUBSTITUTE(SUBSTITUTE(SUBSTITUTE(TRIM(A133),".",""),"/",""),"-","")," ",""),"(",""),")",""),"+",""))</f>
      </c>
      <c r="H133" s="6">
        <f>IF(G133="","",IF(LEN(G133)&lt;&gt;14,"ERRO: "&amp;LEN(G133)&amp;" dígitos",IF(NOT(ISNUMBER(VALUE(G133))),"ERRO: não numérico",IF(AND(VALUE(MID(G133,13,1))=IF(MOD(SUMPRODUCT(--MID(G133,{1,2,3,4,5,6,7,8,9,10,11,12},1),{5,4,3,2,9,8,7,6,5,4,3,2}),11)&lt;2,0,11-MOD(SUMPRODUCT(--MID(G133,{1,2,3,4,5,6,7,8,9,10,11,12},1),{5,4,3,2,9,8,7,6,5,4,3,2}),11)),VALUE(MID(G133,14,1))=IF(MOD(SUMPRODUCT(--MID(G133,{1,2,3,4,5,6,7,8,9,10,11,12,13},1),{6,5,4,3,2,9,8,7,6,5,4,3,2}),11)&lt;2,0,11-MOD(SUMPRODUCT(--MID(G133,{1,2,3,4,5,6,7,8,9,10,11,12,13},1),{6,5,4,3,2,9,8,7,6,5,4,3,2}),11))),"OK","AVISO: dígito verificador (conferir na org)"))))</f>
      </c>
      <c r="I133" s="6">
        <f>IF(G133="","",IF(COUNTIF($G$2:$G$2001,G133)&gt;1,"DUPLICADO","OK"))</f>
      </c>
      <c r="J133" s="6">
        <f>IF(COUNTA(A133:F133)=0,"",IF(AND(A133&lt;&gt;"",E133&lt;&gt;""),"OK","ERRO: faltam "&amp;IF(A133="","CNPJ; ","")&amp;IF(E133="","Novo gerente; ","")))</f>
      </c>
      <c r="K133" s="6">
        <f>IF(COUNTA(A133:F133)=0,"",IF(AND(LEFT(H133,4)&lt;&gt;"ERRO",I133="OK",J133="OK"),"OK","REVISAR"))</f>
      </c>
    </row>
    <row r="134">
      <c r="A134" s="5"/>
      <c r="B134" s="4"/>
      <c r="C134" s="4"/>
      <c r="D134" s="4"/>
      <c r="E134" s="5"/>
      <c r="F134" s="4"/>
      <c r="G134" s="6">
        <f>IF(A134="","",SUBSTITUTE(SUBSTITUTE(SUBSTITUTE(SUBSTITUTE(SUBSTITUTE(SUBSTITUTE(SUBSTITUTE(TRIM(A134),".",""),"/",""),"-","")," ",""),"(",""),")",""),"+",""))</f>
      </c>
      <c r="H134" s="6">
        <f>IF(G134="","",IF(LEN(G134)&lt;&gt;14,"ERRO: "&amp;LEN(G134)&amp;" dígitos",IF(NOT(ISNUMBER(VALUE(G134))),"ERRO: não numérico",IF(AND(VALUE(MID(G134,13,1))=IF(MOD(SUMPRODUCT(--MID(G134,{1,2,3,4,5,6,7,8,9,10,11,12},1),{5,4,3,2,9,8,7,6,5,4,3,2}),11)&lt;2,0,11-MOD(SUMPRODUCT(--MID(G134,{1,2,3,4,5,6,7,8,9,10,11,12},1),{5,4,3,2,9,8,7,6,5,4,3,2}),11)),VALUE(MID(G134,14,1))=IF(MOD(SUMPRODUCT(--MID(G134,{1,2,3,4,5,6,7,8,9,10,11,12,13},1),{6,5,4,3,2,9,8,7,6,5,4,3,2}),11)&lt;2,0,11-MOD(SUMPRODUCT(--MID(G134,{1,2,3,4,5,6,7,8,9,10,11,12,13},1),{6,5,4,3,2,9,8,7,6,5,4,3,2}),11))),"OK","AVISO: dígito verificador (conferir na org)"))))</f>
      </c>
      <c r="I134" s="6">
        <f>IF(G134="","",IF(COUNTIF($G$2:$G$2001,G134)&gt;1,"DUPLICADO","OK"))</f>
      </c>
      <c r="J134" s="6">
        <f>IF(COUNTA(A134:F134)=0,"",IF(AND(A134&lt;&gt;"",E134&lt;&gt;""),"OK","ERRO: faltam "&amp;IF(A134="","CNPJ; ","")&amp;IF(E134="","Novo gerente; ","")))</f>
      </c>
      <c r="K134" s="6">
        <f>IF(COUNTA(A134:F134)=0,"",IF(AND(LEFT(H134,4)&lt;&gt;"ERRO",I134="OK",J134="OK"),"OK","REVISAR"))</f>
      </c>
    </row>
    <row r="135">
      <c r="A135" s="5"/>
      <c r="B135" s="4"/>
      <c r="C135" s="4"/>
      <c r="D135" s="4"/>
      <c r="E135" s="5"/>
      <c r="F135" s="4"/>
      <c r="G135" s="6">
        <f>IF(A135="","",SUBSTITUTE(SUBSTITUTE(SUBSTITUTE(SUBSTITUTE(SUBSTITUTE(SUBSTITUTE(SUBSTITUTE(TRIM(A135),".",""),"/",""),"-","")," ",""),"(",""),")",""),"+",""))</f>
      </c>
      <c r="H135" s="6">
        <f>IF(G135="","",IF(LEN(G135)&lt;&gt;14,"ERRO: "&amp;LEN(G135)&amp;" dígitos",IF(NOT(ISNUMBER(VALUE(G135))),"ERRO: não numérico",IF(AND(VALUE(MID(G135,13,1))=IF(MOD(SUMPRODUCT(--MID(G135,{1,2,3,4,5,6,7,8,9,10,11,12},1),{5,4,3,2,9,8,7,6,5,4,3,2}),11)&lt;2,0,11-MOD(SUMPRODUCT(--MID(G135,{1,2,3,4,5,6,7,8,9,10,11,12},1),{5,4,3,2,9,8,7,6,5,4,3,2}),11)),VALUE(MID(G135,14,1))=IF(MOD(SUMPRODUCT(--MID(G135,{1,2,3,4,5,6,7,8,9,10,11,12,13},1),{6,5,4,3,2,9,8,7,6,5,4,3,2}),11)&lt;2,0,11-MOD(SUMPRODUCT(--MID(G135,{1,2,3,4,5,6,7,8,9,10,11,12,13},1),{6,5,4,3,2,9,8,7,6,5,4,3,2}),11))),"OK","AVISO: dígito verificador (conferir na org)"))))</f>
      </c>
      <c r="I135" s="6">
        <f>IF(G135="","",IF(COUNTIF($G$2:$G$2001,G135)&gt;1,"DUPLICADO","OK"))</f>
      </c>
      <c r="J135" s="6">
        <f>IF(COUNTA(A135:F135)=0,"",IF(AND(A135&lt;&gt;"",E135&lt;&gt;""),"OK","ERRO: faltam "&amp;IF(A135="","CNPJ; ","")&amp;IF(E135="","Novo gerente; ","")))</f>
      </c>
      <c r="K135" s="6">
        <f>IF(COUNTA(A135:F135)=0,"",IF(AND(LEFT(H135,4)&lt;&gt;"ERRO",I135="OK",J135="OK"),"OK","REVISAR"))</f>
      </c>
    </row>
    <row r="136">
      <c r="A136" s="5"/>
      <c r="B136" s="4"/>
      <c r="C136" s="4"/>
      <c r="D136" s="4"/>
      <c r="E136" s="5"/>
      <c r="F136" s="4"/>
      <c r="G136" s="6">
        <f>IF(A136="","",SUBSTITUTE(SUBSTITUTE(SUBSTITUTE(SUBSTITUTE(SUBSTITUTE(SUBSTITUTE(SUBSTITUTE(TRIM(A136),".",""),"/",""),"-","")," ",""),"(",""),")",""),"+",""))</f>
      </c>
      <c r="H136" s="6">
        <f>IF(G136="","",IF(LEN(G136)&lt;&gt;14,"ERRO: "&amp;LEN(G136)&amp;" dígitos",IF(NOT(ISNUMBER(VALUE(G136))),"ERRO: não numérico",IF(AND(VALUE(MID(G136,13,1))=IF(MOD(SUMPRODUCT(--MID(G136,{1,2,3,4,5,6,7,8,9,10,11,12},1),{5,4,3,2,9,8,7,6,5,4,3,2}),11)&lt;2,0,11-MOD(SUMPRODUCT(--MID(G136,{1,2,3,4,5,6,7,8,9,10,11,12},1),{5,4,3,2,9,8,7,6,5,4,3,2}),11)),VALUE(MID(G136,14,1))=IF(MOD(SUMPRODUCT(--MID(G136,{1,2,3,4,5,6,7,8,9,10,11,12,13},1),{6,5,4,3,2,9,8,7,6,5,4,3,2}),11)&lt;2,0,11-MOD(SUMPRODUCT(--MID(G136,{1,2,3,4,5,6,7,8,9,10,11,12,13},1),{6,5,4,3,2,9,8,7,6,5,4,3,2}),11))),"OK","AVISO: dígito verificador (conferir na org)"))))</f>
      </c>
      <c r="I136" s="6">
        <f>IF(G136="","",IF(COUNTIF($G$2:$G$2001,G136)&gt;1,"DUPLICADO","OK"))</f>
      </c>
      <c r="J136" s="6">
        <f>IF(COUNTA(A136:F136)=0,"",IF(AND(A136&lt;&gt;"",E136&lt;&gt;""),"OK","ERRO: faltam "&amp;IF(A136="","CNPJ; ","")&amp;IF(E136="","Novo gerente; ","")))</f>
      </c>
      <c r="K136" s="6">
        <f>IF(COUNTA(A136:F136)=0,"",IF(AND(LEFT(H136,4)&lt;&gt;"ERRO",I136="OK",J136="OK"),"OK","REVISAR"))</f>
      </c>
    </row>
    <row r="137">
      <c r="A137" s="5"/>
      <c r="B137" s="4"/>
      <c r="C137" s="4"/>
      <c r="D137" s="4"/>
      <c r="E137" s="5"/>
      <c r="F137" s="4"/>
      <c r="G137" s="6">
        <f>IF(A137="","",SUBSTITUTE(SUBSTITUTE(SUBSTITUTE(SUBSTITUTE(SUBSTITUTE(SUBSTITUTE(SUBSTITUTE(TRIM(A137),".",""),"/",""),"-","")," ",""),"(",""),")",""),"+",""))</f>
      </c>
      <c r="H137" s="6">
        <f>IF(G137="","",IF(LEN(G137)&lt;&gt;14,"ERRO: "&amp;LEN(G137)&amp;" dígitos",IF(NOT(ISNUMBER(VALUE(G137))),"ERRO: não numérico",IF(AND(VALUE(MID(G137,13,1))=IF(MOD(SUMPRODUCT(--MID(G137,{1,2,3,4,5,6,7,8,9,10,11,12},1),{5,4,3,2,9,8,7,6,5,4,3,2}),11)&lt;2,0,11-MOD(SUMPRODUCT(--MID(G137,{1,2,3,4,5,6,7,8,9,10,11,12},1),{5,4,3,2,9,8,7,6,5,4,3,2}),11)),VALUE(MID(G137,14,1))=IF(MOD(SUMPRODUCT(--MID(G137,{1,2,3,4,5,6,7,8,9,10,11,12,13},1),{6,5,4,3,2,9,8,7,6,5,4,3,2}),11)&lt;2,0,11-MOD(SUMPRODUCT(--MID(G137,{1,2,3,4,5,6,7,8,9,10,11,12,13},1),{6,5,4,3,2,9,8,7,6,5,4,3,2}),11))),"OK","AVISO: dígito verificador (conferir na org)"))))</f>
      </c>
      <c r="I137" s="6">
        <f>IF(G137="","",IF(COUNTIF($G$2:$G$2001,G137)&gt;1,"DUPLICADO","OK"))</f>
      </c>
      <c r="J137" s="6">
        <f>IF(COUNTA(A137:F137)=0,"",IF(AND(A137&lt;&gt;"",E137&lt;&gt;""),"OK","ERRO: faltam "&amp;IF(A137="","CNPJ; ","")&amp;IF(E137="","Novo gerente; ","")))</f>
      </c>
      <c r="K137" s="6">
        <f>IF(COUNTA(A137:F137)=0,"",IF(AND(LEFT(H137,4)&lt;&gt;"ERRO",I137="OK",J137="OK"),"OK","REVISAR"))</f>
      </c>
    </row>
    <row r="138">
      <c r="A138" s="5"/>
      <c r="B138" s="4"/>
      <c r="C138" s="4"/>
      <c r="D138" s="4"/>
      <c r="E138" s="5"/>
      <c r="F138" s="4"/>
      <c r="G138" s="6">
        <f>IF(A138="","",SUBSTITUTE(SUBSTITUTE(SUBSTITUTE(SUBSTITUTE(SUBSTITUTE(SUBSTITUTE(SUBSTITUTE(TRIM(A138),".",""),"/",""),"-","")," ",""),"(",""),")",""),"+",""))</f>
      </c>
      <c r="H138" s="6">
        <f>IF(G138="","",IF(LEN(G138)&lt;&gt;14,"ERRO: "&amp;LEN(G138)&amp;" dígitos",IF(NOT(ISNUMBER(VALUE(G138))),"ERRO: não numérico",IF(AND(VALUE(MID(G138,13,1))=IF(MOD(SUMPRODUCT(--MID(G138,{1,2,3,4,5,6,7,8,9,10,11,12},1),{5,4,3,2,9,8,7,6,5,4,3,2}),11)&lt;2,0,11-MOD(SUMPRODUCT(--MID(G138,{1,2,3,4,5,6,7,8,9,10,11,12},1),{5,4,3,2,9,8,7,6,5,4,3,2}),11)),VALUE(MID(G138,14,1))=IF(MOD(SUMPRODUCT(--MID(G138,{1,2,3,4,5,6,7,8,9,10,11,12,13},1),{6,5,4,3,2,9,8,7,6,5,4,3,2}),11)&lt;2,0,11-MOD(SUMPRODUCT(--MID(G138,{1,2,3,4,5,6,7,8,9,10,11,12,13},1),{6,5,4,3,2,9,8,7,6,5,4,3,2}),11))),"OK","AVISO: dígito verificador (conferir na org)"))))</f>
      </c>
      <c r="I138" s="6">
        <f>IF(G138="","",IF(COUNTIF($G$2:$G$2001,G138)&gt;1,"DUPLICADO","OK"))</f>
      </c>
      <c r="J138" s="6">
        <f>IF(COUNTA(A138:F138)=0,"",IF(AND(A138&lt;&gt;"",E138&lt;&gt;""),"OK","ERRO: faltam "&amp;IF(A138="","CNPJ; ","")&amp;IF(E138="","Novo gerente; ","")))</f>
      </c>
      <c r="K138" s="6">
        <f>IF(COUNTA(A138:F138)=0,"",IF(AND(LEFT(H138,4)&lt;&gt;"ERRO",I138="OK",J138="OK"),"OK","REVISAR"))</f>
      </c>
    </row>
    <row r="139">
      <c r="A139" s="5"/>
      <c r="B139" s="4"/>
      <c r="C139" s="4"/>
      <c r="D139" s="4"/>
      <c r="E139" s="5"/>
      <c r="F139" s="4"/>
      <c r="G139" s="6">
        <f>IF(A139="","",SUBSTITUTE(SUBSTITUTE(SUBSTITUTE(SUBSTITUTE(SUBSTITUTE(SUBSTITUTE(SUBSTITUTE(TRIM(A139),".",""),"/",""),"-","")," ",""),"(",""),")",""),"+",""))</f>
      </c>
      <c r="H139" s="6">
        <f>IF(G139="","",IF(LEN(G139)&lt;&gt;14,"ERRO: "&amp;LEN(G139)&amp;" dígitos",IF(NOT(ISNUMBER(VALUE(G139))),"ERRO: não numérico",IF(AND(VALUE(MID(G139,13,1))=IF(MOD(SUMPRODUCT(--MID(G139,{1,2,3,4,5,6,7,8,9,10,11,12},1),{5,4,3,2,9,8,7,6,5,4,3,2}),11)&lt;2,0,11-MOD(SUMPRODUCT(--MID(G139,{1,2,3,4,5,6,7,8,9,10,11,12},1),{5,4,3,2,9,8,7,6,5,4,3,2}),11)),VALUE(MID(G139,14,1))=IF(MOD(SUMPRODUCT(--MID(G139,{1,2,3,4,5,6,7,8,9,10,11,12,13},1),{6,5,4,3,2,9,8,7,6,5,4,3,2}),11)&lt;2,0,11-MOD(SUMPRODUCT(--MID(G139,{1,2,3,4,5,6,7,8,9,10,11,12,13},1),{6,5,4,3,2,9,8,7,6,5,4,3,2}),11))),"OK","AVISO: dígito verificador (conferir na org)"))))</f>
      </c>
      <c r="I139" s="6">
        <f>IF(G139="","",IF(COUNTIF($G$2:$G$2001,G139)&gt;1,"DUPLICADO","OK"))</f>
      </c>
      <c r="J139" s="6">
        <f>IF(COUNTA(A139:F139)=0,"",IF(AND(A139&lt;&gt;"",E139&lt;&gt;""),"OK","ERRO: faltam "&amp;IF(A139="","CNPJ; ","")&amp;IF(E139="","Novo gerente; ","")))</f>
      </c>
      <c r="K139" s="6">
        <f>IF(COUNTA(A139:F139)=0,"",IF(AND(LEFT(H139,4)&lt;&gt;"ERRO",I139="OK",J139="OK"),"OK","REVISAR"))</f>
      </c>
    </row>
    <row r="140">
      <c r="A140" s="5"/>
      <c r="B140" s="4"/>
      <c r="C140" s="4"/>
      <c r="D140" s="4"/>
      <c r="E140" s="5"/>
      <c r="F140" s="4"/>
      <c r="G140" s="6">
        <f>IF(A140="","",SUBSTITUTE(SUBSTITUTE(SUBSTITUTE(SUBSTITUTE(SUBSTITUTE(SUBSTITUTE(SUBSTITUTE(TRIM(A140),".",""),"/",""),"-","")," ",""),"(",""),")",""),"+",""))</f>
      </c>
      <c r="H140" s="6">
        <f>IF(G140="","",IF(LEN(G140)&lt;&gt;14,"ERRO: "&amp;LEN(G140)&amp;" dígitos",IF(NOT(ISNUMBER(VALUE(G140))),"ERRO: não numérico",IF(AND(VALUE(MID(G140,13,1))=IF(MOD(SUMPRODUCT(--MID(G140,{1,2,3,4,5,6,7,8,9,10,11,12},1),{5,4,3,2,9,8,7,6,5,4,3,2}),11)&lt;2,0,11-MOD(SUMPRODUCT(--MID(G140,{1,2,3,4,5,6,7,8,9,10,11,12},1),{5,4,3,2,9,8,7,6,5,4,3,2}),11)),VALUE(MID(G140,14,1))=IF(MOD(SUMPRODUCT(--MID(G140,{1,2,3,4,5,6,7,8,9,10,11,12,13},1),{6,5,4,3,2,9,8,7,6,5,4,3,2}),11)&lt;2,0,11-MOD(SUMPRODUCT(--MID(G140,{1,2,3,4,5,6,7,8,9,10,11,12,13},1),{6,5,4,3,2,9,8,7,6,5,4,3,2}),11))),"OK","AVISO: dígito verificador (conferir na org)"))))</f>
      </c>
      <c r="I140" s="6">
        <f>IF(G140="","",IF(COUNTIF($G$2:$G$2001,G140)&gt;1,"DUPLICADO","OK"))</f>
      </c>
      <c r="J140" s="6">
        <f>IF(COUNTA(A140:F140)=0,"",IF(AND(A140&lt;&gt;"",E140&lt;&gt;""),"OK","ERRO: faltam "&amp;IF(A140="","CNPJ; ","")&amp;IF(E140="","Novo gerente; ","")))</f>
      </c>
      <c r="K140" s="6">
        <f>IF(COUNTA(A140:F140)=0,"",IF(AND(LEFT(H140,4)&lt;&gt;"ERRO",I140="OK",J140="OK"),"OK","REVISAR"))</f>
      </c>
    </row>
    <row r="141">
      <c r="A141" s="5"/>
      <c r="B141" s="4"/>
      <c r="C141" s="4"/>
      <c r="D141" s="4"/>
      <c r="E141" s="5"/>
      <c r="F141" s="4"/>
      <c r="G141" s="6">
        <f>IF(A141="","",SUBSTITUTE(SUBSTITUTE(SUBSTITUTE(SUBSTITUTE(SUBSTITUTE(SUBSTITUTE(SUBSTITUTE(TRIM(A141),".",""),"/",""),"-","")," ",""),"(",""),")",""),"+",""))</f>
      </c>
      <c r="H141" s="6">
        <f>IF(G141="","",IF(LEN(G141)&lt;&gt;14,"ERRO: "&amp;LEN(G141)&amp;" dígitos",IF(NOT(ISNUMBER(VALUE(G141))),"ERRO: não numérico",IF(AND(VALUE(MID(G141,13,1))=IF(MOD(SUMPRODUCT(--MID(G141,{1,2,3,4,5,6,7,8,9,10,11,12},1),{5,4,3,2,9,8,7,6,5,4,3,2}),11)&lt;2,0,11-MOD(SUMPRODUCT(--MID(G141,{1,2,3,4,5,6,7,8,9,10,11,12},1),{5,4,3,2,9,8,7,6,5,4,3,2}),11)),VALUE(MID(G141,14,1))=IF(MOD(SUMPRODUCT(--MID(G141,{1,2,3,4,5,6,7,8,9,10,11,12,13},1),{6,5,4,3,2,9,8,7,6,5,4,3,2}),11)&lt;2,0,11-MOD(SUMPRODUCT(--MID(G141,{1,2,3,4,5,6,7,8,9,10,11,12,13},1),{6,5,4,3,2,9,8,7,6,5,4,3,2}),11))),"OK","AVISO: dígito verificador (conferir na org)"))))</f>
      </c>
      <c r="I141" s="6">
        <f>IF(G141="","",IF(COUNTIF($G$2:$G$2001,G141)&gt;1,"DUPLICADO","OK"))</f>
      </c>
      <c r="J141" s="6">
        <f>IF(COUNTA(A141:F141)=0,"",IF(AND(A141&lt;&gt;"",E141&lt;&gt;""),"OK","ERRO: faltam "&amp;IF(A141="","CNPJ; ","")&amp;IF(E141="","Novo gerente; ","")))</f>
      </c>
      <c r="K141" s="6">
        <f>IF(COUNTA(A141:F141)=0,"",IF(AND(LEFT(H141,4)&lt;&gt;"ERRO",I141="OK",J141="OK"),"OK","REVISAR"))</f>
      </c>
    </row>
    <row r="142">
      <c r="A142" s="5"/>
      <c r="B142" s="4"/>
      <c r="C142" s="4"/>
      <c r="D142" s="4"/>
      <c r="E142" s="5"/>
      <c r="F142" s="4"/>
      <c r="G142" s="6">
        <f>IF(A142="","",SUBSTITUTE(SUBSTITUTE(SUBSTITUTE(SUBSTITUTE(SUBSTITUTE(SUBSTITUTE(SUBSTITUTE(TRIM(A142),".",""),"/",""),"-","")," ",""),"(",""),")",""),"+",""))</f>
      </c>
      <c r="H142" s="6">
        <f>IF(G142="","",IF(LEN(G142)&lt;&gt;14,"ERRO: "&amp;LEN(G142)&amp;" dígitos",IF(NOT(ISNUMBER(VALUE(G142))),"ERRO: não numérico",IF(AND(VALUE(MID(G142,13,1))=IF(MOD(SUMPRODUCT(--MID(G142,{1,2,3,4,5,6,7,8,9,10,11,12},1),{5,4,3,2,9,8,7,6,5,4,3,2}),11)&lt;2,0,11-MOD(SUMPRODUCT(--MID(G142,{1,2,3,4,5,6,7,8,9,10,11,12},1),{5,4,3,2,9,8,7,6,5,4,3,2}),11)),VALUE(MID(G142,14,1))=IF(MOD(SUMPRODUCT(--MID(G142,{1,2,3,4,5,6,7,8,9,10,11,12,13},1),{6,5,4,3,2,9,8,7,6,5,4,3,2}),11)&lt;2,0,11-MOD(SUMPRODUCT(--MID(G142,{1,2,3,4,5,6,7,8,9,10,11,12,13},1),{6,5,4,3,2,9,8,7,6,5,4,3,2}),11))),"OK","AVISO: dígito verificador (conferir na org)"))))</f>
      </c>
      <c r="I142" s="6">
        <f>IF(G142="","",IF(COUNTIF($G$2:$G$2001,G142)&gt;1,"DUPLICADO","OK"))</f>
      </c>
      <c r="J142" s="6">
        <f>IF(COUNTA(A142:F142)=0,"",IF(AND(A142&lt;&gt;"",E142&lt;&gt;""),"OK","ERRO: faltam "&amp;IF(A142="","CNPJ; ","")&amp;IF(E142="","Novo gerente; ","")))</f>
      </c>
      <c r="K142" s="6">
        <f>IF(COUNTA(A142:F142)=0,"",IF(AND(LEFT(H142,4)&lt;&gt;"ERRO",I142="OK",J142="OK"),"OK","REVISAR"))</f>
      </c>
    </row>
    <row r="143">
      <c r="A143" s="5"/>
      <c r="B143" s="4"/>
      <c r="C143" s="4"/>
      <c r="D143" s="4"/>
      <c r="E143" s="5"/>
      <c r="F143" s="4"/>
      <c r="G143" s="6">
        <f>IF(A143="","",SUBSTITUTE(SUBSTITUTE(SUBSTITUTE(SUBSTITUTE(SUBSTITUTE(SUBSTITUTE(SUBSTITUTE(TRIM(A143),".",""),"/",""),"-","")," ",""),"(",""),")",""),"+",""))</f>
      </c>
      <c r="H143" s="6">
        <f>IF(G143="","",IF(LEN(G143)&lt;&gt;14,"ERRO: "&amp;LEN(G143)&amp;" dígitos",IF(NOT(ISNUMBER(VALUE(G143))),"ERRO: não numérico",IF(AND(VALUE(MID(G143,13,1))=IF(MOD(SUMPRODUCT(--MID(G143,{1,2,3,4,5,6,7,8,9,10,11,12},1),{5,4,3,2,9,8,7,6,5,4,3,2}),11)&lt;2,0,11-MOD(SUMPRODUCT(--MID(G143,{1,2,3,4,5,6,7,8,9,10,11,12},1),{5,4,3,2,9,8,7,6,5,4,3,2}),11)),VALUE(MID(G143,14,1))=IF(MOD(SUMPRODUCT(--MID(G143,{1,2,3,4,5,6,7,8,9,10,11,12,13},1),{6,5,4,3,2,9,8,7,6,5,4,3,2}),11)&lt;2,0,11-MOD(SUMPRODUCT(--MID(G143,{1,2,3,4,5,6,7,8,9,10,11,12,13},1),{6,5,4,3,2,9,8,7,6,5,4,3,2}),11))),"OK","AVISO: dígito verificador (conferir na org)"))))</f>
      </c>
      <c r="I143" s="6">
        <f>IF(G143="","",IF(COUNTIF($G$2:$G$2001,G143)&gt;1,"DUPLICADO","OK"))</f>
      </c>
      <c r="J143" s="6">
        <f>IF(COUNTA(A143:F143)=0,"",IF(AND(A143&lt;&gt;"",E143&lt;&gt;""),"OK","ERRO: faltam "&amp;IF(A143="","CNPJ; ","")&amp;IF(E143="","Novo gerente; ","")))</f>
      </c>
      <c r="K143" s="6">
        <f>IF(COUNTA(A143:F143)=0,"",IF(AND(LEFT(H143,4)&lt;&gt;"ERRO",I143="OK",J143="OK"),"OK","REVISAR"))</f>
      </c>
    </row>
    <row r="144">
      <c r="A144" s="5"/>
      <c r="B144" s="4"/>
      <c r="C144" s="4"/>
      <c r="D144" s="4"/>
      <c r="E144" s="5"/>
      <c r="F144" s="4"/>
      <c r="G144" s="6">
        <f>IF(A144="","",SUBSTITUTE(SUBSTITUTE(SUBSTITUTE(SUBSTITUTE(SUBSTITUTE(SUBSTITUTE(SUBSTITUTE(TRIM(A144),".",""),"/",""),"-","")," ",""),"(",""),")",""),"+",""))</f>
      </c>
      <c r="H144" s="6">
        <f>IF(G144="","",IF(LEN(G144)&lt;&gt;14,"ERRO: "&amp;LEN(G144)&amp;" dígitos",IF(NOT(ISNUMBER(VALUE(G144))),"ERRO: não numérico",IF(AND(VALUE(MID(G144,13,1))=IF(MOD(SUMPRODUCT(--MID(G144,{1,2,3,4,5,6,7,8,9,10,11,12},1),{5,4,3,2,9,8,7,6,5,4,3,2}),11)&lt;2,0,11-MOD(SUMPRODUCT(--MID(G144,{1,2,3,4,5,6,7,8,9,10,11,12},1),{5,4,3,2,9,8,7,6,5,4,3,2}),11)),VALUE(MID(G144,14,1))=IF(MOD(SUMPRODUCT(--MID(G144,{1,2,3,4,5,6,7,8,9,10,11,12,13},1),{6,5,4,3,2,9,8,7,6,5,4,3,2}),11)&lt;2,0,11-MOD(SUMPRODUCT(--MID(G144,{1,2,3,4,5,6,7,8,9,10,11,12,13},1),{6,5,4,3,2,9,8,7,6,5,4,3,2}),11))),"OK","AVISO: dígito verificador (conferir na org)"))))</f>
      </c>
      <c r="I144" s="6">
        <f>IF(G144="","",IF(COUNTIF($G$2:$G$2001,G144)&gt;1,"DUPLICADO","OK"))</f>
      </c>
      <c r="J144" s="6">
        <f>IF(COUNTA(A144:F144)=0,"",IF(AND(A144&lt;&gt;"",E144&lt;&gt;""),"OK","ERRO: faltam "&amp;IF(A144="","CNPJ; ","")&amp;IF(E144="","Novo gerente; ","")))</f>
      </c>
      <c r="K144" s="6">
        <f>IF(COUNTA(A144:F144)=0,"",IF(AND(LEFT(H144,4)&lt;&gt;"ERRO",I144="OK",J144="OK"),"OK","REVISAR"))</f>
      </c>
    </row>
    <row r="145">
      <c r="A145" s="5"/>
      <c r="B145" s="4"/>
      <c r="C145" s="4"/>
      <c r="D145" s="4"/>
      <c r="E145" s="5"/>
      <c r="F145" s="4"/>
      <c r="G145" s="6">
        <f>IF(A145="","",SUBSTITUTE(SUBSTITUTE(SUBSTITUTE(SUBSTITUTE(SUBSTITUTE(SUBSTITUTE(SUBSTITUTE(TRIM(A145),".",""),"/",""),"-","")," ",""),"(",""),")",""),"+",""))</f>
      </c>
      <c r="H145" s="6">
        <f>IF(G145="","",IF(LEN(G145)&lt;&gt;14,"ERRO: "&amp;LEN(G145)&amp;" dígitos",IF(NOT(ISNUMBER(VALUE(G145))),"ERRO: não numérico",IF(AND(VALUE(MID(G145,13,1))=IF(MOD(SUMPRODUCT(--MID(G145,{1,2,3,4,5,6,7,8,9,10,11,12},1),{5,4,3,2,9,8,7,6,5,4,3,2}),11)&lt;2,0,11-MOD(SUMPRODUCT(--MID(G145,{1,2,3,4,5,6,7,8,9,10,11,12},1),{5,4,3,2,9,8,7,6,5,4,3,2}),11)),VALUE(MID(G145,14,1))=IF(MOD(SUMPRODUCT(--MID(G145,{1,2,3,4,5,6,7,8,9,10,11,12,13},1),{6,5,4,3,2,9,8,7,6,5,4,3,2}),11)&lt;2,0,11-MOD(SUMPRODUCT(--MID(G145,{1,2,3,4,5,6,7,8,9,10,11,12,13},1),{6,5,4,3,2,9,8,7,6,5,4,3,2}),11))),"OK","AVISO: dígito verificador (conferir na org)"))))</f>
      </c>
      <c r="I145" s="6">
        <f>IF(G145="","",IF(COUNTIF($G$2:$G$2001,G145)&gt;1,"DUPLICADO","OK"))</f>
      </c>
      <c r="J145" s="6">
        <f>IF(COUNTA(A145:F145)=0,"",IF(AND(A145&lt;&gt;"",E145&lt;&gt;""),"OK","ERRO: faltam "&amp;IF(A145="","CNPJ; ","")&amp;IF(E145="","Novo gerente; ","")))</f>
      </c>
      <c r="K145" s="6">
        <f>IF(COUNTA(A145:F145)=0,"",IF(AND(LEFT(H145,4)&lt;&gt;"ERRO",I145="OK",J145="OK"),"OK","REVISAR"))</f>
      </c>
    </row>
    <row r="146">
      <c r="A146" s="5"/>
      <c r="B146" s="4"/>
      <c r="C146" s="4"/>
      <c r="D146" s="4"/>
      <c r="E146" s="5"/>
      <c r="F146" s="4"/>
      <c r="G146" s="6">
        <f>IF(A146="","",SUBSTITUTE(SUBSTITUTE(SUBSTITUTE(SUBSTITUTE(SUBSTITUTE(SUBSTITUTE(SUBSTITUTE(TRIM(A146),".",""),"/",""),"-","")," ",""),"(",""),")",""),"+",""))</f>
      </c>
      <c r="H146" s="6">
        <f>IF(G146="","",IF(LEN(G146)&lt;&gt;14,"ERRO: "&amp;LEN(G146)&amp;" dígitos",IF(NOT(ISNUMBER(VALUE(G146))),"ERRO: não numérico",IF(AND(VALUE(MID(G146,13,1))=IF(MOD(SUMPRODUCT(--MID(G146,{1,2,3,4,5,6,7,8,9,10,11,12},1),{5,4,3,2,9,8,7,6,5,4,3,2}),11)&lt;2,0,11-MOD(SUMPRODUCT(--MID(G146,{1,2,3,4,5,6,7,8,9,10,11,12},1),{5,4,3,2,9,8,7,6,5,4,3,2}),11)),VALUE(MID(G146,14,1))=IF(MOD(SUMPRODUCT(--MID(G146,{1,2,3,4,5,6,7,8,9,10,11,12,13},1),{6,5,4,3,2,9,8,7,6,5,4,3,2}),11)&lt;2,0,11-MOD(SUMPRODUCT(--MID(G146,{1,2,3,4,5,6,7,8,9,10,11,12,13},1),{6,5,4,3,2,9,8,7,6,5,4,3,2}),11))),"OK","AVISO: dígito verificador (conferir na org)"))))</f>
      </c>
      <c r="I146" s="6">
        <f>IF(G146="","",IF(COUNTIF($G$2:$G$2001,G146)&gt;1,"DUPLICADO","OK"))</f>
      </c>
      <c r="J146" s="6">
        <f>IF(COUNTA(A146:F146)=0,"",IF(AND(A146&lt;&gt;"",E146&lt;&gt;""),"OK","ERRO: faltam "&amp;IF(A146="","CNPJ; ","")&amp;IF(E146="","Novo gerente; ","")))</f>
      </c>
      <c r="K146" s="6">
        <f>IF(COUNTA(A146:F146)=0,"",IF(AND(LEFT(H146,4)&lt;&gt;"ERRO",I146="OK",J146="OK"),"OK","REVISAR"))</f>
      </c>
    </row>
    <row r="147">
      <c r="A147" s="5"/>
      <c r="B147" s="4"/>
      <c r="C147" s="4"/>
      <c r="D147" s="4"/>
      <c r="E147" s="5"/>
      <c r="F147" s="4"/>
      <c r="G147" s="6">
        <f>IF(A147="","",SUBSTITUTE(SUBSTITUTE(SUBSTITUTE(SUBSTITUTE(SUBSTITUTE(SUBSTITUTE(SUBSTITUTE(TRIM(A147),".",""),"/",""),"-","")," ",""),"(",""),")",""),"+",""))</f>
      </c>
      <c r="H147" s="6">
        <f>IF(G147="","",IF(LEN(G147)&lt;&gt;14,"ERRO: "&amp;LEN(G147)&amp;" dígitos",IF(NOT(ISNUMBER(VALUE(G147))),"ERRO: não numérico",IF(AND(VALUE(MID(G147,13,1))=IF(MOD(SUMPRODUCT(--MID(G147,{1,2,3,4,5,6,7,8,9,10,11,12},1),{5,4,3,2,9,8,7,6,5,4,3,2}),11)&lt;2,0,11-MOD(SUMPRODUCT(--MID(G147,{1,2,3,4,5,6,7,8,9,10,11,12},1),{5,4,3,2,9,8,7,6,5,4,3,2}),11)),VALUE(MID(G147,14,1))=IF(MOD(SUMPRODUCT(--MID(G147,{1,2,3,4,5,6,7,8,9,10,11,12,13},1),{6,5,4,3,2,9,8,7,6,5,4,3,2}),11)&lt;2,0,11-MOD(SUMPRODUCT(--MID(G147,{1,2,3,4,5,6,7,8,9,10,11,12,13},1),{6,5,4,3,2,9,8,7,6,5,4,3,2}),11))),"OK","AVISO: dígito verificador (conferir na org)"))))</f>
      </c>
      <c r="I147" s="6">
        <f>IF(G147="","",IF(COUNTIF($G$2:$G$2001,G147)&gt;1,"DUPLICADO","OK"))</f>
      </c>
      <c r="J147" s="6">
        <f>IF(COUNTA(A147:F147)=0,"",IF(AND(A147&lt;&gt;"",E147&lt;&gt;""),"OK","ERRO: faltam "&amp;IF(A147="","CNPJ; ","")&amp;IF(E147="","Novo gerente; ","")))</f>
      </c>
      <c r="K147" s="6">
        <f>IF(COUNTA(A147:F147)=0,"",IF(AND(LEFT(H147,4)&lt;&gt;"ERRO",I147="OK",J147="OK"),"OK","REVISAR"))</f>
      </c>
    </row>
    <row r="148">
      <c r="A148" s="5"/>
      <c r="B148" s="4"/>
      <c r="C148" s="4"/>
      <c r="D148" s="4"/>
      <c r="E148" s="5"/>
      <c r="F148" s="4"/>
      <c r="G148" s="6">
        <f>IF(A148="","",SUBSTITUTE(SUBSTITUTE(SUBSTITUTE(SUBSTITUTE(SUBSTITUTE(SUBSTITUTE(SUBSTITUTE(TRIM(A148),".",""),"/",""),"-","")," ",""),"(",""),")",""),"+",""))</f>
      </c>
      <c r="H148" s="6">
        <f>IF(G148="","",IF(LEN(G148)&lt;&gt;14,"ERRO: "&amp;LEN(G148)&amp;" dígitos",IF(NOT(ISNUMBER(VALUE(G148))),"ERRO: não numérico",IF(AND(VALUE(MID(G148,13,1))=IF(MOD(SUMPRODUCT(--MID(G148,{1,2,3,4,5,6,7,8,9,10,11,12},1),{5,4,3,2,9,8,7,6,5,4,3,2}),11)&lt;2,0,11-MOD(SUMPRODUCT(--MID(G148,{1,2,3,4,5,6,7,8,9,10,11,12},1),{5,4,3,2,9,8,7,6,5,4,3,2}),11)),VALUE(MID(G148,14,1))=IF(MOD(SUMPRODUCT(--MID(G148,{1,2,3,4,5,6,7,8,9,10,11,12,13},1),{6,5,4,3,2,9,8,7,6,5,4,3,2}),11)&lt;2,0,11-MOD(SUMPRODUCT(--MID(G148,{1,2,3,4,5,6,7,8,9,10,11,12,13},1),{6,5,4,3,2,9,8,7,6,5,4,3,2}),11))),"OK","AVISO: dígito verificador (conferir na org)"))))</f>
      </c>
      <c r="I148" s="6">
        <f>IF(G148="","",IF(COUNTIF($G$2:$G$2001,G148)&gt;1,"DUPLICADO","OK"))</f>
      </c>
      <c r="J148" s="6">
        <f>IF(COUNTA(A148:F148)=0,"",IF(AND(A148&lt;&gt;"",E148&lt;&gt;""),"OK","ERRO: faltam "&amp;IF(A148="","CNPJ; ","")&amp;IF(E148="","Novo gerente; ","")))</f>
      </c>
      <c r="K148" s="6">
        <f>IF(COUNTA(A148:F148)=0,"",IF(AND(LEFT(H148,4)&lt;&gt;"ERRO",I148="OK",J148="OK"),"OK","REVISAR"))</f>
      </c>
    </row>
    <row r="149">
      <c r="A149" s="5"/>
      <c r="B149" s="4"/>
      <c r="C149" s="4"/>
      <c r="D149" s="4"/>
      <c r="E149" s="5"/>
      <c r="F149" s="4"/>
      <c r="G149" s="6">
        <f>IF(A149="","",SUBSTITUTE(SUBSTITUTE(SUBSTITUTE(SUBSTITUTE(SUBSTITUTE(SUBSTITUTE(SUBSTITUTE(TRIM(A149),".",""),"/",""),"-","")," ",""),"(",""),")",""),"+",""))</f>
      </c>
      <c r="H149" s="6">
        <f>IF(G149="","",IF(LEN(G149)&lt;&gt;14,"ERRO: "&amp;LEN(G149)&amp;" dígitos",IF(NOT(ISNUMBER(VALUE(G149))),"ERRO: não numérico",IF(AND(VALUE(MID(G149,13,1))=IF(MOD(SUMPRODUCT(--MID(G149,{1,2,3,4,5,6,7,8,9,10,11,12},1),{5,4,3,2,9,8,7,6,5,4,3,2}),11)&lt;2,0,11-MOD(SUMPRODUCT(--MID(G149,{1,2,3,4,5,6,7,8,9,10,11,12},1),{5,4,3,2,9,8,7,6,5,4,3,2}),11)),VALUE(MID(G149,14,1))=IF(MOD(SUMPRODUCT(--MID(G149,{1,2,3,4,5,6,7,8,9,10,11,12,13},1),{6,5,4,3,2,9,8,7,6,5,4,3,2}),11)&lt;2,0,11-MOD(SUMPRODUCT(--MID(G149,{1,2,3,4,5,6,7,8,9,10,11,12,13},1),{6,5,4,3,2,9,8,7,6,5,4,3,2}),11))),"OK","AVISO: dígito verificador (conferir na org)"))))</f>
      </c>
      <c r="I149" s="6">
        <f>IF(G149="","",IF(COUNTIF($G$2:$G$2001,G149)&gt;1,"DUPLICADO","OK"))</f>
      </c>
      <c r="J149" s="6">
        <f>IF(COUNTA(A149:F149)=0,"",IF(AND(A149&lt;&gt;"",E149&lt;&gt;""),"OK","ERRO: faltam "&amp;IF(A149="","CNPJ; ","")&amp;IF(E149="","Novo gerente; ","")))</f>
      </c>
      <c r="K149" s="6">
        <f>IF(COUNTA(A149:F149)=0,"",IF(AND(LEFT(H149,4)&lt;&gt;"ERRO",I149="OK",J149="OK"),"OK","REVISAR"))</f>
      </c>
    </row>
    <row r="150">
      <c r="A150" s="5"/>
      <c r="B150" s="4"/>
      <c r="C150" s="4"/>
      <c r="D150" s="4"/>
      <c r="E150" s="5"/>
      <c r="F150" s="4"/>
      <c r="G150" s="6">
        <f>IF(A150="","",SUBSTITUTE(SUBSTITUTE(SUBSTITUTE(SUBSTITUTE(SUBSTITUTE(SUBSTITUTE(SUBSTITUTE(TRIM(A150),".",""),"/",""),"-","")," ",""),"(",""),")",""),"+",""))</f>
      </c>
      <c r="H150" s="6">
        <f>IF(G150="","",IF(LEN(G150)&lt;&gt;14,"ERRO: "&amp;LEN(G150)&amp;" dígitos",IF(NOT(ISNUMBER(VALUE(G150))),"ERRO: não numérico",IF(AND(VALUE(MID(G150,13,1))=IF(MOD(SUMPRODUCT(--MID(G150,{1,2,3,4,5,6,7,8,9,10,11,12},1),{5,4,3,2,9,8,7,6,5,4,3,2}),11)&lt;2,0,11-MOD(SUMPRODUCT(--MID(G150,{1,2,3,4,5,6,7,8,9,10,11,12},1),{5,4,3,2,9,8,7,6,5,4,3,2}),11)),VALUE(MID(G150,14,1))=IF(MOD(SUMPRODUCT(--MID(G150,{1,2,3,4,5,6,7,8,9,10,11,12,13},1),{6,5,4,3,2,9,8,7,6,5,4,3,2}),11)&lt;2,0,11-MOD(SUMPRODUCT(--MID(G150,{1,2,3,4,5,6,7,8,9,10,11,12,13},1),{6,5,4,3,2,9,8,7,6,5,4,3,2}),11))),"OK","AVISO: dígito verificador (conferir na org)"))))</f>
      </c>
      <c r="I150" s="6">
        <f>IF(G150="","",IF(COUNTIF($G$2:$G$2001,G150)&gt;1,"DUPLICADO","OK"))</f>
      </c>
      <c r="J150" s="6">
        <f>IF(COUNTA(A150:F150)=0,"",IF(AND(A150&lt;&gt;"",E150&lt;&gt;""),"OK","ERRO: faltam "&amp;IF(A150="","CNPJ; ","")&amp;IF(E150="","Novo gerente; ","")))</f>
      </c>
      <c r="K150" s="6">
        <f>IF(COUNTA(A150:F150)=0,"",IF(AND(LEFT(H150,4)&lt;&gt;"ERRO",I150="OK",J150="OK"),"OK","REVISAR"))</f>
      </c>
    </row>
    <row r="151">
      <c r="A151" s="5"/>
      <c r="B151" s="4"/>
      <c r="C151" s="4"/>
      <c r="D151" s="4"/>
      <c r="E151" s="5"/>
      <c r="F151" s="4"/>
      <c r="G151" s="6">
        <f>IF(A151="","",SUBSTITUTE(SUBSTITUTE(SUBSTITUTE(SUBSTITUTE(SUBSTITUTE(SUBSTITUTE(SUBSTITUTE(TRIM(A151),".",""),"/",""),"-","")," ",""),"(",""),")",""),"+",""))</f>
      </c>
      <c r="H151" s="6">
        <f>IF(G151="","",IF(LEN(G151)&lt;&gt;14,"ERRO: "&amp;LEN(G151)&amp;" dígitos",IF(NOT(ISNUMBER(VALUE(G151))),"ERRO: não numérico",IF(AND(VALUE(MID(G151,13,1))=IF(MOD(SUMPRODUCT(--MID(G151,{1,2,3,4,5,6,7,8,9,10,11,12},1),{5,4,3,2,9,8,7,6,5,4,3,2}),11)&lt;2,0,11-MOD(SUMPRODUCT(--MID(G151,{1,2,3,4,5,6,7,8,9,10,11,12},1),{5,4,3,2,9,8,7,6,5,4,3,2}),11)),VALUE(MID(G151,14,1))=IF(MOD(SUMPRODUCT(--MID(G151,{1,2,3,4,5,6,7,8,9,10,11,12,13},1),{6,5,4,3,2,9,8,7,6,5,4,3,2}),11)&lt;2,0,11-MOD(SUMPRODUCT(--MID(G151,{1,2,3,4,5,6,7,8,9,10,11,12,13},1),{6,5,4,3,2,9,8,7,6,5,4,3,2}),11))),"OK","AVISO: dígito verificador (conferir na org)"))))</f>
      </c>
      <c r="I151" s="6">
        <f>IF(G151="","",IF(COUNTIF($G$2:$G$2001,G151)&gt;1,"DUPLICADO","OK"))</f>
      </c>
      <c r="J151" s="6">
        <f>IF(COUNTA(A151:F151)=0,"",IF(AND(A151&lt;&gt;"",E151&lt;&gt;""),"OK","ERRO: faltam "&amp;IF(A151="","CNPJ; ","")&amp;IF(E151="","Novo gerente; ","")))</f>
      </c>
      <c r="K151" s="6">
        <f>IF(COUNTA(A151:F151)=0,"",IF(AND(LEFT(H151,4)&lt;&gt;"ERRO",I151="OK",J151="OK"),"OK","REVISAR"))</f>
      </c>
    </row>
    <row r="152">
      <c r="A152" s="5"/>
      <c r="B152" s="4"/>
      <c r="C152" s="4"/>
      <c r="D152" s="4"/>
      <c r="E152" s="5"/>
      <c r="F152" s="4"/>
      <c r="G152" s="6">
        <f>IF(A152="","",SUBSTITUTE(SUBSTITUTE(SUBSTITUTE(SUBSTITUTE(SUBSTITUTE(SUBSTITUTE(SUBSTITUTE(TRIM(A152),".",""),"/",""),"-","")," ",""),"(",""),")",""),"+",""))</f>
      </c>
      <c r="H152" s="6">
        <f>IF(G152="","",IF(LEN(G152)&lt;&gt;14,"ERRO: "&amp;LEN(G152)&amp;" dígitos",IF(NOT(ISNUMBER(VALUE(G152))),"ERRO: não numérico",IF(AND(VALUE(MID(G152,13,1))=IF(MOD(SUMPRODUCT(--MID(G152,{1,2,3,4,5,6,7,8,9,10,11,12},1),{5,4,3,2,9,8,7,6,5,4,3,2}),11)&lt;2,0,11-MOD(SUMPRODUCT(--MID(G152,{1,2,3,4,5,6,7,8,9,10,11,12},1),{5,4,3,2,9,8,7,6,5,4,3,2}),11)),VALUE(MID(G152,14,1))=IF(MOD(SUMPRODUCT(--MID(G152,{1,2,3,4,5,6,7,8,9,10,11,12,13},1),{6,5,4,3,2,9,8,7,6,5,4,3,2}),11)&lt;2,0,11-MOD(SUMPRODUCT(--MID(G152,{1,2,3,4,5,6,7,8,9,10,11,12,13},1),{6,5,4,3,2,9,8,7,6,5,4,3,2}),11))),"OK","AVISO: dígito verificador (conferir na org)"))))</f>
      </c>
      <c r="I152" s="6">
        <f>IF(G152="","",IF(COUNTIF($G$2:$G$2001,G152)&gt;1,"DUPLICADO","OK"))</f>
      </c>
      <c r="J152" s="6">
        <f>IF(COUNTA(A152:F152)=0,"",IF(AND(A152&lt;&gt;"",E152&lt;&gt;""),"OK","ERRO: faltam "&amp;IF(A152="","CNPJ; ","")&amp;IF(E152="","Novo gerente; ","")))</f>
      </c>
      <c r="K152" s="6">
        <f>IF(COUNTA(A152:F152)=0,"",IF(AND(LEFT(H152,4)&lt;&gt;"ERRO",I152="OK",J152="OK"),"OK","REVISAR"))</f>
      </c>
    </row>
    <row r="153">
      <c r="A153" s="5"/>
      <c r="B153" s="4"/>
      <c r="C153" s="4"/>
      <c r="D153" s="4"/>
      <c r="E153" s="5"/>
      <c r="F153" s="4"/>
      <c r="G153" s="6">
        <f>IF(A153="","",SUBSTITUTE(SUBSTITUTE(SUBSTITUTE(SUBSTITUTE(SUBSTITUTE(SUBSTITUTE(SUBSTITUTE(TRIM(A153),".",""),"/",""),"-","")," ",""),"(",""),")",""),"+",""))</f>
      </c>
      <c r="H153" s="6">
        <f>IF(G153="","",IF(LEN(G153)&lt;&gt;14,"ERRO: "&amp;LEN(G153)&amp;" dígitos",IF(NOT(ISNUMBER(VALUE(G153))),"ERRO: não numérico",IF(AND(VALUE(MID(G153,13,1))=IF(MOD(SUMPRODUCT(--MID(G153,{1,2,3,4,5,6,7,8,9,10,11,12},1),{5,4,3,2,9,8,7,6,5,4,3,2}),11)&lt;2,0,11-MOD(SUMPRODUCT(--MID(G153,{1,2,3,4,5,6,7,8,9,10,11,12},1),{5,4,3,2,9,8,7,6,5,4,3,2}),11)),VALUE(MID(G153,14,1))=IF(MOD(SUMPRODUCT(--MID(G153,{1,2,3,4,5,6,7,8,9,10,11,12,13},1),{6,5,4,3,2,9,8,7,6,5,4,3,2}),11)&lt;2,0,11-MOD(SUMPRODUCT(--MID(G153,{1,2,3,4,5,6,7,8,9,10,11,12,13},1),{6,5,4,3,2,9,8,7,6,5,4,3,2}),11))),"OK","AVISO: dígito verificador (conferir na org)"))))</f>
      </c>
      <c r="I153" s="6">
        <f>IF(G153="","",IF(COUNTIF($G$2:$G$2001,G153)&gt;1,"DUPLICADO","OK"))</f>
      </c>
      <c r="J153" s="6">
        <f>IF(COUNTA(A153:F153)=0,"",IF(AND(A153&lt;&gt;"",E153&lt;&gt;""),"OK","ERRO: faltam "&amp;IF(A153="","CNPJ; ","")&amp;IF(E153="","Novo gerente; ","")))</f>
      </c>
      <c r="K153" s="6">
        <f>IF(COUNTA(A153:F153)=0,"",IF(AND(LEFT(H153,4)&lt;&gt;"ERRO",I153="OK",J153="OK"),"OK","REVISAR"))</f>
      </c>
    </row>
    <row r="154">
      <c r="A154" s="5"/>
      <c r="B154" s="4"/>
      <c r="C154" s="4"/>
      <c r="D154" s="4"/>
      <c r="E154" s="5"/>
      <c r="F154" s="4"/>
      <c r="G154" s="6">
        <f>IF(A154="","",SUBSTITUTE(SUBSTITUTE(SUBSTITUTE(SUBSTITUTE(SUBSTITUTE(SUBSTITUTE(SUBSTITUTE(TRIM(A154),".",""),"/",""),"-","")," ",""),"(",""),")",""),"+",""))</f>
      </c>
      <c r="H154" s="6">
        <f>IF(G154="","",IF(LEN(G154)&lt;&gt;14,"ERRO: "&amp;LEN(G154)&amp;" dígitos",IF(NOT(ISNUMBER(VALUE(G154))),"ERRO: não numérico",IF(AND(VALUE(MID(G154,13,1))=IF(MOD(SUMPRODUCT(--MID(G154,{1,2,3,4,5,6,7,8,9,10,11,12},1),{5,4,3,2,9,8,7,6,5,4,3,2}),11)&lt;2,0,11-MOD(SUMPRODUCT(--MID(G154,{1,2,3,4,5,6,7,8,9,10,11,12},1),{5,4,3,2,9,8,7,6,5,4,3,2}),11)),VALUE(MID(G154,14,1))=IF(MOD(SUMPRODUCT(--MID(G154,{1,2,3,4,5,6,7,8,9,10,11,12,13},1),{6,5,4,3,2,9,8,7,6,5,4,3,2}),11)&lt;2,0,11-MOD(SUMPRODUCT(--MID(G154,{1,2,3,4,5,6,7,8,9,10,11,12,13},1),{6,5,4,3,2,9,8,7,6,5,4,3,2}),11))),"OK","AVISO: dígito verificador (conferir na org)"))))</f>
      </c>
      <c r="I154" s="6">
        <f>IF(G154="","",IF(COUNTIF($G$2:$G$2001,G154)&gt;1,"DUPLICADO","OK"))</f>
      </c>
      <c r="J154" s="6">
        <f>IF(COUNTA(A154:F154)=0,"",IF(AND(A154&lt;&gt;"",E154&lt;&gt;""),"OK","ERRO: faltam "&amp;IF(A154="","CNPJ; ","")&amp;IF(E154="","Novo gerente; ","")))</f>
      </c>
      <c r="K154" s="6">
        <f>IF(COUNTA(A154:F154)=0,"",IF(AND(LEFT(H154,4)&lt;&gt;"ERRO",I154="OK",J154="OK"),"OK","REVISAR"))</f>
      </c>
    </row>
    <row r="155">
      <c r="A155" s="5"/>
      <c r="B155" s="4"/>
      <c r="C155" s="4"/>
      <c r="D155" s="4"/>
      <c r="E155" s="5"/>
      <c r="F155" s="4"/>
      <c r="G155" s="6">
        <f>IF(A155="","",SUBSTITUTE(SUBSTITUTE(SUBSTITUTE(SUBSTITUTE(SUBSTITUTE(SUBSTITUTE(SUBSTITUTE(TRIM(A155),".",""),"/",""),"-","")," ",""),"(",""),")",""),"+",""))</f>
      </c>
      <c r="H155" s="6">
        <f>IF(G155="","",IF(LEN(G155)&lt;&gt;14,"ERRO: "&amp;LEN(G155)&amp;" dígitos",IF(NOT(ISNUMBER(VALUE(G155))),"ERRO: não numérico",IF(AND(VALUE(MID(G155,13,1))=IF(MOD(SUMPRODUCT(--MID(G155,{1,2,3,4,5,6,7,8,9,10,11,12},1),{5,4,3,2,9,8,7,6,5,4,3,2}),11)&lt;2,0,11-MOD(SUMPRODUCT(--MID(G155,{1,2,3,4,5,6,7,8,9,10,11,12},1),{5,4,3,2,9,8,7,6,5,4,3,2}),11)),VALUE(MID(G155,14,1))=IF(MOD(SUMPRODUCT(--MID(G155,{1,2,3,4,5,6,7,8,9,10,11,12,13},1),{6,5,4,3,2,9,8,7,6,5,4,3,2}),11)&lt;2,0,11-MOD(SUMPRODUCT(--MID(G155,{1,2,3,4,5,6,7,8,9,10,11,12,13},1),{6,5,4,3,2,9,8,7,6,5,4,3,2}),11))),"OK","AVISO: dígito verificador (conferir na org)"))))</f>
      </c>
      <c r="I155" s="6">
        <f>IF(G155="","",IF(COUNTIF($G$2:$G$2001,G155)&gt;1,"DUPLICADO","OK"))</f>
      </c>
      <c r="J155" s="6">
        <f>IF(COUNTA(A155:F155)=0,"",IF(AND(A155&lt;&gt;"",E155&lt;&gt;""),"OK","ERRO: faltam "&amp;IF(A155="","CNPJ; ","")&amp;IF(E155="","Novo gerente; ","")))</f>
      </c>
      <c r="K155" s="6">
        <f>IF(COUNTA(A155:F155)=0,"",IF(AND(LEFT(H155,4)&lt;&gt;"ERRO",I155="OK",J155="OK"),"OK","REVISAR"))</f>
      </c>
    </row>
    <row r="156">
      <c r="A156" s="5"/>
      <c r="B156" s="4"/>
      <c r="C156" s="4"/>
      <c r="D156" s="4"/>
      <c r="E156" s="5"/>
      <c r="F156" s="4"/>
      <c r="G156" s="6">
        <f>IF(A156="","",SUBSTITUTE(SUBSTITUTE(SUBSTITUTE(SUBSTITUTE(SUBSTITUTE(SUBSTITUTE(SUBSTITUTE(TRIM(A156),".",""),"/",""),"-","")," ",""),"(",""),")",""),"+",""))</f>
      </c>
      <c r="H156" s="6">
        <f>IF(G156="","",IF(LEN(G156)&lt;&gt;14,"ERRO: "&amp;LEN(G156)&amp;" dígitos",IF(NOT(ISNUMBER(VALUE(G156))),"ERRO: não numérico",IF(AND(VALUE(MID(G156,13,1))=IF(MOD(SUMPRODUCT(--MID(G156,{1,2,3,4,5,6,7,8,9,10,11,12},1),{5,4,3,2,9,8,7,6,5,4,3,2}),11)&lt;2,0,11-MOD(SUMPRODUCT(--MID(G156,{1,2,3,4,5,6,7,8,9,10,11,12},1),{5,4,3,2,9,8,7,6,5,4,3,2}),11)),VALUE(MID(G156,14,1))=IF(MOD(SUMPRODUCT(--MID(G156,{1,2,3,4,5,6,7,8,9,10,11,12,13},1),{6,5,4,3,2,9,8,7,6,5,4,3,2}),11)&lt;2,0,11-MOD(SUMPRODUCT(--MID(G156,{1,2,3,4,5,6,7,8,9,10,11,12,13},1),{6,5,4,3,2,9,8,7,6,5,4,3,2}),11))),"OK","AVISO: dígito verificador (conferir na org)"))))</f>
      </c>
      <c r="I156" s="6">
        <f>IF(G156="","",IF(COUNTIF($G$2:$G$2001,G156)&gt;1,"DUPLICADO","OK"))</f>
      </c>
      <c r="J156" s="6">
        <f>IF(COUNTA(A156:F156)=0,"",IF(AND(A156&lt;&gt;"",E156&lt;&gt;""),"OK","ERRO: faltam "&amp;IF(A156="","CNPJ; ","")&amp;IF(E156="","Novo gerente; ","")))</f>
      </c>
      <c r="K156" s="6">
        <f>IF(COUNTA(A156:F156)=0,"",IF(AND(LEFT(H156,4)&lt;&gt;"ERRO",I156="OK",J156="OK"),"OK","REVISAR"))</f>
      </c>
    </row>
    <row r="157">
      <c r="A157" s="5"/>
      <c r="B157" s="4"/>
      <c r="C157" s="4"/>
      <c r="D157" s="4"/>
      <c r="E157" s="5"/>
      <c r="F157" s="4"/>
      <c r="G157" s="6">
        <f>IF(A157="","",SUBSTITUTE(SUBSTITUTE(SUBSTITUTE(SUBSTITUTE(SUBSTITUTE(SUBSTITUTE(SUBSTITUTE(TRIM(A157),".",""),"/",""),"-","")," ",""),"(",""),")",""),"+",""))</f>
      </c>
      <c r="H157" s="6">
        <f>IF(G157="","",IF(LEN(G157)&lt;&gt;14,"ERRO: "&amp;LEN(G157)&amp;" dígitos",IF(NOT(ISNUMBER(VALUE(G157))),"ERRO: não numérico",IF(AND(VALUE(MID(G157,13,1))=IF(MOD(SUMPRODUCT(--MID(G157,{1,2,3,4,5,6,7,8,9,10,11,12},1),{5,4,3,2,9,8,7,6,5,4,3,2}),11)&lt;2,0,11-MOD(SUMPRODUCT(--MID(G157,{1,2,3,4,5,6,7,8,9,10,11,12},1),{5,4,3,2,9,8,7,6,5,4,3,2}),11)),VALUE(MID(G157,14,1))=IF(MOD(SUMPRODUCT(--MID(G157,{1,2,3,4,5,6,7,8,9,10,11,12,13},1),{6,5,4,3,2,9,8,7,6,5,4,3,2}),11)&lt;2,0,11-MOD(SUMPRODUCT(--MID(G157,{1,2,3,4,5,6,7,8,9,10,11,12,13},1),{6,5,4,3,2,9,8,7,6,5,4,3,2}),11))),"OK","AVISO: dígito verificador (conferir na org)"))))</f>
      </c>
      <c r="I157" s="6">
        <f>IF(G157="","",IF(COUNTIF($G$2:$G$2001,G157)&gt;1,"DUPLICADO","OK"))</f>
      </c>
      <c r="J157" s="6">
        <f>IF(COUNTA(A157:F157)=0,"",IF(AND(A157&lt;&gt;"",E157&lt;&gt;""),"OK","ERRO: faltam "&amp;IF(A157="","CNPJ; ","")&amp;IF(E157="","Novo gerente; ","")))</f>
      </c>
      <c r="K157" s="6">
        <f>IF(COUNTA(A157:F157)=0,"",IF(AND(LEFT(H157,4)&lt;&gt;"ERRO",I157="OK",J157="OK"),"OK","REVISAR"))</f>
      </c>
    </row>
    <row r="158">
      <c r="A158" s="5"/>
      <c r="B158" s="4"/>
      <c r="C158" s="4"/>
      <c r="D158" s="4"/>
      <c r="E158" s="5"/>
      <c r="F158" s="4"/>
      <c r="G158" s="6">
        <f>IF(A158="","",SUBSTITUTE(SUBSTITUTE(SUBSTITUTE(SUBSTITUTE(SUBSTITUTE(SUBSTITUTE(SUBSTITUTE(TRIM(A158),".",""),"/",""),"-","")," ",""),"(",""),")",""),"+",""))</f>
      </c>
      <c r="H158" s="6">
        <f>IF(G158="","",IF(LEN(G158)&lt;&gt;14,"ERRO: "&amp;LEN(G158)&amp;" dígitos",IF(NOT(ISNUMBER(VALUE(G158))),"ERRO: não numérico",IF(AND(VALUE(MID(G158,13,1))=IF(MOD(SUMPRODUCT(--MID(G158,{1,2,3,4,5,6,7,8,9,10,11,12},1),{5,4,3,2,9,8,7,6,5,4,3,2}),11)&lt;2,0,11-MOD(SUMPRODUCT(--MID(G158,{1,2,3,4,5,6,7,8,9,10,11,12},1),{5,4,3,2,9,8,7,6,5,4,3,2}),11)),VALUE(MID(G158,14,1))=IF(MOD(SUMPRODUCT(--MID(G158,{1,2,3,4,5,6,7,8,9,10,11,12,13},1),{6,5,4,3,2,9,8,7,6,5,4,3,2}),11)&lt;2,0,11-MOD(SUMPRODUCT(--MID(G158,{1,2,3,4,5,6,7,8,9,10,11,12,13},1),{6,5,4,3,2,9,8,7,6,5,4,3,2}),11))),"OK","AVISO: dígito verificador (conferir na org)"))))</f>
      </c>
      <c r="I158" s="6">
        <f>IF(G158="","",IF(COUNTIF($G$2:$G$2001,G158)&gt;1,"DUPLICADO","OK"))</f>
      </c>
      <c r="J158" s="6">
        <f>IF(COUNTA(A158:F158)=0,"",IF(AND(A158&lt;&gt;"",E158&lt;&gt;""),"OK","ERRO: faltam "&amp;IF(A158="","CNPJ; ","")&amp;IF(E158="","Novo gerente; ","")))</f>
      </c>
      <c r="K158" s="6">
        <f>IF(COUNTA(A158:F158)=0,"",IF(AND(LEFT(H158,4)&lt;&gt;"ERRO",I158="OK",J158="OK"),"OK","REVISAR"))</f>
      </c>
    </row>
    <row r="159">
      <c r="A159" s="5"/>
      <c r="B159" s="4"/>
      <c r="C159" s="4"/>
      <c r="D159" s="4"/>
      <c r="E159" s="5"/>
      <c r="F159" s="4"/>
      <c r="G159" s="6">
        <f>IF(A159="","",SUBSTITUTE(SUBSTITUTE(SUBSTITUTE(SUBSTITUTE(SUBSTITUTE(SUBSTITUTE(SUBSTITUTE(TRIM(A159),".",""),"/",""),"-","")," ",""),"(",""),")",""),"+",""))</f>
      </c>
      <c r="H159" s="6">
        <f>IF(G159="","",IF(LEN(G159)&lt;&gt;14,"ERRO: "&amp;LEN(G159)&amp;" dígitos",IF(NOT(ISNUMBER(VALUE(G159))),"ERRO: não numérico",IF(AND(VALUE(MID(G159,13,1))=IF(MOD(SUMPRODUCT(--MID(G159,{1,2,3,4,5,6,7,8,9,10,11,12},1),{5,4,3,2,9,8,7,6,5,4,3,2}),11)&lt;2,0,11-MOD(SUMPRODUCT(--MID(G159,{1,2,3,4,5,6,7,8,9,10,11,12},1),{5,4,3,2,9,8,7,6,5,4,3,2}),11)),VALUE(MID(G159,14,1))=IF(MOD(SUMPRODUCT(--MID(G159,{1,2,3,4,5,6,7,8,9,10,11,12,13},1),{6,5,4,3,2,9,8,7,6,5,4,3,2}),11)&lt;2,0,11-MOD(SUMPRODUCT(--MID(G159,{1,2,3,4,5,6,7,8,9,10,11,12,13},1),{6,5,4,3,2,9,8,7,6,5,4,3,2}),11))),"OK","AVISO: dígito verificador (conferir na org)"))))</f>
      </c>
      <c r="I159" s="6">
        <f>IF(G159="","",IF(COUNTIF($G$2:$G$2001,G159)&gt;1,"DUPLICADO","OK"))</f>
      </c>
      <c r="J159" s="6">
        <f>IF(COUNTA(A159:F159)=0,"",IF(AND(A159&lt;&gt;"",E159&lt;&gt;""),"OK","ERRO: faltam "&amp;IF(A159="","CNPJ; ","")&amp;IF(E159="","Novo gerente; ","")))</f>
      </c>
      <c r="K159" s="6">
        <f>IF(COUNTA(A159:F159)=0,"",IF(AND(LEFT(H159,4)&lt;&gt;"ERRO",I159="OK",J159="OK"),"OK","REVISAR"))</f>
      </c>
    </row>
    <row r="160">
      <c r="A160" s="5"/>
      <c r="B160" s="4"/>
      <c r="C160" s="4"/>
      <c r="D160" s="4"/>
      <c r="E160" s="5"/>
      <c r="F160" s="4"/>
      <c r="G160" s="6">
        <f>IF(A160="","",SUBSTITUTE(SUBSTITUTE(SUBSTITUTE(SUBSTITUTE(SUBSTITUTE(SUBSTITUTE(SUBSTITUTE(TRIM(A160),".",""),"/",""),"-","")," ",""),"(",""),")",""),"+",""))</f>
      </c>
      <c r="H160" s="6">
        <f>IF(G160="","",IF(LEN(G160)&lt;&gt;14,"ERRO: "&amp;LEN(G160)&amp;" dígitos",IF(NOT(ISNUMBER(VALUE(G160))),"ERRO: não numérico",IF(AND(VALUE(MID(G160,13,1))=IF(MOD(SUMPRODUCT(--MID(G160,{1,2,3,4,5,6,7,8,9,10,11,12},1),{5,4,3,2,9,8,7,6,5,4,3,2}),11)&lt;2,0,11-MOD(SUMPRODUCT(--MID(G160,{1,2,3,4,5,6,7,8,9,10,11,12},1),{5,4,3,2,9,8,7,6,5,4,3,2}),11)),VALUE(MID(G160,14,1))=IF(MOD(SUMPRODUCT(--MID(G160,{1,2,3,4,5,6,7,8,9,10,11,12,13},1),{6,5,4,3,2,9,8,7,6,5,4,3,2}),11)&lt;2,0,11-MOD(SUMPRODUCT(--MID(G160,{1,2,3,4,5,6,7,8,9,10,11,12,13},1),{6,5,4,3,2,9,8,7,6,5,4,3,2}),11))),"OK","AVISO: dígito verificador (conferir na org)"))))</f>
      </c>
      <c r="I160" s="6">
        <f>IF(G160="","",IF(COUNTIF($G$2:$G$2001,G160)&gt;1,"DUPLICADO","OK"))</f>
      </c>
      <c r="J160" s="6">
        <f>IF(COUNTA(A160:F160)=0,"",IF(AND(A160&lt;&gt;"",E160&lt;&gt;""),"OK","ERRO: faltam "&amp;IF(A160="","CNPJ; ","")&amp;IF(E160="","Novo gerente; ","")))</f>
      </c>
      <c r="K160" s="6">
        <f>IF(COUNTA(A160:F160)=0,"",IF(AND(LEFT(H160,4)&lt;&gt;"ERRO",I160="OK",J160="OK"),"OK","REVISAR"))</f>
      </c>
    </row>
    <row r="161">
      <c r="A161" s="5"/>
      <c r="B161" s="4"/>
      <c r="C161" s="4"/>
      <c r="D161" s="4"/>
      <c r="E161" s="5"/>
      <c r="F161" s="4"/>
      <c r="G161" s="6">
        <f>IF(A161="","",SUBSTITUTE(SUBSTITUTE(SUBSTITUTE(SUBSTITUTE(SUBSTITUTE(SUBSTITUTE(SUBSTITUTE(TRIM(A161),".",""),"/",""),"-","")," ",""),"(",""),")",""),"+",""))</f>
      </c>
      <c r="H161" s="6">
        <f>IF(G161="","",IF(LEN(G161)&lt;&gt;14,"ERRO: "&amp;LEN(G161)&amp;" dígitos",IF(NOT(ISNUMBER(VALUE(G161))),"ERRO: não numérico",IF(AND(VALUE(MID(G161,13,1))=IF(MOD(SUMPRODUCT(--MID(G161,{1,2,3,4,5,6,7,8,9,10,11,12},1),{5,4,3,2,9,8,7,6,5,4,3,2}),11)&lt;2,0,11-MOD(SUMPRODUCT(--MID(G161,{1,2,3,4,5,6,7,8,9,10,11,12},1),{5,4,3,2,9,8,7,6,5,4,3,2}),11)),VALUE(MID(G161,14,1))=IF(MOD(SUMPRODUCT(--MID(G161,{1,2,3,4,5,6,7,8,9,10,11,12,13},1),{6,5,4,3,2,9,8,7,6,5,4,3,2}),11)&lt;2,0,11-MOD(SUMPRODUCT(--MID(G161,{1,2,3,4,5,6,7,8,9,10,11,12,13},1),{6,5,4,3,2,9,8,7,6,5,4,3,2}),11))),"OK","AVISO: dígito verificador (conferir na org)"))))</f>
      </c>
      <c r="I161" s="6">
        <f>IF(G161="","",IF(COUNTIF($G$2:$G$2001,G161)&gt;1,"DUPLICADO","OK"))</f>
      </c>
      <c r="J161" s="6">
        <f>IF(COUNTA(A161:F161)=0,"",IF(AND(A161&lt;&gt;"",E161&lt;&gt;""),"OK","ERRO: faltam "&amp;IF(A161="","CNPJ; ","")&amp;IF(E161="","Novo gerente; ","")))</f>
      </c>
      <c r="K161" s="6">
        <f>IF(COUNTA(A161:F161)=0,"",IF(AND(LEFT(H161,4)&lt;&gt;"ERRO",I161="OK",J161="OK"),"OK","REVISAR"))</f>
      </c>
    </row>
    <row r="162">
      <c r="A162" s="5"/>
      <c r="B162" s="4"/>
      <c r="C162" s="4"/>
      <c r="D162" s="4"/>
      <c r="E162" s="5"/>
      <c r="F162" s="4"/>
      <c r="G162" s="6">
        <f>IF(A162="","",SUBSTITUTE(SUBSTITUTE(SUBSTITUTE(SUBSTITUTE(SUBSTITUTE(SUBSTITUTE(SUBSTITUTE(TRIM(A162),".",""),"/",""),"-","")," ",""),"(",""),")",""),"+",""))</f>
      </c>
      <c r="H162" s="6">
        <f>IF(G162="","",IF(LEN(G162)&lt;&gt;14,"ERRO: "&amp;LEN(G162)&amp;" dígitos",IF(NOT(ISNUMBER(VALUE(G162))),"ERRO: não numérico",IF(AND(VALUE(MID(G162,13,1))=IF(MOD(SUMPRODUCT(--MID(G162,{1,2,3,4,5,6,7,8,9,10,11,12},1),{5,4,3,2,9,8,7,6,5,4,3,2}),11)&lt;2,0,11-MOD(SUMPRODUCT(--MID(G162,{1,2,3,4,5,6,7,8,9,10,11,12},1),{5,4,3,2,9,8,7,6,5,4,3,2}),11)),VALUE(MID(G162,14,1))=IF(MOD(SUMPRODUCT(--MID(G162,{1,2,3,4,5,6,7,8,9,10,11,12,13},1),{6,5,4,3,2,9,8,7,6,5,4,3,2}),11)&lt;2,0,11-MOD(SUMPRODUCT(--MID(G162,{1,2,3,4,5,6,7,8,9,10,11,12,13},1),{6,5,4,3,2,9,8,7,6,5,4,3,2}),11))),"OK","AVISO: dígito verificador (conferir na org)"))))</f>
      </c>
      <c r="I162" s="6">
        <f>IF(G162="","",IF(COUNTIF($G$2:$G$2001,G162)&gt;1,"DUPLICADO","OK"))</f>
      </c>
      <c r="J162" s="6">
        <f>IF(COUNTA(A162:F162)=0,"",IF(AND(A162&lt;&gt;"",E162&lt;&gt;""),"OK","ERRO: faltam "&amp;IF(A162="","CNPJ; ","")&amp;IF(E162="","Novo gerente; ","")))</f>
      </c>
      <c r="K162" s="6">
        <f>IF(COUNTA(A162:F162)=0,"",IF(AND(LEFT(H162,4)&lt;&gt;"ERRO",I162="OK",J162="OK"),"OK","REVISAR"))</f>
      </c>
    </row>
    <row r="163">
      <c r="A163" s="5"/>
      <c r="B163" s="4"/>
      <c r="C163" s="4"/>
      <c r="D163" s="4"/>
      <c r="E163" s="5"/>
      <c r="F163" s="4"/>
      <c r="G163" s="6">
        <f>IF(A163="","",SUBSTITUTE(SUBSTITUTE(SUBSTITUTE(SUBSTITUTE(SUBSTITUTE(SUBSTITUTE(SUBSTITUTE(TRIM(A163),".",""),"/",""),"-","")," ",""),"(",""),")",""),"+",""))</f>
      </c>
      <c r="H163" s="6">
        <f>IF(G163="","",IF(LEN(G163)&lt;&gt;14,"ERRO: "&amp;LEN(G163)&amp;" dígitos",IF(NOT(ISNUMBER(VALUE(G163))),"ERRO: não numérico",IF(AND(VALUE(MID(G163,13,1))=IF(MOD(SUMPRODUCT(--MID(G163,{1,2,3,4,5,6,7,8,9,10,11,12},1),{5,4,3,2,9,8,7,6,5,4,3,2}),11)&lt;2,0,11-MOD(SUMPRODUCT(--MID(G163,{1,2,3,4,5,6,7,8,9,10,11,12},1),{5,4,3,2,9,8,7,6,5,4,3,2}),11)),VALUE(MID(G163,14,1))=IF(MOD(SUMPRODUCT(--MID(G163,{1,2,3,4,5,6,7,8,9,10,11,12,13},1),{6,5,4,3,2,9,8,7,6,5,4,3,2}),11)&lt;2,0,11-MOD(SUMPRODUCT(--MID(G163,{1,2,3,4,5,6,7,8,9,10,11,12,13},1),{6,5,4,3,2,9,8,7,6,5,4,3,2}),11))),"OK","AVISO: dígito verificador (conferir na org)"))))</f>
      </c>
      <c r="I163" s="6">
        <f>IF(G163="","",IF(COUNTIF($G$2:$G$2001,G163)&gt;1,"DUPLICADO","OK"))</f>
      </c>
      <c r="J163" s="6">
        <f>IF(COUNTA(A163:F163)=0,"",IF(AND(A163&lt;&gt;"",E163&lt;&gt;""),"OK","ERRO: faltam "&amp;IF(A163="","CNPJ; ","")&amp;IF(E163="","Novo gerente; ","")))</f>
      </c>
      <c r="K163" s="6">
        <f>IF(COUNTA(A163:F163)=0,"",IF(AND(LEFT(H163,4)&lt;&gt;"ERRO",I163="OK",J163="OK"),"OK","REVISAR"))</f>
      </c>
    </row>
    <row r="164">
      <c r="A164" s="5"/>
      <c r="B164" s="4"/>
      <c r="C164" s="4"/>
      <c r="D164" s="4"/>
      <c r="E164" s="5"/>
      <c r="F164" s="4"/>
      <c r="G164" s="6">
        <f>IF(A164="","",SUBSTITUTE(SUBSTITUTE(SUBSTITUTE(SUBSTITUTE(SUBSTITUTE(SUBSTITUTE(SUBSTITUTE(TRIM(A164),".",""),"/",""),"-","")," ",""),"(",""),")",""),"+",""))</f>
      </c>
      <c r="H164" s="6">
        <f>IF(G164="","",IF(LEN(G164)&lt;&gt;14,"ERRO: "&amp;LEN(G164)&amp;" dígitos",IF(NOT(ISNUMBER(VALUE(G164))),"ERRO: não numérico",IF(AND(VALUE(MID(G164,13,1))=IF(MOD(SUMPRODUCT(--MID(G164,{1,2,3,4,5,6,7,8,9,10,11,12},1),{5,4,3,2,9,8,7,6,5,4,3,2}),11)&lt;2,0,11-MOD(SUMPRODUCT(--MID(G164,{1,2,3,4,5,6,7,8,9,10,11,12},1),{5,4,3,2,9,8,7,6,5,4,3,2}),11)),VALUE(MID(G164,14,1))=IF(MOD(SUMPRODUCT(--MID(G164,{1,2,3,4,5,6,7,8,9,10,11,12,13},1),{6,5,4,3,2,9,8,7,6,5,4,3,2}),11)&lt;2,0,11-MOD(SUMPRODUCT(--MID(G164,{1,2,3,4,5,6,7,8,9,10,11,12,13},1),{6,5,4,3,2,9,8,7,6,5,4,3,2}),11))),"OK","AVISO: dígito verificador (conferir na org)"))))</f>
      </c>
      <c r="I164" s="6">
        <f>IF(G164="","",IF(COUNTIF($G$2:$G$2001,G164)&gt;1,"DUPLICADO","OK"))</f>
      </c>
      <c r="J164" s="6">
        <f>IF(COUNTA(A164:F164)=0,"",IF(AND(A164&lt;&gt;"",E164&lt;&gt;""),"OK","ERRO: faltam "&amp;IF(A164="","CNPJ; ","")&amp;IF(E164="","Novo gerente; ","")))</f>
      </c>
      <c r="K164" s="6">
        <f>IF(COUNTA(A164:F164)=0,"",IF(AND(LEFT(H164,4)&lt;&gt;"ERRO",I164="OK",J164="OK"),"OK","REVISAR"))</f>
      </c>
    </row>
    <row r="165">
      <c r="A165" s="5"/>
      <c r="B165" s="4"/>
      <c r="C165" s="4"/>
      <c r="D165" s="4"/>
      <c r="E165" s="5"/>
      <c r="F165" s="4"/>
      <c r="G165" s="6">
        <f>IF(A165="","",SUBSTITUTE(SUBSTITUTE(SUBSTITUTE(SUBSTITUTE(SUBSTITUTE(SUBSTITUTE(SUBSTITUTE(TRIM(A165),".",""),"/",""),"-","")," ",""),"(",""),")",""),"+",""))</f>
      </c>
      <c r="H165" s="6">
        <f>IF(G165="","",IF(LEN(G165)&lt;&gt;14,"ERRO: "&amp;LEN(G165)&amp;" dígitos",IF(NOT(ISNUMBER(VALUE(G165))),"ERRO: não numérico",IF(AND(VALUE(MID(G165,13,1))=IF(MOD(SUMPRODUCT(--MID(G165,{1,2,3,4,5,6,7,8,9,10,11,12},1),{5,4,3,2,9,8,7,6,5,4,3,2}),11)&lt;2,0,11-MOD(SUMPRODUCT(--MID(G165,{1,2,3,4,5,6,7,8,9,10,11,12},1),{5,4,3,2,9,8,7,6,5,4,3,2}),11)),VALUE(MID(G165,14,1))=IF(MOD(SUMPRODUCT(--MID(G165,{1,2,3,4,5,6,7,8,9,10,11,12,13},1),{6,5,4,3,2,9,8,7,6,5,4,3,2}),11)&lt;2,0,11-MOD(SUMPRODUCT(--MID(G165,{1,2,3,4,5,6,7,8,9,10,11,12,13},1),{6,5,4,3,2,9,8,7,6,5,4,3,2}),11))),"OK","AVISO: dígito verificador (conferir na org)"))))</f>
      </c>
      <c r="I165" s="6">
        <f>IF(G165="","",IF(COUNTIF($G$2:$G$2001,G165)&gt;1,"DUPLICADO","OK"))</f>
      </c>
      <c r="J165" s="6">
        <f>IF(COUNTA(A165:F165)=0,"",IF(AND(A165&lt;&gt;"",E165&lt;&gt;""),"OK","ERRO: faltam "&amp;IF(A165="","CNPJ; ","")&amp;IF(E165="","Novo gerente; ","")))</f>
      </c>
      <c r="K165" s="6">
        <f>IF(COUNTA(A165:F165)=0,"",IF(AND(LEFT(H165,4)&lt;&gt;"ERRO",I165="OK",J165="OK"),"OK","REVISAR"))</f>
      </c>
    </row>
    <row r="166">
      <c r="A166" s="5"/>
      <c r="B166" s="4"/>
      <c r="C166" s="4"/>
      <c r="D166" s="4"/>
      <c r="E166" s="5"/>
      <c r="F166" s="4"/>
      <c r="G166" s="6">
        <f>IF(A166="","",SUBSTITUTE(SUBSTITUTE(SUBSTITUTE(SUBSTITUTE(SUBSTITUTE(SUBSTITUTE(SUBSTITUTE(TRIM(A166),".",""),"/",""),"-","")," ",""),"(",""),")",""),"+",""))</f>
      </c>
      <c r="H166" s="6">
        <f>IF(G166="","",IF(LEN(G166)&lt;&gt;14,"ERRO: "&amp;LEN(G166)&amp;" dígitos",IF(NOT(ISNUMBER(VALUE(G166))),"ERRO: não numérico",IF(AND(VALUE(MID(G166,13,1))=IF(MOD(SUMPRODUCT(--MID(G166,{1,2,3,4,5,6,7,8,9,10,11,12},1),{5,4,3,2,9,8,7,6,5,4,3,2}),11)&lt;2,0,11-MOD(SUMPRODUCT(--MID(G166,{1,2,3,4,5,6,7,8,9,10,11,12},1),{5,4,3,2,9,8,7,6,5,4,3,2}),11)),VALUE(MID(G166,14,1))=IF(MOD(SUMPRODUCT(--MID(G166,{1,2,3,4,5,6,7,8,9,10,11,12,13},1),{6,5,4,3,2,9,8,7,6,5,4,3,2}),11)&lt;2,0,11-MOD(SUMPRODUCT(--MID(G166,{1,2,3,4,5,6,7,8,9,10,11,12,13},1),{6,5,4,3,2,9,8,7,6,5,4,3,2}),11))),"OK","AVISO: dígito verificador (conferir na org)"))))</f>
      </c>
      <c r="I166" s="6">
        <f>IF(G166="","",IF(COUNTIF($G$2:$G$2001,G166)&gt;1,"DUPLICADO","OK"))</f>
      </c>
      <c r="J166" s="6">
        <f>IF(COUNTA(A166:F166)=0,"",IF(AND(A166&lt;&gt;"",E166&lt;&gt;""),"OK","ERRO: faltam "&amp;IF(A166="","CNPJ; ","")&amp;IF(E166="","Novo gerente; ","")))</f>
      </c>
      <c r="K166" s="6">
        <f>IF(COUNTA(A166:F166)=0,"",IF(AND(LEFT(H166,4)&lt;&gt;"ERRO",I166="OK",J166="OK"),"OK","REVISAR"))</f>
      </c>
    </row>
    <row r="167">
      <c r="A167" s="5"/>
      <c r="B167" s="4"/>
      <c r="C167" s="4"/>
      <c r="D167" s="4"/>
      <c r="E167" s="5"/>
      <c r="F167" s="4"/>
      <c r="G167" s="6">
        <f>IF(A167="","",SUBSTITUTE(SUBSTITUTE(SUBSTITUTE(SUBSTITUTE(SUBSTITUTE(SUBSTITUTE(SUBSTITUTE(TRIM(A167),".",""),"/",""),"-","")," ",""),"(",""),")",""),"+",""))</f>
      </c>
      <c r="H167" s="6">
        <f>IF(G167="","",IF(LEN(G167)&lt;&gt;14,"ERRO: "&amp;LEN(G167)&amp;" dígitos",IF(NOT(ISNUMBER(VALUE(G167))),"ERRO: não numérico",IF(AND(VALUE(MID(G167,13,1))=IF(MOD(SUMPRODUCT(--MID(G167,{1,2,3,4,5,6,7,8,9,10,11,12},1),{5,4,3,2,9,8,7,6,5,4,3,2}),11)&lt;2,0,11-MOD(SUMPRODUCT(--MID(G167,{1,2,3,4,5,6,7,8,9,10,11,12},1),{5,4,3,2,9,8,7,6,5,4,3,2}),11)),VALUE(MID(G167,14,1))=IF(MOD(SUMPRODUCT(--MID(G167,{1,2,3,4,5,6,7,8,9,10,11,12,13},1),{6,5,4,3,2,9,8,7,6,5,4,3,2}),11)&lt;2,0,11-MOD(SUMPRODUCT(--MID(G167,{1,2,3,4,5,6,7,8,9,10,11,12,13},1),{6,5,4,3,2,9,8,7,6,5,4,3,2}),11))),"OK","AVISO: dígito verificador (conferir na org)"))))</f>
      </c>
      <c r="I167" s="6">
        <f>IF(G167="","",IF(COUNTIF($G$2:$G$2001,G167)&gt;1,"DUPLICADO","OK"))</f>
      </c>
      <c r="J167" s="6">
        <f>IF(COUNTA(A167:F167)=0,"",IF(AND(A167&lt;&gt;"",E167&lt;&gt;""),"OK","ERRO: faltam "&amp;IF(A167="","CNPJ; ","")&amp;IF(E167="","Novo gerente; ","")))</f>
      </c>
      <c r="K167" s="6">
        <f>IF(COUNTA(A167:F167)=0,"",IF(AND(LEFT(H167,4)&lt;&gt;"ERRO",I167="OK",J167="OK"),"OK","REVISAR"))</f>
      </c>
    </row>
    <row r="168">
      <c r="A168" s="5"/>
      <c r="B168" s="4"/>
      <c r="C168" s="4"/>
      <c r="D168" s="4"/>
      <c r="E168" s="5"/>
      <c r="F168" s="4"/>
      <c r="G168" s="6">
        <f>IF(A168="","",SUBSTITUTE(SUBSTITUTE(SUBSTITUTE(SUBSTITUTE(SUBSTITUTE(SUBSTITUTE(SUBSTITUTE(TRIM(A168),".",""),"/",""),"-","")," ",""),"(",""),")",""),"+",""))</f>
      </c>
      <c r="H168" s="6">
        <f>IF(G168="","",IF(LEN(G168)&lt;&gt;14,"ERRO: "&amp;LEN(G168)&amp;" dígitos",IF(NOT(ISNUMBER(VALUE(G168))),"ERRO: não numérico",IF(AND(VALUE(MID(G168,13,1))=IF(MOD(SUMPRODUCT(--MID(G168,{1,2,3,4,5,6,7,8,9,10,11,12},1),{5,4,3,2,9,8,7,6,5,4,3,2}),11)&lt;2,0,11-MOD(SUMPRODUCT(--MID(G168,{1,2,3,4,5,6,7,8,9,10,11,12},1),{5,4,3,2,9,8,7,6,5,4,3,2}),11)),VALUE(MID(G168,14,1))=IF(MOD(SUMPRODUCT(--MID(G168,{1,2,3,4,5,6,7,8,9,10,11,12,13},1),{6,5,4,3,2,9,8,7,6,5,4,3,2}),11)&lt;2,0,11-MOD(SUMPRODUCT(--MID(G168,{1,2,3,4,5,6,7,8,9,10,11,12,13},1),{6,5,4,3,2,9,8,7,6,5,4,3,2}),11))),"OK","AVISO: dígito verificador (conferir na org)"))))</f>
      </c>
      <c r="I168" s="6">
        <f>IF(G168="","",IF(COUNTIF($G$2:$G$2001,G168)&gt;1,"DUPLICADO","OK"))</f>
      </c>
      <c r="J168" s="6">
        <f>IF(COUNTA(A168:F168)=0,"",IF(AND(A168&lt;&gt;"",E168&lt;&gt;""),"OK","ERRO: faltam "&amp;IF(A168="","CNPJ; ","")&amp;IF(E168="","Novo gerente; ","")))</f>
      </c>
      <c r="K168" s="6">
        <f>IF(COUNTA(A168:F168)=0,"",IF(AND(LEFT(H168,4)&lt;&gt;"ERRO",I168="OK",J168="OK"),"OK","REVISAR"))</f>
      </c>
    </row>
    <row r="169">
      <c r="A169" s="5"/>
      <c r="B169" s="4"/>
      <c r="C169" s="4"/>
      <c r="D169" s="4"/>
      <c r="E169" s="5"/>
      <c r="F169" s="4"/>
      <c r="G169" s="6">
        <f>IF(A169="","",SUBSTITUTE(SUBSTITUTE(SUBSTITUTE(SUBSTITUTE(SUBSTITUTE(SUBSTITUTE(SUBSTITUTE(TRIM(A169),".",""),"/",""),"-","")," ",""),"(",""),")",""),"+",""))</f>
      </c>
      <c r="H169" s="6">
        <f>IF(G169="","",IF(LEN(G169)&lt;&gt;14,"ERRO: "&amp;LEN(G169)&amp;" dígitos",IF(NOT(ISNUMBER(VALUE(G169))),"ERRO: não numérico",IF(AND(VALUE(MID(G169,13,1))=IF(MOD(SUMPRODUCT(--MID(G169,{1,2,3,4,5,6,7,8,9,10,11,12},1),{5,4,3,2,9,8,7,6,5,4,3,2}),11)&lt;2,0,11-MOD(SUMPRODUCT(--MID(G169,{1,2,3,4,5,6,7,8,9,10,11,12},1),{5,4,3,2,9,8,7,6,5,4,3,2}),11)),VALUE(MID(G169,14,1))=IF(MOD(SUMPRODUCT(--MID(G169,{1,2,3,4,5,6,7,8,9,10,11,12,13},1),{6,5,4,3,2,9,8,7,6,5,4,3,2}),11)&lt;2,0,11-MOD(SUMPRODUCT(--MID(G169,{1,2,3,4,5,6,7,8,9,10,11,12,13},1),{6,5,4,3,2,9,8,7,6,5,4,3,2}),11))),"OK","AVISO: dígito verificador (conferir na org)"))))</f>
      </c>
      <c r="I169" s="6">
        <f>IF(G169="","",IF(COUNTIF($G$2:$G$2001,G169)&gt;1,"DUPLICADO","OK"))</f>
      </c>
      <c r="J169" s="6">
        <f>IF(COUNTA(A169:F169)=0,"",IF(AND(A169&lt;&gt;"",E169&lt;&gt;""),"OK","ERRO: faltam "&amp;IF(A169="","CNPJ; ","")&amp;IF(E169="","Novo gerente; ","")))</f>
      </c>
      <c r="K169" s="6">
        <f>IF(COUNTA(A169:F169)=0,"",IF(AND(LEFT(H169,4)&lt;&gt;"ERRO",I169="OK",J169="OK"),"OK","REVISAR"))</f>
      </c>
    </row>
    <row r="170">
      <c r="A170" s="5"/>
      <c r="B170" s="4"/>
      <c r="C170" s="4"/>
      <c r="D170" s="4"/>
      <c r="E170" s="5"/>
      <c r="F170" s="4"/>
      <c r="G170" s="6">
        <f>IF(A170="","",SUBSTITUTE(SUBSTITUTE(SUBSTITUTE(SUBSTITUTE(SUBSTITUTE(SUBSTITUTE(SUBSTITUTE(TRIM(A170),".",""),"/",""),"-","")," ",""),"(",""),")",""),"+",""))</f>
      </c>
      <c r="H170" s="6">
        <f>IF(G170="","",IF(LEN(G170)&lt;&gt;14,"ERRO: "&amp;LEN(G170)&amp;" dígitos",IF(NOT(ISNUMBER(VALUE(G170))),"ERRO: não numérico",IF(AND(VALUE(MID(G170,13,1))=IF(MOD(SUMPRODUCT(--MID(G170,{1,2,3,4,5,6,7,8,9,10,11,12},1),{5,4,3,2,9,8,7,6,5,4,3,2}),11)&lt;2,0,11-MOD(SUMPRODUCT(--MID(G170,{1,2,3,4,5,6,7,8,9,10,11,12},1),{5,4,3,2,9,8,7,6,5,4,3,2}),11)),VALUE(MID(G170,14,1))=IF(MOD(SUMPRODUCT(--MID(G170,{1,2,3,4,5,6,7,8,9,10,11,12,13},1),{6,5,4,3,2,9,8,7,6,5,4,3,2}),11)&lt;2,0,11-MOD(SUMPRODUCT(--MID(G170,{1,2,3,4,5,6,7,8,9,10,11,12,13},1),{6,5,4,3,2,9,8,7,6,5,4,3,2}),11))),"OK","AVISO: dígito verificador (conferir na org)"))))</f>
      </c>
      <c r="I170" s="6">
        <f>IF(G170="","",IF(COUNTIF($G$2:$G$2001,G170)&gt;1,"DUPLICADO","OK"))</f>
      </c>
      <c r="J170" s="6">
        <f>IF(COUNTA(A170:F170)=0,"",IF(AND(A170&lt;&gt;"",E170&lt;&gt;""),"OK","ERRO: faltam "&amp;IF(A170="","CNPJ; ","")&amp;IF(E170="","Novo gerente; ","")))</f>
      </c>
      <c r="K170" s="6">
        <f>IF(COUNTA(A170:F170)=0,"",IF(AND(LEFT(H170,4)&lt;&gt;"ERRO",I170="OK",J170="OK"),"OK","REVISAR"))</f>
      </c>
    </row>
    <row r="171">
      <c r="A171" s="5"/>
      <c r="B171" s="4"/>
      <c r="C171" s="4"/>
      <c r="D171" s="4"/>
      <c r="E171" s="5"/>
      <c r="F171" s="4"/>
      <c r="G171" s="6">
        <f>IF(A171="","",SUBSTITUTE(SUBSTITUTE(SUBSTITUTE(SUBSTITUTE(SUBSTITUTE(SUBSTITUTE(SUBSTITUTE(TRIM(A171),".",""),"/",""),"-","")," ",""),"(",""),")",""),"+",""))</f>
      </c>
      <c r="H171" s="6">
        <f>IF(G171="","",IF(LEN(G171)&lt;&gt;14,"ERRO: "&amp;LEN(G171)&amp;" dígitos",IF(NOT(ISNUMBER(VALUE(G171))),"ERRO: não numérico",IF(AND(VALUE(MID(G171,13,1))=IF(MOD(SUMPRODUCT(--MID(G171,{1,2,3,4,5,6,7,8,9,10,11,12},1),{5,4,3,2,9,8,7,6,5,4,3,2}),11)&lt;2,0,11-MOD(SUMPRODUCT(--MID(G171,{1,2,3,4,5,6,7,8,9,10,11,12},1),{5,4,3,2,9,8,7,6,5,4,3,2}),11)),VALUE(MID(G171,14,1))=IF(MOD(SUMPRODUCT(--MID(G171,{1,2,3,4,5,6,7,8,9,10,11,12,13},1),{6,5,4,3,2,9,8,7,6,5,4,3,2}),11)&lt;2,0,11-MOD(SUMPRODUCT(--MID(G171,{1,2,3,4,5,6,7,8,9,10,11,12,13},1),{6,5,4,3,2,9,8,7,6,5,4,3,2}),11))),"OK","AVISO: dígito verificador (conferir na org)"))))</f>
      </c>
      <c r="I171" s="6">
        <f>IF(G171="","",IF(COUNTIF($G$2:$G$2001,G171)&gt;1,"DUPLICADO","OK"))</f>
      </c>
      <c r="J171" s="6">
        <f>IF(COUNTA(A171:F171)=0,"",IF(AND(A171&lt;&gt;"",E171&lt;&gt;""),"OK","ERRO: faltam "&amp;IF(A171="","CNPJ; ","")&amp;IF(E171="","Novo gerente; ","")))</f>
      </c>
      <c r="K171" s="6">
        <f>IF(COUNTA(A171:F171)=0,"",IF(AND(LEFT(H171,4)&lt;&gt;"ERRO",I171="OK",J171="OK"),"OK","REVISAR"))</f>
      </c>
    </row>
    <row r="172">
      <c r="A172" s="5"/>
      <c r="B172" s="4"/>
      <c r="C172" s="4"/>
      <c r="D172" s="4"/>
      <c r="E172" s="5"/>
      <c r="F172" s="4"/>
      <c r="G172" s="6">
        <f>IF(A172="","",SUBSTITUTE(SUBSTITUTE(SUBSTITUTE(SUBSTITUTE(SUBSTITUTE(SUBSTITUTE(SUBSTITUTE(TRIM(A172),".",""),"/",""),"-","")," ",""),"(",""),")",""),"+",""))</f>
      </c>
      <c r="H172" s="6">
        <f>IF(G172="","",IF(LEN(G172)&lt;&gt;14,"ERRO: "&amp;LEN(G172)&amp;" dígitos",IF(NOT(ISNUMBER(VALUE(G172))),"ERRO: não numérico",IF(AND(VALUE(MID(G172,13,1))=IF(MOD(SUMPRODUCT(--MID(G172,{1,2,3,4,5,6,7,8,9,10,11,12},1),{5,4,3,2,9,8,7,6,5,4,3,2}),11)&lt;2,0,11-MOD(SUMPRODUCT(--MID(G172,{1,2,3,4,5,6,7,8,9,10,11,12},1),{5,4,3,2,9,8,7,6,5,4,3,2}),11)),VALUE(MID(G172,14,1))=IF(MOD(SUMPRODUCT(--MID(G172,{1,2,3,4,5,6,7,8,9,10,11,12,13},1),{6,5,4,3,2,9,8,7,6,5,4,3,2}),11)&lt;2,0,11-MOD(SUMPRODUCT(--MID(G172,{1,2,3,4,5,6,7,8,9,10,11,12,13},1),{6,5,4,3,2,9,8,7,6,5,4,3,2}),11))),"OK","AVISO: dígito verificador (conferir na org)"))))</f>
      </c>
      <c r="I172" s="6">
        <f>IF(G172="","",IF(COUNTIF($G$2:$G$2001,G172)&gt;1,"DUPLICADO","OK"))</f>
      </c>
      <c r="J172" s="6">
        <f>IF(COUNTA(A172:F172)=0,"",IF(AND(A172&lt;&gt;"",E172&lt;&gt;""),"OK","ERRO: faltam "&amp;IF(A172="","CNPJ; ","")&amp;IF(E172="","Novo gerente; ","")))</f>
      </c>
      <c r="K172" s="6">
        <f>IF(COUNTA(A172:F172)=0,"",IF(AND(LEFT(H172,4)&lt;&gt;"ERRO",I172="OK",J172="OK"),"OK","REVISAR"))</f>
      </c>
    </row>
    <row r="173">
      <c r="A173" s="5"/>
      <c r="B173" s="4"/>
      <c r="C173" s="4"/>
      <c r="D173" s="4"/>
      <c r="E173" s="5"/>
      <c r="F173" s="4"/>
      <c r="G173" s="6">
        <f>IF(A173="","",SUBSTITUTE(SUBSTITUTE(SUBSTITUTE(SUBSTITUTE(SUBSTITUTE(SUBSTITUTE(SUBSTITUTE(TRIM(A173),".",""),"/",""),"-","")," ",""),"(",""),")",""),"+",""))</f>
      </c>
      <c r="H173" s="6">
        <f>IF(G173="","",IF(LEN(G173)&lt;&gt;14,"ERRO: "&amp;LEN(G173)&amp;" dígitos",IF(NOT(ISNUMBER(VALUE(G173))),"ERRO: não numérico",IF(AND(VALUE(MID(G173,13,1))=IF(MOD(SUMPRODUCT(--MID(G173,{1,2,3,4,5,6,7,8,9,10,11,12},1),{5,4,3,2,9,8,7,6,5,4,3,2}),11)&lt;2,0,11-MOD(SUMPRODUCT(--MID(G173,{1,2,3,4,5,6,7,8,9,10,11,12},1),{5,4,3,2,9,8,7,6,5,4,3,2}),11)),VALUE(MID(G173,14,1))=IF(MOD(SUMPRODUCT(--MID(G173,{1,2,3,4,5,6,7,8,9,10,11,12,13},1),{6,5,4,3,2,9,8,7,6,5,4,3,2}),11)&lt;2,0,11-MOD(SUMPRODUCT(--MID(G173,{1,2,3,4,5,6,7,8,9,10,11,12,13},1),{6,5,4,3,2,9,8,7,6,5,4,3,2}),11))),"OK","AVISO: dígito verificador (conferir na org)"))))</f>
      </c>
      <c r="I173" s="6">
        <f>IF(G173="","",IF(COUNTIF($G$2:$G$2001,G173)&gt;1,"DUPLICADO","OK"))</f>
      </c>
      <c r="J173" s="6">
        <f>IF(COUNTA(A173:F173)=0,"",IF(AND(A173&lt;&gt;"",E173&lt;&gt;""),"OK","ERRO: faltam "&amp;IF(A173="","CNPJ; ","")&amp;IF(E173="","Novo gerente; ","")))</f>
      </c>
      <c r="K173" s="6">
        <f>IF(COUNTA(A173:F173)=0,"",IF(AND(LEFT(H173,4)&lt;&gt;"ERRO",I173="OK",J173="OK"),"OK","REVISAR"))</f>
      </c>
    </row>
    <row r="174">
      <c r="A174" s="5"/>
      <c r="B174" s="4"/>
      <c r="C174" s="4"/>
      <c r="D174" s="4"/>
      <c r="E174" s="5"/>
      <c r="F174" s="4"/>
      <c r="G174" s="6">
        <f>IF(A174="","",SUBSTITUTE(SUBSTITUTE(SUBSTITUTE(SUBSTITUTE(SUBSTITUTE(SUBSTITUTE(SUBSTITUTE(TRIM(A174),".",""),"/",""),"-","")," ",""),"(",""),")",""),"+",""))</f>
      </c>
      <c r="H174" s="6">
        <f>IF(G174="","",IF(LEN(G174)&lt;&gt;14,"ERRO: "&amp;LEN(G174)&amp;" dígitos",IF(NOT(ISNUMBER(VALUE(G174))),"ERRO: não numérico",IF(AND(VALUE(MID(G174,13,1))=IF(MOD(SUMPRODUCT(--MID(G174,{1,2,3,4,5,6,7,8,9,10,11,12},1),{5,4,3,2,9,8,7,6,5,4,3,2}),11)&lt;2,0,11-MOD(SUMPRODUCT(--MID(G174,{1,2,3,4,5,6,7,8,9,10,11,12},1),{5,4,3,2,9,8,7,6,5,4,3,2}),11)),VALUE(MID(G174,14,1))=IF(MOD(SUMPRODUCT(--MID(G174,{1,2,3,4,5,6,7,8,9,10,11,12,13},1),{6,5,4,3,2,9,8,7,6,5,4,3,2}),11)&lt;2,0,11-MOD(SUMPRODUCT(--MID(G174,{1,2,3,4,5,6,7,8,9,10,11,12,13},1),{6,5,4,3,2,9,8,7,6,5,4,3,2}),11))),"OK","AVISO: dígito verificador (conferir na org)"))))</f>
      </c>
      <c r="I174" s="6">
        <f>IF(G174="","",IF(COUNTIF($G$2:$G$2001,G174)&gt;1,"DUPLICADO","OK"))</f>
      </c>
      <c r="J174" s="6">
        <f>IF(COUNTA(A174:F174)=0,"",IF(AND(A174&lt;&gt;"",E174&lt;&gt;""),"OK","ERRO: faltam "&amp;IF(A174="","CNPJ; ","")&amp;IF(E174="","Novo gerente; ","")))</f>
      </c>
      <c r="K174" s="6">
        <f>IF(COUNTA(A174:F174)=0,"",IF(AND(LEFT(H174,4)&lt;&gt;"ERRO",I174="OK",J174="OK"),"OK","REVISAR"))</f>
      </c>
    </row>
    <row r="175">
      <c r="A175" s="5"/>
      <c r="B175" s="4"/>
      <c r="C175" s="4"/>
      <c r="D175" s="4"/>
      <c r="E175" s="5"/>
      <c r="F175" s="4"/>
      <c r="G175" s="6">
        <f>IF(A175="","",SUBSTITUTE(SUBSTITUTE(SUBSTITUTE(SUBSTITUTE(SUBSTITUTE(SUBSTITUTE(SUBSTITUTE(TRIM(A175),".",""),"/",""),"-","")," ",""),"(",""),")",""),"+",""))</f>
      </c>
      <c r="H175" s="6">
        <f>IF(G175="","",IF(LEN(G175)&lt;&gt;14,"ERRO: "&amp;LEN(G175)&amp;" dígitos",IF(NOT(ISNUMBER(VALUE(G175))),"ERRO: não numérico",IF(AND(VALUE(MID(G175,13,1))=IF(MOD(SUMPRODUCT(--MID(G175,{1,2,3,4,5,6,7,8,9,10,11,12},1),{5,4,3,2,9,8,7,6,5,4,3,2}),11)&lt;2,0,11-MOD(SUMPRODUCT(--MID(G175,{1,2,3,4,5,6,7,8,9,10,11,12},1),{5,4,3,2,9,8,7,6,5,4,3,2}),11)),VALUE(MID(G175,14,1))=IF(MOD(SUMPRODUCT(--MID(G175,{1,2,3,4,5,6,7,8,9,10,11,12,13},1),{6,5,4,3,2,9,8,7,6,5,4,3,2}),11)&lt;2,0,11-MOD(SUMPRODUCT(--MID(G175,{1,2,3,4,5,6,7,8,9,10,11,12,13},1),{6,5,4,3,2,9,8,7,6,5,4,3,2}),11))),"OK","AVISO: dígito verificador (conferir na org)"))))</f>
      </c>
      <c r="I175" s="6">
        <f>IF(G175="","",IF(COUNTIF($G$2:$G$2001,G175)&gt;1,"DUPLICADO","OK"))</f>
      </c>
      <c r="J175" s="6">
        <f>IF(COUNTA(A175:F175)=0,"",IF(AND(A175&lt;&gt;"",E175&lt;&gt;""),"OK","ERRO: faltam "&amp;IF(A175="","CNPJ; ","")&amp;IF(E175="","Novo gerente; ","")))</f>
      </c>
      <c r="K175" s="6">
        <f>IF(COUNTA(A175:F175)=0,"",IF(AND(LEFT(H175,4)&lt;&gt;"ERRO",I175="OK",J175="OK"),"OK","REVISAR"))</f>
      </c>
    </row>
    <row r="176">
      <c r="A176" s="5"/>
      <c r="B176" s="4"/>
      <c r="C176" s="4"/>
      <c r="D176" s="4"/>
      <c r="E176" s="5"/>
      <c r="F176" s="4"/>
      <c r="G176" s="6">
        <f>IF(A176="","",SUBSTITUTE(SUBSTITUTE(SUBSTITUTE(SUBSTITUTE(SUBSTITUTE(SUBSTITUTE(SUBSTITUTE(TRIM(A176),".",""),"/",""),"-","")," ",""),"(",""),")",""),"+",""))</f>
      </c>
      <c r="H176" s="6">
        <f>IF(G176="","",IF(LEN(G176)&lt;&gt;14,"ERRO: "&amp;LEN(G176)&amp;" dígitos",IF(NOT(ISNUMBER(VALUE(G176))),"ERRO: não numérico",IF(AND(VALUE(MID(G176,13,1))=IF(MOD(SUMPRODUCT(--MID(G176,{1,2,3,4,5,6,7,8,9,10,11,12},1),{5,4,3,2,9,8,7,6,5,4,3,2}),11)&lt;2,0,11-MOD(SUMPRODUCT(--MID(G176,{1,2,3,4,5,6,7,8,9,10,11,12},1),{5,4,3,2,9,8,7,6,5,4,3,2}),11)),VALUE(MID(G176,14,1))=IF(MOD(SUMPRODUCT(--MID(G176,{1,2,3,4,5,6,7,8,9,10,11,12,13},1),{6,5,4,3,2,9,8,7,6,5,4,3,2}),11)&lt;2,0,11-MOD(SUMPRODUCT(--MID(G176,{1,2,3,4,5,6,7,8,9,10,11,12,13},1),{6,5,4,3,2,9,8,7,6,5,4,3,2}),11))),"OK","AVISO: dígito verificador (conferir na org)"))))</f>
      </c>
      <c r="I176" s="6">
        <f>IF(G176="","",IF(COUNTIF($G$2:$G$2001,G176)&gt;1,"DUPLICADO","OK"))</f>
      </c>
      <c r="J176" s="6">
        <f>IF(COUNTA(A176:F176)=0,"",IF(AND(A176&lt;&gt;"",E176&lt;&gt;""),"OK","ERRO: faltam "&amp;IF(A176="","CNPJ; ","")&amp;IF(E176="","Novo gerente; ","")))</f>
      </c>
      <c r="K176" s="6">
        <f>IF(COUNTA(A176:F176)=0,"",IF(AND(LEFT(H176,4)&lt;&gt;"ERRO",I176="OK",J176="OK"),"OK","REVISAR"))</f>
      </c>
    </row>
    <row r="177">
      <c r="A177" s="5"/>
      <c r="B177" s="4"/>
      <c r="C177" s="4"/>
      <c r="D177" s="4"/>
      <c r="E177" s="5"/>
      <c r="F177" s="4"/>
      <c r="G177" s="6">
        <f>IF(A177="","",SUBSTITUTE(SUBSTITUTE(SUBSTITUTE(SUBSTITUTE(SUBSTITUTE(SUBSTITUTE(SUBSTITUTE(TRIM(A177),".",""),"/",""),"-","")," ",""),"(",""),")",""),"+",""))</f>
      </c>
      <c r="H177" s="6">
        <f>IF(G177="","",IF(LEN(G177)&lt;&gt;14,"ERRO: "&amp;LEN(G177)&amp;" dígitos",IF(NOT(ISNUMBER(VALUE(G177))),"ERRO: não numérico",IF(AND(VALUE(MID(G177,13,1))=IF(MOD(SUMPRODUCT(--MID(G177,{1,2,3,4,5,6,7,8,9,10,11,12},1),{5,4,3,2,9,8,7,6,5,4,3,2}),11)&lt;2,0,11-MOD(SUMPRODUCT(--MID(G177,{1,2,3,4,5,6,7,8,9,10,11,12},1),{5,4,3,2,9,8,7,6,5,4,3,2}),11)),VALUE(MID(G177,14,1))=IF(MOD(SUMPRODUCT(--MID(G177,{1,2,3,4,5,6,7,8,9,10,11,12,13},1),{6,5,4,3,2,9,8,7,6,5,4,3,2}),11)&lt;2,0,11-MOD(SUMPRODUCT(--MID(G177,{1,2,3,4,5,6,7,8,9,10,11,12,13},1),{6,5,4,3,2,9,8,7,6,5,4,3,2}),11))),"OK","AVISO: dígito verificador (conferir na org)"))))</f>
      </c>
      <c r="I177" s="6">
        <f>IF(G177="","",IF(COUNTIF($G$2:$G$2001,G177)&gt;1,"DUPLICADO","OK"))</f>
      </c>
      <c r="J177" s="6">
        <f>IF(COUNTA(A177:F177)=0,"",IF(AND(A177&lt;&gt;"",E177&lt;&gt;""),"OK","ERRO: faltam "&amp;IF(A177="","CNPJ; ","")&amp;IF(E177="","Novo gerente; ","")))</f>
      </c>
      <c r="K177" s="6">
        <f>IF(COUNTA(A177:F177)=0,"",IF(AND(LEFT(H177,4)&lt;&gt;"ERRO",I177="OK",J177="OK"),"OK","REVISAR"))</f>
      </c>
    </row>
    <row r="178">
      <c r="A178" s="5"/>
      <c r="B178" s="4"/>
      <c r="C178" s="4"/>
      <c r="D178" s="4"/>
      <c r="E178" s="5"/>
      <c r="F178" s="4"/>
      <c r="G178" s="6">
        <f>IF(A178="","",SUBSTITUTE(SUBSTITUTE(SUBSTITUTE(SUBSTITUTE(SUBSTITUTE(SUBSTITUTE(SUBSTITUTE(TRIM(A178),".",""),"/",""),"-","")," ",""),"(",""),")",""),"+",""))</f>
      </c>
      <c r="H178" s="6">
        <f>IF(G178="","",IF(LEN(G178)&lt;&gt;14,"ERRO: "&amp;LEN(G178)&amp;" dígitos",IF(NOT(ISNUMBER(VALUE(G178))),"ERRO: não numérico",IF(AND(VALUE(MID(G178,13,1))=IF(MOD(SUMPRODUCT(--MID(G178,{1,2,3,4,5,6,7,8,9,10,11,12},1),{5,4,3,2,9,8,7,6,5,4,3,2}),11)&lt;2,0,11-MOD(SUMPRODUCT(--MID(G178,{1,2,3,4,5,6,7,8,9,10,11,12},1),{5,4,3,2,9,8,7,6,5,4,3,2}),11)),VALUE(MID(G178,14,1))=IF(MOD(SUMPRODUCT(--MID(G178,{1,2,3,4,5,6,7,8,9,10,11,12,13},1),{6,5,4,3,2,9,8,7,6,5,4,3,2}),11)&lt;2,0,11-MOD(SUMPRODUCT(--MID(G178,{1,2,3,4,5,6,7,8,9,10,11,12,13},1),{6,5,4,3,2,9,8,7,6,5,4,3,2}),11))),"OK","AVISO: dígito verificador (conferir na org)"))))</f>
      </c>
      <c r="I178" s="6">
        <f>IF(G178="","",IF(COUNTIF($G$2:$G$2001,G178)&gt;1,"DUPLICADO","OK"))</f>
      </c>
      <c r="J178" s="6">
        <f>IF(COUNTA(A178:F178)=0,"",IF(AND(A178&lt;&gt;"",E178&lt;&gt;""),"OK","ERRO: faltam "&amp;IF(A178="","CNPJ; ","")&amp;IF(E178="","Novo gerente; ","")))</f>
      </c>
      <c r="K178" s="6">
        <f>IF(COUNTA(A178:F178)=0,"",IF(AND(LEFT(H178,4)&lt;&gt;"ERRO",I178="OK",J178="OK"),"OK","REVISAR"))</f>
      </c>
    </row>
    <row r="179">
      <c r="A179" s="5"/>
      <c r="B179" s="4"/>
      <c r="C179" s="4"/>
      <c r="D179" s="4"/>
      <c r="E179" s="5"/>
      <c r="F179" s="4"/>
      <c r="G179" s="6">
        <f>IF(A179="","",SUBSTITUTE(SUBSTITUTE(SUBSTITUTE(SUBSTITUTE(SUBSTITUTE(SUBSTITUTE(SUBSTITUTE(TRIM(A179),".",""),"/",""),"-","")," ",""),"(",""),")",""),"+",""))</f>
      </c>
      <c r="H179" s="6">
        <f>IF(G179="","",IF(LEN(G179)&lt;&gt;14,"ERRO: "&amp;LEN(G179)&amp;" dígitos",IF(NOT(ISNUMBER(VALUE(G179))),"ERRO: não numérico",IF(AND(VALUE(MID(G179,13,1))=IF(MOD(SUMPRODUCT(--MID(G179,{1,2,3,4,5,6,7,8,9,10,11,12},1),{5,4,3,2,9,8,7,6,5,4,3,2}),11)&lt;2,0,11-MOD(SUMPRODUCT(--MID(G179,{1,2,3,4,5,6,7,8,9,10,11,12},1),{5,4,3,2,9,8,7,6,5,4,3,2}),11)),VALUE(MID(G179,14,1))=IF(MOD(SUMPRODUCT(--MID(G179,{1,2,3,4,5,6,7,8,9,10,11,12,13},1),{6,5,4,3,2,9,8,7,6,5,4,3,2}),11)&lt;2,0,11-MOD(SUMPRODUCT(--MID(G179,{1,2,3,4,5,6,7,8,9,10,11,12,13},1),{6,5,4,3,2,9,8,7,6,5,4,3,2}),11))),"OK","AVISO: dígito verificador (conferir na org)"))))</f>
      </c>
      <c r="I179" s="6">
        <f>IF(G179="","",IF(COUNTIF($G$2:$G$2001,G179)&gt;1,"DUPLICADO","OK"))</f>
      </c>
      <c r="J179" s="6">
        <f>IF(COUNTA(A179:F179)=0,"",IF(AND(A179&lt;&gt;"",E179&lt;&gt;""),"OK","ERRO: faltam "&amp;IF(A179="","CNPJ; ","")&amp;IF(E179="","Novo gerente; ","")))</f>
      </c>
      <c r="K179" s="6">
        <f>IF(COUNTA(A179:F179)=0,"",IF(AND(LEFT(H179,4)&lt;&gt;"ERRO",I179="OK",J179="OK"),"OK","REVISAR"))</f>
      </c>
    </row>
    <row r="180">
      <c r="A180" s="5"/>
      <c r="B180" s="4"/>
      <c r="C180" s="4"/>
      <c r="D180" s="4"/>
      <c r="E180" s="5"/>
      <c r="F180" s="4"/>
      <c r="G180" s="6">
        <f>IF(A180="","",SUBSTITUTE(SUBSTITUTE(SUBSTITUTE(SUBSTITUTE(SUBSTITUTE(SUBSTITUTE(SUBSTITUTE(TRIM(A180),".",""),"/",""),"-","")," ",""),"(",""),")",""),"+",""))</f>
      </c>
      <c r="H180" s="6">
        <f>IF(G180="","",IF(LEN(G180)&lt;&gt;14,"ERRO: "&amp;LEN(G180)&amp;" dígitos",IF(NOT(ISNUMBER(VALUE(G180))),"ERRO: não numérico",IF(AND(VALUE(MID(G180,13,1))=IF(MOD(SUMPRODUCT(--MID(G180,{1,2,3,4,5,6,7,8,9,10,11,12},1),{5,4,3,2,9,8,7,6,5,4,3,2}),11)&lt;2,0,11-MOD(SUMPRODUCT(--MID(G180,{1,2,3,4,5,6,7,8,9,10,11,12},1),{5,4,3,2,9,8,7,6,5,4,3,2}),11)),VALUE(MID(G180,14,1))=IF(MOD(SUMPRODUCT(--MID(G180,{1,2,3,4,5,6,7,8,9,10,11,12,13},1),{6,5,4,3,2,9,8,7,6,5,4,3,2}),11)&lt;2,0,11-MOD(SUMPRODUCT(--MID(G180,{1,2,3,4,5,6,7,8,9,10,11,12,13},1),{6,5,4,3,2,9,8,7,6,5,4,3,2}),11))),"OK","AVISO: dígito verificador (conferir na org)"))))</f>
      </c>
      <c r="I180" s="6">
        <f>IF(G180="","",IF(COUNTIF($G$2:$G$2001,G180)&gt;1,"DUPLICADO","OK"))</f>
      </c>
      <c r="J180" s="6">
        <f>IF(COUNTA(A180:F180)=0,"",IF(AND(A180&lt;&gt;"",E180&lt;&gt;""),"OK","ERRO: faltam "&amp;IF(A180="","CNPJ; ","")&amp;IF(E180="","Novo gerente; ","")))</f>
      </c>
      <c r="K180" s="6">
        <f>IF(COUNTA(A180:F180)=0,"",IF(AND(LEFT(H180,4)&lt;&gt;"ERRO",I180="OK",J180="OK"),"OK","REVISAR"))</f>
      </c>
    </row>
    <row r="181">
      <c r="A181" s="5"/>
      <c r="B181" s="4"/>
      <c r="C181" s="4"/>
      <c r="D181" s="4"/>
      <c r="E181" s="5"/>
      <c r="F181" s="4"/>
      <c r="G181" s="6">
        <f>IF(A181="","",SUBSTITUTE(SUBSTITUTE(SUBSTITUTE(SUBSTITUTE(SUBSTITUTE(SUBSTITUTE(SUBSTITUTE(TRIM(A181),".",""),"/",""),"-","")," ",""),"(",""),")",""),"+",""))</f>
      </c>
      <c r="H181" s="6">
        <f>IF(G181="","",IF(LEN(G181)&lt;&gt;14,"ERRO: "&amp;LEN(G181)&amp;" dígitos",IF(NOT(ISNUMBER(VALUE(G181))),"ERRO: não numérico",IF(AND(VALUE(MID(G181,13,1))=IF(MOD(SUMPRODUCT(--MID(G181,{1,2,3,4,5,6,7,8,9,10,11,12},1),{5,4,3,2,9,8,7,6,5,4,3,2}),11)&lt;2,0,11-MOD(SUMPRODUCT(--MID(G181,{1,2,3,4,5,6,7,8,9,10,11,12},1),{5,4,3,2,9,8,7,6,5,4,3,2}),11)),VALUE(MID(G181,14,1))=IF(MOD(SUMPRODUCT(--MID(G181,{1,2,3,4,5,6,7,8,9,10,11,12,13},1),{6,5,4,3,2,9,8,7,6,5,4,3,2}),11)&lt;2,0,11-MOD(SUMPRODUCT(--MID(G181,{1,2,3,4,5,6,7,8,9,10,11,12,13},1),{6,5,4,3,2,9,8,7,6,5,4,3,2}),11))),"OK","AVISO: dígito verificador (conferir na org)"))))</f>
      </c>
      <c r="I181" s="6">
        <f>IF(G181="","",IF(COUNTIF($G$2:$G$2001,G181)&gt;1,"DUPLICADO","OK"))</f>
      </c>
      <c r="J181" s="6">
        <f>IF(COUNTA(A181:F181)=0,"",IF(AND(A181&lt;&gt;"",E181&lt;&gt;""),"OK","ERRO: faltam "&amp;IF(A181="","CNPJ; ","")&amp;IF(E181="","Novo gerente; ","")))</f>
      </c>
      <c r="K181" s="6">
        <f>IF(COUNTA(A181:F181)=0,"",IF(AND(LEFT(H181,4)&lt;&gt;"ERRO",I181="OK",J181="OK"),"OK","REVISAR"))</f>
      </c>
    </row>
    <row r="182">
      <c r="A182" s="5"/>
      <c r="B182" s="4"/>
      <c r="C182" s="4"/>
      <c r="D182" s="4"/>
      <c r="E182" s="5"/>
      <c r="F182" s="4"/>
      <c r="G182" s="6">
        <f>IF(A182="","",SUBSTITUTE(SUBSTITUTE(SUBSTITUTE(SUBSTITUTE(SUBSTITUTE(SUBSTITUTE(SUBSTITUTE(TRIM(A182),".",""),"/",""),"-","")," ",""),"(",""),")",""),"+",""))</f>
      </c>
      <c r="H182" s="6">
        <f>IF(G182="","",IF(LEN(G182)&lt;&gt;14,"ERRO: "&amp;LEN(G182)&amp;" dígitos",IF(NOT(ISNUMBER(VALUE(G182))),"ERRO: não numérico",IF(AND(VALUE(MID(G182,13,1))=IF(MOD(SUMPRODUCT(--MID(G182,{1,2,3,4,5,6,7,8,9,10,11,12},1),{5,4,3,2,9,8,7,6,5,4,3,2}),11)&lt;2,0,11-MOD(SUMPRODUCT(--MID(G182,{1,2,3,4,5,6,7,8,9,10,11,12},1),{5,4,3,2,9,8,7,6,5,4,3,2}),11)),VALUE(MID(G182,14,1))=IF(MOD(SUMPRODUCT(--MID(G182,{1,2,3,4,5,6,7,8,9,10,11,12,13},1),{6,5,4,3,2,9,8,7,6,5,4,3,2}),11)&lt;2,0,11-MOD(SUMPRODUCT(--MID(G182,{1,2,3,4,5,6,7,8,9,10,11,12,13},1),{6,5,4,3,2,9,8,7,6,5,4,3,2}),11))),"OK","AVISO: dígito verificador (conferir na org)"))))</f>
      </c>
      <c r="I182" s="6">
        <f>IF(G182="","",IF(COUNTIF($G$2:$G$2001,G182)&gt;1,"DUPLICADO","OK"))</f>
      </c>
      <c r="J182" s="6">
        <f>IF(COUNTA(A182:F182)=0,"",IF(AND(A182&lt;&gt;"",E182&lt;&gt;""),"OK","ERRO: faltam "&amp;IF(A182="","CNPJ; ","")&amp;IF(E182="","Novo gerente; ","")))</f>
      </c>
      <c r="K182" s="6">
        <f>IF(COUNTA(A182:F182)=0,"",IF(AND(LEFT(H182,4)&lt;&gt;"ERRO",I182="OK",J182="OK"),"OK","REVISAR"))</f>
      </c>
    </row>
    <row r="183">
      <c r="A183" s="5"/>
      <c r="B183" s="4"/>
      <c r="C183" s="4"/>
      <c r="D183" s="4"/>
      <c r="E183" s="5"/>
      <c r="F183" s="4"/>
      <c r="G183" s="6">
        <f>IF(A183="","",SUBSTITUTE(SUBSTITUTE(SUBSTITUTE(SUBSTITUTE(SUBSTITUTE(SUBSTITUTE(SUBSTITUTE(TRIM(A183),".",""),"/",""),"-","")," ",""),"(",""),")",""),"+",""))</f>
      </c>
      <c r="H183" s="6">
        <f>IF(G183="","",IF(LEN(G183)&lt;&gt;14,"ERRO: "&amp;LEN(G183)&amp;" dígitos",IF(NOT(ISNUMBER(VALUE(G183))),"ERRO: não numérico",IF(AND(VALUE(MID(G183,13,1))=IF(MOD(SUMPRODUCT(--MID(G183,{1,2,3,4,5,6,7,8,9,10,11,12},1),{5,4,3,2,9,8,7,6,5,4,3,2}),11)&lt;2,0,11-MOD(SUMPRODUCT(--MID(G183,{1,2,3,4,5,6,7,8,9,10,11,12},1),{5,4,3,2,9,8,7,6,5,4,3,2}),11)),VALUE(MID(G183,14,1))=IF(MOD(SUMPRODUCT(--MID(G183,{1,2,3,4,5,6,7,8,9,10,11,12,13},1),{6,5,4,3,2,9,8,7,6,5,4,3,2}),11)&lt;2,0,11-MOD(SUMPRODUCT(--MID(G183,{1,2,3,4,5,6,7,8,9,10,11,12,13},1),{6,5,4,3,2,9,8,7,6,5,4,3,2}),11))),"OK","AVISO: dígito verificador (conferir na org)"))))</f>
      </c>
      <c r="I183" s="6">
        <f>IF(G183="","",IF(COUNTIF($G$2:$G$2001,G183)&gt;1,"DUPLICADO","OK"))</f>
      </c>
      <c r="J183" s="6">
        <f>IF(COUNTA(A183:F183)=0,"",IF(AND(A183&lt;&gt;"",E183&lt;&gt;""),"OK","ERRO: faltam "&amp;IF(A183="","CNPJ; ","")&amp;IF(E183="","Novo gerente; ","")))</f>
      </c>
      <c r="K183" s="6">
        <f>IF(COUNTA(A183:F183)=0,"",IF(AND(LEFT(H183,4)&lt;&gt;"ERRO",I183="OK",J183="OK"),"OK","REVISAR"))</f>
      </c>
    </row>
    <row r="184">
      <c r="A184" s="5"/>
      <c r="B184" s="4"/>
      <c r="C184" s="4"/>
      <c r="D184" s="4"/>
      <c r="E184" s="5"/>
      <c r="F184" s="4"/>
      <c r="G184" s="6">
        <f>IF(A184="","",SUBSTITUTE(SUBSTITUTE(SUBSTITUTE(SUBSTITUTE(SUBSTITUTE(SUBSTITUTE(SUBSTITUTE(TRIM(A184),".",""),"/",""),"-","")," ",""),"(",""),")",""),"+",""))</f>
      </c>
      <c r="H184" s="6">
        <f>IF(G184="","",IF(LEN(G184)&lt;&gt;14,"ERRO: "&amp;LEN(G184)&amp;" dígitos",IF(NOT(ISNUMBER(VALUE(G184))),"ERRO: não numérico",IF(AND(VALUE(MID(G184,13,1))=IF(MOD(SUMPRODUCT(--MID(G184,{1,2,3,4,5,6,7,8,9,10,11,12},1),{5,4,3,2,9,8,7,6,5,4,3,2}),11)&lt;2,0,11-MOD(SUMPRODUCT(--MID(G184,{1,2,3,4,5,6,7,8,9,10,11,12},1),{5,4,3,2,9,8,7,6,5,4,3,2}),11)),VALUE(MID(G184,14,1))=IF(MOD(SUMPRODUCT(--MID(G184,{1,2,3,4,5,6,7,8,9,10,11,12,13},1),{6,5,4,3,2,9,8,7,6,5,4,3,2}),11)&lt;2,0,11-MOD(SUMPRODUCT(--MID(G184,{1,2,3,4,5,6,7,8,9,10,11,12,13},1),{6,5,4,3,2,9,8,7,6,5,4,3,2}),11))),"OK","AVISO: dígito verificador (conferir na org)"))))</f>
      </c>
      <c r="I184" s="6">
        <f>IF(G184="","",IF(COUNTIF($G$2:$G$2001,G184)&gt;1,"DUPLICADO","OK"))</f>
      </c>
      <c r="J184" s="6">
        <f>IF(COUNTA(A184:F184)=0,"",IF(AND(A184&lt;&gt;"",E184&lt;&gt;""),"OK","ERRO: faltam "&amp;IF(A184="","CNPJ; ","")&amp;IF(E184="","Novo gerente; ","")))</f>
      </c>
      <c r="K184" s="6">
        <f>IF(COUNTA(A184:F184)=0,"",IF(AND(LEFT(H184,4)&lt;&gt;"ERRO",I184="OK",J184="OK"),"OK","REVISAR"))</f>
      </c>
    </row>
    <row r="185">
      <c r="A185" s="5"/>
      <c r="B185" s="4"/>
      <c r="C185" s="4"/>
      <c r="D185" s="4"/>
      <c r="E185" s="5"/>
      <c r="F185" s="4"/>
      <c r="G185" s="6">
        <f>IF(A185="","",SUBSTITUTE(SUBSTITUTE(SUBSTITUTE(SUBSTITUTE(SUBSTITUTE(SUBSTITUTE(SUBSTITUTE(TRIM(A185),".",""),"/",""),"-","")," ",""),"(",""),")",""),"+",""))</f>
      </c>
      <c r="H185" s="6">
        <f>IF(G185="","",IF(LEN(G185)&lt;&gt;14,"ERRO: "&amp;LEN(G185)&amp;" dígitos",IF(NOT(ISNUMBER(VALUE(G185))),"ERRO: não numérico",IF(AND(VALUE(MID(G185,13,1))=IF(MOD(SUMPRODUCT(--MID(G185,{1,2,3,4,5,6,7,8,9,10,11,12},1),{5,4,3,2,9,8,7,6,5,4,3,2}),11)&lt;2,0,11-MOD(SUMPRODUCT(--MID(G185,{1,2,3,4,5,6,7,8,9,10,11,12},1),{5,4,3,2,9,8,7,6,5,4,3,2}),11)),VALUE(MID(G185,14,1))=IF(MOD(SUMPRODUCT(--MID(G185,{1,2,3,4,5,6,7,8,9,10,11,12,13},1),{6,5,4,3,2,9,8,7,6,5,4,3,2}),11)&lt;2,0,11-MOD(SUMPRODUCT(--MID(G185,{1,2,3,4,5,6,7,8,9,10,11,12,13},1),{6,5,4,3,2,9,8,7,6,5,4,3,2}),11))),"OK","AVISO: dígito verificador (conferir na org)"))))</f>
      </c>
      <c r="I185" s="6">
        <f>IF(G185="","",IF(COUNTIF($G$2:$G$2001,G185)&gt;1,"DUPLICADO","OK"))</f>
      </c>
      <c r="J185" s="6">
        <f>IF(COUNTA(A185:F185)=0,"",IF(AND(A185&lt;&gt;"",E185&lt;&gt;""),"OK","ERRO: faltam "&amp;IF(A185="","CNPJ; ","")&amp;IF(E185="","Novo gerente; ","")))</f>
      </c>
      <c r="K185" s="6">
        <f>IF(COUNTA(A185:F185)=0,"",IF(AND(LEFT(H185,4)&lt;&gt;"ERRO",I185="OK",J185="OK"),"OK","REVISAR"))</f>
      </c>
    </row>
    <row r="186">
      <c r="A186" s="5"/>
      <c r="B186" s="4"/>
      <c r="C186" s="4"/>
      <c r="D186" s="4"/>
      <c r="E186" s="5"/>
      <c r="F186" s="4"/>
      <c r="G186" s="6">
        <f>IF(A186="","",SUBSTITUTE(SUBSTITUTE(SUBSTITUTE(SUBSTITUTE(SUBSTITUTE(SUBSTITUTE(SUBSTITUTE(TRIM(A186),".",""),"/",""),"-","")," ",""),"(",""),")",""),"+",""))</f>
      </c>
      <c r="H186" s="6">
        <f>IF(G186="","",IF(LEN(G186)&lt;&gt;14,"ERRO: "&amp;LEN(G186)&amp;" dígitos",IF(NOT(ISNUMBER(VALUE(G186))),"ERRO: não numérico",IF(AND(VALUE(MID(G186,13,1))=IF(MOD(SUMPRODUCT(--MID(G186,{1,2,3,4,5,6,7,8,9,10,11,12},1),{5,4,3,2,9,8,7,6,5,4,3,2}),11)&lt;2,0,11-MOD(SUMPRODUCT(--MID(G186,{1,2,3,4,5,6,7,8,9,10,11,12},1),{5,4,3,2,9,8,7,6,5,4,3,2}),11)),VALUE(MID(G186,14,1))=IF(MOD(SUMPRODUCT(--MID(G186,{1,2,3,4,5,6,7,8,9,10,11,12,13},1),{6,5,4,3,2,9,8,7,6,5,4,3,2}),11)&lt;2,0,11-MOD(SUMPRODUCT(--MID(G186,{1,2,3,4,5,6,7,8,9,10,11,12,13},1),{6,5,4,3,2,9,8,7,6,5,4,3,2}),11))),"OK","AVISO: dígito verificador (conferir na org)"))))</f>
      </c>
      <c r="I186" s="6">
        <f>IF(G186="","",IF(COUNTIF($G$2:$G$2001,G186)&gt;1,"DUPLICADO","OK"))</f>
      </c>
      <c r="J186" s="6">
        <f>IF(COUNTA(A186:F186)=0,"",IF(AND(A186&lt;&gt;"",E186&lt;&gt;""),"OK","ERRO: faltam "&amp;IF(A186="","CNPJ; ","")&amp;IF(E186="","Novo gerente; ","")))</f>
      </c>
      <c r="K186" s="6">
        <f>IF(COUNTA(A186:F186)=0,"",IF(AND(LEFT(H186,4)&lt;&gt;"ERRO",I186="OK",J186="OK"),"OK","REVISAR"))</f>
      </c>
    </row>
    <row r="187">
      <c r="A187" s="5"/>
      <c r="B187" s="4"/>
      <c r="C187" s="4"/>
      <c r="D187" s="4"/>
      <c r="E187" s="5"/>
      <c r="F187" s="4"/>
      <c r="G187" s="6">
        <f>IF(A187="","",SUBSTITUTE(SUBSTITUTE(SUBSTITUTE(SUBSTITUTE(SUBSTITUTE(SUBSTITUTE(SUBSTITUTE(TRIM(A187),".",""),"/",""),"-","")," ",""),"(",""),")",""),"+",""))</f>
      </c>
      <c r="H187" s="6">
        <f>IF(G187="","",IF(LEN(G187)&lt;&gt;14,"ERRO: "&amp;LEN(G187)&amp;" dígitos",IF(NOT(ISNUMBER(VALUE(G187))),"ERRO: não numérico",IF(AND(VALUE(MID(G187,13,1))=IF(MOD(SUMPRODUCT(--MID(G187,{1,2,3,4,5,6,7,8,9,10,11,12},1),{5,4,3,2,9,8,7,6,5,4,3,2}),11)&lt;2,0,11-MOD(SUMPRODUCT(--MID(G187,{1,2,3,4,5,6,7,8,9,10,11,12},1),{5,4,3,2,9,8,7,6,5,4,3,2}),11)),VALUE(MID(G187,14,1))=IF(MOD(SUMPRODUCT(--MID(G187,{1,2,3,4,5,6,7,8,9,10,11,12,13},1),{6,5,4,3,2,9,8,7,6,5,4,3,2}),11)&lt;2,0,11-MOD(SUMPRODUCT(--MID(G187,{1,2,3,4,5,6,7,8,9,10,11,12,13},1),{6,5,4,3,2,9,8,7,6,5,4,3,2}),11))),"OK","AVISO: dígito verificador (conferir na org)"))))</f>
      </c>
      <c r="I187" s="6">
        <f>IF(G187="","",IF(COUNTIF($G$2:$G$2001,G187)&gt;1,"DUPLICADO","OK"))</f>
      </c>
      <c r="J187" s="6">
        <f>IF(COUNTA(A187:F187)=0,"",IF(AND(A187&lt;&gt;"",E187&lt;&gt;""),"OK","ERRO: faltam "&amp;IF(A187="","CNPJ; ","")&amp;IF(E187="","Novo gerente; ","")))</f>
      </c>
      <c r="K187" s="6">
        <f>IF(COUNTA(A187:F187)=0,"",IF(AND(LEFT(H187,4)&lt;&gt;"ERRO",I187="OK",J187="OK"),"OK","REVISAR"))</f>
      </c>
    </row>
    <row r="188">
      <c r="A188" s="5"/>
      <c r="B188" s="4"/>
      <c r="C188" s="4"/>
      <c r="D188" s="4"/>
      <c r="E188" s="5"/>
      <c r="F188" s="4"/>
      <c r="G188" s="6">
        <f>IF(A188="","",SUBSTITUTE(SUBSTITUTE(SUBSTITUTE(SUBSTITUTE(SUBSTITUTE(SUBSTITUTE(SUBSTITUTE(TRIM(A188),".",""),"/",""),"-","")," ",""),"(",""),")",""),"+",""))</f>
      </c>
      <c r="H188" s="6">
        <f>IF(G188="","",IF(LEN(G188)&lt;&gt;14,"ERRO: "&amp;LEN(G188)&amp;" dígitos",IF(NOT(ISNUMBER(VALUE(G188))),"ERRO: não numérico",IF(AND(VALUE(MID(G188,13,1))=IF(MOD(SUMPRODUCT(--MID(G188,{1,2,3,4,5,6,7,8,9,10,11,12},1),{5,4,3,2,9,8,7,6,5,4,3,2}),11)&lt;2,0,11-MOD(SUMPRODUCT(--MID(G188,{1,2,3,4,5,6,7,8,9,10,11,12},1),{5,4,3,2,9,8,7,6,5,4,3,2}),11)),VALUE(MID(G188,14,1))=IF(MOD(SUMPRODUCT(--MID(G188,{1,2,3,4,5,6,7,8,9,10,11,12,13},1),{6,5,4,3,2,9,8,7,6,5,4,3,2}),11)&lt;2,0,11-MOD(SUMPRODUCT(--MID(G188,{1,2,3,4,5,6,7,8,9,10,11,12,13},1),{6,5,4,3,2,9,8,7,6,5,4,3,2}),11))),"OK","AVISO: dígito verificador (conferir na org)"))))</f>
      </c>
      <c r="I188" s="6">
        <f>IF(G188="","",IF(COUNTIF($G$2:$G$2001,G188)&gt;1,"DUPLICADO","OK"))</f>
      </c>
      <c r="J188" s="6">
        <f>IF(COUNTA(A188:F188)=0,"",IF(AND(A188&lt;&gt;"",E188&lt;&gt;""),"OK","ERRO: faltam "&amp;IF(A188="","CNPJ; ","")&amp;IF(E188="","Novo gerente; ","")))</f>
      </c>
      <c r="K188" s="6">
        <f>IF(COUNTA(A188:F188)=0,"",IF(AND(LEFT(H188,4)&lt;&gt;"ERRO",I188="OK",J188="OK"),"OK","REVISAR"))</f>
      </c>
    </row>
    <row r="189">
      <c r="A189" s="5"/>
      <c r="B189" s="4"/>
      <c r="C189" s="4"/>
      <c r="D189" s="4"/>
      <c r="E189" s="5"/>
      <c r="F189" s="4"/>
      <c r="G189" s="6">
        <f>IF(A189="","",SUBSTITUTE(SUBSTITUTE(SUBSTITUTE(SUBSTITUTE(SUBSTITUTE(SUBSTITUTE(SUBSTITUTE(TRIM(A189),".",""),"/",""),"-","")," ",""),"(",""),")",""),"+",""))</f>
      </c>
      <c r="H189" s="6">
        <f>IF(G189="","",IF(LEN(G189)&lt;&gt;14,"ERRO: "&amp;LEN(G189)&amp;" dígitos",IF(NOT(ISNUMBER(VALUE(G189))),"ERRO: não numérico",IF(AND(VALUE(MID(G189,13,1))=IF(MOD(SUMPRODUCT(--MID(G189,{1,2,3,4,5,6,7,8,9,10,11,12},1),{5,4,3,2,9,8,7,6,5,4,3,2}),11)&lt;2,0,11-MOD(SUMPRODUCT(--MID(G189,{1,2,3,4,5,6,7,8,9,10,11,12},1),{5,4,3,2,9,8,7,6,5,4,3,2}),11)),VALUE(MID(G189,14,1))=IF(MOD(SUMPRODUCT(--MID(G189,{1,2,3,4,5,6,7,8,9,10,11,12,13},1),{6,5,4,3,2,9,8,7,6,5,4,3,2}),11)&lt;2,0,11-MOD(SUMPRODUCT(--MID(G189,{1,2,3,4,5,6,7,8,9,10,11,12,13},1),{6,5,4,3,2,9,8,7,6,5,4,3,2}),11))),"OK","AVISO: dígito verificador (conferir na org)"))))</f>
      </c>
      <c r="I189" s="6">
        <f>IF(G189="","",IF(COUNTIF($G$2:$G$2001,G189)&gt;1,"DUPLICADO","OK"))</f>
      </c>
      <c r="J189" s="6">
        <f>IF(COUNTA(A189:F189)=0,"",IF(AND(A189&lt;&gt;"",E189&lt;&gt;""),"OK","ERRO: faltam "&amp;IF(A189="","CNPJ; ","")&amp;IF(E189="","Novo gerente; ","")))</f>
      </c>
      <c r="K189" s="6">
        <f>IF(COUNTA(A189:F189)=0,"",IF(AND(LEFT(H189,4)&lt;&gt;"ERRO",I189="OK",J189="OK"),"OK","REVISAR"))</f>
      </c>
    </row>
    <row r="190">
      <c r="A190" s="5"/>
      <c r="B190" s="4"/>
      <c r="C190" s="4"/>
      <c r="D190" s="4"/>
      <c r="E190" s="5"/>
      <c r="F190" s="4"/>
      <c r="G190" s="6">
        <f>IF(A190="","",SUBSTITUTE(SUBSTITUTE(SUBSTITUTE(SUBSTITUTE(SUBSTITUTE(SUBSTITUTE(SUBSTITUTE(TRIM(A190),".",""),"/",""),"-","")," ",""),"(",""),")",""),"+",""))</f>
      </c>
      <c r="H190" s="6">
        <f>IF(G190="","",IF(LEN(G190)&lt;&gt;14,"ERRO: "&amp;LEN(G190)&amp;" dígitos",IF(NOT(ISNUMBER(VALUE(G190))),"ERRO: não numérico",IF(AND(VALUE(MID(G190,13,1))=IF(MOD(SUMPRODUCT(--MID(G190,{1,2,3,4,5,6,7,8,9,10,11,12},1),{5,4,3,2,9,8,7,6,5,4,3,2}),11)&lt;2,0,11-MOD(SUMPRODUCT(--MID(G190,{1,2,3,4,5,6,7,8,9,10,11,12},1),{5,4,3,2,9,8,7,6,5,4,3,2}),11)),VALUE(MID(G190,14,1))=IF(MOD(SUMPRODUCT(--MID(G190,{1,2,3,4,5,6,7,8,9,10,11,12,13},1),{6,5,4,3,2,9,8,7,6,5,4,3,2}),11)&lt;2,0,11-MOD(SUMPRODUCT(--MID(G190,{1,2,3,4,5,6,7,8,9,10,11,12,13},1),{6,5,4,3,2,9,8,7,6,5,4,3,2}),11))),"OK","AVISO: dígito verificador (conferir na org)"))))</f>
      </c>
      <c r="I190" s="6">
        <f>IF(G190="","",IF(COUNTIF($G$2:$G$2001,G190)&gt;1,"DUPLICADO","OK"))</f>
      </c>
      <c r="J190" s="6">
        <f>IF(COUNTA(A190:F190)=0,"",IF(AND(A190&lt;&gt;"",E190&lt;&gt;""),"OK","ERRO: faltam "&amp;IF(A190="","CNPJ; ","")&amp;IF(E190="","Novo gerente; ","")))</f>
      </c>
      <c r="K190" s="6">
        <f>IF(COUNTA(A190:F190)=0,"",IF(AND(LEFT(H190,4)&lt;&gt;"ERRO",I190="OK",J190="OK"),"OK","REVISAR"))</f>
      </c>
    </row>
    <row r="191">
      <c r="A191" s="5"/>
      <c r="B191" s="4"/>
      <c r="C191" s="4"/>
      <c r="D191" s="4"/>
      <c r="E191" s="5"/>
      <c r="F191" s="4"/>
      <c r="G191" s="6">
        <f>IF(A191="","",SUBSTITUTE(SUBSTITUTE(SUBSTITUTE(SUBSTITUTE(SUBSTITUTE(SUBSTITUTE(SUBSTITUTE(TRIM(A191),".",""),"/",""),"-","")," ",""),"(",""),")",""),"+",""))</f>
      </c>
      <c r="H191" s="6">
        <f>IF(G191="","",IF(LEN(G191)&lt;&gt;14,"ERRO: "&amp;LEN(G191)&amp;" dígitos",IF(NOT(ISNUMBER(VALUE(G191))),"ERRO: não numérico",IF(AND(VALUE(MID(G191,13,1))=IF(MOD(SUMPRODUCT(--MID(G191,{1,2,3,4,5,6,7,8,9,10,11,12},1),{5,4,3,2,9,8,7,6,5,4,3,2}),11)&lt;2,0,11-MOD(SUMPRODUCT(--MID(G191,{1,2,3,4,5,6,7,8,9,10,11,12},1),{5,4,3,2,9,8,7,6,5,4,3,2}),11)),VALUE(MID(G191,14,1))=IF(MOD(SUMPRODUCT(--MID(G191,{1,2,3,4,5,6,7,8,9,10,11,12,13},1),{6,5,4,3,2,9,8,7,6,5,4,3,2}),11)&lt;2,0,11-MOD(SUMPRODUCT(--MID(G191,{1,2,3,4,5,6,7,8,9,10,11,12,13},1),{6,5,4,3,2,9,8,7,6,5,4,3,2}),11))),"OK","AVISO: dígito verificador (conferir na org)"))))</f>
      </c>
      <c r="I191" s="6">
        <f>IF(G191="","",IF(COUNTIF($G$2:$G$2001,G191)&gt;1,"DUPLICADO","OK"))</f>
      </c>
      <c r="J191" s="6">
        <f>IF(COUNTA(A191:F191)=0,"",IF(AND(A191&lt;&gt;"",E191&lt;&gt;""),"OK","ERRO: faltam "&amp;IF(A191="","CNPJ; ","")&amp;IF(E191="","Novo gerente; ","")))</f>
      </c>
      <c r="K191" s="6">
        <f>IF(COUNTA(A191:F191)=0,"",IF(AND(LEFT(H191,4)&lt;&gt;"ERRO",I191="OK",J191="OK"),"OK","REVISAR"))</f>
      </c>
    </row>
    <row r="192">
      <c r="A192" s="5"/>
      <c r="B192" s="4"/>
      <c r="C192" s="4"/>
      <c r="D192" s="4"/>
      <c r="E192" s="5"/>
      <c r="F192" s="4"/>
      <c r="G192" s="6">
        <f>IF(A192="","",SUBSTITUTE(SUBSTITUTE(SUBSTITUTE(SUBSTITUTE(SUBSTITUTE(SUBSTITUTE(SUBSTITUTE(TRIM(A192),".",""),"/",""),"-","")," ",""),"(",""),")",""),"+",""))</f>
      </c>
      <c r="H192" s="6">
        <f>IF(G192="","",IF(LEN(G192)&lt;&gt;14,"ERRO: "&amp;LEN(G192)&amp;" dígitos",IF(NOT(ISNUMBER(VALUE(G192))),"ERRO: não numérico",IF(AND(VALUE(MID(G192,13,1))=IF(MOD(SUMPRODUCT(--MID(G192,{1,2,3,4,5,6,7,8,9,10,11,12},1),{5,4,3,2,9,8,7,6,5,4,3,2}),11)&lt;2,0,11-MOD(SUMPRODUCT(--MID(G192,{1,2,3,4,5,6,7,8,9,10,11,12},1),{5,4,3,2,9,8,7,6,5,4,3,2}),11)),VALUE(MID(G192,14,1))=IF(MOD(SUMPRODUCT(--MID(G192,{1,2,3,4,5,6,7,8,9,10,11,12,13},1),{6,5,4,3,2,9,8,7,6,5,4,3,2}),11)&lt;2,0,11-MOD(SUMPRODUCT(--MID(G192,{1,2,3,4,5,6,7,8,9,10,11,12,13},1),{6,5,4,3,2,9,8,7,6,5,4,3,2}),11))),"OK","AVISO: dígito verificador (conferir na org)"))))</f>
      </c>
      <c r="I192" s="6">
        <f>IF(G192="","",IF(COUNTIF($G$2:$G$2001,G192)&gt;1,"DUPLICADO","OK"))</f>
      </c>
      <c r="J192" s="6">
        <f>IF(COUNTA(A192:F192)=0,"",IF(AND(A192&lt;&gt;"",E192&lt;&gt;""),"OK","ERRO: faltam "&amp;IF(A192="","CNPJ; ","")&amp;IF(E192="","Novo gerente; ","")))</f>
      </c>
      <c r="K192" s="6">
        <f>IF(COUNTA(A192:F192)=0,"",IF(AND(LEFT(H192,4)&lt;&gt;"ERRO",I192="OK",J192="OK"),"OK","REVISAR"))</f>
      </c>
    </row>
    <row r="193">
      <c r="A193" s="5"/>
      <c r="B193" s="4"/>
      <c r="C193" s="4"/>
      <c r="D193" s="4"/>
      <c r="E193" s="5"/>
      <c r="F193" s="4"/>
      <c r="G193" s="6">
        <f>IF(A193="","",SUBSTITUTE(SUBSTITUTE(SUBSTITUTE(SUBSTITUTE(SUBSTITUTE(SUBSTITUTE(SUBSTITUTE(TRIM(A193),".",""),"/",""),"-","")," ",""),"(",""),")",""),"+",""))</f>
      </c>
      <c r="H193" s="6">
        <f>IF(G193="","",IF(LEN(G193)&lt;&gt;14,"ERRO: "&amp;LEN(G193)&amp;" dígitos",IF(NOT(ISNUMBER(VALUE(G193))),"ERRO: não numérico",IF(AND(VALUE(MID(G193,13,1))=IF(MOD(SUMPRODUCT(--MID(G193,{1,2,3,4,5,6,7,8,9,10,11,12},1),{5,4,3,2,9,8,7,6,5,4,3,2}),11)&lt;2,0,11-MOD(SUMPRODUCT(--MID(G193,{1,2,3,4,5,6,7,8,9,10,11,12},1),{5,4,3,2,9,8,7,6,5,4,3,2}),11)),VALUE(MID(G193,14,1))=IF(MOD(SUMPRODUCT(--MID(G193,{1,2,3,4,5,6,7,8,9,10,11,12,13},1),{6,5,4,3,2,9,8,7,6,5,4,3,2}),11)&lt;2,0,11-MOD(SUMPRODUCT(--MID(G193,{1,2,3,4,5,6,7,8,9,10,11,12,13},1),{6,5,4,3,2,9,8,7,6,5,4,3,2}),11))),"OK","AVISO: dígito verificador (conferir na org)"))))</f>
      </c>
      <c r="I193" s="6">
        <f>IF(G193="","",IF(COUNTIF($G$2:$G$2001,G193)&gt;1,"DUPLICADO","OK"))</f>
      </c>
      <c r="J193" s="6">
        <f>IF(COUNTA(A193:F193)=0,"",IF(AND(A193&lt;&gt;"",E193&lt;&gt;""),"OK","ERRO: faltam "&amp;IF(A193="","CNPJ; ","")&amp;IF(E193="","Novo gerente; ","")))</f>
      </c>
      <c r="K193" s="6">
        <f>IF(COUNTA(A193:F193)=0,"",IF(AND(LEFT(H193,4)&lt;&gt;"ERRO",I193="OK",J193="OK"),"OK","REVISAR"))</f>
      </c>
    </row>
    <row r="194">
      <c r="A194" s="5"/>
      <c r="B194" s="4"/>
      <c r="C194" s="4"/>
      <c r="D194" s="4"/>
      <c r="E194" s="5"/>
      <c r="F194" s="4"/>
      <c r="G194" s="6">
        <f>IF(A194="","",SUBSTITUTE(SUBSTITUTE(SUBSTITUTE(SUBSTITUTE(SUBSTITUTE(SUBSTITUTE(SUBSTITUTE(TRIM(A194),".",""),"/",""),"-","")," ",""),"(",""),")",""),"+",""))</f>
      </c>
      <c r="H194" s="6">
        <f>IF(G194="","",IF(LEN(G194)&lt;&gt;14,"ERRO: "&amp;LEN(G194)&amp;" dígitos",IF(NOT(ISNUMBER(VALUE(G194))),"ERRO: não numérico",IF(AND(VALUE(MID(G194,13,1))=IF(MOD(SUMPRODUCT(--MID(G194,{1,2,3,4,5,6,7,8,9,10,11,12},1),{5,4,3,2,9,8,7,6,5,4,3,2}),11)&lt;2,0,11-MOD(SUMPRODUCT(--MID(G194,{1,2,3,4,5,6,7,8,9,10,11,12},1),{5,4,3,2,9,8,7,6,5,4,3,2}),11)),VALUE(MID(G194,14,1))=IF(MOD(SUMPRODUCT(--MID(G194,{1,2,3,4,5,6,7,8,9,10,11,12,13},1),{6,5,4,3,2,9,8,7,6,5,4,3,2}),11)&lt;2,0,11-MOD(SUMPRODUCT(--MID(G194,{1,2,3,4,5,6,7,8,9,10,11,12,13},1),{6,5,4,3,2,9,8,7,6,5,4,3,2}),11))),"OK","AVISO: dígito verificador (conferir na org)"))))</f>
      </c>
      <c r="I194" s="6">
        <f>IF(G194="","",IF(COUNTIF($G$2:$G$2001,G194)&gt;1,"DUPLICADO","OK"))</f>
      </c>
      <c r="J194" s="6">
        <f>IF(COUNTA(A194:F194)=0,"",IF(AND(A194&lt;&gt;"",E194&lt;&gt;""),"OK","ERRO: faltam "&amp;IF(A194="","CNPJ; ","")&amp;IF(E194="","Novo gerente; ","")))</f>
      </c>
      <c r="K194" s="6">
        <f>IF(COUNTA(A194:F194)=0,"",IF(AND(LEFT(H194,4)&lt;&gt;"ERRO",I194="OK",J194="OK"),"OK","REVISAR"))</f>
      </c>
    </row>
    <row r="195">
      <c r="A195" s="5"/>
      <c r="B195" s="4"/>
      <c r="C195" s="4"/>
      <c r="D195" s="4"/>
      <c r="E195" s="5"/>
      <c r="F195" s="4"/>
      <c r="G195" s="6">
        <f>IF(A195="","",SUBSTITUTE(SUBSTITUTE(SUBSTITUTE(SUBSTITUTE(SUBSTITUTE(SUBSTITUTE(SUBSTITUTE(TRIM(A195),".",""),"/",""),"-","")," ",""),"(",""),")",""),"+",""))</f>
      </c>
      <c r="H195" s="6">
        <f>IF(G195="","",IF(LEN(G195)&lt;&gt;14,"ERRO: "&amp;LEN(G195)&amp;" dígitos",IF(NOT(ISNUMBER(VALUE(G195))),"ERRO: não numérico",IF(AND(VALUE(MID(G195,13,1))=IF(MOD(SUMPRODUCT(--MID(G195,{1,2,3,4,5,6,7,8,9,10,11,12},1),{5,4,3,2,9,8,7,6,5,4,3,2}),11)&lt;2,0,11-MOD(SUMPRODUCT(--MID(G195,{1,2,3,4,5,6,7,8,9,10,11,12},1),{5,4,3,2,9,8,7,6,5,4,3,2}),11)),VALUE(MID(G195,14,1))=IF(MOD(SUMPRODUCT(--MID(G195,{1,2,3,4,5,6,7,8,9,10,11,12,13},1),{6,5,4,3,2,9,8,7,6,5,4,3,2}),11)&lt;2,0,11-MOD(SUMPRODUCT(--MID(G195,{1,2,3,4,5,6,7,8,9,10,11,12,13},1),{6,5,4,3,2,9,8,7,6,5,4,3,2}),11))),"OK","AVISO: dígito verificador (conferir na org)"))))</f>
      </c>
      <c r="I195" s="6">
        <f>IF(G195="","",IF(COUNTIF($G$2:$G$2001,G195)&gt;1,"DUPLICADO","OK"))</f>
      </c>
      <c r="J195" s="6">
        <f>IF(COUNTA(A195:F195)=0,"",IF(AND(A195&lt;&gt;"",E195&lt;&gt;""),"OK","ERRO: faltam "&amp;IF(A195="","CNPJ; ","")&amp;IF(E195="","Novo gerente; ","")))</f>
      </c>
      <c r="K195" s="6">
        <f>IF(COUNTA(A195:F195)=0,"",IF(AND(LEFT(H195,4)&lt;&gt;"ERRO",I195="OK",J195="OK"),"OK","REVISAR"))</f>
      </c>
    </row>
    <row r="196">
      <c r="A196" s="5"/>
      <c r="B196" s="4"/>
      <c r="C196" s="4"/>
      <c r="D196" s="4"/>
      <c r="E196" s="5"/>
      <c r="F196" s="4"/>
      <c r="G196" s="6">
        <f>IF(A196="","",SUBSTITUTE(SUBSTITUTE(SUBSTITUTE(SUBSTITUTE(SUBSTITUTE(SUBSTITUTE(SUBSTITUTE(TRIM(A196),".",""),"/",""),"-","")," ",""),"(",""),")",""),"+",""))</f>
      </c>
      <c r="H196" s="6">
        <f>IF(G196="","",IF(LEN(G196)&lt;&gt;14,"ERRO: "&amp;LEN(G196)&amp;" dígitos",IF(NOT(ISNUMBER(VALUE(G196))),"ERRO: não numérico",IF(AND(VALUE(MID(G196,13,1))=IF(MOD(SUMPRODUCT(--MID(G196,{1,2,3,4,5,6,7,8,9,10,11,12},1),{5,4,3,2,9,8,7,6,5,4,3,2}),11)&lt;2,0,11-MOD(SUMPRODUCT(--MID(G196,{1,2,3,4,5,6,7,8,9,10,11,12},1),{5,4,3,2,9,8,7,6,5,4,3,2}),11)),VALUE(MID(G196,14,1))=IF(MOD(SUMPRODUCT(--MID(G196,{1,2,3,4,5,6,7,8,9,10,11,12,13},1),{6,5,4,3,2,9,8,7,6,5,4,3,2}),11)&lt;2,0,11-MOD(SUMPRODUCT(--MID(G196,{1,2,3,4,5,6,7,8,9,10,11,12,13},1),{6,5,4,3,2,9,8,7,6,5,4,3,2}),11))),"OK","AVISO: dígito verificador (conferir na org)"))))</f>
      </c>
      <c r="I196" s="6">
        <f>IF(G196="","",IF(COUNTIF($G$2:$G$2001,G196)&gt;1,"DUPLICADO","OK"))</f>
      </c>
      <c r="J196" s="6">
        <f>IF(COUNTA(A196:F196)=0,"",IF(AND(A196&lt;&gt;"",E196&lt;&gt;""),"OK","ERRO: faltam "&amp;IF(A196="","CNPJ; ","")&amp;IF(E196="","Novo gerente; ","")))</f>
      </c>
      <c r="K196" s="6">
        <f>IF(COUNTA(A196:F196)=0,"",IF(AND(LEFT(H196,4)&lt;&gt;"ERRO",I196="OK",J196="OK"),"OK","REVISAR"))</f>
      </c>
    </row>
    <row r="197">
      <c r="A197" s="5"/>
      <c r="B197" s="4"/>
      <c r="C197" s="4"/>
      <c r="D197" s="4"/>
      <c r="E197" s="5"/>
      <c r="F197" s="4"/>
      <c r="G197" s="6">
        <f>IF(A197="","",SUBSTITUTE(SUBSTITUTE(SUBSTITUTE(SUBSTITUTE(SUBSTITUTE(SUBSTITUTE(SUBSTITUTE(TRIM(A197),".",""),"/",""),"-","")," ",""),"(",""),")",""),"+",""))</f>
      </c>
      <c r="H197" s="6">
        <f>IF(G197="","",IF(LEN(G197)&lt;&gt;14,"ERRO: "&amp;LEN(G197)&amp;" dígitos",IF(NOT(ISNUMBER(VALUE(G197))),"ERRO: não numérico",IF(AND(VALUE(MID(G197,13,1))=IF(MOD(SUMPRODUCT(--MID(G197,{1,2,3,4,5,6,7,8,9,10,11,12},1),{5,4,3,2,9,8,7,6,5,4,3,2}),11)&lt;2,0,11-MOD(SUMPRODUCT(--MID(G197,{1,2,3,4,5,6,7,8,9,10,11,12},1),{5,4,3,2,9,8,7,6,5,4,3,2}),11)),VALUE(MID(G197,14,1))=IF(MOD(SUMPRODUCT(--MID(G197,{1,2,3,4,5,6,7,8,9,10,11,12,13},1),{6,5,4,3,2,9,8,7,6,5,4,3,2}),11)&lt;2,0,11-MOD(SUMPRODUCT(--MID(G197,{1,2,3,4,5,6,7,8,9,10,11,12,13},1),{6,5,4,3,2,9,8,7,6,5,4,3,2}),11))),"OK","AVISO: dígito verificador (conferir na org)"))))</f>
      </c>
      <c r="I197" s="6">
        <f>IF(G197="","",IF(COUNTIF($G$2:$G$2001,G197)&gt;1,"DUPLICADO","OK"))</f>
      </c>
      <c r="J197" s="6">
        <f>IF(COUNTA(A197:F197)=0,"",IF(AND(A197&lt;&gt;"",E197&lt;&gt;""),"OK","ERRO: faltam "&amp;IF(A197="","CNPJ; ","")&amp;IF(E197="","Novo gerente; ","")))</f>
      </c>
      <c r="K197" s="6">
        <f>IF(COUNTA(A197:F197)=0,"",IF(AND(LEFT(H197,4)&lt;&gt;"ERRO",I197="OK",J197="OK"),"OK","REVISAR"))</f>
      </c>
    </row>
    <row r="198">
      <c r="A198" s="5"/>
      <c r="B198" s="4"/>
      <c r="C198" s="4"/>
      <c r="D198" s="4"/>
      <c r="E198" s="5"/>
      <c r="F198" s="4"/>
      <c r="G198" s="6">
        <f>IF(A198="","",SUBSTITUTE(SUBSTITUTE(SUBSTITUTE(SUBSTITUTE(SUBSTITUTE(SUBSTITUTE(SUBSTITUTE(TRIM(A198),".",""),"/",""),"-","")," ",""),"(",""),")",""),"+",""))</f>
      </c>
      <c r="H198" s="6">
        <f>IF(G198="","",IF(LEN(G198)&lt;&gt;14,"ERRO: "&amp;LEN(G198)&amp;" dígitos",IF(NOT(ISNUMBER(VALUE(G198))),"ERRO: não numérico",IF(AND(VALUE(MID(G198,13,1))=IF(MOD(SUMPRODUCT(--MID(G198,{1,2,3,4,5,6,7,8,9,10,11,12},1),{5,4,3,2,9,8,7,6,5,4,3,2}),11)&lt;2,0,11-MOD(SUMPRODUCT(--MID(G198,{1,2,3,4,5,6,7,8,9,10,11,12},1),{5,4,3,2,9,8,7,6,5,4,3,2}),11)),VALUE(MID(G198,14,1))=IF(MOD(SUMPRODUCT(--MID(G198,{1,2,3,4,5,6,7,8,9,10,11,12,13},1),{6,5,4,3,2,9,8,7,6,5,4,3,2}),11)&lt;2,0,11-MOD(SUMPRODUCT(--MID(G198,{1,2,3,4,5,6,7,8,9,10,11,12,13},1),{6,5,4,3,2,9,8,7,6,5,4,3,2}),11))),"OK","AVISO: dígito verificador (conferir na org)"))))</f>
      </c>
      <c r="I198" s="6">
        <f>IF(G198="","",IF(COUNTIF($G$2:$G$2001,G198)&gt;1,"DUPLICADO","OK"))</f>
      </c>
      <c r="J198" s="6">
        <f>IF(COUNTA(A198:F198)=0,"",IF(AND(A198&lt;&gt;"",E198&lt;&gt;""),"OK","ERRO: faltam "&amp;IF(A198="","CNPJ; ","")&amp;IF(E198="","Novo gerente; ","")))</f>
      </c>
      <c r="K198" s="6">
        <f>IF(COUNTA(A198:F198)=0,"",IF(AND(LEFT(H198,4)&lt;&gt;"ERRO",I198="OK",J198="OK"),"OK","REVISAR"))</f>
      </c>
    </row>
    <row r="199">
      <c r="A199" s="5"/>
      <c r="B199" s="4"/>
      <c r="C199" s="4"/>
      <c r="D199" s="4"/>
      <c r="E199" s="5"/>
      <c r="F199" s="4"/>
      <c r="G199" s="6">
        <f>IF(A199="","",SUBSTITUTE(SUBSTITUTE(SUBSTITUTE(SUBSTITUTE(SUBSTITUTE(SUBSTITUTE(SUBSTITUTE(TRIM(A199),".",""),"/",""),"-","")," ",""),"(",""),")",""),"+",""))</f>
      </c>
      <c r="H199" s="6">
        <f>IF(G199="","",IF(LEN(G199)&lt;&gt;14,"ERRO: "&amp;LEN(G199)&amp;" dígitos",IF(NOT(ISNUMBER(VALUE(G199))),"ERRO: não numérico",IF(AND(VALUE(MID(G199,13,1))=IF(MOD(SUMPRODUCT(--MID(G199,{1,2,3,4,5,6,7,8,9,10,11,12},1),{5,4,3,2,9,8,7,6,5,4,3,2}),11)&lt;2,0,11-MOD(SUMPRODUCT(--MID(G199,{1,2,3,4,5,6,7,8,9,10,11,12},1),{5,4,3,2,9,8,7,6,5,4,3,2}),11)),VALUE(MID(G199,14,1))=IF(MOD(SUMPRODUCT(--MID(G199,{1,2,3,4,5,6,7,8,9,10,11,12,13},1),{6,5,4,3,2,9,8,7,6,5,4,3,2}),11)&lt;2,0,11-MOD(SUMPRODUCT(--MID(G199,{1,2,3,4,5,6,7,8,9,10,11,12,13},1),{6,5,4,3,2,9,8,7,6,5,4,3,2}),11))),"OK","AVISO: dígito verificador (conferir na org)"))))</f>
      </c>
      <c r="I199" s="6">
        <f>IF(G199="","",IF(COUNTIF($G$2:$G$2001,G199)&gt;1,"DUPLICADO","OK"))</f>
      </c>
      <c r="J199" s="6">
        <f>IF(COUNTA(A199:F199)=0,"",IF(AND(A199&lt;&gt;"",E199&lt;&gt;""),"OK","ERRO: faltam "&amp;IF(A199="","CNPJ; ","")&amp;IF(E199="","Novo gerente; ","")))</f>
      </c>
      <c r="K199" s="6">
        <f>IF(COUNTA(A199:F199)=0,"",IF(AND(LEFT(H199,4)&lt;&gt;"ERRO",I199="OK",J199="OK"),"OK","REVISAR"))</f>
      </c>
    </row>
    <row r="200">
      <c r="A200" s="5"/>
      <c r="B200" s="4"/>
      <c r="C200" s="4"/>
      <c r="D200" s="4"/>
      <c r="E200" s="5"/>
      <c r="F200" s="4"/>
      <c r="G200" s="6">
        <f>IF(A200="","",SUBSTITUTE(SUBSTITUTE(SUBSTITUTE(SUBSTITUTE(SUBSTITUTE(SUBSTITUTE(SUBSTITUTE(TRIM(A200),".",""),"/",""),"-","")," ",""),"(",""),")",""),"+",""))</f>
      </c>
      <c r="H200" s="6">
        <f>IF(G200="","",IF(LEN(G200)&lt;&gt;14,"ERRO: "&amp;LEN(G200)&amp;" dígitos",IF(NOT(ISNUMBER(VALUE(G200))),"ERRO: não numérico",IF(AND(VALUE(MID(G200,13,1))=IF(MOD(SUMPRODUCT(--MID(G200,{1,2,3,4,5,6,7,8,9,10,11,12},1),{5,4,3,2,9,8,7,6,5,4,3,2}),11)&lt;2,0,11-MOD(SUMPRODUCT(--MID(G200,{1,2,3,4,5,6,7,8,9,10,11,12},1),{5,4,3,2,9,8,7,6,5,4,3,2}),11)),VALUE(MID(G200,14,1))=IF(MOD(SUMPRODUCT(--MID(G200,{1,2,3,4,5,6,7,8,9,10,11,12,13},1),{6,5,4,3,2,9,8,7,6,5,4,3,2}),11)&lt;2,0,11-MOD(SUMPRODUCT(--MID(G200,{1,2,3,4,5,6,7,8,9,10,11,12,13},1),{6,5,4,3,2,9,8,7,6,5,4,3,2}),11))),"OK","AVISO: dígito verificador (conferir na org)"))))</f>
      </c>
      <c r="I200" s="6">
        <f>IF(G200="","",IF(COUNTIF($G$2:$G$2001,G200)&gt;1,"DUPLICADO","OK"))</f>
      </c>
      <c r="J200" s="6">
        <f>IF(COUNTA(A200:F200)=0,"",IF(AND(A200&lt;&gt;"",E200&lt;&gt;""),"OK","ERRO: faltam "&amp;IF(A200="","CNPJ; ","")&amp;IF(E200="","Novo gerente; ","")))</f>
      </c>
      <c r="K200" s="6">
        <f>IF(COUNTA(A200:F200)=0,"",IF(AND(LEFT(H200,4)&lt;&gt;"ERRO",I200="OK",J200="OK"),"OK","REVISAR"))</f>
      </c>
    </row>
    <row r="201">
      <c r="A201" s="5"/>
      <c r="B201" s="4"/>
      <c r="C201" s="4"/>
      <c r="D201" s="4"/>
      <c r="E201" s="5"/>
      <c r="F201" s="4"/>
      <c r="G201" s="6">
        <f>IF(A201="","",SUBSTITUTE(SUBSTITUTE(SUBSTITUTE(SUBSTITUTE(SUBSTITUTE(SUBSTITUTE(SUBSTITUTE(TRIM(A201),".",""),"/",""),"-","")," ",""),"(",""),")",""),"+",""))</f>
      </c>
      <c r="H201" s="6">
        <f>IF(G201="","",IF(LEN(G201)&lt;&gt;14,"ERRO: "&amp;LEN(G201)&amp;" dígitos",IF(NOT(ISNUMBER(VALUE(G201))),"ERRO: não numérico",IF(AND(VALUE(MID(G201,13,1))=IF(MOD(SUMPRODUCT(--MID(G201,{1,2,3,4,5,6,7,8,9,10,11,12},1),{5,4,3,2,9,8,7,6,5,4,3,2}),11)&lt;2,0,11-MOD(SUMPRODUCT(--MID(G201,{1,2,3,4,5,6,7,8,9,10,11,12},1),{5,4,3,2,9,8,7,6,5,4,3,2}),11)),VALUE(MID(G201,14,1))=IF(MOD(SUMPRODUCT(--MID(G201,{1,2,3,4,5,6,7,8,9,10,11,12,13},1),{6,5,4,3,2,9,8,7,6,5,4,3,2}),11)&lt;2,0,11-MOD(SUMPRODUCT(--MID(G201,{1,2,3,4,5,6,7,8,9,10,11,12,13},1),{6,5,4,3,2,9,8,7,6,5,4,3,2}),11))),"OK","AVISO: dígito verificador (conferir na org)"))))</f>
      </c>
      <c r="I201" s="6">
        <f>IF(G201="","",IF(COUNTIF($G$2:$G$2001,G201)&gt;1,"DUPLICADO","OK"))</f>
      </c>
      <c r="J201" s="6">
        <f>IF(COUNTA(A201:F201)=0,"",IF(AND(A201&lt;&gt;"",E201&lt;&gt;""),"OK","ERRO: faltam "&amp;IF(A201="","CNPJ; ","")&amp;IF(E201="","Novo gerente; ","")))</f>
      </c>
      <c r="K201" s="6">
        <f>IF(COUNTA(A201:F201)=0,"",IF(AND(LEFT(H201,4)&lt;&gt;"ERRO",I201="OK",J201="OK"),"OK","REVISAR"))</f>
      </c>
    </row>
    <row r="202">
      <c r="A202" s="5"/>
      <c r="B202" s="4"/>
      <c r="C202" s="4"/>
      <c r="D202" s="4"/>
      <c r="E202" s="5"/>
      <c r="F202" s="4"/>
      <c r="G202" s="6">
        <f>IF(A202="","",SUBSTITUTE(SUBSTITUTE(SUBSTITUTE(SUBSTITUTE(SUBSTITUTE(SUBSTITUTE(SUBSTITUTE(TRIM(A202),".",""),"/",""),"-","")," ",""),"(",""),")",""),"+",""))</f>
      </c>
      <c r="H202" s="6">
        <f>IF(G202="","",IF(LEN(G202)&lt;&gt;14,"ERRO: "&amp;LEN(G202)&amp;" dígitos",IF(NOT(ISNUMBER(VALUE(G202))),"ERRO: não numérico",IF(AND(VALUE(MID(G202,13,1))=IF(MOD(SUMPRODUCT(--MID(G202,{1,2,3,4,5,6,7,8,9,10,11,12},1),{5,4,3,2,9,8,7,6,5,4,3,2}),11)&lt;2,0,11-MOD(SUMPRODUCT(--MID(G202,{1,2,3,4,5,6,7,8,9,10,11,12},1),{5,4,3,2,9,8,7,6,5,4,3,2}),11)),VALUE(MID(G202,14,1))=IF(MOD(SUMPRODUCT(--MID(G202,{1,2,3,4,5,6,7,8,9,10,11,12,13},1),{6,5,4,3,2,9,8,7,6,5,4,3,2}),11)&lt;2,0,11-MOD(SUMPRODUCT(--MID(G202,{1,2,3,4,5,6,7,8,9,10,11,12,13},1),{6,5,4,3,2,9,8,7,6,5,4,3,2}),11))),"OK","AVISO: dígito verificador (conferir na org)"))))</f>
      </c>
      <c r="I202" s="6">
        <f>IF(G202="","",IF(COUNTIF($G$2:$G$2001,G202)&gt;1,"DUPLICADO","OK"))</f>
      </c>
      <c r="J202" s="6">
        <f>IF(COUNTA(A202:F202)=0,"",IF(AND(A202&lt;&gt;"",E202&lt;&gt;""),"OK","ERRO: faltam "&amp;IF(A202="","CNPJ; ","")&amp;IF(E202="","Novo gerente; ","")))</f>
      </c>
      <c r="K202" s="6">
        <f>IF(COUNTA(A202:F202)=0,"",IF(AND(LEFT(H202,4)&lt;&gt;"ERRO",I202="OK",J202="OK"),"OK","REVISAR"))</f>
      </c>
    </row>
    <row r="203">
      <c r="A203" s="5"/>
      <c r="B203" s="4"/>
      <c r="C203" s="4"/>
      <c r="D203" s="4"/>
      <c r="E203" s="5"/>
      <c r="F203" s="4"/>
      <c r="G203" s="6">
        <f>IF(A203="","",SUBSTITUTE(SUBSTITUTE(SUBSTITUTE(SUBSTITUTE(SUBSTITUTE(SUBSTITUTE(SUBSTITUTE(TRIM(A203),".",""),"/",""),"-","")," ",""),"(",""),")",""),"+",""))</f>
      </c>
      <c r="H203" s="6">
        <f>IF(G203="","",IF(LEN(G203)&lt;&gt;14,"ERRO: "&amp;LEN(G203)&amp;" dígitos",IF(NOT(ISNUMBER(VALUE(G203))),"ERRO: não numérico",IF(AND(VALUE(MID(G203,13,1))=IF(MOD(SUMPRODUCT(--MID(G203,{1,2,3,4,5,6,7,8,9,10,11,12},1),{5,4,3,2,9,8,7,6,5,4,3,2}),11)&lt;2,0,11-MOD(SUMPRODUCT(--MID(G203,{1,2,3,4,5,6,7,8,9,10,11,12},1),{5,4,3,2,9,8,7,6,5,4,3,2}),11)),VALUE(MID(G203,14,1))=IF(MOD(SUMPRODUCT(--MID(G203,{1,2,3,4,5,6,7,8,9,10,11,12,13},1),{6,5,4,3,2,9,8,7,6,5,4,3,2}),11)&lt;2,0,11-MOD(SUMPRODUCT(--MID(G203,{1,2,3,4,5,6,7,8,9,10,11,12,13},1),{6,5,4,3,2,9,8,7,6,5,4,3,2}),11))),"OK","AVISO: dígito verificador (conferir na org)"))))</f>
      </c>
      <c r="I203" s="6">
        <f>IF(G203="","",IF(COUNTIF($G$2:$G$2001,G203)&gt;1,"DUPLICADO","OK"))</f>
      </c>
      <c r="J203" s="6">
        <f>IF(COUNTA(A203:F203)=0,"",IF(AND(A203&lt;&gt;"",E203&lt;&gt;""),"OK","ERRO: faltam "&amp;IF(A203="","CNPJ; ","")&amp;IF(E203="","Novo gerente; ","")))</f>
      </c>
      <c r="K203" s="6">
        <f>IF(COUNTA(A203:F203)=0,"",IF(AND(LEFT(H203,4)&lt;&gt;"ERRO",I203="OK",J203="OK"),"OK","REVISAR"))</f>
      </c>
    </row>
    <row r="204">
      <c r="A204" s="5"/>
      <c r="B204" s="4"/>
      <c r="C204" s="4"/>
      <c r="D204" s="4"/>
      <c r="E204" s="5"/>
      <c r="F204" s="4"/>
      <c r="G204" s="6">
        <f>IF(A204="","",SUBSTITUTE(SUBSTITUTE(SUBSTITUTE(SUBSTITUTE(SUBSTITUTE(SUBSTITUTE(SUBSTITUTE(TRIM(A204),".",""),"/",""),"-","")," ",""),"(",""),")",""),"+",""))</f>
      </c>
      <c r="H204" s="6">
        <f>IF(G204="","",IF(LEN(G204)&lt;&gt;14,"ERRO: "&amp;LEN(G204)&amp;" dígitos",IF(NOT(ISNUMBER(VALUE(G204))),"ERRO: não numérico",IF(AND(VALUE(MID(G204,13,1))=IF(MOD(SUMPRODUCT(--MID(G204,{1,2,3,4,5,6,7,8,9,10,11,12},1),{5,4,3,2,9,8,7,6,5,4,3,2}),11)&lt;2,0,11-MOD(SUMPRODUCT(--MID(G204,{1,2,3,4,5,6,7,8,9,10,11,12},1),{5,4,3,2,9,8,7,6,5,4,3,2}),11)),VALUE(MID(G204,14,1))=IF(MOD(SUMPRODUCT(--MID(G204,{1,2,3,4,5,6,7,8,9,10,11,12,13},1),{6,5,4,3,2,9,8,7,6,5,4,3,2}),11)&lt;2,0,11-MOD(SUMPRODUCT(--MID(G204,{1,2,3,4,5,6,7,8,9,10,11,12,13},1),{6,5,4,3,2,9,8,7,6,5,4,3,2}),11))),"OK","AVISO: dígito verificador (conferir na org)"))))</f>
      </c>
      <c r="I204" s="6">
        <f>IF(G204="","",IF(COUNTIF($G$2:$G$2001,G204)&gt;1,"DUPLICADO","OK"))</f>
      </c>
      <c r="J204" s="6">
        <f>IF(COUNTA(A204:F204)=0,"",IF(AND(A204&lt;&gt;"",E204&lt;&gt;""),"OK","ERRO: faltam "&amp;IF(A204="","CNPJ; ","")&amp;IF(E204="","Novo gerente; ","")))</f>
      </c>
      <c r="K204" s="6">
        <f>IF(COUNTA(A204:F204)=0,"",IF(AND(LEFT(H204,4)&lt;&gt;"ERRO",I204="OK",J204="OK"),"OK","REVISAR"))</f>
      </c>
    </row>
    <row r="205">
      <c r="A205" s="5"/>
      <c r="B205" s="4"/>
      <c r="C205" s="4"/>
      <c r="D205" s="4"/>
      <c r="E205" s="5"/>
      <c r="F205" s="4"/>
      <c r="G205" s="6">
        <f>IF(A205="","",SUBSTITUTE(SUBSTITUTE(SUBSTITUTE(SUBSTITUTE(SUBSTITUTE(SUBSTITUTE(SUBSTITUTE(TRIM(A205),".",""),"/",""),"-","")," ",""),"(",""),")",""),"+",""))</f>
      </c>
      <c r="H205" s="6">
        <f>IF(G205="","",IF(LEN(G205)&lt;&gt;14,"ERRO: "&amp;LEN(G205)&amp;" dígitos",IF(NOT(ISNUMBER(VALUE(G205))),"ERRO: não numérico",IF(AND(VALUE(MID(G205,13,1))=IF(MOD(SUMPRODUCT(--MID(G205,{1,2,3,4,5,6,7,8,9,10,11,12},1),{5,4,3,2,9,8,7,6,5,4,3,2}),11)&lt;2,0,11-MOD(SUMPRODUCT(--MID(G205,{1,2,3,4,5,6,7,8,9,10,11,12},1),{5,4,3,2,9,8,7,6,5,4,3,2}),11)),VALUE(MID(G205,14,1))=IF(MOD(SUMPRODUCT(--MID(G205,{1,2,3,4,5,6,7,8,9,10,11,12,13},1),{6,5,4,3,2,9,8,7,6,5,4,3,2}),11)&lt;2,0,11-MOD(SUMPRODUCT(--MID(G205,{1,2,3,4,5,6,7,8,9,10,11,12,13},1),{6,5,4,3,2,9,8,7,6,5,4,3,2}),11))),"OK","AVISO: dígito verificador (conferir na org)"))))</f>
      </c>
      <c r="I205" s="6">
        <f>IF(G205="","",IF(COUNTIF($G$2:$G$2001,G205)&gt;1,"DUPLICADO","OK"))</f>
      </c>
      <c r="J205" s="6">
        <f>IF(COUNTA(A205:F205)=0,"",IF(AND(A205&lt;&gt;"",E205&lt;&gt;""),"OK","ERRO: faltam "&amp;IF(A205="","CNPJ; ","")&amp;IF(E205="","Novo gerente; ","")))</f>
      </c>
      <c r="K205" s="6">
        <f>IF(COUNTA(A205:F205)=0,"",IF(AND(LEFT(H205,4)&lt;&gt;"ERRO",I205="OK",J205="OK"),"OK","REVISAR"))</f>
      </c>
    </row>
    <row r="206">
      <c r="A206" s="5"/>
      <c r="B206" s="4"/>
      <c r="C206" s="4"/>
      <c r="D206" s="4"/>
      <c r="E206" s="5"/>
      <c r="F206" s="4"/>
      <c r="G206" s="6">
        <f>IF(A206="","",SUBSTITUTE(SUBSTITUTE(SUBSTITUTE(SUBSTITUTE(SUBSTITUTE(SUBSTITUTE(SUBSTITUTE(TRIM(A206),".",""),"/",""),"-","")," ",""),"(",""),")",""),"+",""))</f>
      </c>
      <c r="H206" s="6">
        <f>IF(G206="","",IF(LEN(G206)&lt;&gt;14,"ERRO: "&amp;LEN(G206)&amp;" dígitos",IF(NOT(ISNUMBER(VALUE(G206))),"ERRO: não numérico",IF(AND(VALUE(MID(G206,13,1))=IF(MOD(SUMPRODUCT(--MID(G206,{1,2,3,4,5,6,7,8,9,10,11,12},1),{5,4,3,2,9,8,7,6,5,4,3,2}),11)&lt;2,0,11-MOD(SUMPRODUCT(--MID(G206,{1,2,3,4,5,6,7,8,9,10,11,12},1),{5,4,3,2,9,8,7,6,5,4,3,2}),11)),VALUE(MID(G206,14,1))=IF(MOD(SUMPRODUCT(--MID(G206,{1,2,3,4,5,6,7,8,9,10,11,12,13},1),{6,5,4,3,2,9,8,7,6,5,4,3,2}),11)&lt;2,0,11-MOD(SUMPRODUCT(--MID(G206,{1,2,3,4,5,6,7,8,9,10,11,12,13},1),{6,5,4,3,2,9,8,7,6,5,4,3,2}),11))),"OK","AVISO: dígito verificador (conferir na org)"))))</f>
      </c>
      <c r="I206" s="6">
        <f>IF(G206="","",IF(COUNTIF($G$2:$G$2001,G206)&gt;1,"DUPLICADO","OK"))</f>
      </c>
      <c r="J206" s="6">
        <f>IF(COUNTA(A206:F206)=0,"",IF(AND(A206&lt;&gt;"",E206&lt;&gt;""),"OK","ERRO: faltam "&amp;IF(A206="","CNPJ; ","")&amp;IF(E206="","Novo gerente; ","")))</f>
      </c>
      <c r="K206" s="6">
        <f>IF(COUNTA(A206:F206)=0,"",IF(AND(LEFT(H206,4)&lt;&gt;"ERRO",I206="OK",J206="OK"),"OK","REVISAR"))</f>
      </c>
    </row>
    <row r="207">
      <c r="A207" s="5"/>
      <c r="B207" s="4"/>
      <c r="C207" s="4"/>
      <c r="D207" s="4"/>
      <c r="E207" s="5"/>
      <c r="F207" s="4"/>
      <c r="G207" s="6">
        <f>IF(A207="","",SUBSTITUTE(SUBSTITUTE(SUBSTITUTE(SUBSTITUTE(SUBSTITUTE(SUBSTITUTE(SUBSTITUTE(TRIM(A207),".",""),"/",""),"-","")," ",""),"(",""),")",""),"+",""))</f>
      </c>
      <c r="H207" s="6">
        <f>IF(G207="","",IF(LEN(G207)&lt;&gt;14,"ERRO: "&amp;LEN(G207)&amp;" dígitos",IF(NOT(ISNUMBER(VALUE(G207))),"ERRO: não numérico",IF(AND(VALUE(MID(G207,13,1))=IF(MOD(SUMPRODUCT(--MID(G207,{1,2,3,4,5,6,7,8,9,10,11,12},1),{5,4,3,2,9,8,7,6,5,4,3,2}),11)&lt;2,0,11-MOD(SUMPRODUCT(--MID(G207,{1,2,3,4,5,6,7,8,9,10,11,12},1),{5,4,3,2,9,8,7,6,5,4,3,2}),11)),VALUE(MID(G207,14,1))=IF(MOD(SUMPRODUCT(--MID(G207,{1,2,3,4,5,6,7,8,9,10,11,12,13},1),{6,5,4,3,2,9,8,7,6,5,4,3,2}),11)&lt;2,0,11-MOD(SUMPRODUCT(--MID(G207,{1,2,3,4,5,6,7,8,9,10,11,12,13},1),{6,5,4,3,2,9,8,7,6,5,4,3,2}),11))),"OK","AVISO: dígito verificador (conferir na org)"))))</f>
      </c>
      <c r="I207" s="6">
        <f>IF(G207="","",IF(COUNTIF($G$2:$G$2001,G207)&gt;1,"DUPLICADO","OK"))</f>
      </c>
      <c r="J207" s="6">
        <f>IF(COUNTA(A207:F207)=0,"",IF(AND(A207&lt;&gt;"",E207&lt;&gt;""),"OK","ERRO: faltam "&amp;IF(A207="","CNPJ; ","")&amp;IF(E207="","Novo gerente; ","")))</f>
      </c>
      <c r="K207" s="6">
        <f>IF(COUNTA(A207:F207)=0,"",IF(AND(LEFT(H207,4)&lt;&gt;"ERRO",I207="OK",J207="OK"),"OK","REVISAR"))</f>
      </c>
    </row>
    <row r="208">
      <c r="A208" s="5"/>
      <c r="B208" s="4"/>
      <c r="C208" s="4"/>
      <c r="D208" s="4"/>
      <c r="E208" s="5"/>
      <c r="F208" s="4"/>
      <c r="G208" s="6">
        <f>IF(A208="","",SUBSTITUTE(SUBSTITUTE(SUBSTITUTE(SUBSTITUTE(SUBSTITUTE(SUBSTITUTE(SUBSTITUTE(TRIM(A208),".",""),"/",""),"-","")," ",""),"(",""),")",""),"+",""))</f>
      </c>
      <c r="H208" s="6">
        <f>IF(G208="","",IF(LEN(G208)&lt;&gt;14,"ERRO: "&amp;LEN(G208)&amp;" dígitos",IF(NOT(ISNUMBER(VALUE(G208))),"ERRO: não numérico",IF(AND(VALUE(MID(G208,13,1))=IF(MOD(SUMPRODUCT(--MID(G208,{1,2,3,4,5,6,7,8,9,10,11,12},1),{5,4,3,2,9,8,7,6,5,4,3,2}),11)&lt;2,0,11-MOD(SUMPRODUCT(--MID(G208,{1,2,3,4,5,6,7,8,9,10,11,12},1),{5,4,3,2,9,8,7,6,5,4,3,2}),11)),VALUE(MID(G208,14,1))=IF(MOD(SUMPRODUCT(--MID(G208,{1,2,3,4,5,6,7,8,9,10,11,12,13},1),{6,5,4,3,2,9,8,7,6,5,4,3,2}),11)&lt;2,0,11-MOD(SUMPRODUCT(--MID(G208,{1,2,3,4,5,6,7,8,9,10,11,12,13},1),{6,5,4,3,2,9,8,7,6,5,4,3,2}),11))),"OK","AVISO: dígito verificador (conferir na org)"))))</f>
      </c>
      <c r="I208" s="6">
        <f>IF(G208="","",IF(COUNTIF($G$2:$G$2001,G208)&gt;1,"DUPLICADO","OK"))</f>
      </c>
      <c r="J208" s="6">
        <f>IF(COUNTA(A208:F208)=0,"",IF(AND(A208&lt;&gt;"",E208&lt;&gt;""),"OK","ERRO: faltam "&amp;IF(A208="","CNPJ; ","")&amp;IF(E208="","Novo gerente; ","")))</f>
      </c>
      <c r="K208" s="6">
        <f>IF(COUNTA(A208:F208)=0,"",IF(AND(LEFT(H208,4)&lt;&gt;"ERRO",I208="OK",J208="OK"),"OK","REVISAR"))</f>
      </c>
    </row>
    <row r="209">
      <c r="A209" s="5"/>
      <c r="B209" s="4"/>
      <c r="C209" s="4"/>
      <c r="D209" s="4"/>
      <c r="E209" s="5"/>
      <c r="F209" s="4"/>
      <c r="G209" s="6">
        <f>IF(A209="","",SUBSTITUTE(SUBSTITUTE(SUBSTITUTE(SUBSTITUTE(SUBSTITUTE(SUBSTITUTE(SUBSTITUTE(TRIM(A209),".",""),"/",""),"-","")," ",""),"(",""),")",""),"+",""))</f>
      </c>
      <c r="H209" s="6">
        <f>IF(G209="","",IF(LEN(G209)&lt;&gt;14,"ERRO: "&amp;LEN(G209)&amp;" dígitos",IF(NOT(ISNUMBER(VALUE(G209))),"ERRO: não numérico",IF(AND(VALUE(MID(G209,13,1))=IF(MOD(SUMPRODUCT(--MID(G209,{1,2,3,4,5,6,7,8,9,10,11,12},1),{5,4,3,2,9,8,7,6,5,4,3,2}),11)&lt;2,0,11-MOD(SUMPRODUCT(--MID(G209,{1,2,3,4,5,6,7,8,9,10,11,12},1),{5,4,3,2,9,8,7,6,5,4,3,2}),11)),VALUE(MID(G209,14,1))=IF(MOD(SUMPRODUCT(--MID(G209,{1,2,3,4,5,6,7,8,9,10,11,12,13},1),{6,5,4,3,2,9,8,7,6,5,4,3,2}),11)&lt;2,0,11-MOD(SUMPRODUCT(--MID(G209,{1,2,3,4,5,6,7,8,9,10,11,12,13},1),{6,5,4,3,2,9,8,7,6,5,4,3,2}),11))),"OK","AVISO: dígito verificador (conferir na org)"))))</f>
      </c>
      <c r="I209" s="6">
        <f>IF(G209="","",IF(COUNTIF($G$2:$G$2001,G209)&gt;1,"DUPLICADO","OK"))</f>
      </c>
      <c r="J209" s="6">
        <f>IF(COUNTA(A209:F209)=0,"",IF(AND(A209&lt;&gt;"",E209&lt;&gt;""),"OK","ERRO: faltam "&amp;IF(A209="","CNPJ; ","")&amp;IF(E209="","Novo gerente; ","")))</f>
      </c>
      <c r="K209" s="6">
        <f>IF(COUNTA(A209:F209)=0,"",IF(AND(LEFT(H209,4)&lt;&gt;"ERRO",I209="OK",J209="OK"),"OK","REVISAR"))</f>
      </c>
    </row>
    <row r="210">
      <c r="A210" s="5"/>
      <c r="B210" s="4"/>
      <c r="C210" s="4"/>
      <c r="D210" s="4"/>
      <c r="E210" s="5"/>
      <c r="F210" s="4"/>
      <c r="G210" s="6">
        <f>IF(A210="","",SUBSTITUTE(SUBSTITUTE(SUBSTITUTE(SUBSTITUTE(SUBSTITUTE(SUBSTITUTE(SUBSTITUTE(TRIM(A210),".",""),"/",""),"-","")," ",""),"(",""),")",""),"+",""))</f>
      </c>
      <c r="H210" s="6">
        <f>IF(G210="","",IF(LEN(G210)&lt;&gt;14,"ERRO: "&amp;LEN(G210)&amp;" dígitos",IF(NOT(ISNUMBER(VALUE(G210))),"ERRO: não numérico",IF(AND(VALUE(MID(G210,13,1))=IF(MOD(SUMPRODUCT(--MID(G210,{1,2,3,4,5,6,7,8,9,10,11,12},1),{5,4,3,2,9,8,7,6,5,4,3,2}),11)&lt;2,0,11-MOD(SUMPRODUCT(--MID(G210,{1,2,3,4,5,6,7,8,9,10,11,12},1),{5,4,3,2,9,8,7,6,5,4,3,2}),11)),VALUE(MID(G210,14,1))=IF(MOD(SUMPRODUCT(--MID(G210,{1,2,3,4,5,6,7,8,9,10,11,12,13},1),{6,5,4,3,2,9,8,7,6,5,4,3,2}),11)&lt;2,0,11-MOD(SUMPRODUCT(--MID(G210,{1,2,3,4,5,6,7,8,9,10,11,12,13},1),{6,5,4,3,2,9,8,7,6,5,4,3,2}),11))),"OK","AVISO: dígito verificador (conferir na org)"))))</f>
      </c>
      <c r="I210" s="6">
        <f>IF(G210="","",IF(COUNTIF($G$2:$G$2001,G210)&gt;1,"DUPLICADO","OK"))</f>
      </c>
      <c r="J210" s="6">
        <f>IF(COUNTA(A210:F210)=0,"",IF(AND(A210&lt;&gt;"",E210&lt;&gt;""),"OK","ERRO: faltam "&amp;IF(A210="","CNPJ; ","")&amp;IF(E210="","Novo gerente; ","")))</f>
      </c>
      <c r="K210" s="6">
        <f>IF(COUNTA(A210:F210)=0,"",IF(AND(LEFT(H210,4)&lt;&gt;"ERRO",I210="OK",J210="OK"),"OK","REVISAR"))</f>
      </c>
    </row>
    <row r="211">
      <c r="A211" s="5"/>
      <c r="B211" s="4"/>
      <c r="C211" s="4"/>
      <c r="D211" s="4"/>
      <c r="E211" s="5"/>
      <c r="F211" s="4"/>
      <c r="G211" s="6">
        <f>IF(A211="","",SUBSTITUTE(SUBSTITUTE(SUBSTITUTE(SUBSTITUTE(SUBSTITUTE(SUBSTITUTE(SUBSTITUTE(TRIM(A211),".",""),"/",""),"-","")," ",""),"(",""),")",""),"+",""))</f>
      </c>
      <c r="H211" s="6">
        <f>IF(G211="","",IF(LEN(G211)&lt;&gt;14,"ERRO: "&amp;LEN(G211)&amp;" dígitos",IF(NOT(ISNUMBER(VALUE(G211))),"ERRO: não numérico",IF(AND(VALUE(MID(G211,13,1))=IF(MOD(SUMPRODUCT(--MID(G211,{1,2,3,4,5,6,7,8,9,10,11,12},1),{5,4,3,2,9,8,7,6,5,4,3,2}),11)&lt;2,0,11-MOD(SUMPRODUCT(--MID(G211,{1,2,3,4,5,6,7,8,9,10,11,12},1),{5,4,3,2,9,8,7,6,5,4,3,2}),11)),VALUE(MID(G211,14,1))=IF(MOD(SUMPRODUCT(--MID(G211,{1,2,3,4,5,6,7,8,9,10,11,12,13},1),{6,5,4,3,2,9,8,7,6,5,4,3,2}),11)&lt;2,0,11-MOD(SUMPRODUCT(--MID(G211,{1,2,3,4,5,6,7,8,9,10,11,12,13},1),{6,5,4,3,2,9,8,7,6,5,4,3,2}),11))),"OK","AVISO: dígito verificador (conferir na org)"))))</f>
      </c>
      <c r="I211" s="6">
        <f>IF(G211="","",IF(COUNTIF($G$2:$G$2001,G211)&gt;1,"DUPLICADO","OK"))</f>
      </c>
      <c r="J211" s="6">
        <f>IF(COUNTA(A211:F211)=0,"",IF(AND(A211&lt;&gt;"",E211&lt;&gt;""),"OK","ERRO: faltam "&amp;IF(A211="","CNPJ; ","")&amp;IF(E211="","Novo gerente; ","")))</f>
      </c>
      <c r="K211" s="6">
        <f>IF(COUNTA(A211:F211)=0,"",IF(AND(LEFT(H211,4)&lt;&gt;"ERRO",I211="OK",J211="OK"),"OK","REVISAR"))</f>
      </c>
    </row>
    <row r="212">
      <c r="A212" s="5"/>
      <c r="B212" s="4"/>
      <c r="C212" s="4"/>
      <c r="D212" s="4"/>
      <c r="E212" s="5"/>
      <c r="F212" s="4"/>
      <c r="G212" s="6">
        <f>IF(A212="","",SUBSTITUTE(SUBSTITUTE(SUBSTITUTE(SUBSTITUTE(SUBSTITUTE(SUBSTITUTE(SUBSTITUTE(TRIM(A212),".",""),"/",""),"-","")," ",""),"(",""),")",""),"+",""))</f>
      </c>
      <c r="H212" s="6">
        <f>IF(G212="","",IF(LEN(G212)&lt;&gt;14,"ERRO: "&amp;LEN(G212)&amp;" dígitos",IF(NOT(ISNUMBER(VALUE(G212))),"ERRO: não numérico",IF(AND(VALUE(MID(G212,13,1))=IF(MOD(SUMPRODUCT(--MID(G212,{1,2,3,4,5,6,7,8,9,10,11,12},1),{5,4,3,2,9,8,7,6,5,4,3,2}),11)&lt;2,0,11-MOD(SUMPRODUCT(--MID(G212,{1,2,3,4,5,6,7,8,9,10,11,12},1),{5,4,3,2,9,8,7,6,5,4,3,2}),11)),VALUE(MID(G212,14,1))=IF(MOD(SUMPRODUCT(--MID(G212,{1,2,3,4,5,6,7,8,9,10,11,12,13},1),{6,5,4,3,2,9,8,7,6,5,4,3,2}),11)&lt;2,0,11-MOD(SUMPRODUCT(--MID(G212,{1,2,3,4,5,6,7,8,9,10,11,12,13},1),{6,5,4,3,2,9,8,7,6,5,4,3,2}),11))),"OK","AVISO: dígito verificador (conferir na org)"))))</f>
      </c>
      <c r="I212" s="6">
        <f>IF(G212="","",IF(COUNTIF($G$2:$G$2001,G212)&gt;1,"DUPLICADO","OK"))</f>
      </c>
      <c r="J212" s="6">
        <f>IF(COUNTA(A212:F212)=0,"",IF(AND(A212&lt;&gt;"",E212&lt;&gt;""),"OK","ERRO: faltam "&amp;IF(A212="","CNPJ; ","")&amp;IF(E212="","Novo gerente; ","")))</f>
      </c>
      <c r="K212" s="6">
        <f>IF(COUNTA(A212:F212)=0,"",IF(AND(LEFT(H212,4)&lt;&gt;"ERRO",I212="OK",J212="OK"),"OK","REVISAR"))</f>
      </c>
    </row>
    <row r="213">
      <c r="A213" s="5"/>
      <c r="B213" s="4"/>
      <c r="C213" s="4"/>
      <c r="D213" s="4"/>
      <c r="E213" s="5"/>
      <c r="F213" s="4"/>
      <c r="G213" s="6">
        <f>IF(A213="","",SUBSTITUTE(SUBSTITUTE(SUBSTITUTE(SUBSTITUTE(SUBSTITUTE(SUBSTITUTE(SUBSTITUTE(TRIM(A213),".",""),"/",""),"-","")," ",""),"(",""),")",""),"+",""))</f>
      </c>
      <c r="H213" s="6">
        <f>IF(G213="","",IF(LEN(G213)&lt;&gt;14,"ERRO: "&amp;LEN(G213)&amp;" dígitos",IF(NOT(ISNUMBER(VALUE(G213))),"ERRO: não numérico",IF(AND(VALUE(MID(G213,13,1))=IF(MOD(SUMPRODUCT(--MID(G213,{1,2,3,4,5,6,7,8,9,10,11,12},1),{5,4,3,2,9,8,7,6,5,4,3,2}),11)&lt;2,0,11-MOD(SUMPRODUCT(--MID(G213,{1,2,3,4,5,6,7,8,9,10,11,12},1),{5,4,3,2,9,8,7,6,5,4,3,2}),11)),VALUE(MID(G213,14,1))=IF(MOD(SUMPRODUCT(--MID(G213,{1,2,3,4,5,6,7,8,9,10,11,12,13},1),{6,5,4,3,2,9,8,7,6,5,4,3,2}),11)&lt;2,0,11-MOD(SUMPRODUCT(--MID(G213,{1,2,3,4,5,6,7,8,9,10,11,12,13},1),{6,5,4,3,2,9,8,7,6,5,4,3,2}),11))),"OK","AVISO: dígito verificador (conferir na org)"))))</f>
      </c>
      <c r="I213" s="6">
        <f>IF(G213="","",IF(COUNTIF($G$2:$G$2001,G213)&gt;1,"DUPLICADO","OK"))</f>
      </c>
      <c r="J213" s="6">
        <f>IF(COUNTA(A213:F213)=0,"",IF(AND(A213&lt;&gt;"",E213&lt;&gt;""),"OK","ERRO: faltam "&amp;IF(A213="","CNPJ; ","")&amp;IF(E213="","Novo gerente; ","")))</f>
      </c>
      <c r="K213" s="6">
        <f>IF(COUNTA(A213:F213)=0,"",IF(AND(LEFT(H213,4)&lt;&gt;"ERRO",I213="OK",J213="OK"),"OK","REVISAR"))</f>
      </c>
    </row>
    <row r="214">
      <c r="A214" s="5"/>
      <c r="B214" s="4"/>
      <c r="C214" s="4"/>
      <c r="D214" s="4"/>
      <c r="E214" s="5"/>
      <c r="F214" s="4"/>
      <c r="G214" s="6">
        <f>IF(A214="","",SUBSTITUTE(SUBSTITUTE(SUBSTITUTE(SUBSTITUTE(SUBSTITUTE(SUBSTITUTE(SUBSTITUTE(TRIM(A214),".",""),"/",""),"-","")," ",""),"(",""),")",""),"+",""))</f>
      </c>
      <c r="H214" s="6">
        <f>IF(G214="","",IF(LEN(G214)&lt;&gt;14,"ERRO: "&amp;LEN(G214)&amp;" dígitos",IF(NOT(ISNUMBER(VALUE(G214))),"ERRO: não numérico",IF(AND(VALUE(MID(G214,13,1))=IF(MOD(SUMPRODUCT(--MID(G214,{1,2,3,4,5,6,7,8,9,10,11,12},1),{5,4,3,2,9,8,7,6,5,4,3,2}),11)&lt;2,0,11-MOD(SUMPRODUCT(--MID(G214,{1,2,3,4,5,6,7,8,9,10,11,12},1),{5,4,3,2,9,8,7,6,5,4,3,2}),11)),VALUE(MID(G214,14,1))=IF(MOD(SUMPRODUCT(--MID(G214,{1,2,3,4,5,6,7,8,9,10,11,12,13},1),{6,5,4,3,2,9,8,7,6,5,4,3,2}),11)&lt;2,0,11-MOD(SUMPRODUCT(--MID(G214,{1,2,3,4,5,6,7,8,9,10,11,12,13},1),{6,5,4,3,2,9,8,7,6,5,4,3,2}),11))),"OK","AVISO: dígito verificador (conferir na org)"))))</f>
      </c>
      <c r="I214" s="6">
        <f>IF(G214="","",IF(COUNTIF($G$2:$G$2001,G214)&gt;1,"DUPLICADO","OK"))</f>
      </c>
      <c r="J214" s="6">
        <f>IF(COUNTA(A214:F214)=0,"",IF(AND(A214&lt;&gt;"",E214&lt;&gt;""),"OK","ERRO: faltam "&amp;IF(A214="","CNPJ; ","")&amp;IF(E214="","Novo gerente; ","")))</f>
      </c>
      <c r="K214" s="6">
        <f>IF(COUNTA(A214:F214)=0,"",IF(AND(LEFT(H214,4)&lt;&gt;"ERRO",I214="OK",J214="OK"),"OK","REVISAR"))</f>
      </c>
    </row>
    <row r="215">
      <c r="A215" s="5"/>
      <c r="B215" s="4"/>
      <c r="C215" s="4"/>
      <c r="D215" s="4"/>
      <c r="E215" s="5"/>
      <c r="F215" s="4"/>
      <c r="G215" s="6">
        <f>IF(A215="","",SUBSTITUTE(SUBSTITUTE(SUBSTITUTE(SUBSTITUTE(SUBSTITUTE(SUBSTITUTE(SUBSTITUTE(TRIM(A215),".",""),"/",""),"-","")," ",""),"(",""),")",""),"+",""))</f>
      </c>
      <c r="H215" s="6">
        <f>IF(G215="","",IF(LEN(G215)&lt;&gt;14,"ERRO: "&amp;LEN(G215)&amp;" dígitos",IF(NOT(ISNUMBER(VALUE(G215))),"ERRO: não numérico",IF(AND(VALUE(MID(G215,13,1))=IF(MOD(SUMPRODUCT(--MID(G215,{1,2,3,4,5,6,7,8,9,10,11,12},1),{5,4,3,2,9,8,7,6,5,4,3,2}),11)&lt;2,0,11-MOD(SUMPRODUCT(--MID(G215,{1,2,3,4,5,6,7,8,9,10,11,12},1),{5,4,3,2,9,8,7,6,5,4,3,2}),11)),VALUE(MID(G215,14,1))=IF(MOD(SUMPRODUCT(--MID(G215,{1,2,3,4,5,6,7,8,9,10,11,12,13},1),{6,5,4,3,2,9,8,7,6,5,4,3,2}),11)&lt;2,0,11-MOD(SUMPRODUCT(--MID(G215,{1,2,3,4,5,6,7,8,9,10,11,12,13},1),{6,5,4,3,2,9,8,7,6,5,4,3,2}),11))),"OK","AVISO: dígito verificador (conferir na org)"))))</f>
      </c>
      <c r="I215" s="6">
        <f>IF(G215="","",IF(COUNTIF($G$2:$G$2001,G215)&gt;1,"DUPLICADO","OK"))</f>
      </c>
      <c r="J215" s="6">
        <f>IF(COUNTA(A215:F215)=0,"",IF(AND(A215&lt;&gt;"",E215&lt;&gt;""),"OK","ERRO: faltam "&amp;IF(A215="","CNPJ; ","")&amp;IF(E215="","Novo gerente; ","")))</f>
      </c>
      <c r="K215" s="6">
        <f>IF(COUNTA(A215:F215)=0,"",IF(AND(LEFT(H215,4)&lt;&gt;"ERRO",I215="OK",J215="OK"),"OK","REVISAR"))</f>
      </c>
    </row>
    <row r="216">
      <c r="A216" s="5"/>
      <c r="B216" s="4"/>
      <c r="C216" s="4"/>
      <c r="D216" s="4"/>
      <c r="E216" s="5"/>
      <c r="F216" s="4"/>
      <c r="G216" s="6">
        <f>IF(A216="","",SUBSTITUTE(SUBSTITUTE(SUBSTITUTE(SUBSTITUTE(SUBSTITUTE(SUBSTITUTE(SUBSTITUTE(TRIM(A216),".",""),"/",""),"-","")," ",""),"(",""),")",""),"+",""))</f>
      </c>
      <c r="H216" s="6">
        <f>IF(G216="","",IF(LEN(G216)&lt;&gt;14,"ERRO: "&amp;LEN(G216)&amp;" dígitos",IF(NOT(ISNUMBER(VALUE(G216))),"ERRO: não numérico",IF(AND(VALUE(MID(G216,13,1))=IF(MOD(SUMPRODUCT(--MID(G216,{1,2,3,4,5,6,7,8,9,10,11,12},1),{5,4,3,2,9,8,7,6,5,4,3,2}),11)&lt;2,0,11-MOD(SUMPRODUCT(--MID(G216,{1,2,3,4,5,6,7,8,9,10,11,12},1),{5,4,3,2,9,8,7,6,5,4,3,2}),11)),VALUE(MID(G216,14,1))=IF(MOD(SUMPRODUCT(--MID(G216,{1,2,3,4,5,6,7,8,9,10,11,12,13},1),{6,5,4,3,2,9,8,7,6,5,4,3,2}),11)&lt;2,0,11-MOD(SUMPRODUCT(--MID(G216,{1,2,3,4,5,6,7,8,9,10,11,12,13},1),{6,5,4,3,2,9,8,7,6,5,4,3,2}),11))),"OK","AVISO: dígito verificador (conferir na org)"))))</f>
      </c>
      <c r="I216" s="6">
        <f>IF(G216="","",IF(COUNTIF($G$2:$G$2001,G216)&gt;1,"DUPLICADO","OK"))</f>
      </c>
      <c r="J216" s="6">
        <f>IF(COUNTA(A216:F216)=0,"",IF(AND(A216&lt;&gt;"",E216&lt;&gt;""),"OK","ERRO: faltam "&amp;IF(A216="","CNPJ; ","")&amp;IF(E216="","Novo gerente; ","")))</f>
      </c>
      <c r="K216" s="6">
        <f>IF(COUNTA(A216:F216)=0,"",IF(AND(LEFT(H216,4)&lt;&gt;"ERRO",I216="OK",J216="OK"),"OK","REVISAR"))</f>
      </c>
    </row>
    <row r="217">
      <c r="A217" s="5"/>
      <c r="B217" s="4"/>
      <c r="C217" s="4"/>
      <c r="D217" s="4"/>
      <c r="E217" s="5"/>
      <c r="F217" s="4"/>
      <c r="G217" s="6">
        <f>IF(A217="","",SUBSTITUTE(SUBSTITUTE(SUBSTITUTE(SUBSTITUTE(SUBSTITUTE(SUBSTITUTE(SUBSTITUTE(TRIM(A217),".",""),"/",""),"-","")," ",""),"(",""),")",""),"+",""))</f>
      </c>
      <c r="H217" s="6">
        <f>IF(G217="","",IF(LEN(G217)&lt;&gt;14,"ERRO: "&amp;LEN(G217)&amp;" dígitos",IF(NOT(ISNUMBER(VALUE(G217))),"ERRO: não numérico",IF(AND(VALUE(MID(G217,13,1))=IF(MOD(SUMPRODUCT(--MID(G217,{1,2,3,4,5,6,7,8,9,10,11,12},1),{5,4,3,2,9,8,7,6,5,4,3,2}),11)&lt;2,0,11-MOD(SUMPRODUCT(--MID(G217,{1,2,3,4,5,6,7,8,9,10,11,12},1),{5,4,3,2,9,8,7,6,5,4,3,2}),11)),VALUE(MID(G217,14,1))=IF(MOD(SUMPRODUCT(--MID(G217,{1,2,3,4,5,6,7,8,9,10,11,12,13},1),{6,5,4,3,2,9,8,7,6,5,4,3,2}),11)&lt;2,0,11-MOD(SUMPRODUCT(--MID(G217,{1,2,3,4,5,6,7,8,9,10,11,12,13},1),{6,5,4,3,2,9,8,7,6,5,4,3,2}),11))),"OK","AVISO: dígito verificador (conferir na org)"))))</f>
      </c>
      <c r="I217" s="6">
        <f>IF(G217="","",IF(COUNTIF($G$2:$G$2001,G217)&gt;1,"DUPLICADO","OK"))</f>
      </c>
      <c r="J217" s="6">
        <f>IF(COUNTA(A217:F217)=0,"",IF(AND(A217&lt;&gt;"",E217&lt;&gt;""),"OK","ERRO: faltam "&amp;IF(A217="","CNPJ; ","")&amp;IF(E217="","Novo gerente; ","")))</f>
      </c>
      <c r="K217" s="6">
        <f>IF(COUNTA(A217:F217)=0,"",IF(AND(LEFT(H217,4)&lt;&gt;"ERRO",I217="OK",J217="OK"),"OK","REVISAR"))</f>
      </c>
    </row>
    <row r="218">
      <c r="A218" s="5"/>
      <c r="B218" s="4"/>
      <c r="C218" s="4"/>
      <c r="D218" s="4"/>
      <c r="E218" s="5"/>
      <c r="F218" s="4"/>
      <c r="G218" s="6">
        <f>IF(A218="","",SUBSTITUTE(SUBSTITUTE(SUBSTITUTE(SUBSTITUTE(SUBSTITUTE(SUBSTITUTE(SUBSTITUTE(TRIM(A218),".",""),"/",""),"-","")," ",""),"(",""),")",""),"+",""))</f>
      </c>
      <c r="H218" s="6">
        <f>IF(G218="","",IF(LEN(G218)&lt;&gt;14,"ERRO: "&amp;LEN(G218)&amp;" dígitos",IF(NOT(ISNUMBER(VALUE(G218))),"ERRO: não numérico",IF(AND(VALUE(MID(G218,13,1))=IF(MOD(SUMPRODUCT(--MID(G218,{1,2,3,4,5,6,7,8,9,10,11,12},1),{5,4,3,2,9,8,7,6,5,4,3,2}),11)&lt;2,0,11-MOD(SUMPRODUCT(--MID(G218,{1,2,3,4,5,6,7,8,9,10,11,12},1),{5,4,3,2,9,8,7,6,5,4,3,2}),11)),VALUE(MID(G218,14,1))=IF(MOD(SUMPRODUCT(--MID(G218,{1,2,3,4,5,6,7,8,9,10,11,12,13},1),{6,5,4,3,2,9,8,7,6,5,4,3,2}),11)&lt;2,0,11-MOD(SUMPRODUCT(--MID(G218,{1,2,3,4,5,6,7,8,9,10,11,12,13},1),{6,5,4,3,2,9,8,7,6,5,4,3,2}),11))),"OK","AVISO: dígito verificador (conferir na org)"))))</f>
      </c>
      <c r="I218" s="6">
        <f>IF(G218="","",IF(COUNTIF($G$2:$G$2001,G218)&gt;1,"DUPLICADO","OK"))</f>
      </c>
      <c r="J218" s="6">
        <f>IF(COUNTA(A218:F218)=0,"",IF(AND(A218&lt;&gt;"",E218&lt;&gt;""),"OK","ERRO: faltam "&amp;IF(A218="","CNPJ; ","")&amp;IF(E218="","Novo gerente; ","")))</f>
      </c>
      <c r="K218" s="6">
        <f>IF(COUNTA(A218:F218)=0,"",IF(AND(LEFT(H218,4)&lt;&gt;"ERRO",I218="OK",J218="OK"),"OK","REVISAR"))</f>
      </c>
    </row>
    <row r="219">
      <c r="A219" s="5"/>
      <c r="B219" s="4"/>
      <c r="C219" s="4"/>
      <c r="D219" s="4"/>
      <c r="E219" s="5"/>
      <c r="F219" s="4"/>
      <c r="G219" s="6">
        <f>IF(A219="","",SUBSTITUTE(SUBSTITUTE(SUBSTITUTE(SUBSTITUTE(SUBSTITUTE(SUBSTITUTE(SUBSTITUTE(TRIM(A219),".",""),"/",""),"-","")," ",""),"(",""),")",""),"+",""))</f>
      </c>
      <c r="H219" s="6">
        <f>IF(G219="","",IF(LEN(G219)&lt;&gt;14,"ERRO: "&amp;LEN(G219)&amp;" dígitos",IF(NOT(ISNUMBER(VALUE(G219))),"ERRO: não numérico",IF(AND(VALUE(MID(G219,13,1))=IF(MOD(SUMPRODUCT(--MID(G219,{1,2,3,4,5,6,7,8,9,10,11,12},1),{5,4,3,2,9,8,7,6,5,4,3,2}),11)&lt;2,0,11-MOD(SUMPRODUCT(--MID(G219,{1,2,3,4,5,6,7,8,9,10,11,12},1),{5,4,3,2,9,8,7,6,5,4,3,2}),11)),VALUE(MID(G219,14,1))=IF(MOD(SUMPRODUCT(--MID(G219,{1,2,3,4,5,6,7,8,9,10,11,12,13},1),{6,5,4,3,2,9,8,7,6,5,4,3,2}),11)&lt;2,0,11-MOD(SUMPRODUCT(--MID(G219,{1,2,3,4,5,6,7,8,9,10,11,12,13},1),{6,5,4,3,2,9,8,7,6,5,4,3,2}),11))),"OK","AVISO: dígito verificador (conferir na org)"))))</f>
      </c>
      <c r="I219" s="6">
        <f>IF(G219="","",IF(COUNTIF($G$2:$G$2001,G219)&gt;1,"DUPLICADO","OK"))</f>
      </c>
      <c r="J219" s="6">
        <f>IF(COUNTA(A219:F219)=0,"",IF(AND(A219&lt;&gt;"",E219&lt;&gt;""),"OK","ERRO: faltam "&amp;IF(A219="","CNPJ; ","")&amp;IF(E219="","Novo gerente; ","")))</f>
      </c>
      <c r="K219" s="6">
        <f>IF(COUNTA(A219:F219)=0,"",IF(AND(LEFT(H219,4)&lt;&gt;"ERRO",I219="OK",J219="OK"),"OK","REVISAR"))</f>
      </c>
    </row>
    <row r="220">
      <c r="A220" s="5"/>
      <c r="B220" s="4"/>
      <c r="C220" s="4"/>
      <c r="D220" s="4"/>
      <c r="E220" s="5"/>
      <c r="F220" s="4"/>
      <c r="G220" s="6">
        <f>IF(A220="","",SUBSTITUTE(SUBSTITUTE(SUBSTITUTE(SUBSTITUTE(SUBSTITUTE(SUBSTITUTE(SUBSTITUTE(TRIM(A220),".",""),"/",""),"-","")," ",""),"(",""),")",""),"+",""))</f>
      </c>
      <c r="H220" s="6">
        <f>IF(G220="","",IF(LEN(G220)&lt;&gt;14,"ERRO: "&amp;LEN(G220)&amp;" dígitos",IF(NOT(ISNUMBER(VALUE(G220))),"ERRO: não numérico",IF(AND(VALUE(MID(G220,13,1))=IF(MOD(SUMPRODUCT(--MID(G220,{1,2,3,4,5,6,7,8,9,10,11,12},1),{5,4,3,2,9,8,7,6,5,4,3,2}),11)&lt;2,0,11-MOD(SUMPRODUCT(--MID(G220,{1,2,3,4,5,6,7,8,9,10,11,12},1),{5,4,3,2,9,8,7,6,5,4,3,2}),11)),VALUE(MID(G220,14,1))=IF(MOD(SUMPRODUCT(--MID(G220,{1,2,3,4,5,6,7,8,9,10,11,12,13},1),{6,5,4,3,2,9,8,7,6,5,4,3,2}),11)&lt;2,0,11-MOD(SUMPRODUCT(--MID(G220,{1,2,3,4,5,6,7,8,9,10,11,12,13},1),{6,5,4,3,2,9,8,7,6,5,4,3,2}),11))),"OK","AVISO: dígito verificador (conferir na org)"))))</f>
      </c>
      <c r="I220" s="6">
        <f>IF(G220="","",IF(COUNTIF($G$2:$G$2001,G220)&gt;1,"DUPLICADO","OK"))</f>
      </c>
      <c r="J220" s="6">
        <f>IF(COUNTA(A220:F220)=0,"",IF(AND(A220&lt;&gt;"",E220&lt;&gt;""),"OK","ERRO: faltam "&amp;IF(A220="","CNPJ; ","")&amp;IF(E220="","Novo gerente; ","")))</f>
      </c>
      <c r="K220" s="6">
        <f>IF(COUNTA(A220:F220)=0,"",IF(AND(LEFT(H220,4)&lt;&gt;"ERRO",I220="OK",J220="OK"),"OK","REVISAR"))</f>
      </c>
    </row>
    <row r="221">
      <c r="A221" s="5"/>
      <c r="B221" s="4"/>
      <c r="C221" s="4"/>
      <c r="D221" s="4"/>
      <c r="E221" s="5"/>
      <c r="F221" s="4"/>
      <c r="G221" s="6">
        <f>IF(A221="","",SUBSTITUTE(SUBSTITUTE(SUBSTITUTE(SUBSTITUTE(SUBSTITUTE(SUBSTITUTE(SUBSTITUTE(TRIM(A221),".",""),"/",""),"-","")," ",""),"(",""),")",""),"+",""))</f>
      </c>
      <c r="H221" s="6">
        <f>IF(G221="","",IF(LEN(G221)&lt;&gt;14,"ERRO: "&amp;LEN(G221)&amp;" dígitos",IF(NOT(ISNUMBER(VALUE(G221))),"ERRO: não numérico",IF(AND(VALUE(MID(G221,13,1))=IF(MOD(SUMPRODUCT(--MID(G221,{1,2,3,4,5,6,7,8,9,10,11,12},1),{5,4,3,2,9,8,7,6,5,4,3,2}),11)&lt;2,0,11-MOD(SUMPRODUCT(--MID(G221,{1,2,3,4,5,6,7,8,9,10,11,12},1),{5,4,3,2,9,8,7,6,5,4,3,2}),11)),VALUE(MID(G221,14,1))=IF(MOD(SUMPRODUCT(--MID(G221,{1,2,3,4,5,6,7,8,9,10,11,12,13},1),{6,5,4,3,2,9,8,7,6,5,4,3,2}),11)&lt;2,0,11-MOD(SUMPRODUCT(--MID(G221,{1,2,3,4,5,6,7,8,9,10,11,12,13},1),{6,5,4,3,2,9,8,7,6,5,4,3,2}),11))),"OK","AVISO: dígito verificador (conferir na org)"))))</f>
      </c>
      <c r="I221" s="6">
        <f>IF(G221="","",IF(COUNTIF($G$2:$G$2001,G221)&gt;1,"DUPLICADO","OK"))</f>
      </c>
      <c r="J221" s="6">
        <f>IF(COUNTA(A221:F221)=0,"",IF(AND(A221&lt;&gt;"",E221&lt;&gt;""),"OK","ERRO: faltam "&amp;IF(A221="","CNPJ; ","")&amp;IF(E221="","Novo gerente; ","")))</f>
      </c>
      <c r="K221" s="6">
        <f>IF(COUNTA(A221:F221)=0,"",IF(AND(LEFT(H221,4)&lt;&gt;"ERRO",I221="OK",J221="OK"),"OK","REVISAR"))</f>
      </c>
    </row>
    <row r="222">
      <c r="A222" s="5"/>
      <c r="B222" s="4"/>
      <c r="C222" s="4"/>
      <c r="D222" s="4"/>
      <c r="E222" s="5"/>
      <c r="F222" s="4"/>
      <c r="G222" s="6">
        <f>IF(A222="","",SUBSTITUTE(SUBSTITUTE(SUBSTITUTE(SUBSTITUTE(SUBSTITUTE(SUBSTITUTE(SUBSTITUTE(TRIM(A222),".",""),"/",""),"-","")," ",""),"(",""),")",""),"+",""))</f>
      </c>
      <c r="H222" s="6">
        <f>IF(G222="","",IF(LEN(G222)&lt;&gt;14,"ERRO: "&amp;LEN(G222)&amp;" dígitos",IF(NOT(ISNUMBER(VALUE(G222))),"ERRO: não numérico",IF(AND(VALUE(MID(G222,13,1))=IF(MOD(SUMPRODUCT(--MID(G222,{1,2,3,4,5,6,7,8,9,10,11,12},1),{5,4,3,2,9,8,7,6,5,4,3,2}),11)&lt;2,0,11-MOD(SUMPRODUCT(--MID(G222,{1,2,3,4,5,6,7,8,9,10,11,12},1),{5,4,3,2,9,8,7,6,5,4,3,2}),11)),VALUE(MID(G222,14,1))=IF(MOD(SUMPRODUCT(--MID(G222,{1,2,3,4,5,6,7,8,9,10,11,12,13},1),{6,5,4,3,2,9,8,7,6,5,4,3,2}),11)&lt;2,0,11-MOD(SUMPRODUCT(--MID(G222,{1,2,3,4,5,6,7,8,9,10,11,12,13},1),{6,5,4,3,2,9,8,7,6,5,4,3,2}),11))),"OK","AVISO: dígito verificador (conferir na org)"))))</f>
      </c>
      <c r="I222" s="6">
        <f>IF(G222="","",IF(COUNTIF($G$2:$G$2001,G222)&gt;1,"DUPLICADO","OK"))</f>
      </c>
      <c r="J222" s="6">
        <f>IF(COUNTA(A222:F222)=0,"",IF(AND(A222&lt;&gt;"",E222&lt;&gt;""),"OK","ERRO: faltam "&amp;IF(A222="","CNPJ; ","")&amp;IF(E222="","Novo gerente; ","")))</f>
      </c>
      <c r="K222" s="6">
        <f>IF(COUNTA(A222:F222)=0,"",IF(AND(LEFT(H222,4)&lt;&gt;"ERRO",I222="OK",J222="OK"),"OK","REVISAR"))</f>
      </c>
    </row>
    <row r="223">
      <c r="A223" s="5"/>
      <c r="B223" s="4"/>
      <c r="C223" s="4"/>
      <c r="D223" s="4"/>
      <c r="E223" s="5"/>
      <c r="F223" s="4"/>
      <c r="G223" s="6">
        <f>IF(A223="","",SUBSTITUTE(SUBSTITUTE(SUBSTITUTE(SUBSTITUTE(SUBSTITUTE(SUBSTITUTE(SUBSTITUTE(TRIM(A223),".",""),"/",""),"-","")," ",""),"(",""),")",""),"+",""))</f>
      </c>
      <c r="H223" s="6">
        <f>IF(G223="","",IF(LEN(G223)&lt;&gt;14,"ERRO: "&amp;LEN(G223)&amp;" dígitos",IF(NOT(ISNUMBER(VALUE(G223))),"ERRO: não numérico",IF(AND(VALUE(MID(G223,13,1))=IF(MOD(SUMPRODUCT(--MID(G223,{1,2,3,4,5,6,7,8,9,10,11,12},1),{5,4,3,2,9,8,7,6,5,4,3,2}),11)&lt;2,0,11-MOD(SUMPRODUCT(--MID(G223,{1,2,3,4,5,6,7,8,9,10,11,12},1),{5,4,3,2,9,8,7,6,5,4,3,2}),11)),VALUE(MID(G223,14,1))=IF(MOD(SUMPRODUCT(--MID(G223,{1,2,3,4,5,6,7,8,9,10,11,12,13},1),{6,5,4,3,2,9,8,7,6,5,4,3,2}),11)&lt;2,0,11-MOD(SUMPRODUCT(--MID(G223,{1,2,3,4,5,6,7,8,9,10,11,12,13},1),{6,5,4,3,2,9,8,7,6,5,4,3,2}),11))),"OK","AVISO: dígito verificador (conferir na org)"))))</f>
      </c>
      <c r="I223" s="6">
        <f>IF(G223="","",IF(COUNTIF($G$2:$G$2001,G223)&gt;1,"DUPLICADO","OK"))</f>
      </c>
      <c r="J223" s="6">
        <f>IF(COUNTA(A223:F223)=0,"",IF(AND(A223&lt;&gt;"",E223&lt;&gt;""),"OK","ERRO: faltam "&amp;IF(A223="","CNPJ; ","")&amp;IF(E223="","Novo gerente; ","")))</f>
      </c>
      <c r="K223" s="6">
        <f>IF(COUNTA(A223:F223)=0,"",IF(AND(LEFT(H223,4)&lt;&gt;"ERRO",I223="OK",J223="OK"),"OK","REVISAR"))</f>
      </c>
    </row>
    <row r="224">
      <c r="A224" s="5"/>
      <c r="B224" s="4"/>
      <c r="C224" s="4"/>
      <c r="D224" s="4"/>
      <c r="E224" s="5"/>
      <c r="F224" s="4"/>
      <c r="G224" s="6">
        <f>IF(A224="","",SUBSTITUTE(SUBSTITUTE(SUBSTITUTE(SUBSTITUTE(SUBSTITUTE(SUBSTITUTE(SUBSTITUTE(TRIM(A224),".",""),"/",""),"-","")," ",""),"(",""),")",""),"+",""))</f>
      </c>
      <c r="H224" s="6">
        <f>IF(G224="","",IF(LEN(G224)&lt;&gt;14,"ERRO: "&amp;LEN(G224)&amp;" dígitos",IF(NOT(ISNUMBER(VALUE(G224))),"ERRO: não numérico",IF(AND(VALUE(MID(G224,13,1))=IF(MOD(SUMPRODUCT(--MID(G224,{1,2,3,4,5,6,7,8,9,10,11,12},1),{5,4,3,2,9,8,7,6,5,4,3,2}),11)&lt;2,0,11-MOD(SUMPRODUCT(--MID(G224,{1,2,3,4,5,6,7,8,9,10,11,12},1),{5,4,3,2,9,8,7,6,5,4,3,2}),11)),VALUE(MID(G224,14,1))=IF(MOD(SUMPRODUCT(--MID(G224,{1,2,3,4,5,6,7,8,9,10,11,12,13},1),{6,5,4,3,2,9,8,7,6,5,4,3,2}),11)&lt;2,0,11-MOD(SUMPRODUCT(--MID(G224,{1,2,3,4,5,6,7,8,9,10,11,12,13},1),{6,5,4,3,2,9,8,7,6,5,4,3,2}),11))),"OK","AVISO: dígito verificador (conferir na org)"))))</f>
      </c>
      <c r="I224" s="6">
        <f>IF(G224="","",IF(COUNTIF($G$2:$G$2001,G224)&gt;1,"DUPLICADO","OK"))</f>
      </c>
      <c r="J224" s="6">
        <f>IF(COUNTA(A224:F224)=0,"",IF(AND(A224&lt;&gt;"",E224&lt;&gt;""),"OK","ERRO: faltam "&amp;IF(A224="","CNPJ; ","")&amp;IF(E224="","Novo gerente; ","")))</f>
      </c>
      <c r="K224" s="6">
        <f>IF(COUNTA(A224:F224)=0,"",IF(AND(LEFT(H224,4)&lt;&gt;"ERRO",I224="OK",J224="OK"),"OK","REVISAR"))</f>
      </c>
    </row>
    <row r="225">
      <c r="A225" s="5"/>
      <c r="B225" s="4"/>
      <c r="C225" s="4"/>
      <c r="D225" s="4"/>
      <c r="E225" s="5"/>
      <c r="F225" s="4"/>
      <c r="G225" s="6">
        <f>IF(A225="","",SUBSTITUTE(SUBSTITUTE(SUBSTITUTE(SUBSTITUTE(SUBSTITUTE(SUBSTITUTE(SUBSTITUTE(TRIM(A225),".",""),"/",""),"-","")," ",""),"(",""),")",""),"+",""))</f>
      </c>
      <c r="H225" s="6">
        <f>IF(G225="","",IF(LEN(G225)&lt;&gt;14,"ERRO: "&amp;LEN(G225)&amp;" dígitos",IF(NOT(ISNUMBER(VALUE(G225))),"ERRO: não numérico",IF(AND(VALUE(MID(G225,13,1))=IF(MOD(SUMPRODUCT(--MID(G225,{1,2,3,4,5,6,7,8,9,10,11,12},1),{5,4,3,2,9,8,7,6,5,4,3,2}),11)&lt;2,0,11-MOD(SUMPRODUCT(--MID(G225,{1,2,3,4,5,6,7,8,9,10,11,12},1),{5,4,3,2,9,8,7,6,5,4,3,2}),11)),VALUE(MID(G225,14,1))=IF(MOD(SUMPRODUCT(--MID(G225,{1,2,3,4,5,6,7,8,9,10,11,12,13},1),{6,5,4,3,2,9,8,7,6,5,4,3,2}),11)&lt;2,0,11-MOD(SUMPRODUCT(--MID(G225,{1,2,3,4,5,6,7,8,9,10,11,12,13},1),{6,5,4,3,2,9,8,7,6,5,4,3,2}),11))),"OK","AVISO: dígito verificador (conferir na org)"))))</f>
      </c>
      <c r="I225" s="6">
        <f>IF(G225="","",IF(COUNTIF($G$2:$G$2001,G225)&gt;1,"DUPLICADO","OK"))</f>
      </c>
      <c r="J225" s="6">
        <f>IF(COUNTA(A225:F225)=0,"",IF(AND(A225&lt;&gt;"",E225&lt;&gt;""),"OK","ERRO: faltam "&amp;IF(A225="","CNPJ; ","")&amp;IF(E225="","Novo gerente; ","")))</f>
      </c>
      <c r="K225" s="6">
        <f>IF(COUNTA(A225:F225)=0,"",IF(AND(LEFT(H225,4)&lt;&gt;"ERRO",I225="OK",J225="OK"),"OK","REVISAR"))</f>
      </c>
    </row>
    <row r="226">
      <c r="A226" s="5"/>
      <c r="B226" s="4"/>
      <c r="C226" s="4"/>
      <c r="D226" s="4"/>
      <c r="E226" s="5"/>
      <c r="F226" s="4"/>
      <c r="G226" s="6">
        <f>IF(A226="","",SUBSTITUTE(SUBSTITUTE(SUBSTITUTE(SUBSTITUTE(SUBSTITUTE(SUBSTITUTE(SUBSTITUTE(TRIM(A226),".",""),"/",""),"-","")," ",""),"(",""),")",""),"+",""))</f>
      </c>
      <c r="H226" s="6">
        <f>IF(G226="","",IF(LEN(G226)&lt;&gt;14,"ERRO: "&amp;LEN(G226)&amp;" dígitos",IF(NOT(ISNUMBER(VALUE(G226))),"ERRO: não numérico",IF(AND(VALUE(MID(G226,13,1))=IF(MOD(SUMPRODUCT(--MID(G226,{1,2,3,4,5,6,7,8,9,10,11,12},1),{5,4,3,2,9,8,7,6,5,4,3,2}),11)&lt;2,0,11-MOD(SUMPRODUCT(--MID(G226,{1,2,3,4,5,6,7,8,9,10,11,12},1),{5,4,3,2,9,8,7,6,5,4,3,2}),11)),VALUE(MID(G226,14,1))=IF(MOD(SUMPRODUCT(--MID(G226,{1,2,3,4,5,6,7,8,9,10,11,12,13},1),{6,5,4,3,2,9,8,7,6,5,4,3,2}),11)&lt;2,0,11-MOD(SUMPRODUCT(--MID(G226,{1,2,3,4,5,6,7,8,9,10,11,12,13},1),{6,5,4,3,2,9,8,7,6,5,4,3,2}),11))),"OK","AVISO: dígito verificador (conferir na org)"))))</f>
      </c>
      <c r="I226" s="6">
        <f>IF(G226="","",IF(COUNTIF($G$2:$G$2001,G226)&gt;1,"DUPLICADO","OK"))</f>
      </c>
      <c r="J226" s="6">
        <f>IF(COUNTA(A226:F226)=0,"",IF(AND(A226&lt;&gt;"",E226&lt;&gt;""),"OK","ERRO: faltam "&amp;IF(A226="","CNPJ; ","")&amp;IF(E226="","Novo gerente; ","")))</f>
      </c>
      <c r="K226" s="6">
        <f>IF(COUNTA(A226:F226)=0,"",IF(AND(LEFT(H226,4)&lt;&gt;"ERRO",I226="OK",J226="OK"),"OK","REVISAR"))</f>
      </c>
    </row>
    <row r="227">
      <c r="A227" s="5"/>
      <c r="B227" s="4"/>
      <c r="C227" s="4"/>
      <c r="D227" s="4"/>
      <c r="E227" s="5"/>
      <c r="F227" s="4"/>
      <c r="G227" s="6">
        <f>IF(A227="","",SUBSTITUTE(SUBSTITUTE(SUBSTITUTE(SUBSTITUTE(SUBSTITUTE(SUBSTITUTE(SUBSTITUTE(TRIM(A227),".",""),"/",""),"-","")," ",""),"(",""),")",""),"+",""))</f>
      </c>
      <c r="H227" s="6">
        <f>IF(G227="","",IF(LEN(G227)&lt;&gt;14,"ERRO: "&amp;LEN(G227)&amp;" dígitos",IF(NOT(ISNUMBER(VALUE(G227))),"ERRO: não numérico",IF(AND(VALUE(MID(G227,13,1))=IF(MOD(SUMPRODUCT(--MID(G227,{1,2,3,4,5,6,7,8,9,10,11,12},1),{5,4,3,2,9,8,7,6,5,4,3,2}),11)&lt;2,0,11-MOD(SUMPRODUCT(--MID(G227,{1,2,3,4,5,6,7,8,9,10,11,12},1),{5,4,3,2,9,8,7,6,5,4,3,2}),11)),VALUE(MID(G227,14,1))=IF(MOD(SUMPRODUCT(--MID(G227,{1,2,3,4,5,6,7,8,9,10,11,12,13},1),{6,5,4,3,2,9,8,7,6,5,4,3,2}),11)&lt;2,0,11-MOD(SUMPRODUCT(--MID(G227,{1,2,3,4,5,6,7,8,9,10,11,12,13},1),{6,5,4,3,2,9,8,7,6,5,4,3,2}),11))),"OK","AVISO: dígito verificador (conferir na org)"))))</f>
      </c>
      <c r="I227" s="6">
        <f>IF(G227="","",IF(COUNTIF($G$2:$G$2001,G227)&gt;1,"DUPLICADO","OK"))</f>
      </c>
      <c r="J227" s="6">
        <f>IF(COUNTA(A227:F227)=0,"",IF(AND(A227&lt;&gt;"",E227&lt;&gt;""),"OK","ERRO: faltam "&amp;IF(A227="","CNPJ; ","")&amp;IF(E227="","Novo gerente; ","")))</f>
      </c>
      <c r="K227" s="6">
        <f>IF(COUNTA(A227:F227)=0,"",IF(AND(LEFT(H227,4)&lt;&gt;"ERRO",I227="OK",J227="OK"),"OK","REVISAR"))</f>
      </c>
    </row>
    <row r="228">
      <c r="A228" s="5"/>
      <c r="B228" s="4"/>
      <c r="C228" s="4"/>
      <c r="D228" s="4"/>
      <c r="E228" s="5"/>
      <c r="F228" s="4"/>
      <c r="G228" s="6">
        <f>IF(A228="","",SUBSTITUTE(SUBSTITUTE(SUBSTITUTE(SUBSTITUTE(SUBSTITUTE(SUBSTITUTE(SUBSTITUTE(TRIM(A228),".",""),"/",""),"-","")," ",""),"(",""),")",""),"+",""))</f>
      </c>
      <c r="H228" s="6">
        <f>IF(G228="","",IF(LEN(G228)&lt;&gt;14,"ERRO: "&amp;LEN(G228)&amp;" dígitos",IF(NOT(ISNUMBER(VALUE(G228))),"ERRO: não numérico",IF(AND(VALUE(MID(G228,13,1))=IF(MOD(SUMPRODUCT(--MID(G228,{1,2,3,4,5,6,7,8,9,10,11,12},1),{5,4,3,2,9,8,7,6,5,4,3,2}),11)&lt;2,0,11-MOD(SUMPRODUCT(--MID(G228,{1,2,3,4,5,6,7,8,9,10,11,12},1),{5,4,3,2,9,8,7,6,5,4,3,2}),11)),VALUE(MID(G228,14,1))=IF(MOD(SUMPRODUCT(--MID(G228,{1,2,3,4,5,6,7,8,9,10,11,12,13},1),{6,5,4,3,2,9,8,7,6,5,4,3,2}),11)&lt;2,0,11-MOD(SUMPRODUCT(--MID(G228,{1,2,3,4,5,6,7,8,9,10,11,12,13},1),{6,5,4,3,2,9,8,7,6,5,4,3,2}),11))),"OK","AVISO: dígito verificador (conferir na org)"))))</f>
      </c>
      <c r="I228" s="6">
        <f>IF(G228="","",IF(COUNTIF($G$2:$G$2001,G228)&gt;1,"DUPLICADO","OK"))</f>
      </c>
      <c r="J228" s="6">
        <f>IF(COUNTA(A228:F228)=0,"",IF(AND(A228&lt;&gt;"",E228&lt;&gt;""),"OK","ERRO: faltam "&amp;IF(A228="","CNPJ; ","")&amp;IF(E228="","Novo gerente; ","")))</f>
      </c>
      <c r="K228" s="6">
        <f>IF(COUNTA(A228:F228)=0,"",IF(AND(LEFT(H228,4)&lt;&gt;"ERRO",I228="OK",J228="OK"),"OK","REVISAR"))</f>
      </c>
    </row>
    <row r="229">
      <c r="A229" s="5"/>
      <c r="B229" s="4"/>
      <c r="C229" s="4"/>
      <c r="D229" s="4"/>
      <c r="E229" s="5"/>
      <c r="F229" s="4"/>
      <c r="G229" s="6">
        <f>IF(A229="","",SUBSTITUTE(SUBSTITUTE(SUBSTITUTE(SUBSTITUTE(SUBSTITUTE(SUBSTITUTE(SUBSTITUTE(TRIM(A229),".",""),"/",""),"-","")," ",""),"(",""),")",""),"+",""))</f>
      </c>
      <c r="H229" s="6">
        <f>IF(G229="","",IF(LEN(G229)&lt;&gt;14,"ERRO: "&amp;LEN(G229)&amp;" dígitos",IF(NOT(ISNUMBER(VALUE(G229))),"ERRO: não numérico",IF(AND(VALUE(MID(G229,13,1))=IF(MOD(SUMPRODUCT(--MID(G229,{1,2,3,4,5,6,7,8,9,10,11,12},1),{5,4,3,2,9,8,7,6,5,4,3,2}),11)&lt;2,0,11-MOD(SUMPRODUCT(--MID(G229,{1,2,3,4,5,6,7,8,9,10,11,12},1),{5,4,3,2,9,8,7,6,5,4,3,2}),11)),VALUE(MID(G229,14,1))=IF(MOD(SUMPRODUCT(--MID(G229,{1,2,3,4,5,6,7,8,9,10,11,12,13},1),{6,5,4,3,2,9,8,7,6,5,4,3,2}),11)&lt;2,0,11-MOD(SUMPRODUCT(--MID(G229,{1,2,3,4,5,6,7,8,9,10,11,12,13},1),{6,5,4,3,2,9,8,7,6,5,4,3,2}),11))),"OK","AVISO: dígito verificador (conferir na org)"))))</f>
      </c>
      <c r="I229" s="6">
        <f>IF(G229="","",IF(COUNTIF($G$2:$G$2001,G229)&gt;1,"DUPLICADO","OK"))</f>
      </c>
      <c r="J229" s="6">
        <f>IF(COUNTA(A229:F229)=0,"",IF(AND(A229&lt;&gt;"",E229&lt;&gt;""),"OK","ERRO: faltam "&amp;IF(A229="","CNPJ; ","")&amp;IF(E229="","Novo gerente; ","")))</f>
      </c>
      <c r="K229" s="6">
        <f>IF(COUNTA(A229:F229)=0,"",IF(AND(LEFT(H229,4)&lt;&gt;"ERRO",I229="OK",J229="OK"),"OK","REVISAR"))</f>
      </c>
    </row>
    <row r="230">
      <c r="A230" s="5"/>
      <c r="B230" s="4"/>
      <c r="C230" s="4"/>
      <c r="D230" s="4"/>
      <c r="E230" s="5"/>
      <c r="F230" s="4"/>
      <c r="G230" s="6">
        <f>IF(A230="","",SUBSTITUTE(SUBSTITUTE(SUBSTITUTE(SUBSTITUTE(SUBSTITUTE(SUBSTITUTE(SUBSTITUTE(TRIM(A230),".",""),"/",""),"-","")," ",""),"(",""),")",""),"+",""))</f>
      </c>
      <c r="H230" s="6">
        <f>IF(G230="","",IF(LEN(G230)&lt;&gt;14,"ERRO: "&amp;LEN(G230)&amp;" dígitos",IF(NOT(ISNUMBER(VALUE(G230))),"ERRO: não numérico",IF(AND(VALUE(MID(G230,13,1))=IF(MOD(SUMPRODUCT(--MID(G230,{1,2,3,4,5,6,7,8,9,10,11,12},1),{5,4,3,2,9,8,7,6,5,4,3,2}),11)&lt;2,0,11-MOD(SUMPRODUCT(--MID(G230,{1,2,3,4,5,6,7,8,9,10,11,12},1),{5,4,3,2,9,8,7,6,5,4,3,2}),11)),VALUE(MID(G230,14,1))=IF(MOD(SUMPRODUCT(--MID(G230,{1,2,3,4,5,6,7,8,9,10,11,12,13},1),{6,5,4,3,2,9,8,7,6,5,4,3,2}),11)&lt;2,0,11-MOD(SUMPRODUCT(--MID(G230,{1,2,3,4,5,6,7,8,9,10,11,12,13},1),{6,5,4,3,2,9,8,7,6,5,4,3,2}),11))),"OK","AVISO: dígito verificador (conferir na org)"))))</f>
      </c>
      <c r="I230" s="6">
        <f>IF(G230="","",IF(COUNTIF($G$2:$G$2001,G230)&gt;1,"DUPLICADO","OK"))</f>
      </c>
      <c r="J230" s="6">
        <f>IF(COUNTA(A230:F230)=0,"",IF(AND(A230&lt;&gt;"",E230&lt;&gt;""),"OK","ERRO: faltam "&amp;IF(A230="","CNPJ; ","")&amp;IF(E230="","Novo gerente; ","")))</f>
      </c>
      <c r="K230" s="6">
        <f>IF(COUNTA(A230:F230)=0,"",IF(AND(LEFT(H230,4)&lt;&gt;"ERRO",I230="OK",J230="OK"),"OK","REVISAR"))</f>
      </c>
    </row>
    <row r="231">
      <c r="A231" s="5"/>
      <c r="B231" s="4"/>
      <c r="C231" s="4"/>
      <c r="D231" s="4"/>
      <c r="E231" s="5"/>
      <c r="F231" s="4"/>
      <c r="G231" s="6">
        <f>IF(A231="","",SUBSTITUTE(SUBSTITUTE(SUBSTITUTE(SUBSTITUTE(SUBSTITUTE(SUBSTITUTE(SUBSTITUTE(TRIM(A231),".",""),"/",""),"-","")," ",""),"(",""),")",""),"+",""))</f>
      </c>
      <c r="H231" s="6">
        <f>IF(G231="","",IF(LEN(G231)&lt;&gt;14,"ERRO: "&amp;LEN(G231)&amp;" dígitos",IF(NOT(ISNUMBER(VALUE(G231))),"ERRO: não numérico",IF(AND(VALUE(MID(G231,13,1))=IF(MOD(SUMPRODUCT(--MID(G231,{1,2,3,4,5,6,7,8,9,10,11,12},1),{5,4,3,2,9,8,7,6,5,4,3,2}),11)&lt;2,0,11-MOD(SUMPRODUCT(--MID(G231,{1,2,3,4,5,6,7,8,9,10,11,12},1),{5,4,3,2,9,8,7,6,5,4,3,2}),11)),VALUE(MID(G231,14,1))=IF(MOD(SUMPRODUCT(--MID(G231,{1,2,3,4,5,6,7,8,9,10,11,12,13},1),{6,5,4,3,2,9,8,7,6,5,4,3,2}),11)&lt;2,0,11-MOD(SUMPRODUCT(--MID(G231,{1,2,3,4,5,6,7,8,9,10,11,12,13},1),{6,5,4,3,2,9,8,7,6,5,4,3,2}),11))),"OK","AVISO: dígito verificador (conferir na org)"))))</f>
      </c>
      <c r="I231" s="6">
        <f>IF(G231="","",IF(COUNTIF($G$2:$G$2001,G231)&gt;1,"DUPLICADO","OK"))</f>
      </c>
      <c r="J231" s="6">
        <f>IF(COUNTA(A231:F231)=0,"",IF(AND(A231&lt;&gt;"",E231&lt;&gt;""),"OK","ERRO: faltam "&amp;IF(A231="","CNPJ; ","")&amp;IF(E231="","Novo gerente; ","")))</f>
      </c>
      <c r="K231" s="6">
        <f>IF(COUNTA(A231:F231)=0,"",IF(AND(LEFT(H231,4)&lt;&gt;"ERRO",I231="OK",J231="OK"),"OK","REVISAR"))</f>
      </c>
    </row>
    <row r="232">
      <c r="A232" s="5"/>
      <c r="B232" s="4"/>
      <c r="C232" s="4"/>
      <c r="D232" s="4"/>
      <c r="E232" s="5"/>
      <c r="F232" s="4"/>
      <c r="G232" s="6">
        <f>IF(A232="","",SUBSTITUTE(SUBSTITUTE(SUBSTITUTE(SUBSTITUTE(SUBSTITUTE(SUBSTITUTE(SUBSTITUTE(TRIM(A232),".",""),"/",""),"-","")," ",""),"(",""),")",""),"+",""))</f>
      </c>
      <c r="H232" s="6">
        <f>IF(G232="","",IF(LEN(G232)&lt;&gt;14,"ERRO: "&amp;LEN(G232)&amp;" dígitos",IF(NOT(ISNUMBER(VALUE(G232))),"ERRO: não numérico",IF(AND(VALUE(MID(G232,13,1))=IF(MOD(SUMPRODUCT(--MID(G232,{1,2,3,4,5,6,7,8,9,10,11,12},1),{5,4,3,2,9,8,7,6,5,4,3,2}),11)&lt;2,0,11-MOD(SUMPRODUCT(--MID(G232,{1,2,3,4,5,6,7,8,9,10,11,12},1),{5,4,3,2,9,8,7,6,5,4,3,2}),11)),VALUE(MID(G232,14,1))=IF(MOD(SUMPRODUCT(--MID(G232,{1,2,3,4,5,6,7,8,9,10,11,12,13},1),{6,5,4,3,2,9,8,7,6,5,4,3,2}),11)&lt;2,0,11-MOD(SUMPRODUCT(--MID(G232,{1,2,3,4,5,6,7,8,9,10,11,12,13},1),{6,5,4,3,2,9,8,7,6,5,4,3,2}),11))),"OK","AVISO: dígito verificador (conferir na org)"))))</f>
      </c>
      <c r="I232" s="6">
        <f>IF(G232="","",IF(COUNTIF($G$2:$G$2001,G232)&gt;1,"DUPLICADO","OK"))</f>
      </c>
      <c r="J232" s="6">
        <f>IF(COUNTA(A232:F232)=0,"",IF(AND(A232&lt;&gt;"",E232&lt;&gt;""),"OK","ERRO: faltam "&amp;IF(A232="","CNPJ; ","")&amp;IF(E232="","Novo gerente; ","")))</f>
      </c>
      <c r="K232" s="6">
        <f>IF(COUNTA(A232:F232)=0,"",IF(AND(LEFT(H232,4)&lt;&gt;"ERRO",I232="OK",J232="OK"),"OK","REVISAR"))</f>
      </c>
    </row>
    <row r="233">
      <c r="A233" s="5"/>
      <c r="B233" s="4"/>
      <c r="C233" s="4"/>
      <c r="D233" s="4"/>
      <c r="E233" s="5"/>
      <c r="F233" s="4"/>
      <c r="G233" s="6">
        <f>IF(A233="","",SUBSTITUTE(SUBSTITUTE(SUBSTITUTE(SUBSTITUTE(SUBSTITUTE(SUBSTITUTE(SUBSTITUTE(TRIM(A233),".",""),"/",""),"-","")," ",""),"(",""),")",""),"+",""))</f>
      </c>
      <c r="H233" s="6">
        <f>IF(G233="","",IF(LEN(G233)&lt;&gt;14,"ERRO: "&amp;LEN(G233)&amp;" dígitos",IF(NOT(ISNUMBER(VALUE(G233))),"ERRO: não numérico",IF(AND(VALUE(MID(G233,13,1))=IF(MOD(SUMPRODUCT(--MID(G233,{1,2,3,4,5,6,7,8,9,10,11,12},1),{5,4,3,2,9,8,7,6,5,4,3,2}),11)&lt;2,0,11-MOD(SUMPRODUCT(--MID(G233,{1,2,3,4,5,6,7,8,9,10,11,12},1),{5,4,3,2,9,8,7,6,5,4,3,2}),11)),VALUE(MID(G233,14,1))=IF(MOD(SUMPRODUCT(--MID(G233,{1,2,3,4,5,6,7,8,9,10,11,12,13},1),{6,5,4,3,2,9,8,7,6,5,4,3,2}),11)&lt;2,0,11-MOD(SUMPRODUCT(--MID(G233,{1,2,3,4,5,6,7,8,9,10,11,12,13},1),{6,5,4,3,2,9,8,7,6,5,4,3,2}),11))),"OK","AVISO: dígito verificador (conferir na org)"))))</f>
      </c>
      <c r="I233" s="6">
        <f>IF(G233="","",IF(COUNTIF($G$2:$G$2001,G233)&gt;1,"DUPLICADO","OK"))</f>
      </c>
      <c r="J233" s="6">
        <f>IF(COUNTA(A233:F233)=0,"",IF(AND(A233&lt;&gt;"",E233&lt;&gt;""),"OK","ERRO: faltam "&amp;IF(A233="","CNPJ; ","")&amp;IF(E233="","Novo gerente; ","")))</f>
      </c>
      <c r="K233" s="6">
        <f>IF(COUNTA(A233:F233)=0,"",IF(AND(LEFT(H233,4)&lt;&gt;"ERRO",I233="OK",J233="OK"),"OK","REVISAR"))</f>
      </c>
    </row>
    <row r="234">
      <c r="A234" s="5"/>
      <c r="B234" s="4"/>
      <c r="C234" s="4"/>
      <c r="D234" s="4"/>
      <c r="E234" s="5"/>
      <c r="F234" s="4"/>
      <c r="G234" s="6">
        <f>IF(A234="","",SUBSTITUTE(SUBSTITUTE(SUBSTITUTE(SUBSTITUTE(SUBSTITUTE(SUBSTITUTE(SUBSTITUTE(TRIM(A234),".",""),"/",""),"-","")," ",""),"(",""),")",""),"+",""))</f>
      </c>
      <c r="H234" s="6">
        <f>IF(G234="","",IF(LEN(G234)&lt;&gt;14,"ERRO: "&amp;LEN(G234)&amp;" dígitos",IF(NOT(ISNUMBER(VALUE(G234))),"ERRO: não numérico",IF(AND(VALUE(MID(G234,13,1))=IF(MOD(SUMPRODUCT(--MID(G234,{1,2,3,4,5,6,7,8,9,10,11,12},1),{5,4,3,2,9,8,7,6,5,4,3,2}),11)&lt;2,0,11-MOD(SUMPRODUCT(--MID(G234,{1,2,3,4,5,6,7,8,9,10,11,12},1),{5,4,3,2,9,8,7,6,5,4,3,2}),11)),VALUE(MID(G234,14,1))=IF(MOD(SUMPRODUCT(--MID(G234,{1,2,3,4,5,6,7,8,9,10,11,12,13},1),{6,5,4,3,2,9,8,7,6,5,4,3,2}),11)&lt;2,0,11-MOD(SUMPRODUCT(--MID(G234,{1,2,3,4,5,6,7,8,9,10,11,12,13},1),{6,5,4,3,2,9,8,7,6,5,4,3,2}),11))),"OK","AVISO: dígito verificador (conferir na org)"))))</f>
      </c>
      <c r="I234" s="6">
        <f>IF(G234="","",IF(COUNTIF($G$2:$G$2001,G234)&gt;1,"DUPLICADO","OK"))</f>
      </c>
      <c r="J234" s="6">
        <f>IF(COUNTA(A234:F234)=0,"",IF(AND(A234&lt;&gt;"",E234&lt;&gt;""),"OK","ERRO: faltam "&amp;IF(A234="","CNPJ; ","")&amp;IF(E234="","Novo gerente; ","")))</f>
      </c>
      <c r="K234" s="6">
        <f>IF(COUNTA(A234:F234)=0,"",IF(AND(LEFT(H234,4)&lt;&gt;"ERRO",I234="OK",J234="OK"),"OK","REVISAR"))</f>
      </c>
    </row>
    <row r="235">
      <c r="A235" s="5"/>
      <c r="B235" s="4"/>
      <c r="C235" s="4"/>
      <c r="D235" s="4"/>
      <c r="E235" s="5"/>
      <c r="F235" s="4"/>
      <c r="G235" s="6">
        <f>IF(A235="","",SUBSTITUTE(SUBSTITUTE(SUBSTITUTE(SUBSTITUTE(SUBSTITUTE(SUBSTITUTE(SUBSTITUTE(TRIM(A235),".",""),"/",""),"-","")," ",""),"(",""),")",""),"+",""))</f>
      </c>
      <c r="H235" s="6">
        <f>IF(G235="","",IF(LEN(G235)&lt;&gt;14,"ERRO: "&amp;LEN(G235)&amp;" dígitos",IF(NOT(ISNUMBER(VALUE(G235))),"ERRO: não numérico",IF(AND(VALUE(MID(G235,13,1))=IF(MOD(SUMPRODUCT(--MID(G235,{1,2,3,4,5,6,7,8,9,10,11,12},1),{5,4,3,2,9,8,7,6,5,4,3,2}),11)&lt;2,0,11-MOD(SUMPRODUCT(--MID(G235,{1,2,3,4,5,6,7,8,9,10,11,12},1),{5,4,3,2,9,8,7,6,5,4,3,2}),11)),VALUE(MID(G235,14,1))=IF(MOD(SUMPRODUCT(--MID(G235,{1,2,3,4,5,6,7,8,9,10,11,12,13},1),{6,5,4,3,2,9,8,7,6,5,4,3,2}),11)&lt;2,0,11-MOD(SUMPRODUCT(--MID(G235,{1,2,3,4,5,6,7,8,9,10,11,12,13},1),{6,5,4,3,2,9,8,7,6,5,4,3,2}),11))),"OK","AVISO: dígito verificador (conferir na org)"))))</f>
      </c>
      <c r="I235" s="6">
        <f>IF(G235="","",IF(COUNTIF($G$2:$G$2001,G235)&gt;1,"DUPLICADO","OK"))</f>
      </c>
      <c r="J235" s="6">
        <f>IF(COUNTA(A235:F235)=0,"",IF(AND(A235&lt;&gt;"",E235&lt;&gt;""),"OK","ERRO: faltam "&amp;IF(A235="","CNPJ; ","")&amp;IF(E235="","Novo gerente; ","")))</f>
      </c>
      <c r="K235" s="6">
        <f>IF(COUNTA(A235:F235)=0,"",IF(AND(LEFT(H235,4)&lt;&gt;"ERRO",I235="OK",J235="OK"),"OK","REVISAR"))</f>
      </c>
    </row>
    <row r="236">
      <c r="A236" s="5"/>
      <c r="B236" s="4"/>
      <c r="C236" s="4"/>
      <c r="D236" s="4"/>
      <c r="E236" s="5"/>
      <c r="F236" s="4"/>
      <c r="G236" s="6">
        <f>IF(A236="","",SUBSTITUTE(SUBSTITUTE(SUBSTITUTE(SUBSTITUTE(SUBSTITUTE(SUBSTITUTE(SUBSTITUTE(TRIM(A236),".",""),"/",""),"-","")," ",""),"(",""),")",""),"+",""))</f>
      </c>
      <c r="H236" s="6">
        <f>IF(G236="","",IF(LEN(G236)&lt;&gt;14,"ERRO: "&amp;LEN(G236)&amp;" dígitos",IF(NOT(ISNUMBER(VALUE(G236))),"ERRO: não numérico",IF(AND(VALUE(MID(G236,13,1))=IF(MOD(SUMPRODUCT(--MID(G236,{1,2,3,4,5,6,7,8,9,10,11,12},1),{5,4,3,2,9,8,7,6,5,4,3,2}),11)&lt;2,0,11-MOD(SUMPRODUCT(--MID(G236,{1,2,3,4,5,6,7,8,9,10,11,12},1),{5,4,3,2,9,8,7,6,5,4,3,2}),11)),VALUE(MID(G236,14,1))=IF(MOD(SUMPRODUCT(--MID(G236,{1,2,3,4,5,6,7,8,9,10,11,12,13},1),{6,5,4,3,2,9,8,7,6,5,4,3,2}),11)&lt;2,0,11-MOD(SUMPRODUCT(--MID(G236,{1,2,3,4,5,6,7,8,9,10,11,12,13},1),{6,5,4,3,2,9,8,7,6,5,4,3,2}),11))),"OK","AVISO: dígito verificador (conferir na org)"))))</f>
      </c>
      <c r="I236" s="6">
        <f>IF(G236="","",IF(COUNTIF($G$2:$G$2001,G236)&gt;1,"DUPLICADO","OK"))</f>
      </c>
      <c r="J236" s="6">
        <f>IF(COUNTA(A236:F236)=0,"",IF(AND(A236&lt;&gt;"",E236&lt;&gt;""),"OK","ERRO: faltam "&amp;IF(A236="","CNPJ; ","")&amp;IF(E236="","Novo gerente; ","")))</f>
      </c>
      <c r="K236" s="6">
        <f>IF(COUNTA(A236:F236)=0,"",IF(AND(LEFT(H236,4)&lt;&gt;"ERRO",I236="OK",J236="OK"),"OK","REVISAR"))</f>
      </c>
    </row>
    <row r="237">
      <c r="A237" s="5"/>
      <c r="B237" s="4"/>
      <c r="C237" s="4"/>
      <c r="D237" s="4"/>
      <c r="E237" s="5"/>
      <c r="F237" s="4"/>
      <c r="G237" s="6">
        <f>IF(A237="","",SUBSTITUTE(SUBSTITUTE(SUBSTITUTE(SUBSTITUTE(SUBSTITUTE(SUBSTITUTE(SUBSTITUTE(TRIM(A237),".",""),"/",""),"-","")," ",""),"(",""),")",""),"+",""))</f>
      </c>
      <c r="H237" s="6">
        <f>IF(G237="","",IF(LEN(G237)&lt;&gt;14,"ERRO: "&amp;LEN(G237)&amp;" dígitos",IF(NOT(ISNUMBER(VALUE(G237))),"ERRO: não numérico",IF(AND(VALUE(MID(G237,13,1))=IF(MOD(SUMPRODUCT(--MID(G237,{1,2,3,4,5,6,7,8,9,10,11,12},1),{5,4,3,2,9,8,7,6,5,4,3,2}),11)&lt;2,0,11-MOD(SUMPRODUCT(--MID(G237,{1,2,3,4,5,6,7,8,9,10,11,12},1),{5,4,3,2,9,8,7,6,5,4,3,2}),11)),VALUE(MID(G237,14,1))=IF(MOD(SUMPRODUCT(--MID(G237,{1,2,3,4,5,6,7,8,9,10,11,12,13},1),{6,5,4,3,2,9,8,7,6,5,4,3,2}),11)&lt;2,0,11-MOD(SUMPRODUCT(--MID(G237,{1,2,3,4,5,6,7,8,9,10,11,12,13},1),{6,5,4,3,2,9,8,7,6,5,4,3,2}),11))),"OK","AVISO: dígito verificador (conferir na org)"))))</f>
      </c>
      <c r="I237" s="6">
        <f>IF(G237="","",IF(COUNTIF($G$2:$G$2001,G237)&gt;1,"DUPLICADO","OK"))</f>
      </c>
      <c r="J237" s="6">
        <f>IF(COUNTA(A237:F237)=0,"",IF(AND(A237&lt;&gt;"",E237&lt;&gt;""),"OK","ERRO: faltam "&amp;IF(A237="","CNPJ; ","")&amp;IF(E237="","Novo gerente; ","")))</f>
      </c>
      <c r="K237" s="6">
        <f>IF(COUNTA(A237:F237)=0,"",IF(AND(LEFT(H237,4)&lt;&gt;"ERRO",I237="OK",J237="OK"),"OK","REVISAR"))</f>
      </c>
    </row>
    <row r="238">
      <c r="A238" s="5"/>
      <c r="B238" s="4"/>
      <c r="C238" s="4"/>
      <c r="D238" s="4"/>
      <c r="E238" s="5"/>
      <c r="F238" s="4"/>
      <c r="G238" s="6">
        <f>IF(A238="","",SUBSTITUTE(SUBSTITUTE(SUBSTITUTE(SUBSTITUTE(SUBSTITUTE(SUBSTITUTE(SUBSTITUTE(TRIM(A238),".",""),"/",""),"-","")," ",""),"(",""),")",""),"+",""))</f>
      </c>
      <c r="H238" s="6">
        <f>IF(G238="","",IF(LEN(G238)&lt;&gt;14,"ERRO: "&amp;LEN(G238)&amp;" dígitos",IF(NOT(ISNUMBER(VALUE(G238))),"ERRO: não numérico",IF(AND(VALUE(MID(G238,13,1))=IF(MOD(SUMPRODUCT(--MID(G238,{1,2,3,4,5,6,7,8,9,10,11,12},1),{5,4,3,2,9,8,7,6,5,4,3,2}),11)&lt;2,0,11-MOD(SUMPRODUCT(--MID(G238,{1,2,3,4,5,6,7,8,9,10,11,12},1),{5,4,3,2,9,8,7,6,5,4,3,2}),11)),VALUE(MID(G238,14,1))=IF(MOD(SUMPRODUCT(--MID(G238,{1,2,3,4,5,6,7,8,9,10,11,12,13},1),{6,5,4,3,2,9,8,7,6,5,4,3,2}),11)&lt;2,0,11-MOD(SUMPRODUCT(--MID(G238,{1,2,3,4,5,6,7,8,9,10,11,12,13},1),{6,5,4,3,2,9,8,7,6,5,4,3,2}),11))),"OK","AVISO: dígito verificador (conferir na org)"))))</f>
      </c>
      <c r="I238" s="6">
        <f>IF(G238="","",IF(COUNTIF($G$2:$G$2001,G238)&gt;1,"DUPLICADO","OK"))</f>
      </c>
      <c r="J238" s="6">
        <f>IF(COUNTA(A238:F238)=0,"",IF(AND(A238&lt;&gt;"",E238&lt;&gt;""),"OK","ERRO: faltam "&amp;IF(A238="","CNPJ; ","")&amp;IF(E238="","Novo gerente; ","")))</f>
      </c>
      <c r="K238" s="6">
        <f>IF(COUNTA(A238:F238)=0,"",IF(AND(LEFT(H238,4)&lt;&gt;"ERRO",I238="OK",J238="OK"),"OK","REVISAR"))</f>
      </c>
    </row>
    <row r="239">
      <c r="A239" s="5"/>
      <c r="B239" s="4"/>
      <c r="C239" s="4"/>
      <c r="D239" s="4"/>
      <c r="E239" s="5"/>
      <c r="F239" s="4"/>
      <c r="G239" s="6">
        <f>IF(A239="","",SUBSTITUTE(SUBSTITUTE(SUBSTITUTE(SUBSTITUTE(SUBSTITUTE(SUBSTITUTE(SUBSTITUTE(TRIM(A239),".",""),"/",""),"-","")," ",""),"(",""),")",""),"+",""))</f>
      </c>
      <c r="H239" s="6">
        <f>IF(G239="","",IF(LEN(G239)&lt;&gt;14,"ERRO: "&amp;LEN(G239)&amp;" dígitos",IF(NOT(ISNUMBER(VALUE(G239))),"ERRO: não numérico",IF(AND(VALUE(MID(G239,13,1))=IF(MOD(SUMPRODUCT(--MID(G239,{1,2,3,4,5,6,7,8,9,10,11,12},1),{5,4,3,2,9,8,7,6,5,4,3,2}),11)&lt;2,0,11-MOD(SUMPRODUCT(--MID(G239,{1,2,3,4,5,6,7,8,9,10,11,12},1),{5,4,3,2,9,8,7,6,5,4,3,2}),11)),VALUE(MID(G239,14,1))=IF(MOD(SUMPRODUCT(--MID(G239,{1,2,3,4,5,6,7,8,9,10,11,12,13},1),{6,5,4,3,2,9,8,7,6,5,4,3,2}),11)&lt;2,0,11-MOD(SUMPRODUCT(--MID(G239,{1,2,3,4,5,6,7,8,9,10,11,12,13},1),{6,5,4,3,2,9,8,7,6,5,4,3,2}),11))),"OK","AVISO: dígito verificador (conferir na org)"))))</f>
      </c>
      <c r="I239" s="6">
        <f>IF(G239="","",IF(COUNTIF($G$2:$G$2001,G239)&gt;1,"DUPLICADO","OK"))</f>
      </c>
      <c r="J239" s="6">
        <f>IF(COUNTA(A239:F239)=0,"",IF(AND(A239&lt;&gt;"",E239&lt;&gt;""),"OK","ERRO: faltam "&amp;IF(A239="","CNPJ; ","")&amp;IF(E239="","Novo gerente; ","")))</f>
      </c>
      <c r="K239" s="6">
        <f>IF(COUNTA(A239:F239)=0,"",IF(AND(LEFT(H239,4)&lt;&gt;"ERRO",I239="OK",J239="OK"),"OK","REVISAR"))</f>
      </c>
    </row>
    <row r="240">
      <c r="A240" s="5"/>
      <c r="B240" s="4"/>
      <c r="C240" s="4"/>
      <c r="D240" s="4"/>
      <c r="E240" s="5"/>
      <c r="F240" s="4"/>
      <c r="G240" s="6">
        <f>IF(A240="","",SUBSTITUTE(SUBSTITUTE(SUBSTITUTE(SUBSTITUTE(SUBSTITUTE(SUBSTITUTE(SUBSTITUTE(TRIM(A240),".",""),"/",""),"-","")," ",""),"(",""),")",""),"+",""))</f>
      </c>
      <c r="H240" s="6">
        <f>IF(G240="","",IF(LEN(G240)&lt;&gt;14,"ERRO: "&amp;LEN(G240)&amp;" dígitos",IF(NOT(ISNUMBER(VALUE(G240))),"ERRO: não numérico",IF(AND(VALUE(MID(G240,13,1))=IF(MOD(SUMPRODUCT(--MID(G240,{1,2,3,4,5,6,7,8,9,10,11,12},1),{5,4,3,2,9,8,7,6,5,4,3,2}),11)&lt;2,0,11-MOD(SUMPRODUCT(--MID(G240,{1,2,3,4,5,6,7,8,9,10,11,12},1),{5,4,3,2,9,8,7,6,5,4,3,2}),11)),VALUE(MID(G240,14,1))=IF(MOD(SUMPRODUCT(--MID(G240,{1,2,3,4,5,6,7,8,9,10,11,12,13},1),{6,5,4,3,2,9,8,7,6,5,4,3,2}),11)&lt;2,0,11-MOD(SUMPRODUCT(--MID(G240,{1,2,3,4,5,6,7,8,9,10,11,12,13},1),{6,5,4,3,2,9,8,7,6,5,4,3,2}),11))),"OK","AVISO: dígito verificador (conferir na org)"))))</f>
      </c>
      <c r="I240" s="6">
        <f>IF(G240="","",IF(COUNTIF($G$2:$G$2001,G240)&gt;1,"DUPLICADO","OK"))</f>
      </c>
      <c r="J240" s="6">
        <f>IF(COUNTA(A240:F240)=0,"",IF(AND(A240&lt;&gt;"",E240&lt;&gt;""),"OK","ERRO: faltam "&amp;IF(A240="","CNPJ; ","")&amp;IF(E240="","Novo gerente; ","")))</f>
      </c>
      <c r="K240" s="6">
        <f>IF(COUNTA(A240:F240)=0,"",IF(AND(LEFT(H240,4)&lt;&gt;"ERRO",I240="OK",J240="OK"),"OK","REVISAR"))</f>
      </c>
    </row>
    <row r="241">
      <c r="A241" s="5"/>
      <c r="B241" s="4"/>
      <c r="C241" s="4"/>
      <c r="D241" s="4"/>
      <c r="E241" s="5"/>
      <c r="F241" s="4"/>
      <c r="G241" s="6">
        <f>IF(A241="","",SUBSTITUTE(SUBSTITUTE(SUBSTITUTE(SUBSTITUTE(SUBSTITUTE(SUBSTITUTE(SUBSTITUTE(TRIM(A241),".",""),"/",""),"-","")," ",""),"(",""),")",""),"+",""))</f>
      </c>
      <c r="H241" s="6">
        <f>IF(G241="","",IF(LEN(G241)&lt;&gt;14,"ERRO: "&amp;LEN(G241)&amp;" dígitos",IF(NOT(ISNUMBER(VALUE(G241))),"ERRO: não numérico",IF(AND(VALUE(MID(G241,13,1))=IF(MOD(SUMPRODUCT(--MID(G241,{1,2,3,4,5,6,7,8,9,10,11,12},1),{5,4,3,2,9,8,7,6,5,4,3,2}),11)&lt;2,0,11-MOD(SUMPRODUCT(--MID(G241,{1,2,3,4,5,6,7,8,9,10,11,12},1),{5,4,3,2,9,8,7,6,5,4,3,2}),11)),VALUE(MID(G241,14,1))=IF(MOD(SUMPRODUCT(--MID(G241,{1,2,3,4,5,6,7,8,9,10,11,12,13},1),{6,5,4,3,2,9,8,7,6,5,4,3,2}),11)&lt;2,0,11-MOD(SUMPRODUCT(--MID(G241,{1,2,3,4,5,6,7,8,9,10,11,12,13},1),{6,5,4,3,2,9,8,7,6,5,4,3,2}),11))),"OK","AVISO: dígito verificador (conferir na org)"))))</f>
      </c>
      <c r="I241" s="6">
        <f>IF(G241="","",IF(COUNTIF($G$2:$G$2001,G241)&gt;1,"DUPLICADO","OK"))</f>
      </c>
      <c r="J241" s="6">
        <f>IF(COUNTA(A241:F241)=0,"",IF(AND(A241&lt;&gt;"",E241&lt;&gt;""),"OK","ERRO: faltam "&amp;IF(A241="","CNPJ; ","")&amp;IF(E241="","Novo gerente; ","")))</f>
      </c>
      <c r="K241" s="6">
        <f>IF(COUNTA(A241:F241)=0,"",IF(AND(LEFT(H241,4)&lt;&gt;"ERRO",I241="OK",J241="OK"),"OK","REVISAR"))</f>
      </c>
    </row>
    <row r="242">
      <c r="A242" s="5"/>
      <c r="B242" s="4"/>
      <c r="C242" s="4"/>
      <c r="D242" s="4"/>
      <c r="E242" s="5"/>
      <c r="F242" s="4"/>
      <c r="G242" s="6">
        <f>IF(A242="","",SUBSTITUTE(SUBSTITUTE(SUBSTITUTE(SUBSTITUTE(SUBSTITUTE(SUBSTITUTE(SUBSTITUTE(TRIM(A242),".",""),"/",""),"-","")," ",""),"(",""),")",""),"+",""))</f>
      </c>
      <c r="H242" s="6">
        <f>IF(G242="","",IF(LEN(G242)&lt;&gt;14,"ERRO: "&amp;LEN(G242)&amp;" dígitos",IF(NOT(ISNUMBER(VALUE(G242))),"ERRO: não numérico",IF(AND(VALUE(MID(G242,13,1))=IF(MOD(SUMPRODUCT(--MID(G242,{1,2,3,4,5,6,7,8,9,10,11,12},1),{5,4,3,2,9,8,7,6,5,4,3,2}),11)&lt;2,0,11-MOD(SUMPRODUCT(--MID(G242,{1,2,3,4,5,6,7,8,9,10,11,12},1),{5,4,3,2,9,8,7,6,5,4,3,2}),11)),VALUE(MID(G242,14,1))=IF(MOD(SUMPRODUCT(--MID(G242,{1,2,3,4,5,6,7,8,9,10,11,12,13},1),{6,5,4,3,2,9,8,7,6,5,4,3,2}),11)&lt;2,0,11-MOD(SUMPRODUCT(--MID(G242,{1,2,3,4,5,6,7,8,9,10,11,12,13},1),{6,5,4,3,2,9,8,7,6,5,4,3,2}),11))),"OK","AVISO: dígito verificador (conferir na org)"))))</f>
      </c>
      <c r="I242" s="6">
        <f>IF(G242="","",IF(COUNTIF($G$2:$G$2001,G242)&gt;1,"DUPLICADO","OK"))</f>
      </c>
      <c r="J242" s="6">
        <f>IF(COUNTA(A242:F242)=0,"",IF(AND(A242&lt;&gt;"",E242&lt;&gt;""),"OK","ERRO: faltam "&amp;IF(A242="","CNPJ; ","")&amp;IF(E242="","Novo gerente; ","")))</f>
      </c>
      <c r="K242" s="6">
        <f>IF(COUNTA(A242:F242)=0,"",IF(AND(LEFT(H242,4)&lt;&gt;"ERRO",I242="OK",J242="OK"),"OK","REVISAR"))</f>
      </c>
    </row>
    <row r="243">
      <c r="A243" s="5"/>
      <c r="B243" s="4"/>
      <c r="C243" s="4"/>
      <c r="D243" s="4"/>
      <c r="E243" s="5"/>
      <c r="F243" s="4"/>
      <c r="G243" s="6">
        <f>IF(A243="","",SUBSTITUTE(SUBSTITUTE(SUBSTITUTE(SUBSTITUTE(SUBSTITUTE(SUBSTITUTE(SUBSTITUTE(TRIM(A243),".",""),"/",""),"-","")," ",""),"(",""),")",""),"+",""))</f>
      </c>
      <c r="H243" s="6">
        <f>IF(G243="","",IF(LEN(G243)&lt;&gt;14,"ERRO: "&amp;LEN(G243)&amp;" dígitos",IF(NOT(ISNUMBER(VALUE(G243))),"ERRO: não numérico",IF(AND(VALUE(MID(G243,13,1))=IF(MOD(SUMPRODUCT(--MID(G243,{1,2,3,4,5,6,7,8,9,10,11,12},1),{5,4,3,2,9,8,7,6,5,4,3,2}),11)&lt;2,0,11-MOD(SUMPRODUCT(--MID(G243,{1,2,3,4,5,6,7,8,9,10,11,12},1),{5,4,3,2,9,8,7,6,5,4,3,2}),11)),VALUE(MID(G243,14,1))=IF(MOD(SUMPRODUCT(--MID(G243,{1,2,3,4,5,6,7,8,9,10,11,12,13},1),{6,5,4,3,2,9,8,7,6,5,4,3,2}),11)&lt;2,0,11-MOD(SUMPRODUCT(--MID(G243,{1,2,3,4,5,6,7,8,9,10,11,12,13},1),{6,5,4,3,2,9,8,7,6,5,4,3,2}),11))),"OK","AVISO: dígito verificador (conferir na org)"))))</f>
      </c>
      <c r="I243" s="6">
        <f>IF(G243="","",IF(COUNTIF($G$2:$G$2001,G243)&gt;1,"DUPLICADO","OK"))</f>
      </c>
      <c r="J243" s="6">
        <f>IF(COUNTA(A243:F243)=0,"",IF(AND(A243&lt;&gt;"",E243&lt;&gt;""),"OK","ERRO: faltam "&amp;IF(A243="","CNPJ; ","")&amp;IF(E243="","Novo gerente; ","")))</f>
      </c>
      <c r="K243" s="6">
        <f>IF(COUNTA(A243:F243)=0,"",IF(AND(LEFT(H243,4)&lt;&gt;"ERRO",I243="OK",J243="OK"),"OK","REVISAR"))</f>
      </c>
    </row>
    <row r="244">
      <c r="A244" s="5"/>
      <c r="B244" s="4"/>
      <c r="C244" s="4"/>
      <c r="D244" s="4"/>
      <c r="E244" s="5"/>
      <c r="F244" s="4"/>
      <c r="G244" s="6">
        <f>IF(A244="","",SUBSTITUTE(SUBSTITUTE(SUBSTITUTE(SUBSTITUTE(SUBSTITUTE(SUBSTITUTE(SUBSTITUTE(TRIM(A244),".",""),"/",""),"-","")," ",""),"(",""),")",""),"+",""))</f>
      </c>
      <c r="H244" s="6">
        <f>IF(G244="","",IF(LEN(G244)&lt;&gt;14,"ERRO: "&amp;LEN(G244)&amp;" dígitos",IF(NOT(ISNUMBER(VALUE(G244))),"ERRO: não numérico",IF(AND(VALUE(MID(G244,13,1))=IF(MOD(SUMPRODUCT(--MID(G244,{1,2,3,4,5,6,7,8,9,10,11,12},1),{5,4,3,2,9,8,7,6,5,4,3,2}),11)&lt;2,0,11-MOD(SUMPRODUCT(--MID(G244,{1,2,3,4,5,6,7,8,9,10,11,12},1),{5,4,3,2,9,8,7,6,5,4,3,2}),11)),VALUE(MID(G244,14,1))=IF(MOD(SUMPRODUCT(--MID(G244,{1,2,3,4,5,6,7,8,9,10,11,12,13},1),{6,5,4,3,2,9,8,7,6,5,4,3,2}),11)&lt;2,0,11-MOD(SUMPRODUCT(--MID(G244,{1,2,3,4,5,6,7,8,9,10,11,12,13},1),{6,5,4,3,2,9,8,7,6,5,4,3,2}),11))),"OK","AVISO: dígito verificador (conferir na org)"))))</f>
      </c>
      <c r="I244" s="6">
        <f>IF(G244="","",IF(COUNTIF($G$2:$G$2001,G244)&gt;1,"DUPLICADO","OK"))</f>
      </c>
      <c r="J244" s="6">
        <f>IF(COUNTA(A244:F244)=0,"",IF(AND(A244&lt;&gt;"",E244&lt;&gt;""),"OK","ERRO: faltam "&amp;IF(A244="","CNPJ; ","")&amp;IF(E244="","Novo gerente; ","")))</f>
      </c>
      <c r="K244" s="6">
        <f>IF(COUNTA(A244:F244)=0,"",IF(AND(LEFT(H244,4)&lt;&gt;"ERRO",I244="OK",J244="OK"),"OK","REVISAR"))</f>
      </c>
    </row>
    <row r="245">
      <c r="A245" s="5"/>
      <c r="B245" s="4"/>
      <c r="C245" s="4"/>
      <c r="D245" s="4"/>
      <c r="E245" s="5"/>
      <c r="F245" s="4"/>
      <c r="G245" s="6">
        <f>IF(A245="","",SUBSTITUTE(SUBSTITUTE(SUBSTITUTE(SUBSTITUTE(SUBSTITUTE(SUBSTITUTE(SUBSTITUTE(TRIM(A245),".",""),"/",""),"-","")," ",""),"(",""),")",""),"+",""))</f>
      </c>
      <c r="H245" s="6">
        <f>IF(G245="","",IF(LEN(G245)&lt;&gt;14,"ERRO: "&amp;LEN(G245)&amp;" dígitos",IF(NOT(ISNUMBER(VALUE(G245))),"ERRO: não numérico",IF(AND(VALUE(MID(G245,13,1))=IF(MOD(SUMPRODUCT(--MID(G245,{1,2,3,4,5,6,7,8,9,10,11,12},1),{5,4,3,2,9,8,7,6,5,4,3,2}),11)&lt;2,0,11-MOD(SUMPRODUCT(--MID(G245,{1,2,3,4,5,6,7,8,9,10,11,12},1),{5,4,3,2,9,8,7,6,5,4,3,2}),11)),VALUE(MID(G245,14,1))=IF(MOD(SUMPRODUCT(--MID(G245,{1,2,3,4,5,6,7,8,9,10,11,12,13},1),{6,5,4,3,2,9,8,7,6,5,4,3,2}),11)&lt;2,0,11-MOD(SUMPRODUCT(--MID(G245,{1,2,3,4,5,6,7,8,9,10,11,12,13},1),{6,5,4,3,2,9,8,7,6,5,4,3,2}),11))),"OK","AVISO: dígito verificador (conferir na org)"))))</f>
      </c>
      <c r="I245" s="6">
        <f>IF(G245="","",IF(COUNTIF($G$2:$G$2001,G245)&gt;1,"DUPLICADO","OK"))</f>
      </c>
      <c r="J245" s="6">
        <f>IF(COUNTA(A245:F245)=0,"",IF(AND(A245&lt;&gt;"",E245&lt;&gt;""),"OK","ERRO: faltam "&amp;IF(A245="","CNPJ; ","")&amp;IF(E245="","Novo gerente; ","")))</f>
      </c>
      <c r="K245" s="6">
        <f>IF(COUNTA(A245:F245)=0,"",IF(AND(LEFT(H245,4)&lt;&gt;"ERRO",I245="OK",J245="OK"),"OK","REVISAR"))</f>
      </c>
    </row>
    <row r="246">
      <c r="A246" s="5"/>
      <c r="B246" s="4"/>
      <c r="C246" s="4"/>
      <c r="D246" s="4"/>
      <c r="E246" s="5"/>
      <c r="F246" s="4"/>
      <c r="G246" s="6">
        <f>IF(A246="","",SUBSTITUTE(SUBSTITUTE(SUBSTITUTE(SUBSTITUTE(SUBSTITUTE(SUBSTITUTE(SUBSTITUTE(TRIM(A246),".",""),"/",""),"-","")," ",""),"(",""),")",""),"+",""))</f>
      </c>
      <c r="H246" s="6">
        <f>IF(G246="","",IF(LEN(G246)&lt;&gt;14,"ERRO: "&amp;LEN(G246)&amp;" dígitos",IF(NOT(ISNUMBER(VALUE(G246))),"ERRO: não numérico",IF(AND(VALUE(MID(G246,13,1))=IF(MOD(SUMPRODUCT(--MID(G246,{1,2,3,4,5,6,7,8,9,10,11,12},1),{5,4,3,2,9,8,7,6,5,4,3,2}),11)&lt;2,0,11-MOD(SUMPRODUCT(--MID(G246,{1,2,3,4,5,6,7,8,9,10,11,12},1),{5,4,3,2,9,8,7,6,5,4,3,2}),11)),VALUE(MID(G246,14,1))=IF(MOD(SUMPRODUCT(--MID(G246,{1,2,3,4,5,6,7,8,9,10,11,12,13},1),{6,5,4,3,2,9,8,7,6,5,4,3,2}),11)&lt;2,0,11-MOD(SUMPRODUCT(--MID(G246,{1,2,3,4,5,6,7,8,9,10,11,12,13},1),{6,5,4,3,2,9,8,7,6,5,4,3,2}),11))),"OK","AVISO: dígito verificador (conferir na org)"))))</f>
      </c>
      <c r="I246" s="6">
        <f>IF(G246="","",IF(COUNTIF($G$2:$G$2001,G246)&gt;1,"DUPLICADO","OK"))</f>
      </c>
      <c r="J246" s="6">
        <f>IF(COUNTA(A246:F246)=0,"",IF(AND(A246&lt;&gt;"",E246&lt;&gt;""),"OK","ERRO: faltam "&amp;IF(A246="","CNPJ; ","")&amp;IF(E246="","Novo gerente; ","")))</f>
      </c>
      <c r="K246" s="6">
        <f>IF(COUNTA(A246:F246)=0,"",IF(AND(LEFT(H246,4)&lt;&gt;"ERRO",I246="OK",J246="OK"),"OK","REVISAR"))</f>
      </c>
    </row>
    <row r="247">
      <c r="A247" s="5"/>
      <c r="B247" s="4"/>
      <c r="C247" s="4"/>
      <c r="D247" s="4"/>
      <c r="E247" s="5"/>
      <c r="F247" s="4"/>
      <c r="G247" s="6">
        <f>IF(A247="","",SUBSTITUTE(SUBSTITUTE(SUBSTITUTE(SUBSTITUTE(SUBSTITUTE(SUBSTITUTE(SUBSTITUTE(TRIM(A247),".",""),"/",""),"-","")," ",""),"(",""),")",""),"+",""))</f>
      </c>
      <c r="H247" s="6">
        <f>IF(G247="","",IF(LEN(G247)&lt;&gt;14,"ERRO: "&amp;LEN(G247)&amp;" dígitos",IF(NOT(ISNUMBER(VALUE(G247))),"ERRO: não numérico",IF(AND(VALUE(MID(G247,13,1))=IF(MOD(SUMPRODUCT(--MID(G247,{1,2,3,4,5,6,7,8,9,10,11,12},1),{5,4,3,2,9,8,7,6,5,4,3,2}),11)&lt;2,0,11-MOD(SUMPRODUCT(--MID(G247,{1,2,3,4,5,6,7,8,9,10,11,12},1),{5,4,3,2,9,8,7,6,5,4,3,2}),11)),VALUE(MID(G247,14,1))=IF(MOD(SUMPRODUCT(--MID(G247,{1,2,3,4,5,6,7,8,9,10,11,12,13},1),{6,5,4,3,2,9,8,7,6,5,4,3,2}),11)&lt;2,0,11-MOD(SUMPRODUCT(--MID(G247,{1,2,3,4,5,6,7,8,9,10,11,12,13},1),{6,5,4,3,2,9,8,7,6,5,4,3,2}),11))),"OK","AVISO: dígito verificador (conferir na org)"))))</f>
      </c>
      <c r="I247" s="6">
        <f>IF(G247="","",IF(COUNTIF($G$2:$G$2001,G247)&gt;1,"DUPLICADO","OK"))</f>
      </c>
      <c r="J247" s="6">
        <f>IF(COUNTA(A247:F247)=0,"",IF(AND(A247&lt;&gt;"",E247&lt;&gt;""),"OK","ERRO: faltam "&amp;IF(A247="","CNPJ; ","")&amp;IF(E247="","Novo gerente; ","")))</f>
      </c>
      <c r="K247" s="6">
        <f>IF(COUNTA(A247:F247)=0,"",IF(AND(LEFT(H247,4)&lt;&gt;"ERRO",I247="OK",J247="OK"),"OK","REVISAR"))</f>
      </c>
    </row>
    <row r="248">
      <c r="A248" s="5"/>
      <c r="B248" s="4"/>
      <c r="C248" s="4"/>
      <c r="D248" s="4"/>
      <c r="E248" s="5"/>
      <c r="F248" s="4"/>
      <c r="G248" s="6">
        <f>IF(A248="","",SUBSTITUTE(SUBSTITUTE(SUBSTITUTE(SUBSTITUTE(SUBSTITUTE(SUBSTITUTE(SUBSTITUTE(TRIM(A248),".",""),"/",""),"-","")," ",""),"(",""),")",""),"+",""))</f>
      </c>
      <c r="H248" s="6">
        <f>IF(G248="","",IF(LEN(G248)&lt;&gt;14,"ERRO: "&amp;LEN(G248)&amp;" dígitos",IF(NOT(ISNUMBER(VALUE(G248))),"ERRO: não numérico",IF(AND(VALUE(MID(G248,13,1))=IF(MOD(SUMPRODUCT(--MID(G248,{1,2,3,4,5,6,7,8,9,10,11,12},1),{5,4,3,2,9,8,7,6,5,4,3,2}),11)&lt;2,0,11-MOD(SUMPRODUCT(--MID(G248,{1,2,3,4,5,6,7,8,9,10,11,12},1),{5,4,3,2,9,8,7,6,5,4,3,2}),11)),VALUE(MID(G248,14,1))=IF(MOD(SUMPRODUCT(--MID(G248,{1,2,3,4,5,6,7,8,9,10,11,12,13},1),{6,5,4,3,2,9,8,7,6,5,4,3,2}),11)&lt;2,0,11-MOD(SUMPRODUCT(--MID(G248,{1,2,3,4,5,6,7,8,9,10,11,12,13},1),{6,5,4,3,2,9,8,7,6,5,4,3,2}),11))),"OK","AVISO: dígito verificador (conferir na org)"))))</f>
      </c>
      <c r="I248" s="6">
        <f>IF(G248="","",IF(COUNTIF($G$2:$G$2001,G248)&gt;1,"DUPLICADO","OK"))</f>
      </c>
      <c r="J248" s="6">
        <f>IF(COUNTA(A248:F248)=0,"",IF(AND(A248&lt;&gt;"",E248&lt;&gt;""),"OK","ERRO: faltam "&amp;IF(A248="","CNPJ; ","")&amp;IF(E248="","Novo gerente; ","")))</f>
      </c>
      <c r="K248" s="6">
        <f>IF(COUNTA(A248:F248)=0,"",IF(AND(LEFT(H248,4)&lt;&gt;"ERRO",I248="OK",J248="OK"),"OK","REVISAR"))</f>
      </c>
    </row>
    <row r="249">
      <c r="A249" s="5"/>
      <c r="B249" s="4"/>
      <c r="C249" s="4"/>
      <c r="D249" s="4"/>
      <c r="E249" s="5"/>
      <c r="F249" s="4"/>
      <c r="G249" s="6">
        <f>IF(A249="","",SUBSTITUTE(SUBSTITUTE(SUBSTITUTE(SUBSTITUTE(SUBSTITUTE(SUBSTITUTE(SUBSTITUTE(TRIM(A249),".",""),"/",""),"-","")," ",""),"(",""),")",""),"+",""))</f>
      </c>
      <c r="H249" s="6">
        <f>IF(G249="","",IF(LEN(G249)&lt;&gt;14,"ERRO: "&amp;LEN(G249)&amp;" dígitos",IF(NOT(ISNUMBER(VALUE(G249))),"ERRO: não numérico",IF(AND(VALUE(MID(G249,13,1))=IF(MOD(SUMPRODUCT(--MID(G249,{1,2,3,4,5,6,7,8,9,10,11,12},1),{5,4,3,2,9,8,7,6,5,4,3,2}),11)&lt;2,0,11-MOD(SUMPRODUCT(--MID(G249,{1,2,3,4,5,6,7,8,9,10,11,12},1),{5,4,3,2,9,8,7,6,5,4,3,2}),11)),VALUE(MID(G249,14,1))=IF(MOD(SUMPRODUCT(--MID(G249,{1,2,3,4,5,6,7,8,9,10,11,12,13},1),{6,5,4,3,2,9,8,7,6,5,4,3,2}),11)&lt;2,0,11-MOD(SUMPRODUCT(--MID(G249,{1,2,3,4,5,6,7,8,9,10,11,12,13},1),{6,5,4,3,2,9,8,7,6,5,4,3,2}),11))),"OK","AVISO: dígito verificador (conferir na org)"))))</f>
      </c>
      <c r="I249" s="6">
        <f>IF(G249="","",IF(COUNTIF($G$2:$G$2001,G249)&gt;1,"DUPLICADO","OK"))</f>
      </c>
      <c r="J249" s="6">
        <f>IF(COUNTA(A249:F249)=0,"",IF(AND(A249&lt;&gt;"",E249&lt;&gt;""),"OK","ERRO: faltam "&amp;IF(A249="","CNPJ; ","")&amp;IF(E249="","Novo gerente; ","")))</f>
      </c>
      <c r="K249" s="6">
        <f>IF(COUNTA(A249:F249)=0,"",IF(AND(LEFT(H249,4)&lt;&gt;"ERRO",I249="OK",J249="OK"),"OK","REVISAR"))</f>
      </c>
    </row>
    <row r="250">
      <c r="A250" s="5"/>
      <c r="B250" s="4"/>
      <c r="C250" s="4"/>
      <c r="D250" s="4"/>
      <c r="E250" s="5"/>
      <c r="F250" s="4"/>
      <c r="G250" s="6">
        <f>IF(A250="","",SUBSTITUTE(SUBSTITUTE(SUBSTITUTE(SUBSTITUTE(SUBSTITUTE(SUBSTITUTE(SUBSTITUTE(TRIM(A250),".",""),"/",""),"-","")," ",""),"(",""),")",""),"+",""))</f>
      </c>
      <c r="H250" s="6">
        <f>IF(G250="","",IF(LEN(G250)&lt;&gt;14,"ERRO: "&amp;LEN(G250)&amp;" dígitos",IF(NOT(ISNUMBER(VALUE(G250))),"ERRO: não numérico",IF(AND(VALUE(MID(G250,13,1))=IF(MOD(SUMPRODUCT(--MID(G250,{1,2,3,4,5,6,7,8,9,10,11,12},1),{5,4,3,2,9,8,7,6,5,4,3,2}),11)&lt;2,0,11-MOD(SUMPRODUCT(--MID(G250,{1,2,3,4,5,6,7,8,9,10,11,12},1),{5,4,3,2,9,8,7,6,5,4,3,2}),11)),VALUE(MID(G250,14,1))=IF(MOD(SUMPRODUCT(--MID(G250,{1,2,3,4,5,6,7,8,9,10,11,12,13},1),{6,5,4,3,2,9,8,7,6,5,4,3,2}),11)&lt;2,0,11-MOD(SUMPRODUCT(--MID(G250,{1,2,3,4,5,6,7,8,9,10,11,12,13},1),{6,5,4,3,2,9,8,7,6,5,4,3,2}),11))),"OK","AVISO: dígito verificador (conferir na org)"))))</f>
      </c>
      <c r="I250" s="6">
        <f>IF(G250="","",IF(COUNTIF($G$2:$G$2001,G250)&gt;1,"DUPLICADO","OK"))</f>
      </c>
      <c r="J250" s="6">
        <f>IF(COUNTA(A250:F250)=0,"",IF(AND(A250&lt;&gt;"",E250&lt;&gt;""),"OK","ERRO: faltam "&amp;IF(A250="","CNPJ; ","")&amp;IF(E250="","Novo gerente; ","")))</f>
      </c>
      <c r="K250" s="6">
        <f>IF(COUNTA(A250:F250)=0,"",IF(AND(LEFT(H250,4)&lt;&gt;"ERRO",I250="OK",J250="OK"),"OK","REVISAR"))</f>
      </c>
    </row>
    <row r="251">
      <c r="A251" s="5"/>
      <c r="B251" s="4"/>
      <c r="C251" s="4"/>
      <c r="D251" s="4"/>
      <c r="E251" s="5"/>
      <c r="F251" s="4"/>
      <c r="G251" s="6">
        <f>IF(A251="","",SUBSTITUTE(SUBSTITUTE(SUBSTITUTE(SUBSTITUTE(SUBSTITUTE(SUBSTITUTE(SUBSTITUTE(TRIM(A251),".",""),"/",""),"-","")," ",""),"(",""),")",""),"+",""))</f>
      </c>
      <c r="H251" s="6">
        <f>IF(G251="","",IF(LEN(G251)&lt;&gt;14,"ERRO: "&amp;LEN(G251)&amp;" dígitos",IF(NOT(ISNUMBER(VALUE(G251))),"ERRO: não numérico",IF(AND(VALUE(MID(G251,13,1))=IF(MOD(SUMPRODUCT(--MID(G251,{1,2,3,4,5,6,7,8,9,10,11,12},1),{5,4,3,2,9,8,7,6,5,4,3,2}),11)&lt;2,0,11-MOD(SUMPRODUCT(--MID(G251,{1,2,3,4,5,6,7,8,9,10,11,12},1),{5,4,3,2,9,8,7,6,5,4,3,2}),11)),VALUE(MID(G251,14,1))=IF(MOD(SUMPRODUCT(--MID(G251,{1,2,3,4,5,6,7,8,9,10,11,12,13},1),{6,5,4,3,2,9,8,7,6,5,4,3,2}),11)&lt;2,0,11-MOD(SUMPRODUCT(--MID(G251,{1,2,3,4,5,6,7,8,9,10,11,12,13},1),{6,5,4,3,2,9,8,7,6,5,4,3,2}),11))),"OK","AVISO: dígito verificador (conferir na org)"))))</f>
      </c>
      <c r="I251" s="6">
        <f>IF(G251="","",IF(COUNTIF($G$2:$G$2001,G251)&gt;1,"DUPLICADO","OK"))</f>
      </c>
      <c r="J251" s="6">
        <f>IF(COUNTA(A251:F251)=0,"",IF(AND(A251&lt;&gt;"",E251&lt;&gt;""),"OK","ERRO: faltam "&amp;IF(A251="","CNPJ; ","")&amp;IF(E251="","Novo gerente; ","")))</f>
      </c>
      <c r="K251" s="6">
        <f>IF(COUNTA(A251:F251)=0,"",IF(AND(LEFT(H251,4)&lt;&gt;"ERRO",I251="OK",J251="OK"),"OK","REVISAR"))</f>
      </c>
    </row>
    <row r="252">
      <c r="A252" s="5"/>
      <c r="B252" s="4"/>
      <c r="C252" s="4"/>
      <c r="D252" s="4"/>
      <c r="E252" s="5"/>
      <c r="F252" s="4"/>
      <c r="G252" s="6">
        <f>IF(A252="","",SUBSTITUTE(SUBSTITUTE(SUBSTITUTE(SUBSTITUTE(SUBSTITUTE(SUBSTITUTE(SUBSTITUTE(TRIM(A252),".",""),"/",""),"-","")," ",""),"(",""),")",""),"+",""))</f>
      </c>
      <c r="H252" s="6">
        <f>IF(G252="","",IF(LEN(G252)&lt;&gt;14,"ERRO: "&amp;LEN(G252)&amp;" dígitos",IF(NOT(ISNUMBER(VALUE(G252))),"ERRO: não numérico",IF(AND(VALUE(MID(G252,13,1))=IF(MOD(SUMPRODUCT(--MID(G252,{1,2,3,4,5,6,7,8,9,10,11,12},1),{5,4,3,2,9,8,7,6,5,4,3,2}),11)&lt;2,0,11-MOD(SUMPRODUCT(--MID(G252,{1,2,3,4,5,6,7,8,9,10,11,12},1),{5,4,3,2,9,8,7,6,5,4,3,2}),11)),VALUE(MID(G252,14,1))=IF(MOD(SUMPRODUCT(--MID(G252,{1,2,3,4,5,6,7,8,9,10,11,12,13},1),{6,5,4,3,2,9,8,7,6,5,4,3,2}),11)&lt;2,0,11-MOD(SUMPRODUCT(--MID(G252,{1,2,3,4,5,6,7,8,9,10,11,12,13},1),{6,5,4,3,2,9,8,7,6,5,4,3,2}),11))),"OK","AVISO: dígito verificador (conferir na org)"))))</f>
      </c>
      <c r="I252" s="6">
        <f>IF(G252="","",IF(COUNTIF($G$2:$G$2001,G252)&gt;1,"DUPLICADO","OK"))</f>
      </c>
      <c r="J252" s="6">
        <f>IF(COUNTA(A252:F252)=0,"",IF(AND(A252&lt;&gt;"",E252&lt;&gt;""),"OK","ERRO: faltam "&amp;IF(A252="","CNPJ; ","")&amp;IF(E252="","Novo gerente; ","")))</f>
      </c>
      <c r="K252" s="6">
        <f>IF(COUNTA(A252:F252)=0,"",IF(AND(LEFT(H252,4)&lt;&gt;"ERRO",I252="OK",J252="OK"),"OK","REVISAR"))</f>
      </c>
    </row>
    <row r="253">
      <c r="A253" s="5"/>
      <c r="B253" s="4"/>
      <c r="C253" s="4"/>
      <c r="D253" s="4"/>
      <c r="E253" s="5"/>
      <c r="F253" s="4"/>
      <c r="G253" s="6">
        <f>IF(A253="","",SUBSTITUTE(SUBSTITUTE(SUBSTITUTE(SUBSTITUTE(SUBSTITUTE(SUBSTITUTE(SUBSTITUTE(TRIM(A253),".",""),"/",""),"-","")," ",""),"(",""),")",""),"+",""))</f>
      </c>
      <c r="H253" s="6">
        <f>IF(G253="","",IF(LEN(G253)&lt;&gt;14,"ERRO: "&amp;LEN(G253)&amp;" dígitos",IF(NOT(ISNUMBER(VALUE(G253))),"ERRO: não numérico",IF(AND(VALUE(MID(G253,13,1))=IF(MOD(SUMPRODUCT(--MID(G253,{1,2,3,4,5,6,7,8,9,10,11,12},1),{5,4,3,2,9,8,7,6,5,4,3,2}),11)&lt;2,0,11-MOD(SUMPRODUCT(--MID(G253,{1,2,3,4,5,6,7,8,9,10,11,12},1),{5,4,3,2,9,8,7,6,5,4,3,2}),11)),VALUE(MID(G253,14,1))=IF(MOD(SUMPRODUCT(--MID(G253,{1,2,3,4,5,6,7,8,9,10,11,12,13},1),{6,5,4,3,2,9,8,7,6,5,4,3,2}),11)&lt;2,0,11-MOD(SUMPRODUCT(--MID(G253,{1,2,3,4,5,6,7,8,9,10,11,12,13},1),{6,5,4,3,2,9,8,7,6,5,4,3,2}),11))),"OK","AVISO: dígito verificador (conferir na org)"))))</f>
      </c>
      <c r="I253" s="6">
        <f>IF(G253="","",IF(COUNTIF($G$2:$G$2001,G253)&gt;1,"DUPLICADO","OK"))</f>
      </c>
      <c r="J253" s="6">
        <f>IF(COUNTA(A253:F253)=0,"",IF(AND(A253&lt;&gt;"",E253&lt;&gt;""),"OK","ERRO: faltam "&amp;IF(A253="","CNPJ; ","")&amp;IF(E253="","Novo gerente; ","")))</f>
      </c>
      <c r="K253" s="6">
        <f>IF(COUNTA(A253:F253)=0,"",IF(AND(LEFT(H253,4)&lt;&gt;"ERRO",I253="OK",J253="OK"),"OK","REVISAR"))</f>
      </c>
    </row>
    <row r="254">
      <c r="A254" s="5"/>
      <c r="B254" s="4"/>
      <c r="C254" s="4"/>
      <c r="D254" s="4"/>
      <c r="E254" s="5"/>
      <c r="F254" s="4"/>
      <c r="G254" s="6">
        <f>IF(A254="","",SUBSTITUTE(SUBSTITUTE(SUBSTITUTE(SUBSTITUTE(SUBSTITUTE(SUBSTITUTE(SUBSTITUTE(TRIM(A254),".",""),"/",""),"-","")," ",""),"(",""),")",""),"+",""))</f>
      </c>
      <c r="H254" s="6">
        <f>IF(G254="","",IF(LEN(G254)&lt;&gt;14,"ERRO: "&amp;LEN(G254)&amp;" dígitos",IF(NOT(ISNUMBER(VALUE(G254))),"ERRO: não numérico",IF(AND(VALUE(MID(G254,13,1))=IF(MOD(SUMPRODUCT(--MID(G254,{1,2,3,4,5,6,7,8,9,10,11,12},1),{5,4,3,2,9,8,7,6,5,4,3,2}),11)&lt;2,0,11-MOD(SUMPRODUCT(--MID(G254,{1,2,3,4,5,6,7,8,9,10,11,12},1),{5,4,3,2,9,8,7,6,5,4,3,2}),11)),VALUE(MID(G254,14,1))=IF(MOD(SUMPRODUCT(--MID(G254,{1,2,3,4,5,6,7,8,9,10,11,12,13},1),{6,5,4,3,2,9,8,7,6,5,4,3,2}),11)&lt;2,0,11-MOD(SUMPRODUCT(--MID(G254,{1,2,3,4,5,6,7,8,9,10,11,12,13},1),{6,5,4,3,2,9,8,7,6,5,4,3,2}),11))),"OK","AVISO: dígito verificador (conferir na org)"))))</f>
      </c>
      <c r="I254" s="6">
        <f>IF(G254="","",IF(COUNTIF($G$2:$G$2001,G254)&gt;1,"DUPLICADO","OK"))</f>
      </c>
      <c r="J254" s="6">
        <f>IF(COUNTA(A254:F254)=0,"",IF(AND(A254&lt;&gt;"",E254&lt;&gt;""),"OK","ERRO: faltam "&amp;IF(A254="","CNPJ; ","")&amp;IF(E254="","Novo gerente; ","")))</f>
      </c>
      <c r="K254" s="6">
        <f>IF(COUNTA(A254:F254)=0,"",IF(AND(LEFT(H254,4)&lt;&gt;"ERRO",I254="OK",J254="OK"),"OK","REVISAR"))</f>
      </c>
    </row>
    <row r="255">
      <c r="A255" s="5"/>
      <c r="B255" s="4"/>
      <c r="C255" s="4"/>
      <c r="D255" s="4"/>
      <c r="E255" s="5"/>
      <c r="F255" s="4"/>
      <c r="G255" s="6">
        <f>IF(A255="","",SUBSTITUTE(SUBSTITUTE(SUBSTITUTE(SUBSTITUTE(SUBSTITUTE(SUBSTITUTE(SUBSTITUTE(TRIM(A255),".",""),"/",""),"-","")," ",""),"(",""),")",""),"+",""))</f>
      </c>
      <c r="H255" s="6">
        <f>IF(G255="","",IF(LEN(G255)&lt;&gt;14,"ERRO: "&amp;LEN(G255)&amp;" dígitos",IF(NOT(ISNUMBER(VALUE(G255))),"ERRO: não numérico",IF(AND(VALUE(MID(G255,13,1))=IF(MOD(SUMPRODUCT(--MID(G255,{1,2,3,4,5,6,7,8,9,10,11,12},1),{5,4,3,2,9,8,7,6,5,4,3,2}),11)&lt;2,0,11-MOD(SUMPRODUCT(--MID(G255,{1,2,3,4,5,6,7,8,9,10,11,12},1),{5,4,3,2,9,8,7,6,5,4,3,2}),11)),VALUE(MID(G255,14,1))=IF(MOD(SUMPRODUCT(--MID(G255,{1,2,3,4,5,6,7,8,9,10,11,12,13},1),{6,5,4,3,2,9,8,7,6,5,4,3,2}),11)&lt;2,0,11-MOD(SUMPRODUCT(--MID(G255,{1,2,3,4,5,6,7,8,9,10,11,12,13},1),{6,5,4,3,2,9,8,7,6,5,4,3,2}),11))),"OK","AVISO: dígito verificador (conferir na org)"))))</f>
      </c>
      <c r="I255" s="6">
        <f>IF(G255="","",IF(COUNTIF($G$2:$G$2001,G255)&gt;1,"DUPLICADO","OK"))</f>
      </c>
      <c r="J255" s="6">
        <f>IF(COUNTA(A255:F255)=0,"",IF(AND(A255&lt;&gt;"",E255&lt;&gt;""),"OK","ERRO: faltam "&amp;IF(A255="","CNPJ; ","")&amp;IF(E255="","Novo gerente; ","")))</f>
      </c>
      <c r="K255" s="6">
        <f>IF(COUNTA(A255:F255)=0,"",IF(AND(LEFT(H255,4)&lt;&gt;"ERRO",I255="OK",J255="OK"),"OK","REVISAR"))</f>
      </c>
    </row>
    <row r="256">
      <c r="A256" s="5"/>
      <c r="B256" s="4"/>
      <c r="C256" s="4"/>
      <c r="D256" s="4"/>
      <c r="E256" s="5"/>
      <c r="F256" s="4"/>
      <c r="G256" s="6">
        <f>IF(A256="","",SUBSTITUTE(SUBSTITUTE(SUBSTITUTE(SUBSTITUTE(SUBSTITUTE(SUBSTITUTE(SUBSTITUTE(TRIM(A256),".",""),"/",""),"-","")," ",""),"(",""),")",""),"+",""))</f>
      </c>
      <c r="H256" s="6">
        <f>IF(G256="","",IF(LEN(G256)&lt;&gt;14,"ERRO: "&amp;LEN(G256)&amp;" dígitos",IF(NOT(ISNUMBER(VALUE(G256))),"ERRO: não numérico",IF(AND(VALUE(MID(G256,13,1))=IF(MOD(SUMPRODUCT(--MID(G256,{1,2,3,4,5,6,7,8,9,10,11,12},1),{5,4,3,2,9,8,7,6,5,4,3,2}),11)&lt;2,0,11-MOD(SUMPRODUCT(--MID(G256,{1,2,3,4,5,6,7,8,9,10,11,12},1),{5,4,3,2,9,8,7,6,5,4,3,2}),11)),VALUE(MID(G256,14,1))=IF(MOD(SUMPRODUCT(--MID(G256,{1,2,3,4,5,6,7,8,9,10,11,12,13},1),{6,5,4,3,2,9,8,7,6,5,4,3,2}),11)&lt;2,0,11-MOD(SUMPRODUCT(--MID(G256,{1,2,3,4,5,6,7,8,9,10,11,12,13},1),{6,5,4,3,2,9,8,7,6,5,4,3,2}),11))),"OK","AVISO: dígito verificador (conferir na org)"))))</f>
      </c>
      <c r="I256" s="6">
        <f>IF(G256="","",IF(COUNTIF($G$2:$G$2001,G256)&gt;1,"DUPLICADO","OK"))</f>
      </c>
      <c r="J256" s="6">
        <f>IF(COUNTA(A256:F256)=0,"",IF(AND(A256&lt;&gt;"",E256&lt;&gt;""),"OK","ERRO: faltam "&amp;IF(A256="","CNPJ; ","")&amp;IF(E256="","Novo gerente; ","")))</f>
      </c>
      <c r="K256" s="6">
        <f>IF(COUNTA(A256:F256)=0,"",IF(AND(LEFT(H256,4)&lt;&gt;"ERRO",I256="OK",J256="OK"),"OK","REVISAR"))</f>
      </c>
    </row>
    <row r="257">
      <c r="A257" s="5"/>
      <c r="B257" s="4"/>
      <c r="C257" s="4"/>
      <c r="D257" s="4"/>
      <c r="E257" s="5"/>
      <c r="F257" s="4"/>
      <c r="G257" s="6">
        <f>IF(A257="","",SUBSTITUTE(SUBSTITUTE(SUBSTITUTE(SUBSTITUTE(SUBSTITUTE(SUBSTITUTE(SUBSTITUTE(TRIM(A257),".",""),"/",""),"-","")," ",""),"(",""),")",""),"+",""))</f>
      </c>
      <c r="H257" s="6">
        <f>IF(G257="","",IF(LEN(G257)&lt;&gt;14,"ERRO: "&amp;LEN(G257)&amp;" dígitos",IF(NOT(ISNUMBER(VALUE(G257))),"ERRO: não numérico",IF(AND(VALUE(MID(G257,13,1))=IF(MOD(SUMPRODUCT(--MID(G257,{1,2,3,4,5,6,7,8,9,10,11,12},1),{5,4,3,2,9,8,7,6,5,4,3,2}),11)&lt;2,0,11-MOD(SUMPRODUCT(--MID(G257,{1,2,3,4,5,6,7,8,9,10,11,12},1),{5,4,3,2,9,8,7,6,5,4,3,2}),11)),VALUE(MID(G257,14,1))=IF(MOD(SUMPRODUCT(--MID(G257,{1,2,3,4,5,6,7,8,9,10,11,12,13},1),{6,5,4,3,2,9,8,7,6,5,4,3,2}),11)&lt;2,0,11-MOD(SUMPRODUCT(--MID(G257,{1,2,3,4,5,6,7,8,9,10,11,12,13},1),{6,5,4,3,2,9,8,7,6,5,4,3,2}),11))),"OK","AVISO: dígito verificador (conferir na org)"))))</f>
      </c>
      <c r="I257" s="6">
        <f>IF(G257="","",IF(COUNTIF($G$2:$G$2001,G257)&gt;1,"DUPLICADO","OK"))</f>
      </c>
      <c r="J257" s="6">
        <f>IF(COUNTA(A257:F257)=0,"",IF(AND(A257&lt;&gt;"",E257&lt;&gt;""),"OK","ERRO: faltam "&amp;IF(A257="","CNPJ; ","")&amp;IF(E257="","Novo gerente; ","")))</f>
      </c>
      <c r="K257" s="6">
        <f>IF(COUNTA(A257:F257)=0,"",IF(AND(LEFT(H257,4)&lt;&gt;"ERRO",I257="OK",J257="OK"),"OK","REVISAR"))</f>
      </c>
    </row>
    <row r="258">
      <c r="A258" s="5"/>
      <c r="B258" s="4"/>
      <c r="C258" s="4"/>
      <c r="D258" s="4"/>
      <c r="E258" s="5"/>
      <c r="F258" s="4"/>
      <c r="G258" s="6">
        <f>IF(A258="","",SUBSTITUTE(SUBSTITUTE(SUBSTITUTE(SUBSTITUTE(SUBSTITUTE(SUBSTITUTE(SUBSTITUTE(TRIM(A258),".",""),"/",""),"-","")," ",""),"(",""),")",""),"+",""))</f>
      </c>
      <c r="H258" s="6">
        <f>IF(G258="","",IF(LEN(G258)&lt;&gt;14,"ERRO: "&amp;LEN(G258)&amp;" dígitos",IF(NOT(ISNUMBER(VALUE(G258))),"ERRO: não numérico",IF(AND(VALUE(MID(G258,13,1))=IF(MOD(SUMPRODUCT(--MID(G258,{1,2,3,4,5,6,7,8,9,10,11,12},1),{5,4,3,2,9,8,7,6,5,4,3,2}),11)&lt;2,0,11-MOD(SUMPRODUCT(--MID(G258,{1,2,3,4,5,6,7,8,9,10,11,12},1),{5,4,3,2,9,8,7,6,5,4,3,2}),11)),VALUE(MID(G258,14,1))=IF(MOD(SUMPRODUCT(--MID(G258,{1,2,3,4,5,6,7,8,9,10,11,12,13},1),{6,5,4,3,2,9,8,7,6,5,4,3,2}),11)&lt;2,0,11-MOD(SUMPRODUCT(--MID(G258,{1,2,3,4,5,6,7,8,9,10,11,12,13},1),{6,5,4,3,2,9,8,7,6,5,4,3,2}),11))),"OK","AVISO: dígito verificador (conferir na org)"))))</f>
      </c>
      <c r="I258" s="6">
        <f>IF(G258="","",IF(COUNTIF($G$2:$G$2001,G258)&gt;1,"DUPLICADO","OK"))</f>
      </c>
      <c r="J258" s="6">
        <f>IF(COUNTA(A258:F258)=0,"",IF(AND(A258&lt;&gt;"",E258&lt;&gt;""),"OK","ERRO: faltam "&amp;IF(A258="","CNPJ; ","")&amp;IF(E258="","Novo gerente; ","")))</f>
      </c>
      <c r="K258" s="6">
        <f>IF(COUNTA(A258:F258)=0,"",IF(AND(LEFT(H258,4)&lt;&gt;"ERRO",I258="OK",J258="OK"),"OK","REVISAR"))</f>
      </c>
    </row>
    <row r="259">
      <c r="A259" s="5"/>
      <c r="B259" s="4"/>
      <c r="C259" s="4"/>
      <c r="D259" s="4"/>
      <c r="E259" s="5"/>
      <c r="F259" s="4"/>
      <c r="G259" s="6">
        <f>IF(A259="","",SUBSTITUTE(SUBSTITUTE(SUBSTITUTE(SUBSTITUTE(SUBSTITUTE(SUBSTITUTE(SUBSTITUTE(TRIM(A259),".",""),"/",""),"-","")," ",""),"(",""),")",""),"+",""))</f>
      </c>
      <c r="H259" s="6">
        <f>IF(G259="","",IF(LEN(G259)&lt;&gt;14,"ERRO: "&amp;LEN(G259)&amp;" dígitos",IF(NOT(ISNUMBER(VALUE(G259))),"ERRO: não numérico",IF(AND(VALUE(MID(G259,13,1))=IF(MOD(SUMPRODUCT(--MID(G259,{1,2,3,4,5,6,7,8,9,10,11,12},1),{5,4,3,2,9,8,7,6,5,4,3,2}),11)&lt;2,0,11-MOD(SUMPRODUCT(--MID(G259,{1,2,3,4,5,6,7,8,9,10,11,12},1),{5,4,3,2,9,8,7,6,5,4,3,2}),11)),VALUE(MID(G259,14,1))=IF(MOD(SUMPRODUCT(--MID(G259,{1,2,3,4,5,6,7,8,9,10,11,12,13},1),{6,5,4,3,2,9,8,7,6,5,4,3,2}),11)&lt;2,0,11-MOD(SUMPRODUCT(--MID(G259,{1,2,3,4,5,6,7,8,9,10,11,12,13},1),{6,5,4,3,2,9,8,7,6,5,4,3,2}),11))),"OK","AVISO: dígito verificador (conferir na org)"))))</f>
      </c>
      <c r="I259" s="6">
        <f>IF(G259="","",IF(COUNTIF($G$2:$G$2001,G259)&gt;1,"DUPLICADO","OK"))</f>
      </c>
      <c r="J259" s="6">
        <f>IF(COUNTA(A259:F259)=0,"",IF(AND(A259&lt;&gt;"",E259&lt;&gt;""),"OK","ERRO: faltam "&amp;IF(A259="","CNPJ; ","")&amp;IF(E259="","Novo gerente; ","")))</f>
      </c>
      <c r="K259" s="6">
        <f>IF(COUNTA(A259:F259)=0,"",IF(AND(LEFT(H259,4)&lt;&gt;"ERRO",I259="OK",J259="OK"),"OK","REVISAR"))</f>
      </c>
    </row>
    <row r="260">
      <c r="A260" s="5"/>
      <c r="B260" s="4"/>
      <c r="C260" s="4"/>
      <c r="D260" s="4"/>
      <c r="E260" s="5"/>
      <c r="F260" s="4"/>
      <c r="G260" s="6">
        <f>IF(A260="","",SUBSTITUTE(SUBSTITUTE(SUBSTITUTE(SUBSTITUTE(SUBSTITUTE(SUBSTITUTE(SUBSTITUTE(TRIM(A260),".",""),"/",""),"-","")," ",""),"(",""),")",""),"+",""))</f>
      </c>
      <c r="H260" s="6">
        <f>IF(G260="","",IF(LEN(G260)&lt;&gt;14,"ERRO: "&amp;LEN(G260)&amp;" dígitos",IF(NOT(ISNUMBER(VALUE(G260))),"ERRO: não numérico",IF(AND(VALUE(MID(G260,13,1))=IF(MOD(SUMPRODUCT(--MID(G260,{1,2,3,4,5,6,7,8,9,10,11,12},1),{5,4,3,2,9,8,7,6,5,4,3,2}),11)&lt;2,0,11-MOD(SUMPRODUCT(--MID(G260,{1,2,3,4,5,6,7,8,9,10,11,12},1),{5,4,3,2,9,8,7,6,5,4,3,2}),11)),VALUE(MID(G260,14,1))=IF(MOD(SUMPRODUCT(--MID(G260,{1,2,3,4,5,6,7,8,9,10,11,12,13},1),{6,5,4,3,2,9,8,7,6,5,4,3,2}),11)&lt;2,0,11-MOD(SUMPRODUCT(--MID(G260,{1,2,3,4,5,6,7,8,9,10,11,12,13},1),{6,5,4,3,2,9,8,7,6,5,4,3,2}),11))),"OK","AVISO: dígito verificador (conferir na org)"))))</f>
      </c>
      <c r="I260" s="6">
        <f>IF(G260="","",IF(COUNTIF($G$2:$G$2001,G260)&gt;1,"DUPLICADO","OK"))</f>
      </c>
      <c r="J260" s="6">
        <f>IF(COUNTA(A260:F260)=0,"",IF(AND(A260&lt;&gt;"",E260&lt;&gt;""),"OK","ERRO: faltam "&amp;IF(A260="","CNPJ; ","")&amp;IF(E260="","Novo gerente; ","")))</f>
      </c>
      <c r="K260" s="6">
        <f>IF(COUNTA(A260:F260)=0,"",IF(AND(LEFT(H260,4)&lt;&gt;"ERRO",I260="OK",J260="OK"),"OK","REVISAR"))</f>
      </c>
    </row>
    <row r="261">
      <c r="A261" s="5"/>
      <c r="B261" s="4"/>
      <c r="C261" s="4"/>
      <c r="D261" s="4"/>
      <c r="E261" s="5"/>
      <c r="F261" s="4"/>
      <c r="G261" s="6">
        <f>IF(A261="","",SUBSTITUTE(SUBSTITUTE(SUBSTITUTE(SUBSTITUTE(SUBSTITUTE(SUBSTITUTE(SUBSTITUTE(TRIM(A261),".",""),"/",""),"-","")," ",""),"(",""),")",""),"+",""))</f>
      </c>
      <c r="H261" s="6">
        <f>IF(G261="","",IF(LEN(G261)&lt;&gt;14,"ERRO: "&amp;LEN(G261)&amp;" dígitos",IF(NOT(ISNUMBER(VALUE(G261))),"ERRO: não numérico",IF(AND(VALUE(MID(G261,13,1))=IF(MOD(SUMPRODUCT(--MID(G261,{1,2,3,4,5,6,7,8,9,10,11,12},1),{5,4,3,2,9,8,7,6,5,4,3,2}),11)&lt;2,0,11-MOD(SUMPRODUCT(--MID(G261,{1,2,3,4,5,6,7,8,9,10,11,12},1),{5,4,3,2,9,8,7,6,5,4,3,2}),11)),VALUE(MID(G261,14,1))=IF(MOD(SUMPRODUCT(--MID(G261,{1,2,3,4,5,6,7,8,9,10,11,12,13},1),{6,5,4,3,2,9,8,7,6,5,4,3,2}),11)&lt;2,0,11-MOD(SUMPRODUCT(--MID(G261,{1,2,3,4,5,6,7,8,9,10,11,12,13},1),{6,5,4,3,2,9,8,7,6,5,4,3,2}),11))),"OK","AVISO: dígito verificador (conferir na org)"))))</f>
      </c>
      <c r="I261" s="6">
        <f>IF(G261="","",IF(COUNTIF($G$2:$G$2001,G261)&gt;1,"DUPLICADO","OK"))</f>
      </c>
      <c r="J261" s="6">
        <f>IF(COUNTA(A261:F261)=0,"",IF(AND(A261&lt;&gt;"",E261&lt;&gt;""),"OK","ERRO: faltam "&amp;IF(A261="","CNPJ; ","")&amp;IF(E261="","Novo gerente; ","")))</f>
      </c>
      <c r="K261" s="6">
        <f>IF(COUNTA(A261:F261)=0,"",IF(AND(LEFT(H261,4)&lt;&gt;"ERRO",I261="OK",J261="OK"),"OK","REVISAR"))</f>
      </c>
    </row>
    <row r="262">
      <c r="A262" s="5"/>
      <c r="B262" s="4"/>
      <c r="C262" s="4"/>
      <c r="D262" s="4"/>
      <c r="E262" s="5"/>
      <c r="F262" s="4"/>
      <c r="G262" s="6">
        <f>IF(A262="","",SUBSTITUTE(SUBSTITUTE(SUBSTITUTE(SUBSTITUTE(SUBSTITUTE(SUBSTITUTE(SUBSTITUTE(TRIM(A262),".",""),"/",""),"-","")," ",""),"(",""),")",""),"+",""))</f>
      </c>
      <c r="H262" s="6">
        <f>IF(G262="","",IF(LEN(G262)&lt;&gt;14,"ERRO: "&amp;LEN(G262)&amp;" dígitos",IF(NOT(ISNUMBER(VALUE(G262))),"ERRO: não numérico",IF(AND(VALUE(MID(G262,13,1))=IF(MOD(SUMPRODUCT(--MID(G262,{1,2,3,4,5,6,7,8,9,10,11,12},1),{5,4,3,2,9,8,7,6,5,4,3,2}),11)&lt;2,0,11-MOD(SUMPRODUCT(--MID(G262,{1,2,3,4,5,6,7,8,9,10,11,12},1),{5,4,3,2,9,8,7,6,5,4,3,2}),11)),VALUE(MID(G262,14,1))=IF(MOD(SUMPRODUCT(--MID(G262,{1,2,3,4,5,6,7,8,9,10,11,12,13},1),{6,5,4,3,2,9,8,7,6,5,4,3,2}),11)&lt;2,0,11-MOD(SUMPRODUCT(--MID(G262,{1,2,3,4,5,6,7,8,9,10,11,12,13},1),{6,5,4,3,2,9,8,7,6,5,4,3,2}),11))),"OK","AVISO: dígito verificador (conferir na org)"))))</f>
      </c>
      <c r="I262" s="6">
        <f>IF(G262="","",IF(COUNTIF($G$2:$G$2001,G262)&gt;1,"DUPLICADO","OK"))</f>
      </c>
      <c r="J262" s="6">
        <f>IF(COUNTA(A262:F262)=0,"",IF(AND(A262&lt;&gt;"",E262&lt;&gt;""),"OK","ERRO: faltam "&amp;IF(A262="","CNPJ; ","")&amp;IF(E262="","Novo gerente; ","")))</f>
      </c>
      <c r="K262" s="6">
        <f>IF(COUNTA(A262:F262)=0,"",IF(AND(LEFT(H262,4)&lt;&gt;"ERRO",I262="OK",J262="OK"),"OK","REVISAR"))</f>
      </c>
    </row>
    <row r="263">
      <c r="A263" s="5"/>
      <c r="B263" s="4"/>
      <c r="C263" s="4"/>
      <c r="D263" s="4"/>
      <c r="E263" s="5"/>
      <c r="F263" s="4"/>
      <c r="G263" s="6">
        <f>IF(A263="","",SUBSTITUTE(SUBSTITUTE(SUBSTITUTE(SUBSTITUTE(SUBSTITUTE(SUBSTITUTE(SUBSTITUTE(TRIM(A263),".",""),"/",""),"-","")," ",""),"(",""),")",""),"+",""))</f>
      </c>
      <c r="H263" s="6">
        <f>IF(G263="","",IF(LEN(G263)&lt;&gt;14,"ERRO: "&amp;LEN(G263)&amp;" dígitos",IF(NOT(ISNUMBER(VALUE(G263))),"ERRO: não numérico",IF(AND(VALUE(MID(G263,13,1))=IF(MOD(SUMPRODUCT(--MID(G263,{1,2,3,4,5,6,7,8,9,10,11,12},1),{5,4,3,2,9,8,7,6,5,4,3,2}),11)&lt;2,0,11-MOD(SUMPRODUCT(--MID(G263,{1,2,3,4,5,6,7,8,9,10,11,12},1),{5,4,3,2,9,8,7,6,5,4,3,2}),11)),VALUE(MID(G263,14,1))=IF(MOD(SUMPRODUCT(--MID(G263,{1,2,3,4,5,6,7,8,9,10,11,12,13},1),{6,5,4,3,2,9,8,7,6,5,4,3,2}),11)&lt;2,0,11-MOD(SUMPRODUCT(--MID(G263,{1,2,3,4,5,6,7,8,9,10,11,12,13},1),{6,5,4,3,2,9,8,7,6,5,4,3,2}),11))),"OK","AVISO: dígito verificador (conferir na org)"))))</f>
      </c>
      <c r="I263" s="6">
        <f>IF(G263="","",IF(COUNTIF($G$2:$G$2001,G263)&gt;1,"DUPLICADO","OK"))</f>
      </c>
      <c r="J263" s="6">
        <f>IF(COUNTA(A263:F263)=0,"",IF(AND(A263&lt;&gt;"",E263&lt;&gt;""),"OK","ERRO: faltam "&amp;IF(A263="","CNPJ; ","")&amp;IF(E263="","Novo gerente; ","")))</f>
      </c>
      <c r="K263" s="6">
        <f>IF(COUNTA(A263:F263)=0,"",IF(AND(LEFT(H263,4)&lt;&gt;"ERRO",I263="OK",J263="OK"),"OK","REVISAR"))</f>
      </c>
    </row>
    <row r="264">
      <c r="A264" s="5"/>
      <c r="B264" s="4"/>
      <c r="C264" s="4"/>
      <c r="D264" s="4"/>
      <c r="E264" s="5"/>
      <c r="F264" s="4"/>
      <c r="G264" s="6">
        <f>IF(A264="","",SUBSTITUTE(SUBSTITUTE(SUBSTITUTE(SUBSTITUTE(SUBSTITUTE(SUBSTITUTE(SUBSTITUTE(TRIM(A264),".",""),"/",""),"-","")," ",""),"(",""),")",""),"+",""))</f>
      </c>
      <c r="H264" s="6">
        <f>IF(G264="","",IF(LEN(G264)&lt;&gt;14,"ERRO: "&amp;LEN(G264)&amp;" dígitos",IF(NOT(ISNUMBER(VALUE(G264))),"ERRO: não numérico",IF(AND(VALUE(MID(G264,13,1))=IF(MOD(SUMPRODUCT(--MID(G264,{1,2,3,4,5,6,7,8,9,10,11,12},1),{5,4,3,2,9,8,7,6,5,4,3,2}),11)&lt;2,0,11-MOD(SUMPRODUCT(--MID(G264,{1,2,3,4,5,6,7,8,9,10,11,12},1),{5,4,3,2,9,8,7,6,5,4,3,2}),11)),VALUE(MID(G264,14,1))=IF(MOD(SUMPRODUCT(--MID(G264,{1,2,3,4,5,6,7,8,9,10,11,12,13},1),{6,5,4,3,2,9,8,7,6,5,4,3,2}),11)&lt;2,0,11-MOD(SUMPRODUCT(--MID(G264,{1,2,3,4,5,6,7,8,9,10,11,12,13},1),{6,5,4,3,2,9,8,7,6,5,4,3,2}),11))),"OK","AVISO: dígito verificador (conferir na org)"))))</f>
      </c>
      <c r="I264" s="6">
        <f>IF(G264="","",IF(COUNTIF($G$2:$G$2001,G264)&gt;1,"DUPLICADO","OK"))</f>
      </c>
      <c r="J264" s="6">
        <f>IF(COUNTA(A264:F264)=0,"",IF(AND(A264&lt;&gt;"",E264&lt;&gt;""),"OK","ERRO: faltam "&amp;IF(A264="","CNPJ; ","")&amp;IF(E264="","Novo gerente; ","")))</f>
      </c>
      <c r="K264" s="6">
        <f>IF(COUNTA(A264:F264)=0,"",IF(AND(LEFT(H264,4)&lt;&gt;"ERRO",I264="OK",J264="OK"),"OK","REVISAR"))</f>
      </c>
    </row>
    <row r="265">
      <c r="A265" s="5"/>
      <c r="B265" s="4"/>
      <c r="C265" s="4"/>
      <c r="D265" s="4"/>
      <c r="E265" s="5"/>
      <c r="F265" s="4"/>
      <c r="G265" s="6">
        <f>IF(A265="","",SUBSTITUTE(SUBSTITUTE(SUBSTITUTE(SUBSTITUTE(SUBSTITUTE(SUBSTITUTE(SUBSTITUTE(TRIM(A265),".",""),"/",""),"-","")," ",""),"(",""),")",""),"+",""))</f>
      </c>
      <c r="H265" s="6">
        <f>IF(G265="","",IF(LEN(G265)&lt;&gt;14,"ERRO: "&amp;LEN(G265)&amp;" dígitos",IF(NOT(ISNUMBER(VALUE(G265))),"ERRO: não numérico",IF(AND(VALUE(MID(G265,13,1))=IF(MOD(SUMPRODUCT(--MID(G265,{1,2,3,4,5,6,7,8,9,10,11,12},1),{5,4,3,2,9,8,7,6,5,4,3,2}),11)&lt;2,0,11-MOD(SUMPRODUCT(--MID(G265,{1,2,3,4,5,6,7,8,9,10,11,12},1),{5,4,3,2,9,8,7,6,5,4,3,2}),11)),VALUE(MID(G265,14,1))=IF(MOD(SUMPRODUCT(--MID(G265,{1,2,3,4,5,6,7,8,9,10,11,12,13},1),{6,5,4,3,2,9,8,7,6,5,4,3,2}),11)&lt;2,0,11-MOD(SUMPRODUCT(--MID(G265,{1,2,3,4,5,6,7,8,9,10,11,12,13},1),{6,5,4,3,2,9,8,7,6,5,4,3,2}),11))),"OK","AVISO: dígito verificador (conferir na org)"))))</f>
      </c>
      <c r="I265" s="6">
        <f>IF(G265="","",IF(COUNTIF($G$2:$G$2001,G265)&gt;1,"DUPLICADO","OK"))</f>
      </c>
      <c r="J265" s="6">
        <f>IF(COUNTA(A265:F265)=0,"",IF(AND(A265&lt;&gt;"",E265&lt;&gt;""),"OK","ERRO: faltam "&amp;IF(A265="","CNPJ; ","")&amp;IF(E265="","Novo gerente; ","")))</f>
      </c>
      <c r="K265" s="6">
        <f>IF(COUNTA(A265:F265)=0,"",IF(AND(LEFT(H265,4)&lt;&gt;"ERRO",I265="OK",J265="OK"),"OK","REVISAR"))</f>
      </c>
    </row>
    <row r="266">
      <c r="A266" s="5"/>
      <c r="B266" s="4"/>
      <c r="C266" s="4"/>
      <c r="D266" s="4"/>
      <c r="E266" s="5"/>
      <c r="F266" s="4"/>
      <c r="G266" s="6">
        <f>IF(A266="","",SUBSTITUTE(SUBSTITUTE(SUBSTITUTE(SUBSTITUTE(SUBSTITUTE(SUBSTITUTE(SUBSTITUTE(TRIM(A266),".",""),"/",""),"-","")," ",""),"(",""),")",""),"+",""))</f>
      </c>
      <c r="H266" s="6">
        <f>IF(G266="","",IF(LEN(G266)&lt;&gt;14,"ERRO: "&amp;LEN(G266)&amp;" dígitos",IF(NOT(ISNUMBER(VALUE(G266))),"ERRO: não numérico",IF(AND(VALUE(MID(G266,13,1))=IF(MOD(SUMPRODUCT(--MID(G266,{1,2,3,4,5,6,7,8,9,10,11,12},1),{5,4,3,2,9,8,7,6,5,4,3,2}),11)&lt;2,0,11-MOD(SUMPRODUCT(--MID(G266,{1,2,3,4,5,6,7,8,9,10,11,12},1),{5,4,3,2,9,8,7,6,5,4,3,2}),11)),VALUE(MID(G266,14,1))=IF(MOD(SUMPRODUCT(--MID(G266,{1,2,3,4,5,6,7,8,9,10,11,12,13},1),{6,5,4,3,2,9,8,7,6,5,4,3,2}),11)&lt;2,0,11-MOD(SUMPRODUCT(--MID(G266,{1,2,3,4,5,6,7,8,9,10,11,12,13},1),{6,5,4,3,2,9,8,7,6,5,4,3,2}),11))),"OK","AVISO: dígito verificador (conferir na org)"))))</f>
      </c>
      <c r="I266" s="6">
        <f>IF(G266="","",IF(COUNTIF($G$2:$G$2001,G266)&gt;1,"DUPLICADO","OK"))</f>
      </c>
      <c r="J266" s="6">
        <f>IF(COUNTA(A266:F266)=0,"",IF(AND(A266&lt;&gt;"",E266&lt;&gt;""),"OK","ERRO: faltam "&amp;IF(A266="","CNPJ; ","")&amp;IF(E266="","Novo gerente; ","")))</f>
      </c>
      <c r="K266" s="6">
        <f>IF(COUNTA(A266:F266)=0,"",IF(AND(LEFT(H266,4)&lt;&gt;"ERRO",I266="OK",J266="OK"),"OK","REVISAR"))</f>
      </c>
    </row>
    <row r="267">
      <c r="A267" s="5"/>
      <c r="B267" s="4"/>
      <c r="C267" s="4"/>
      <c r="D267" s="4"/>
      <c r="E267" s="5"/>
      <c r="F267" s="4"/>
      <c r="G267" s="6">
        <f>IF(A267="","",SUBSTITUTE(SUBSTITUTE(SUBSTITUTE(SUBSTITUTE(SUBSTITUTE(SUBSTITUTE(SUBSTITUTE(TRIM(A267),".",""),"/",""),"-","")," ",""),"(",""),")",""),"+",""))</f>
      </c>
      <c r="H267" s="6">
        <f>IF(G267="","",IF(LEN(G267)&lt;&gt;14,"ERRO: "&amp;LEN(G267)&amp;" dígitos",IF(NOT(ISNUMBER(VALUE(G267))),"ERRO: não numérico",IF(AND(VALUE(MID(G267,13,1))=IF(MOD(SUMPRODUCT(--MID(G267,{1,2,3,4,5,6,7,8,9,10,11,12},1),{5,4,3,2,9,8,7,6,5,4,3,2}),11)&lt;2,0,11-MOD(SUMPRODUCT(--MID(G267,{1,2,3,4,5,6,7,8,9,10,11,12},1),{5,4,3,2,9,8,7,6,5,4,3,2}),11)),VALUE(MID(G267,14,1))=IF(MOD(SUMPRODUCT(--MID(G267,{1,2,3,4,5,6,7,8,9,10,11,12,13},1),{6,5,4,3,2,9,8,7,6,5,4,3,2}),11)&lt;2,0,11-MOD(SUMPRODUCT(--MID(G267,{1,2,3,4,5,6,7,8,9,10,11,12,13},1),{6,5,4,3,2,9,8,7,6,5,4,3,2}),11))),"OK","AVISO: dígito verificador (conferir na org)"))))</f>
      </c>
      <c r="I267" s="6">
        <f>IF(G267="","",IF(COUNTIF($G$2:$G$2001,G267)&gt;1,"DUPLICADO","OK"))</f>
      </c>
      <c r="J267" s="6">
        <f>IF(COUNTA(A267:F267)=0,"",IF(AND(A267&lt;&gt;"",E267&lt;&gt;""),"OK","ERRO: faltam "&amp;IF(A267="","CNPJ; ","")&amp;IF(E267="","Novo gerente; ","")))</f>
      </c>
      <c r="K267" s="6">
        <f>IF(COUNTA(A267:F267)=0,"",IF(AND(LEFT(H267,4)&lt;&gt;"ERRO",I267="OK",J267="OK"),"OK","REVISAR"))</f>
      </c>
    </row>
    <row r="268">
      <c r="A268" s="5"/>
      <c r="B268" s="4"/>
      <c r="C268" s="4"/>
      <c r="D268" s="4"/>
      <c r="E268" s="5"/>
      <c r="F268" s="4"/>
      <c r="G268" s="6">
        <f>IF(A268="","",SUBSTITUTE(SUBSTITUTE(SUBSTITUTE(SUBSTITUTE(SUBSTITUTE(SUBSTITUTE(SUBSTITUTE(TRIM(A268),".",""),"/",""),"-","")," ",""),"(",""),")",""),"+",""))</f>
      </c>
      <c r="H268" s="6">
        <f>IF(G268="","",IF(LEN(G268)&lt;&gt;14,"ERRO: "&amp;LEN(G268)&amp;" dígitos",IF(NOT(ISNUMBER(VALUE(G268))),"ERRO: não numérico",IF(AND(VALUE(MID(G268,13,1))=IF(MOD(SUMPRODUCT(--MID(G268,{1,2,3,4,5,6,7,8,9,10,11,12},1),{5,4,3,2,9,8,7,6,5,4,3,2}),11)&lt;2,0,11-MOD(SUMPRODUCT(--MID(G268,{1,2,3,4,5,6,7,8,9,10,11,12},1),{5,4,3,2,9,8,7,6,5,4,3,2}),11)),VALUE(MID(G268,14,1))=IF(MOD(SUMPRODUCT(--MID(G268,{1,2,3,4,5,6,7,8,9,10,11,12,13},1),{6,5,4,3,2,9,8,7,6,5,4,3,2}),11)&lt;2,0,11-MOD(SUMPRODUCT(--MID(G268,{1,2,3,4,5,6,7,8,9,10,11,12,13},1),{6,5,4,3,2,9,8,7,6,5,4,3,2}),11))),"OK","AVISO: dígito verificador (conferir na org)"))))</f>
      </c>
      <c r="I268" s="6">
        <f>IF(G268="","",IF(COUNTIF($G$2:$G$2001,G268)&gt;1,"DUPLICADO","OK"))</f>
      </c>
      <c r="J268" s="6">
        <f>IF(COUNTA(A268:F268)=0,"",IF(AND(A268&lt;&gt;"",E268&lt;&gt;""),"OK","ERRO: faltam "&amp;IF(A268="","CNPJ; ","")&amp;IF(E268="","Novo gerente; ","")))</f>
      </c>
      <c r="K268" s="6">
        <f>IF(COUNTA(A268:F268)=0,"",IF(AND(LEFT(H268,4)&lt;&gt;"ERRO",I268="OK",J268="OK"),"OK","REVISAR"))</f>
      </c>
    </row>
    <row r="269">
      <c r="A269" s="5"/>
      <c r="B269" s="4"/>
      <c r="C269" s="4"/>
      <c r="D269" s="4"/>
      <c r="E269" s="5"/>
      <c r="F269" s="4"/>
      <c r="G269" s="6">
        <f>IF(A269="","",SUBSTITUTE(SUBSTITUTE(SUBSTITUTE(SUBSTITUTE(SUBSTITUTE(SUBSTITUTE(SUBSTITUTE(TRIM(A269),".",""),"/",""),"-","")," ",""),"(",""),")",""),"+",""))</f>
      </c>
      <c r="H269" s="6">
        <f>IF(G269="","",IF(LEN(G269)&lt;&gt;14,"ERRO: "&amp;LEN(G269)&amp;" dígitos",IF(NOT(ISNUMBER(VALUE(G269))),"ERRO: não numérico",IF(AND(VALUE(MID(G269,13,1))=IF(MOD(SUMPRODUCT(--MID(G269,{1,2,3,4,5,6,7,8,9,10,11,12},1),{5,4,3,2,9,8,7,6,5,4,3,2}),11)&lt;2,0,11-MOD(SUMPRODUCT(--MID(G269,{1,2,3,4,5,6,7,8,9,10,11,12},1),{5,4,3,2,9,8,7,6,5,4,3,2}),11)),VALUE(MID(G269,14,1))=IF(MOD(SUMPRODUCT(--MID(G269,{1,2,3,4,5,6,7,8,9,10,11,12,13},1),{6,5,4,3,2,9,8,7,6,5,4,3,2}),11)&lt;2,0,11-MOD(SUMPRODUCT(--MID(G269,{1,2,3,4,5,6,7,8,9,10,11,12,13},1),{6,5,4,3,2,9,8,7,6,5,4,3,2}),11))),"OK","AVISO: dígito verificador (conferir na org)"))))</f>
      </c>
      <c r="I269" s="6">
        <f>IF(G269="","",IF(COUNTIF($G$2:$G$2001,G269)&gt;1,"DUPLICADO","OK"))</f>
      </c>
      <c r="J269" s="6">
        <f>IF(COUNTA(A269:F269)=0,"",IF(AND(A269&lt;&gt;"",E269&lt;&gt;""),"OK","ERRO: faltam "&amp;IF(A269="","CNPJ; ","")&amp;IF(E269="","Novo gerente; ","")))</f>
      </c>
      <c r="K269" s="6">
        <f>IF(COUNTA(A269:F269)=0,"",IF(AND(LEFT(H269,4)&lt;&gt;"ERRO",I269="OK",J269="OK"),"OK","REVISAR"))</f>
      </c>
    </row>
    <row r="270">
      <c r="A270" s="5"/>
      <c r="B270" s="4"/>
      <c r="C270" s="4"/>
      <c r="D270" s="4"/>
      <c r="E270" s="5"/>
      <c r="F270" s="4"/>
      <c r="G270" s="6">
        <f>IF(A270="","",SUBSTITUTE(SUBSTITUTE(SUBSTITUTE(SUBSTITUTE(SUBSTITUTE(SUBSTITUTE(SUBSTITUTE(TRIM(A270),".",""),"/",""),"-","")," ",""),"(",""),")",""),"+",""))</f>
      </c>
      <c r="H270" s="6">
        <f>IF(G270="","",IF(LEN(G270)&lt;&gt;14,"ERRO: "&amp;LEN(G270)&amp;" dígitos",IF(NOT(ISNUMBER(VALUE(G270))),"ERRO: não numérico",IF(AND(VALUE(MID(G270,13,1))=IF(MOD(SUMPRODUCT(--MID(G270,{1,2,3,4,5,6,7,8,9,10,11,12},1),{5,4,3,2,9,8,7,6,5,4,3,2}),11)&lt;2,0,11-MOD(SUMPRODUCT(--MID(G270,{1,2,3,4,5,6,7,8,9,10,11,12},1),{5,4,3,2,9,8,7,6,5,4,3,2}),11)),VALUE(MID(G270,14,1))=IF(MOD(SUMPRODUCT(--MID(G270,{1,2,3,4,5,6,7,8,9,10,11,12,13},1),{6,5,4,3,2,9,8,7,6,5,4,3,2}),11)&lt;2,0,11-MOD(SUMPRODUCT(--MID(G270,{1,2,3,4,5,6,7,8,9,10,11,12,13},1),{6,5,4,3,2,9,8,7,6,5,4,3,2}),11))),"OK","AVISO: dígito verificador (conferir na org)"))))</f>
      </c>
      <c r="I270" s="6">
        <f>IF(G270="","",IF(COUNTIF($G$2:$G$2001,G270)&gt;1,"DUPLICADO","OK"))</f>
      </c>
      <c r="J270" s="6">
        <f>IF(COUNTA(A270:F270)=0,"",IF(AND(A270&lt;&gt;"",E270&lt;&gt;""),"OK","ERRO: faltam "&amp;IF(A270="","CNPJ; ","")&amp;IF(E270="","Novo gerente; ","")))</f>
      </c>
      <c r="K270" s="6">
        <f>IF(COUNTA(A270:F270)=0,"",IF(AND(LEFT(H270,4)&lt;&gt;"ERRO",I270="OK",J270="OK"),"OK","REVISAR"))</f>
      </c>
    </row>
    <row r="271">
      <c r="A271" s="5"/>
      <c r="B271" s="4"/>
      <c r="C271" s="4"/>
      <c r="D271" s="4"/>
      <c r="E271" s="5"/>
      <c r="F271" s="4"/>
      <c r="G271" s="6">
        <f>IF(A271="","",SUBSTITUTE(SUBSTITUTE(SUBSTITUTE(SUBSTITUTE(SUBSTITUTE(SUBSTITUTE(SUBSTITUTE(TRIM(A271),".",""),"/",""),"-","")," ",""),"(",""),")",""),"+",""))</f>
      </c>
      <c r="H271" s="6">
        <f>IF(G271="","",IF(LEN(G271)&lt;&gt;14,"ERRO: "&amp;LEN(G271)&amp;" dígitos",IF(NOT(ISNUMBER(VALUE(G271))),"ERRO: não numérico",IF(AND(VALUE(MID(G271,13,1))=IF(MOD(SUMPRODUCT(--MID(G271,{1,2,3,4,5,6,7,8,9,10,11,12},1),{5,4,3,2,9,8,7,6,5,4,3,2}),11)&lt;2,0,11-MOD(SUMPRODUCT(--MID(G271,{1,2,3,4,5,6,7,8,9,10,11,12},1),{5,4,3,2,9,8,7,6,5,4,3,2}),11)),VALUE(MID(G271,14,1))=IF(MOD(SUMPRODUCT(--MID(G271,{1,2,3,4,5,6,7,8,9,10,11,12,13},1),{6,5,4,3,2,9,8,7,6,5,4,3,2}),11)&lt;2,0,11-MOD(SUMPRODUCT(--MID(G271,{1,2,3,4,5,6,7,8,9,10,11,12,13},1),{6,5,4,3,2,9,8,7,6,5,4,3,2}),11))),"OK","AVISO: dígito verificador (conferir na org)"))))</f>
      </c>
      <c r="I271" s="6">
        <f>IF(G271="","",IF(COUNTIF($G$2:$G$2001,G271)&gt;1,"DUPLICADO","OK"))</f>
      </c>
      <c r="J271" s="6">
        <f>IF(COUNTA(A271:F271)=0,"",IF(AND(A271&lt;&gt;"",E271&lt;&gt;""),"OK","ERRO: faltam "&amp;IF(A271="","CNPJ; ","")&amp;IF(E271="","Novo gerente; ","")))</f>
      </c>
      <c r="K271" s="6">
        <f>IF(COUNTA(A271:F271)=0,"",IF(AND(LEFT(H271,4)&lt;&gt;"ERRO",I271="OK",J271="OK"),"OK","REVISAR"))</f>
      </c>
    </row>
    <row r="272">
      <c r="A272" s="5"/>
      <c r="B272" s="4"/>
      <c r="C272" s="4"/>
      <c r="D272" s="4"/>
      <c r="E272" s="5"/>
      <c r="F272" s="4"/>
      <c r="G272" s="6">
        <f>IF(A272="","",SUBSTITUTE(SUBSTITUTE(SUBSTITUTE(SUBSTITUTE(SUBSTITUTE(SUBSTITUTE(SUBSTITUTE(TRIM(A272),".",""),"/",""),"-","")," ",""),"(",""),")",""),"+",""))</f>
      </c>
      <c r="H272" s="6">
        <f>IF(G272="","",IF(LEN(G272)&lt;&gt;14,"ERRO: "&amp;LEN(G272)&amp;" dígitos",IF(NOT(ISNUMBER(VALUE(G272))),"ERRO: não numérico",IF(AND(VALUE(MID(G272,13,1))=IF(MOD(SUMPRODUCT(--MID(G272,{1,2,3,4,5,6,7,8,9,10,11,12},1),{5,4,3,2,9,8,7,6,5,4,3,2}),11)&lt;2,0,11-MOD(SUMPRODUCT(--MID(G272,{1,2,3,4,5,6,7,8,9,10,11,12},1),{5,4,3,2,9,8,7,6,5,4,3,2}),11)),VALUE(MID(G272,14,1))=IF(MOD(SUMPRODUCT(--MID(G272,{1,2,3,4,5,6,7,8,9,10,11,12,13},1),{6,5,4,3,2,9,8,7,6,5,4,3,2}),11)&lt;2,0,11-MOD(SUMPRODUCT(--MID(G272,{1,2,3,4,5,6,7,8,9,10,11,12,13},1),{6,5,4,3,2,9,8,7,6,5,4,3,2}),11))),"OK","AVISO: dígito verificador (conferir na org)"))))</f>
      </c>
      <c r="I272" s="6">
        <f>IF(G272="","",IF(COUNTIF($G$2:$G$2001,G272)&gt;1,"DUPLICADO","OK"))</f>
      </c>
      <c r="J272" s="6">
        <f>IF(COUNTA(A272:F272)=0,"",IF(AND(A272&lt;&gt;"",E272&lt;&gt;""),"OK","ERRO: faltam "&amp;IF(A272="","CNPJ; ","")&amp;IF(E272="","Novo gerente; ","")))</f>
      </c>
      <c r="K272" s="6">
        <f>IF(COUNTA(A272:F272)=0,"",IF(AND(LEFT(H272,4)&lt;&gt;"ERRO",I272="OK",J272="OK"),"OK","REVISAR"))</f>
      </c>
    </row>
    <row r="273">
      <c r="A273" s="5"/>
      <c r="B273" s="4"/>
      <c r="C273" s="4"/>
      <c r="D273" s="4"/>
      <c r="E273" s="5"/>
      <c r="F273" s="4"/>
      <c r="G273" s="6">
        <f>IF(A273="","",SUBSTITUTE(SUBSTITUTE(SUBSTITUTE(SUBSTITUTE(SUBSTITUTE(SUBSTITUTE(SUBSTITUTE(TRIM(A273),".",""),"/",""),"-","")," ",""),"(",""),")",""),"+",""))</f>
      </c>
      <c r="H273" s="6">
        <f>IF(G273="","",IF(LEN(G273)&lt;&gt;14,"ERRO: "&amp;LEN(G273)&amp;" dígitos",IF(NOT(ISNUMBER(VALUE(G273))),"ERRO: não numérico",IF(AND(VALUE(MID(G273,13,1))=IF(MOD(SUMPRODUCT(--MID(G273,{1,2,3,4,5,6,7,8,9,10,11,12},1),{5,4,3,2,9,8,7,6,5,4,3,2}),11)&lt;2,0,11-MOD(SUMPRODUCT(--MID(G273,{1,2,3,4,5,6,7,8,9,10,11,12},1),{5,4,3,2,9,8,7,6,5,4,3,2}),11)),VALUE(MID(G273,14,1))=IF(MOD(SUMPRODUCT(--MID(G273,{1,2,3,4,5,6,7,8,9,10,11,12,13},1),{6,5,4,3,2,9,8,7,6,5,4,3,2}),11)&lt;2,0,11-MOD(SUMPRODUCT(--MID(G273,{1,2,3,4,5,6,7,8,9,10,11,12,13},1),{6,5,4,3,2,9,8,7,6,5,4,3,2}),11))),"OK","AVISO: dígito verificador (conferir na org)"))))</f>
      </c>
      <c r="I273" s="6">
        <f>IF(G273="","",IF(COUNTIF($G$2:$G$2001,G273)&gt;1,"DUPLICADO","OK"))</f>
      </c>
      <c r="J273" s="6">
        <f>IF(COUNTA(A273:F273)=0,"",IF(AND(A273&lt;&gt;"",E273&lt;&gt;""),"OK","ERRO: faltam "&amp;IF(A273="","CNPJ; ","")&amp;IF(E273="","Novo gerente; ","")))</f>
      </c>
      <c r="K273" s="6">
        <f>IF(COUNTA(A273:F273)=0,"",IF(AND(LEFT(H273,4)&lt;&gt;"ERRO",I273="OK",J273="OK"),"OK","REVISAR"))</f>
      </c>
    </row>
    <row r="274">
      <c r="A274" s="5"/>
      <c r="B274" s="4"/>
      <c r="C274" s="4"/>
      <c r="D274" s="4"/>
      <c r="E274" s="5"/>
      <c r="F274" s="4"/>
      <c r="G274" s="6">
        <f>IF(A274="","",SUBSTITUTE(SUBSTITUTE(SUBSTITUTE(SUBSTITUTE(SUBSTITUTE(SUBSTITUTE(SUBSTITUTE(TRIM(A274),".",""),"/",""),"-","")," ",""),"(",""),")",""),"+",""))</f>
      </c>
      <c r="H274" s="6">
        <f>IF(G274="","",IF(LEN(G274)&lt;&gt;14,"ERRO: "&amp;LEN(G274)&amp;" dígitos",IF(NOT(ISNUMBER(VALUE(G274))),"ERRO: não numérico",IF(AND(VALUE(MID(G274,13,1))=IF(MOD(SUMPRODUCT(--MID(G274,{1,2,3,4,5,6,7,8,9,10,11,12},1),{5,4,3,2,9,8,7,6,5,4,3,2}),11)&lt;2,0,11-MOD(SUMPRODUCT(--MID(G274,{1,2,3,4,5,6,7,8,9,10,11,12},1),{5,4,3,2,9,8,7,6,5,4,3,2}),11)),VALUE(MID(G274,14,1))=IF(MOD(SUMPRODUCT(--MID(G274,{1,2,3,4,5,6,7,8,9,10,11,12,13},1),{6,5,4,3,2,9,8,7,6,5,4,3,2}),11)&lt;2,0,11-MOD(SUMPRODUCT(--MID(G274,{1,2,3,4,5,6,7,8,9,10,11,12,13},1),{6,5,4,3,2,9,8,7,6,5,4,3,2}),11))),"OK","AVISO: dígito verificador (conferir na org)"))))</f>
      </c>
      <c r="I274" s="6">
        <f>IF(G274="","",IF(COUNTIF($G$2:$G$2001,G274)&gt;1,"DUPLICADO","OK"))</f>
      </c>
      <c r="J274" s="6">
        <f>IF(COUNTA(A274:F274)=0,"",IF(AND(A274&lt;&gt;"",E274&lt;&gt;""),"OK","ERRO: faltam "&amp;IF(A274="","CNPJ; ","")&amp;IF(E274="","Novo gerente; ","")))</f>
      </c>
      <c r="K274" s="6">
        <f>IF(COUNTA(A274:F274)=0,"",IF(AND(LEFT(H274,4)&lt;&gt;"ERRO",I274="OK",J274="OK"),"OK","REVISAR"))</f>
      </c>
    </row>
    <row r="275">
      <c r="A275" s="5"/>
      <c r="B275" s="4"/>
      <c r="C275" s="4"/>
      <c r="D275" s="4"/>
      <c r="E275" s="5"/>
      <c r="F275" s="4"/>
      <c r="G275" s="6">
        <f>IF(A275="","",SUBSTITUTE(SUBSTITUTE(SUBSTITUTE(SUBSTITUTE(SUBSTITUTE(SUBSTITUTE(SUBSTITUTE(TRIM(A275),".",""),"/",""),"-","")," ",""),"(",""),")",""),"+",""))</f>
      </c>
      <c r="H275" s="6">
        <f>IF(G275="","",IF(LEN(G275)&lt;&gt;14,"ERRO: "&amp;LEN(G275)&amp;" dígitos",IF(NOT(ISNUMBER(VALUE(G275))),"ERRO: não numérico",IF(AND(VALUE(MID(G275,13,1))=IF(MOD(SUMPRODUCT(--MID(G275,{1,2,3,4,5,6,7,8,9,10,11,12},1),{5,4,3,2,9,8,7,6,5,4,3,2}),11)&lt;2,0,11-MOD(SUMPRODUCT(--MID(G275,{1,2,3,4,5,6,7,8,9,10,11,12},1),{5,4,3,2,9,8,7,6,5,4,3,2}),11)),VALUE(MID(G275,14,1))=IF(MOD(SUMPRODUCT(--MID(G275,{1,2,3,4,5,6,7,8,9,10,11,12,13},1),{6,5,4,3,2,9,8,7,6,5,4,3,2}),11)&lt;2,0,11-MOD(SUMPRODUCT(--MID(G275,{1,2,3,4,5,6,7,8,9,10,11,12,13},1),{6,5,4,3,2,9,8,7,6,5,4,3,2}),11))),"OK","AVISO: dígito verificador (conferir na org)"))))</f>
      </c>
      <c r="I275" s="6">
        <f>IF(G275="","",IF(COUNTIF($G$2:$G$2001,G275)&gt;1,"DUPLICADO","OK"))</f>
      </c>
      <c r="J275" s="6">
        <f>IF(COUNTA(A275:F275)=0,"",IF(AND(A275&lt;&gt;"",E275&lt;&gt;""),"OK","ERRO: faltam "&amp;IF(A275="","CNPJ; ","")&amp;IF(E275="","Novo gerente; ","")))</f>
      </c>
      <c r="K275" s="6">
        <f>IF(COUNTA(A275:F275)=0,"",IF(AND(LEFT(H275,4)&lt;&gt;"ERRO",I275="OK",J275="OK"),"OK","REVISAR"))</f>
      </c>
    </row>
    <row r="276">
      <c r="A276" s="5"/>
      <c r="B276" s="4"/>
      <c r="C276" s="4"/>
      <c r="D276" s="4"/>
      <c r="E276" s="5"/>
      <c r="F276" s="4"/>
      <c r="G276" s="6">
        <f>IF(A276="","",SUBSTITUTE(SUBSTITUTE(SUBSTITUTE(SUBSTITUTE(SUBSTITUTE(SUBSTITUTE(SUBSTITUTE(TRIM(A276),".",""),"/",""),"-","")," ",""),"(",""),")",""),"+",""))</f>
      </c>
      <c r="H276" s="6">
        <f>IF(G276="","",IF(LEN(G276)&lt;&gt;14,"ERRO: "&amp;LEN(G276)&amp;" dígitos",IF(NOT(ISNUMBER(VALUE(G276))),"ERRO: não numérico",IF(AND(VALUE(MID(G276,13,1))=IF(MOD(SUMPRODUCT(--MID(G276,{1,2,3,4,5,6,7,8,9,10,11,12},1),{5,4,3,2,9,8,7,6,5,4,3,2}),11)&lt;2,0,11-MOD(SUMPRODUCT(--MID(G276,{1,2,3,4,5,6,7,8,9,10,11,12},1),{5,4,3,2,9,8,7,6,5,4,3,2}),11)),VALUE(MID(G276,14,1))=IF(MOD(SUMPRODUCT(--MID(G276,{1,2,3,4,5,6,7,8,9,10,11,12,13},1),{6,5,4,3,2,9,8,7,6,5,4,3,2}),11)&lt;2,0,11-MOD(SUMPRODUCT(--MID(G276,{1,2,3,4,5,6,7,8,9,10,11,12,13},1),{6,5,4,3,2,9,8,7,6,5,4,3,2}),11))),"OK","AVISO: dígito verificador (conferir na org)"))))</f>
      </c>
      <c r="I276" s="6">
        <f>IF(G276="","",IF(COUNTIF($G$2:$G$2001,G276)&gt;1,"DUPLICADO","OK"))</f>
      </c>
      <c r="J276" s="6">
        <f>IF(COUNTA(A276:F276)=0,"",IF(AND(A276&lt;&gt;"",E276&lt;&gt;""),"OK","ERRO: faltam "&amp;IF(A276="","CNPJ; ","")&amp;IF(E276="","Novo gerente; ","")))</f>
      </c>
      <c r="K276" s="6">
        <f>IF(COUNTA(A276:F276)=0,"",IF(AND(LEFT(H276,4)&lt;&gt;"ERRO",I276="OK",J276="OK"),"OK","REVISAR"))</f>
      </c>
    </row>
    <row r="277">
      <c r="A277" s="5"/>
      <c r="B277" s="4"/>
      <c r="C277" s="4"/>
      <c r="D277" s="4"/>
      <c r="E277" s="5"/>
      <c r="F277" s="4"/>
      <c r="G277" s="6">
        <f>IF(A277="","",SUBSTITUTE(SUBSTITUTE(SUBSTITUTE(SUBSTITUTE(SUBSTITUTE(SUBSTITUTE(SUBSTITUTE(TRIM(A277),".",""),"/",""),"-","")," ",""),"(",""),")",""),"+",""))</f>
      </c>
      <c r="H277" s="6">
        <f>IF(G277="","",IF(LEN(G277)&lt;&gt;14,"ERRO: "&amp;LEN(G277)&amp;" dígitos",IF(NOT(ISNUMBER(VALUE(G277))),"ERRO: não numérico",IF(AND(VALUE(MID(G277,13,1))=IF(MOD(SUMPRODUCT(--MID(G277,{1,2,3,4,5,6,7,8,9,10,11,12},1),{5,4,3,2,9,8,7,6,5,4,3,2}),11)&lt;2,0,11-MOD(SUMPRODUCT(--MID(G277,{1,2,3,4,5,6,7,8,9,10,11,12},1),{5,4,3,2,9,8,7,6,5,4,3,2}),11)),VALUE(MID(G277,14,1))=IF(MOD(SUMPRODUCT(--MID(G277,{1,2,3,4,5,6,7,8,9,10,11,12,13},1),{6,5,4,3,2,9,8,7,6,5,4,3,2}),11)&lt;2,0,11-MOD(SUMPRODUCT(--MID(G277,{1,2,3,4,5,6,7,8,9,10,11,12,13},1),{6,5,4,3,2,9,8,7,6,5,4,3,2}),11))),"OK","AVISO: dígito verificador (conferir na org)"))))</f>
      </c>
      <c r="I277" s="6">
        <f>IF(G277="","",IF(COUNTIF($G$2:$G$2001,G277)&gt;1,"DUPLICADO","OK"))</f>
      </c>
      <c r="J277" s="6">
        <f>IF(COUNTA(A277:F277)=0,"",IF(AND(A277&lt;&gt;"",E277&lt;&gt;""),"OK","ERRO: faltam "&amp;IF(A277="","CNPJ; ","")&amp;IF(E277="","Novo gerente; ","")))</f>
      </c>
      <c r="K277" s="6">
        <f>IF(COUNTA(A277:F277)=0,"",IF(AND(LEFT(H277,4)&lt;&gt;"ERRO",I277="OK",J277="OK"),"OK","REVISAR"))</f>
      </c>
    </row>
    <row r="278">
      <c r="A278" s="5"/>
      <c r="B278" s="4"/>
      <c r="C278" s="4"/>
      <c r="D278" s="4"/>
      <c r="E278" s="5"/>
      <c r="F278" s="4"/>
      <c r="G278" s="6">
        <f>IF(A278="","",SUBSTITUTE(SUBSTITUTE(SUBSTITUTE(SUBSTITUTE(SUBSTITUTE(SUBSTITUTE(SUBSTITUTE(TRIM(A278),".",""),"/",""),"-","")," ",""),"(",""),")",""),"+",""))</f>
      </c>
      <c r="H278" s="6">
        <f>IF(G278="","",IF(LEN(G278)&lt;&gt;14,"ERRO: "&amp;LEN(G278)&amp;" dígitos",IF(NOT(ISNUMBER(VALUE(G278))),"ERRO: não numérico",IF(AND(VALUE(MID(G278,13,1))=IF(MOD(SUMPRODUCT(--MID(G278,{1,2,3,4,5,6,7,8,9,10,11,12},1),{5,4,3,2,9,8,7,6,5,4,3,2}),11)&lt;2,0,11-MOD(SUMPRODUCT(--MID(G278,{1,2,3,4,5,6,7,8,9,10,11,12},1),{5,4,3,2,9,8,7,6,5,4,3,2}),11)),VALUE(MID(G278,14,1))=IF(MOD(SUMPRODUCT(--MID(G278,{1,2,3,4,5,6,7,8,9,10,11,12,13},1),{6,5,4,3,2,9,8,7,6,5,4,3,2}),11)&lt;2,0,11-MOD(SUMPRODUCT(--MID(G278,{1,2,3,4,5,6,7,8,9,10,11,12,13},1),{6,5,4,3,2,9,8,7,6,5,4,3,2}),11))),"OK","AVISO: dígito verificador (conferir na org)"))))</f>
      </c>
      <c r="I278" s="6">
        <f>IF(G278="","",IF(COUNTIF($G$2:$G$2001,G278)&gt;1,"DUPLICADO","OK"))</f>
      </c>
      <c r="J278" s="6">
        <f>IF(COUNTA(A278:F278)=0,"",IF(AND(A278&lt;&gt;"",E278&lt;&gt;""),"OK","ERRO: faltam "&amp;IF(A278="","CNPJ; ","")&amp;IF(E278="","Novo gerente; ","")))</f>
      </c>
      <c r="K278" s="6">
        <f>IF(COUNTA(A278:F278)=0,"",IF(AND(LEFT(H278,4)&lt;&gt;"ERRO",I278="OK",J278="OK"),"OK","REVISAR"))</f>
      </c>
    </row>
    <row r="279">
      <c r="A279" s="5"/>
      <c r="B279" s="4"/>
      <c r="C279" s="4"/>
      <c r="D279" s="4"/>
      <c r="E279" s="5"/>
      <c r="F279" s="4"/>
      <c r="G279" s="6">
        <f>IF(A279="","",SUBSTITUTE(SUBSTITUTE(SUBSTITUTE(SUBSTITUTE(SUBSTITUTE(SUBSTITUTE(SUBSTITUTE(TRIM(A279),".",""),"/",""),"-","")," ",""),"(",""),")",""),"+",""))</f>
      </c>
      <c r="H279" s="6">
        <f>IF(G279="","",IF(LEN(G279)&lt;&gt;14,"ERRO: "&amp;LEN(G279)&amp;" dígitos",IF(NOT(ISNUMBER(VALUE(G279))),"ERRO: não numérico",IF(AND(VALUE(MID(G279,13,1))=IF(MOD(SUMPRODUCT(--MID(G279,{1,2,3,4,5,6,7,8,9,10,11,12},1),{5,4,3,2,9,8,7,6,5,4,3,2}),11)&lt;2,0,11-MOD(SUMPRODUCT(--MID(G279,{1,2,3,4,5,6,7,8,9,10,11,12},1),{5,4,3,2,9,8,7,6,5,4,3,2}),11)),VALUE(MID(G279,14,1))=IF(MOD(SUMPRODUCT(--MID(G279,{1,2,3,4,5,6,7,8,9,10,11,12,13},1),{6,5,4,3,2,9,8,7,6,5,4,3,2}),11)&lt;2,0,11-MOD(SUMPRODUCT(--MID(G279,{1,2,3,4,5,6,7,8,9,10,11,12,13},1),{6,5,4,3,2,9,8,7,6,5,4,3,2}),11))),"OK","AVISO: dígito verificador (conferir na org)"))))</f>
      </c>
      <c r="I279" s="6">
        <f>IF(G279="","",IF(COUNTIF($G$2:$G$2001,G279)&gt;1,"DUPLICADO","OK"))</f>
      </c>
      <c r="J279" s="6">
        <f>IF(COUNTA(A279:F279)=0,"",IF(AND(A279&lt;&gt;"",E279&lt;&gt;""),"OK","ERRO: faltam "&amp;IF(A279="","CNPJ; ","")&amp;IF(E279="","Novo gerente; ","")))</f>
      </c>
      <c r="K279" s="6">
        <f>IF(COUNTA(A279:F279)=0,"",IF(AND(LEFT(H279,4)&lt;&gt;"ERRO",I279="OK",J279="OK"),"OK","REVISAR"))</f>
      </c>
    </row>
    <row r="280">
      <c r="A280" s="5"/>
      <c r="B280" s="4"/>
      <c r="C280" s="4"/>
      <c r="D280" s="4"/>
      <c r="E280" s="5"/>
      <c r="F280" s="4"/>
      <c r="G280" s="6">
        <f>IF(A280="","",SUBSTITUTE(SUBSTITUTE(SUBSTITUTE(SUBSTITUTE(SUBSTITUTE(SUBSTITUTE(SUBSTITUTE(TRIM(A280),".",""),"/",""),"-","")," ",""),"(",""),")",""),"+",""))</f>
      </c>
      <c r="H280" s="6">
        <f>IF(G280="","",IF(LEN(G280)&lt;&gt;14,"ERRO: "&amp;LEN(G280)&amp;" dígitos",IF(NOT(ISNUMBER(VALUE(G280))),"ERRO: não numérico",IF(AND(VALUE(MID(G280,13,1))=IF(MOD(SUMPRODUCT(--MID(G280,{1,2,3,4,5,6,7,8,9,10,11,12},1),{5,4,3,2,9,8,7,6,5,4,3,2}),11)&lt;2,0,11-MOD(SUMPRODUCT(--MID(G280,{1,2,3,4,5,6,7,8,9,10,11,12},1),{5,4,3,2,9,8,7,6,5,4,3,2}),11)),VALUE(MID(G280,14,1))=IF(MOD(SUMPRODUCT(--MID(G280,{1,2,3,4,5,6,7,8,9,10,11,12,13},1),{6,5,4,3,2,9,8,7,6,5,4,3,2}),11)&lt;2,0,11-MOD(SUMPRODUCT(--MID(G280,{1,2,3,4,5,6,7,8,9,10,11,12,13},1),{6,5,4,3,2,9,8,7,6,5,4,3,2}),11))),"OK","AVISO: dígito verificador (conferir na org)"))))</f>
      </c>
      <c r="I280" s="6">
        <f>IF(G280="","",IF(COUNTIF($G$2:$G$2001,G280)&gt;1,"DUPLICADO","OK"))</f>
      </c>
      <c r="J280" s="6">
        <f>IF(COUNTA(A280:F280)=0,"",IF(AND(A280&lt;&gt;"",E280&lt;&gt;""),"OK","ERRO: faltam "&amp;IF(A280="","CNPJ; ","")&amp;IF(E280="","Novo gerente; ","")))</f>
      </c>
      <c r="K280" s="6">
        <f>IF(COUNTA(A280:F280)=0,"",IF(AND(LEFT(H280,4)&lt;&gt;"ERRO",I280="OK",J280="OK"),"OK","REVISAR"))</f>
      </c>
    </row>
    <row r="281">
      <c r="A281" s="5"/>
      <c r="B281" s="4"/>
      <c r="C281" s="4"/>
      <c r="D281" s="4"/>
      <c r="E281" s="5"/>
      <c r="F281" s="4"/>
      <c r="G281" s="6">
        <f>IF(A281="","",SUBSTITUTE(SUBSTITUTE(SUBSTITUTE(SUBSTITUTE(SUBSTITUTE(SUBSTITUTE(SUBSTITUTE(TRIM(A281),".",""),"/",""),"-","")," ",""),"(",""),")",""),"+",""))</f>
      </c>
      <c r="H281" s="6">
        <f>IF(G281="","",IF(LEN(G281)&lt;&gt;14,"ERRO: "&amp;LEN(G281)&amp;" dígitos",IF(NOT(ISNUMBER(VALUE(G281))),"ERRO: não numérico",IF(AND(VALUE(MID(G281,13,1))=IF(MOD(SUMPRODUCT(--MID(G281,{1,2,3,4,5,6,7,8,9,10,11,12},1),{5,4,3,2,9,8,7,6,5,4,3,2}),11)&lt;2,0,11-MOD(SUMPRODUCT(--MID(G281,{1,2,3,4,5,6,7,8,9,10,11,12},1),{5,4,3,2,9,8,7,6,5,4,3,2}),11)),VALUE(MID(G281,14,1))=IF(MOD(SUMPRODUCT(--MID(G281,{1,2,3,4,5,6,7,8,9,10,11,12,13},1),{6,5,4,3,2,9,8,7,6,5,4,3,2}),11)&lt;2,0,11-MOD(SUMPRODUCT(--MID(G281,{1,2,3,4,5,6,7,8,9,10,11,12,13},1),{6,5,4,3,2,9,8,7,6,5,4,3,2}),11))),"OK","AVISO: dígito verificador (conferir na org)"))))</f>
      </c>
      <c r="I281" s="6">
        <f>IF(G281="","",IF(COUNTIF($G$2:$G$2001,G281)&gt;1,"DUPLICADO","OK"))</f>
      </c>
      <c r="J281" s="6">
        <f>IF(COUNTA(A281:F281)=0,"",IF(AND(A281&lt;&gt;"",E281&lt;&gt;""),"OK","ERRO: faltam "&amp;IF(A281="","CNPJ; ","")&amp;IF(E281="","Novo gerente; ","")))</f>
      </c>
      <c r="K281" s="6">
        <f>IF(COUNTA(A281:F281)=0,"",IF(AND(LEFT(H281,4)&lt;&gt;"ERRO",I281="OK",J281="OK"),"OK","REVISAR"))</f>
      </c>
    </row>
    <row r="282">
      <c r="A282" s="5"/>
      <c r="B282" s="4"/>
      <c r="C282" s="4"/>
      <c r="D282" s="4"/>
      <c r="E282" s="5"/>
      <c r="F282" s="4"/>
      <c r="G282" s="6">
        <f>IF(A282="","",SUBSTITUTE(SUBSTITUTE(SUBSTITUTE(SUBSTITUTE(SUBSTITUTE(SUBSTITUTE(SUBSTITUTE(TRIM(A282),".",""),"/",""),"-","")," ",""),"(",""),")",""),"+",""))</f>
      </c>
      <c r="H282" s="6">
        <f>IF(G282="","",IF(LEN(G282)&lt;&gt;14,"ERRO: "&amp;LEN(G282)&amp;" dígitos",IF(NOT(ISNUMBER(VALUE(G282))),"ERRO: não numérico",IF(AND(VALUE(MID(G282,13,1))=IF(MOD(SUMPRODUCT(--MID(G282,{1,2,3,4,5,6,7,8,9,10,11,12},1),{5,4,3,2,9,8,7,6,5,4,3,2}),11)&lt;2,0,11-MOD(SUMPRODUCT(--MID(G282,{1,2,3,4,5,6,7,8,9,10,11,12},1),{5,4,3,2,9,8,7,6,5,4,3,2}),11)),VALUE(MID(G282,14,1))=IF(MOD(SUMPRODUCT(--MID(G282,{1,2,3,4,5,6,7,8,9,10,11,12,13},1),{6,5,4,3,2,9,8,7,6,5,4,3,2}),11)&lt;2,0,11-MOD(SUMPRODUCT(--MID(G282,{1,2,3,4,5,6,7,8,9,10,11,12,13},1),{6,5,4,3,2,9,8,7,6,5,4,3,2}),11))),"OK","AVISO: dígito verificador (conferir na org)"))))</f>
      </c>
      <c r="I282" s="6">
        <f>IF(G282="","",IF(COUNTIF($G$2:$G$2001,G282)&gt;1,"DUPLICADO","OK"))</f>
      </c>
      <c r="J282" s="6">
        <f>IF(COUNTA(A282:F282)=0,"",IF(AND(A282&lt;&gt;"",E282&lt;&gt;""),"OK","ERRO: faltam "&amp;IF(A282="","CNPJ; ","")&amp;IF(E282="","Novo gerente; ","")))</f>
      </c>
      <c r="K282" s="6">
        <f>IF(COUNTA(A282:F282)=0,"",IF(AND(LEFT(H282,4)&lt;&gt;"ERRO",I282="OK",J282="OK"),"OK","REVISAR"))</f>
      </c>
    </row>
    <row r="283">
      <c r="A283" s="5"/>
      <c r="B283" s="4"/>
      <c r="C283" s="4"/>
      <c r="D283" s="4"/>
      <c r="E283" s="5"/>
      <c r="F283" s="4"/>
      <c r="G283" s="6">
        <f>IF(A283="","",SUBSTITUTE(SUBSTITUTE(SUBSTITUTE(SUBSTITUTE(SUBSTITUTE(SUBSTITUTE(SUBSTITUTE(TRIM(A283),".",""),"/",""),"-","")," ",""),"(",""),")",""),"+",""))</f>
      </c>
      <c r="H283" s="6">
        <f>IF(G283="","",IF(LEN(G283)&lt;&gt;14,"ERRO: "&amp;LEN(G283)&amp;" dígitos",IF(NOT(ISNUMBER(VALUE(G283))),"ERRO: não numérico",IF(AND(VALUE(MID(G283,13,1))=IF(MOD(SUMPRODUCT(--MID(G283,{1,2,3,4,5,6,7,8,9,10,11,12},1),{5,4,3,2,9,8,7,6,5,4,3,2}),11)&lt;2,0,11-MOD(SUMPRODUCT(--MID(G283,{1,2,3,4,5,6,7,8,9,10,11,12},1),{5,4,3,2,9,8,7,6,5,4,3,2}),11)),VALUE(MID(G283,14,1))=IF(MOD(SUMPRODUCT(--MID(G283,{1,2,3,4,5,6,7,8,9,10,11,12,13},1),{6,5,4,3,2,9,8,7,6,5,4,3,2}),11)&lt;2,0,11-MOD(SUMPRODUCT(--MID(G283,{1,2,3,4,5,6,7,8,9,10,11,12,13},1),{6,5,4,3,2,9,8,7,6,5,4,3,2}),11))),"OK","AVISO: dígito verificador (conferir na org)"))))</f>
      </c>
      <c r="I283" s="6">
        <f>IF(G283="","",IF(COUNTIF($G$2:$G$2001,G283)&gt;1,"DUPLICADO","OK"))</f>
      </c>
      <c r="J283" s="6">
        <f>IF(COUNTA(A283:F283)=0,"",IF(AND(A283&lt;&gt;"",E283&lt;&gt;""),"OK","ERRO: faltam "&amp;IF(A283="","CNPJ; ","")&amp;IF(E283="","Novo gerente; ","")))</f>
      </c>
      <c r="K283" s="6">
        <f>IF(COUNTA(A283:F283)=0,"",IF(AND(LEFT(H283,4)&lt;&gt;"ERRO",I283="OK",J283="OK"),"OK","REVISAR"))</f>
      </c>
    </row>
    <row r="284">
      <c r="A284" s="5"/>
      <c r="B284" s="4"/>
      <c r="C284" s="4"/>
      <c r="D284" s="4"/>
      <c r="E284" s="5"/>
      <c r="F284" s="4"/>
      <c r="G284" s="6">
        <f>IF(A284="","",SUBSTITUTE(SUBSTITUTE(SUBSTITUTE(SUBSTITUTE(SUBSTITUTE(SUBSTITUTE(SUBSTITUTE(TRIM(A284),".",""),"/",""),"-","")," ",""),"(",""),")",""),"+",""))</f>
      </c>
      <c r="H284" s="6">
        <f>IF(G284="","",IF(LEN(G284)&lt;&gt;14,"ERRO: "&amp;LEN(G284)&amp;" dígitos",IF(NOT(ISNUMBER(VALUE(G284))),"ERRO: não numérico",IF(AND(VALUE(MID(G284,13,1))=IF(MOD(SUMPRODUCT(--MID(G284,{1,2,3,4,5,6,7,8,9,10,11,12},1),{5,4,3,2,9,8,7,6,5,4,3,2}),11)&lt;2,0,11-MOD(SUMPRODUCT(--MID(G284,{1,2,3,4,5,6,7,8,9,10,11,12},1),{5,4,3,2,9,8,7,6,5,4,3,2}),11)),VALUE(MID(G284,14,1))=IF(MOD(SUMPRODUCT(--MID(G284,{1,2,3,4,5,6,7,8,9,10,11,12,13},1),{6,5,4,3,2,9,8,7,6,5,4,3,2}),11)&lt;2,0,11-MOD(SUMPRODUCT(--MID(G284,{1,2,3,4,5,6,7,8,9,10,11,12,13},1),{6,5,4,3,2,9,8,7,6,5,4,3,2}),11))),"OK","AVISO: dígito verificador (conferir na org)"))))</f>
      </c>
      <c r="I284" s="6">
        <f>IF(G284="","",IF(COUNTIF($G$2:$G$2001,G284)&gt;1,"DUPLICADO","OK"))</f>
      </c>
      <c r="J284" s="6">
        <f>IF(COUNTA(A284:F284)=0,"",IF(AND(A284&lt;&gt;"",E284&lt;&gt;""),"OK","ERRO: faltam "&amp;IF(A284="","CNPJ; ","")&amp;IF(E284="","Novo gerente; ","")))</f>
      </c>
      <c r="K284" s="6">
        <f>IF(COUNTA(A284:F284)=0,"",IF(AND(LEFT(H284,4)&lt;&gt;"ERRO",I284="OK",J284="OK"),"OK","REVISAR"))</f>
      </c>
    </row>
    <row r="285">
      <c r="A285" s="5"/>
      <c r="B285" s="4"/>
      <c r="C285" s="4"/>
      <c r="D285" s="4"/>
      <c r="E285" s="5"/>
      <c r="F285" s="4"/>
      <c r="G285" s="6">
        <f>IF(A285="","",SUBSTITUTE(SUBSTITUTE(SUBSTITUTE(SUBSTITUTE(SUBSTITUTE(SUBSTITUTE(SUBSTITUTE(TRIM(A285),".",""),"/",""),"-","")," ",""),"(",""),")",""),"+",""))</f>
      </c>
      <c r="H285" s="6">
        <f>IF(G285="","",IF(LEN(G285)&lt;&gt;14,"ERRO: "&amp;LEN(G285)&amp;" dígitos",IF(NOT(ISNUMBER(VALUE(G285))),"ERRO: não numérico",IF(AND(VALUE(MID(G285,13,1))=IF(MOD(SUMPRODUCT(--MID(G285,{1,2,3,4,5,6,7,8,9,10,11,12},1),{5,4,3,2,9,8,7,6,5,4,3,2}),11)&lt;2,0,11-MOD(SUMPRODUCT(--MID(G285,{1,2,3,4,5,6,7,8,9,10,11,12},1),{5,4,3,2,9,8,7,6,5,4,3,2}),11)),VALUE(MID(G285,14,1))=IF(MOD(SUMPRODUCT(--MID(G285,{1,2,3,4,5,6,7,8,9,10,11,12,13},1),{6,5,4,3,2,9,8,7,6,5,4,3,2}),11)&lt;2,0,11-MOD(SUMPRODUCT(--MID(G285,{1,2,3,4,5,6,7,8,9,10,11,12,13},1),{6,5,4,3,2,9,8,7,6,5,4,3,2}),11))),"OK","AVISO: dígito verificador (conferir na org)"))))</f>
      </c>
      <c r="I285" s="6">
        <f>IF(G285="","",IF(COUNTIF($G$2:$G$2001,G285)&gt;1,"DUPLICADO","OK"))</f>
      </c>
      <c r="J285" s="6">
        <f>IF(COUNTA(A285:F285)=0,"",IF(AND(A285&lt;&gt;"",E285&lt;&gt;""),"OK","ERRO: faltam "&amp;IF(A285="","CNPJ; ","")&amp;IF(E285="","Novo gerente; ","")))</f>
      </c>
      <c r="K285" s="6">
        <f>IF(COUNTA(A285:F285)=0,"",IF(AND(LEFT(H285,4)&lt;&gt;"ERRO",I285="OK",J285="OK"),"OK","REVISAR"))</f>
      </c>
    </row>
    <row r="286">
      <c r="A286" s="5"/>
      <c r="B286" s="4"/>
      <c r="C286" s="4"/>
      <c r="D286" s="4"/>
      <c r="E286" s="5"/>
      <c r="F286" s="4"/>
      <c r="G286" s="6">
        <f>IF(A286="","",SUBSTITUTE(SUBSTITUTE(SUBSTITUTE(SUBSTITUTE(SUBSTITUTE(SUBSTITUTE(SUBSTITUTE(TRIM(A286),".",""),"/",""),"-","")," ",""),"(",""),")",""),"+",""))</f>
      </c>
      <c r="H286" s="6">
        <f>IF(G286="","",IF(LEN(G286)&lt;&gt;14,"ERRO: "&amp;LEN(G286)&amp;" dígitos",IF(NOT(ISNUMBER(VALUE(G286))),"ERRO: não numérico",IF(AND(VALUE(MID(G286,13,1))=IF(MOD(SUMPRODUCT(--MID(G286,{1,2,3,4,5,6,7,8,9,10,11,12},1),{5,4,3,2,9,8,7,6,5,4,3,2}),11)&lt;2,0,11-MOD(SUMPRODUCT(--MID(G286,{1,2,3,4,5,6,7,8,9,10,11,12},1),{5,4,3,2,9,8,7,6,5,4,3,2}),11)),VALUE(MID(G286,14,1))=IF(MOD(SUMPRODUCT(--MID(G286,{1,2,3,4,5,6,7,8,9,10,11,12,13},1),{6,5,4,3,2,9,8,7,6,5,4,3,2}),11)&lt;2,0,11-MOD(SUMPRODUCT(--MID(G286,{1,2,3,4,5,6,7,8,9,10,11,12,13},1),{6,5,4,3,2,9,8,7,6,5,4,3,2}),11))),"OK","AVISO: dígito verificador (conferir na org)"))))</f>
      </c>
      <c r="I286" s="6">
        <f>IF(G286="","",IF(COUNTIF($G$2:$G$2001,G286)&gt;1,"DUPLICADO","OK"))</f>
      </c>
      <c r="J286" s="6">
        <f>IF(COUNTA(A286:F286)=0,"",IF(AND(A286&lt;&gt;"",E286&lt;&gt;""),"OK","ERRO: faltam "&amp;IF(A286="","CNPJ; ","")&amp;IF(E286="","Novo gerente; ","")))</f>
      </c>
      <c r="K286" s="6">
        <f>IF(COUNTA(A286:F286)=0,"",IF(AND(LEFT(H286,4)&lt;&gt;"ERRO",I286="OK",J286="OK"),"OK","REVISAR"))</f>
      </c>
    </row>
    <row r="287">
      <c r="A287" s="5"/>
      <c r="B287" s="4"/>
      <c r="C287" s="4"/>
      <c r="D287" s="4"/>
      <c r="E287" s="5"/>
      <c r="F287" s="4"/>
      <c r="G287" s="6">
        <f>IF(A287="","",SUBSTITUTE(SUBSTITUTE(SUBSTITUTE(SUBSTITUTE(SUBSTITUTE(SUBSTITUTE(SUBSTITUTE(TRIM(A287),".",""),"/",""),"-","")," ",""),"(",""),")",""),"+",""))</f>
      </c>
      <c r="H287" s="6">
        <f>IF(G287="","",IF(LEN(G287)&lt;&gt;14,"ERRO: "&amp;LEN(G287)&amp;" dígitos",IF(NOT(ISNUMBER(VALUE(G287))),"ERRO: não numérico",IF(AND(VALUE(MID(G287,13,1))=IF(MOD(SUMPRODUCT(--MID(G287,{1,2,3,4,5,6,7,8,9,10,11,12},1),{5,4,3,2,9,8,7,6,5,4,3,2}),11)&lt;2,0,11-MOD(SUMPRODUCT(--MID(G287,{1,2,3,4,5,6,7,8,9,10,11,12},1),{5,4,3,2,9,8,7,6,5,4,3,2}),11)),VALUE(MID(G287,14,1))=IF(MOD(SUMPRODUCT(--MID(G287,{1,2,3,4,5,6,7,8,9,10,11,12,13},1),{6,5,4,3,2,9,8,7,6,5,4,3,2}),11)&lt;2,0,11-MOD(SUMPRODUCT(--MID(G287,{1,2,3,4,5,6,7,8,9,10,11,12,13},1),{6,5,4,3,2,9,8,7,6,5,4,3,2}),11))),"OK","AVISO: dígito verificador (conferir na org)"))))</f>
      </c>
      <c r="I287" s="6">
        <f>IF(G287="","",IF(COUNTIF($G$2:$G$2001,G287)&gt;1,"DUPLICADO","OK"))</f>
      </c>
      <c r="J287" s="6">
        <f>IF(COUNTA(A287:F287)=0,"",IF(AND(A287&lt;&gt;"",E287&lt;&gt;""),"OK","ERRO: faltam "&amp;IF(A287="","CNPJ; ","")&amp;IF(E287="","Novo gerente; ","")))</f>
      </c>
      <c r="K287" s="6">
        <f>IF(COUNTA(A287:F287)=0,"",IF(AND(LEFT(H287,4)&lt;&gt;"ERRO",I287="OK",J287="OK"),"OK","REVISAR"))</f>
      </c>
    </row>
    <row r="288">
      <c r="A288" s="5"/>
      <c r="B288" s="4"/>
      <c r="C288" s="4"/>
      <c r="D288" s="4"/>
      <c r="E288" s="5"/>
      <c r="F288" s="4"/>
      <c r="G288" s="6">
        <f>IF(A288="","",SUBSTITUTE(SUBSTITUTE(SUBSTITUTE(SUBSTITUTE(SUBSTITUTE(SUBSTITUTE(SUBSTITUTE(TRIM(A288),".",""),"/",""),"-","")," ",""),"(",""),")",""),"+",""))</f>
      </c>
      <c r="H288" s="6">
        <f>IF(G288="","",IF(LEN(G288)&lt;&gt;14,"ERRO: "&amp;LEN(G288)&amp;" dígitos",IF(NOT(ISNUMBER(VALUE(G288))),"ERRO: não numérico",IF(AND(VALUE(MID(G288,13,1))=IF(MOD(SUMPRODUCT(--MID(G288,{1,2,3,4,5,6,7,8,9,10,11,12},1),{5,4,3,2,9,8,7,6,5,4,3,2}),11)&lt;2,0,11-MOD(SUMPRODUCT(--MID(G288,{1,2,3,4,5,6,7,8,9,10,11,12},1),{5,4,3,2,9,8,7,6,5,4,3,2}),11)),VALUE(MID(G288,14,1))=IF(MOD(SUMPRODUCT(--MID(G288,{1,2,3,4,5,6,7,8,9,10,11,12,13},1),{6,5,4,3,2,9,8,7,6,5,4,3,2}),11)&lt;2,0,11-MOD(SUMPRODUCT(--MID(G288,{1,2,3,4,5,6,7,8,9,10,11,12,13},1),{6,5,4,3,2,9,8,7,6,5,4,3,2}),11))),"OK","AVISO: dígito verificador (conferir na org)"))))</f>
      </c>
      <c r="I288" s="6">
        <f>IF(G288="","",IF(COUNTIF($G$2:$G$2001,G288)&gt;1,"DUPLICADO","OK"))</f>
      </c>
      <c r="J288" s="6">
        <f>IF(COUNTA(A288:F288)=0,"",IF(AND(A288&lt;&gt;"",E288&lt;&gt;""),"OK","ERRO: faltam "&amp;IF(A288="","CNPJ; ","")&amp;IF(E288="","Novo gerente; ","")))</f>
      </c>
      <c r="K288" s="6">
        <f>IF(COUNTA(A288:F288)=0,"",IF(AND(LEFT(H288,4)&lt;&gt;"ERRO",I288="OK",J288="OK"),"OK","REVISAR"))</f>
      </c>
    </row>
    <row r="289">
      <c r="A289" s="5"/>
      <c r="B289" s="4"/>
      <c r="C289" s="4"/>
      <c r="D289" s="4"/>
      <c r="E289" s="5"/>
      <c r="F289" s="4"/>
      <c r="G289" s="6">
        <f>IF(A289="","",SUBSTITUTE(SUBSTITUTE(SUBSTITUTE(SUBSTITUTE(SUBSTITUTE(SUBSTITUTE(SUBSTITUTE(TRIM(A289),".",""),"/",""),"-","")," ",""),"(",""),")",""),"+",""))</f>
      </c>
      <c r="H289" s="6">
        <f>IF(G289="","",IF(LEN(G289)&lt;&gt;14,"ERRO: "&amp;LEN(G289)&amp;" dígitos",IF(NOT(ISNUMBER(VALUE(G289))),"ERRO: não numérico",IF(AND(VALUE(MID(G289,13,1))=IF(MOD(SUMPRODUCT(--MID(G289,{1,2,3,4,5,6,7,8,9,10,11,12},1),{5,4,3,2,9,8,7,6,5,4,3,2}),11)&lt;2,0,11-MOD(SUMPRODUCT(--MID(G289,{1,2,3,4,5,6,7,8,9,10,11,12},1),{5,4,3,2,9,8,7,6,5,4,3,2}),11)),VALUE(MID(G289,14,1))=IF(MOD(SUMPRODUCT(--MID(G289,{1,2,3,4,5,6,7,8,9,10,11,12,13},1),{6,5,4,3,2,9,8,7,6,5,4,3,2}),11)&lt;2,0,11-MOD(SUMPRODUCT(--MID(G289,{1,2,3,4,5,6,7,8,9,10,11,12,13},1),{6,5,4,3,2,9,8,7,6,5,4,3,2}),11))),"OK","AVISO: dígito verificador (conferir na org)"))))</f>
      </c>
      <c r="I289" s="6">
        <f>IF(G289="","",IF(COUNTIF($G$2:$G$2001,G289)&gt;1,"DUPLICADO","OK"))</f>
      </c>
      <c r="J289" s="6">
        <f>IF(COUNTA(A289:F289)=0,"",IF(AND(A289&lt;&gt;"",E289&lt;&gt;""),"OK","ERRO: faltam "&amp;IF(A289="","CNPJ; ","")&amp;IF(E289="","Novo gerente; ","")))</f>
      </c>
      <c r="K289" s="6">
        <f>IF(COUNTA(A289:F289)=0,"",IF(AND(LEFT(H289,4)&lt;&gt;"ERRO",I289="OK",J289="OK"),"OK","REVISAR"))</f>
      </c>
    </row>
    <row r="290">
      <c r="A290" s="5"/>
      <c r="B290" s="4"/>
      <c r="C290" s="4"/>
      <c r="D290" s="4"/>
      <c r="E290" s="5"/>
      <c r="F290" s="4"/>
      <c r="G290" s="6">
        <f>IF(A290="","",SUBSTITUTE(SUBSTITUTE(SUBSTITUTE(SUBSTITUTE(SUBSTITUTE(SUBSTITUTE(SUBSTITUTE(TRIM(A290),".",""),"/",""),"-","")," ",""),"(",""),")",""),"+",""))</f>
      </c>
      <c r="H290" s="6">
        <f>IF(G290="","",IF(LEN(G290)&lt;&gt;14,"ERRO: "&amp;LEN(G290)&amp;" dígitos",IF(NOT(ISNUMBER(VALUE(G290))),"ERRO: não numérico",IF(AND(VALUE(MID(G290,13,1))=IF(MOD(SUMPRODUCT(--MID(G290,{1,2,3,4,5,6,7,8,9,10,11,12},1),{5,4,3,2,9,8,7,6,5,4,3,2}),11)&lt;2,0,11-MOD(SUMPRODUCT(--MID(G290,{1,2,3,4,5,6,7,8,9,10,11,12},1),{5,4,3,2,9,8,7,6,5,4,3,2}),11)),VALUE(MID(G290,14,1))=IF(MOD(SUMPRODUCT(--MID(G290,{1,2,3,4,5,6,7,8,9,10,11,12,13},1),{6,5,4,3,2,9,8,7,6,5,4,3,2}),11)&lt;2,0,11-MOD(SUMPRODUCT(--MID(G290,{1,2,3,4,5,6,7,8,9,10,11,12,13},1),{6,5,4,3,2,9,8,7,6,5,4,3,2}),11))),"OK","AVISO: dígito verificador (conferir na org)"))))</f>
      </c>
      <c r="I290" s="6">
        <f>IF(G290="","",IF(COUNTIF($G$2:$G$2001,G290)&gt;1,"DUPLICADO","OK"))</f>
      </c>
      <c r="J290" s="6">
        <f>IF(COUNTA(A290:F290)=0,"",IF(AND(A290&lt;&gt;"",E290&lt;&gt;""),"OK","ERRO: faltam "&amp;IF(A290="","CNPJ; ","")&amp;IF(E290="","Novo gerente; ","")))</f>
      </c>
      <c r="K290" s="6">
        <f>IF(COUNTA(A290:F290)=0,"",IF(AND(LEFT(H290,4)&lt;&gt;"ERRO",I290="OK",J290="OK"),"OK","REVISAR"))</f>
      </c>
    </row>
    <row r="291">
      <c r="A291" s="5"/>
      <c r="B291" s="4"/>
      <c r="C291" s="4"/>
      <c r="D291" s="4"/>
      <c r="E291" s="5"/>
      <c r="F291" s="4"/>
      <c r="G291" s="6">
        <f>IF(A291="","",SUBSTITUTE(SUBSTITUTE(SUBSTITUTE(SUBSTITUTE(SUBSTITUTE(SUBSTITUTE(SUBSTITUTE(TRIM(A291),".",""),"/",""),"-","")," ",""),"(",""),")",""),"+",""))</f>
      </c>
      <c r="H291" s="6">
        <f>IF(G291="","",IF(LEN(G291)&lt;&gt;14,"ERRO: "&amp;LEN(G291)&amp;" dígitos",IF(NOT(ISNUMBER(VALUE(G291))),"ERRO: não numérico",IF(AND(VALUE(MID(G291,13,1))=IF(MOD(SUMPRODUCT(--MID(G291,{1,2,3,4,5,6,7,8,9,10,11,12},1),{5,4,3,2,9,8,7,6,5,4,3,2}),11)&lt;2,0,11-MOD(SUMPRODUCT(--MID(G291,{1,2,3,4,5,6,7,8,9,10,11,12},1),{5,4,3,2,9,8,7,6,5,4,3,2}),11)),VALUE(MID(G291,14,1))=IF(MOD(SUMPRODUCT(--MID(G291,{1,2,3,4,5,6,7,8,9,10,11,12,13},1),{6,5,4,3,2,9,8,7,6,5,4,3,2}),11)&lt;2,0,11-MOD(SUMPRODUCT(--MID(G291,{1,2,3,4,5,6,7,8,9,10,11,12,13},1),{6,5,4,3,2,9,8,7,6,5,4,3,2}),11))),"OK","AVISO: dígito verificador (conferir na org)"))))</f>
      </c>
      <c r="I291" s="6">
        <f>IF(G291="","",IF(COUNTIF($G$2:$G$2001,G291)&gt;1,"DUPLICADO","OK"))</f>
      </c>
      <c r="J291" s="6">
        <f>IF(COUNTA(A291:F291)=0,"",IF(AND(A291&lt;&gt;"",E291&lt;&gt;""),"OK","ERRO: faltam "&amp;IF(A291="","CNPJ; ","")&amp;IF(E291="","Novo gerente; ","")))</f>
      </c>
      <c r="K291" s="6">
        <f>IF(COUNTA(A291:F291)=0,"",IF(AND(LEFT(H291,4)&lt;&gt;"ERRO",I291="OK",J291="OK"),"OK","REVISAR"))</f>
      </c>
    </row>
    <row r="292">
      <c r="A292" s="5"/>
      <c r="B292" s="4"/>
      <c r="C292" s="4"/>
      <c r="D292" s="4"/>
      <c r="E292" s="5"/>
      <c r="F292" s="4"/>
      <c r="G292" s="6">
        <f>IF(A292="","",SUBSTITUTE(SUBSTITUTE(SUBSTITUTE(SUBSTITUTE(SUBSTITUTE(SUBSTITUTE(SUBSTITUTE(TRIM(A292),".",""),"/",""),"-","")," ",""),"(",""),")",""),"+",""))</f>
      </c>
      <c r="H292" s="6">
        <f>IF(G292="","",IF(LEN(G292)&lt;&gt;14,"ERRO: "&amp;LEN(G292)&amp;" dígitos",IF(NOT(ISNUMBER(VALUE(G292))),"ERRO: não numérico",IF(AND(VALUE(MID(G292,13,1))=IF(MOD(SUMPRODUCT(--MID(G292,{1,2,3,4,5,6,7,8,9,10,11,12},1),{5,4,3,2,9,8,7,6,5,4,3,2}),11)&lt;2,0,11-MOD(SUMPRODUCT(--MID(G292,{1,2,3,4,5,6,7,8,9,10,11,12},1),{5,4,3,2,9,8,7,6,5,4,3,2}),11)),VALUE(MID(G292,14,1))=IF(MOD(SUMPRODUCT(--MID(G292,{1,2,3,4,5,6,7,8,9,10,11,12,13},1),{6,5,4,3,2,9,8,7,6,5,4,3,2}),11)&lt;2,0,11-MOD(SUMPRODUCT(--MID(G292,{1,2,3,4,5,6,7,8,9,10,11,12,13},1),{6,5,4,3,2,9,8,7,6,5,4,3,2}),11))),"OK","AVISO: dígito verificador (conferir na org)"))))</f>
      </c>
      <c r="I292" s="6">
        <f>IF(G292="","",IF(COUNTIF($G$2:$G$2001,G292)&gt;1,"DUPLICADO","OK"))</f>
      </c>
      <c r="J292" s="6">
        <f>IF(COUNTA(A292:F292)=0,"",IF(AND(A292&lt;&gt;"",E292&lt;&gt;""),"OK","ERRO: faltam "&amp;IF(A292="","CNPJ; ","")&amp;IF(E292="","Novo gerente; ","")))</f>
      </c>
      <c r="K292" s="6">
        <f>IF(COUNTA(A292:F292)=0,"",IF(AND(LEFT(H292,4)&lt;&gt;"ERRO",I292="OK",J292="OK"),"OK","REVISAR"))</f>
      </c>
    </row>
    <row r="293">
      <c r="A293" s="5"/>
      <c r="B293" s="4"/>
      <c r="C293" s="4"/>
      <c r="D293" s="4"/>
      <c r="E293" s="5"/>
      <c r="F293" s="4"/>
      <c r="G293" s="6">
        <f>IF(A293="","",SUBSTITUTE(SUBSTITUTE(SUBSTITUTE(SUBSTITUTE(SUBSTITUTE(SUBSTITUTE(SUBSTITUTE(TRIM(A293),".",""),"/",""),"-","")," ",""),"(",""),")",""),"+",""))</f>
      </c>
      <c r="H293" s="6">
        <f>IF(G293="","",IF(LEN(G293)&lt;&gt;14,"ERRO: "&amp;LEN(G293)&amp;" dígitos",IF(NOT(ISNUMBER(VALUE(G293))),"ERRO: não numérico",IF(AND(VALUE(MID(G293,13,1))=IF(MOD(SUMPRODUCT(--MID(G293,{1,2,3,4,5,6,7,8,9,10,11,12},1),{5,4,3,2,9,8,7,6,5,4,3,2}),11)&lt;2,0,11-MOD(SUMPRODUCT(--MID(G293,{1,2,3,4,5,6,7,8,9,10,11,12},1),{5,4,3,2,9,8,7,6,5,4,3,2}),11)),VALUE(MID(G293,14,1))=IF(MOD(SUMPRODUCT(--MID(G293,{1,2,3,4,5,6,7,8,9,10,11,12,13},1),{6,5,4,3,2,9,8,7,6,5,4,3,2}),11)&lt;2,0,11-MOD(SUMPRODUCT(--MID(G293,{1,2,3,4,5,6,7,8,9,10,11,12,13},1),{6,5,4,3,2,9,8,7,6,5,4,3,2}),11))),"OK","AVISO: dígito verificador (conferir na org)"))))</f>
      </c>
      <c r="I293" s="6">
        <f>IF(G293="","",IF(COUNTIF($G$2:$G$2001,G293)&gt;1,"DUPLICADO","OK"))</f>
      </c>
      <c r="J293" s="6">
        <f>IF(COUNTA(A293:F293)=0,"",IF(AND(A293&lt;&gt;"",E293&lt;&gt;""),"OK","ERRO: faltam "&amp;IF(A293="","CNPJ; ","")&amp;IF(E293="","Novo gerente; ","")))</f>
      </c>
      <c r="K293" s="6">
        <f>IF(COUNTA(A293:F293)=0,"",IF(AND(LEFT(H293,4)&lt;&gt;"ERRO",I293="OK",J293="OK"),"OK","REVISAR"))</f>
      </c>
    </row>
    <row r="294">
      <c r="A294" s="5"/>
      <c r="B294" s="4"/>
      <c r="C294" s="4"/>
      <c r="D294" s="4"/>
      <c r="E294" s="5"/>
      <c r="F294" s="4"/>
      <c r="G294" s="6">
        <f>IF(A294="","",SUBSTITUTE(SUBSTITUTE(SUBSTITUTE(SUBSTITUTE(SUBSTITUTE(SUBSTITUTE(SUBSTITUTE(TRIM(A294),".",""),"/",""),"-","")," ",""),"(",""),")",""),"+",""))</f>
      </c>
      <c r="H294" s="6">
        <f>IF(G294="","",IF(LEN(G294)&lt;&gt;14,"ERRO: "&amp;LEN(G294)&amp;" dígitos",IF(NOT(ISNUMBER(VALUE(G294))),"ERRO: não numérico",IF(AND(VALUE(MID(G294,13,1))=IF(MOD(SUMPRODUCT(--MID(G294,{1,2,3,4,5,6,7,8,9,10,11,12},1),{5,4,3,2,9,8,7,6,5,4,3,2}),11)&lt;2,0,11-MOD(SUMPRODUCT(--MID(G294,{1,2,3,4,5,6,7,8,9,10,11,12},1),{5,4,3,2,9,8,7,6,5,4,3,2}),11)),VALUE(MID(G294,14,1))=IF(MOD(SUMPRODUCT(--MID(G294,{1,2,3,4,5,6,7,8,9,10,11,12,13},1),{6,5,4,3,2,9,8,7,6,5,4,3,2}),11)&lt;2,0,11-MOD(SUMPRODUCT(--MID(G294,{1,2,3,4,5,6,7,8,9,10,11,12,13},1),{6,5,4,3,2,9,8,7,6,5,4,3,2}),11))),"OK","AVISO: dígito verificador (conferir na org)"))))</f>
      </c>
      <c r="I294" s="6">
        <f>IF(G294="","",IF(COUNTIF($G$2:$G$2001,G294)&gt;1,"DUPLICADO","OK"))</f>
      </c>
      <c r="J294" s="6">
        <f>IF(COUNTA(A294:F294)=0,"",IF(AND(A294&lt;&gt;"",E294&lt;&gt;""),"OK","ERRO: faltam "&amp;IF(A294="","CNPJ; ","")&amp;IF(E294="","Novo gerente; ","")))</f>
      </c>
      <c r="K294" s="6">
        <f>IF(COUNTA(A294:F294)=0,"",IF(AND(LEFT(H294,4)&lt;&gt;"ERRO",I294="OK",J294="OK"),"OK","REVISAR"))</f>
      </c>
    </row>
    <row r="295">
      <c r="A295" s="5"/>
      <c r="B295" s="4"/>
      <c r="C295" s="4"/>
      <c r="D295" s="4"/>
      <c r="E295" s="5"/>
      <c r="F295" s="4"/>
      <c r="G295" s="6">
        <f>IF(A295="","",SUBSTITUTE(SUBSTITUTE(SUBSTITUTE(SUBSTITUTE(SUBSTITUTE(SUBSTITUTE(SUBSTITUTE(TRIM(A295),".",""),"/",""),"-","")," ",""),"(",""),")",""),"+",""))</f>
      </c>
      <c r="H295" s="6">
        <f>IF(G295="","",IF(LEN(G295)&lt;&gt;14,"ERRO: "&amp;LEN(G295)&amp;" dígitos",IF(NOT(ISNUMBER(VALUE(G295))),"ERRO: não numérico",IF(AND(VALUE(MID(G295,13,1))=IF(MOD(SUMPRODUCT(--MID(G295,{1,2,3,4,5,6,7,8,9,10,11,12},1),{5,4,3,2,9,8,7,6,5,4,3,2}),11)&lt;2,0,11-MOD(SUMPRODUCT(--MID(G295,{1,2,3,4,5,6,7,8,9,10,11,12},1),{5,4,3,2,9,8,7,6,5,4,3,2}),11)),VALUE(MID(G295,14,1))=IF(MOD(SUMPRODUCT(--MID(G295,{1,2,3,4,5,6,7,8,9,10,11,12,13},1),{6,5,4,3,2,9,8,7,6,5,4,3,2}),11)&lt;2,0,11-MOD(SUMPRODUCT(--MID(G295,{1,2,3,4,5,6,7,8,9,10,11,12,13},1),{6,5,4,3,2,9,8,7,6,5,4,3,2}),11))),"OK","AVISO: dígito verificador (conferir na org)"))))</f>
      </c>
      <c r="I295" s="6">
        <f>IF(G295="","",IF(COUNTIF($G$2:$G$2001,G295)&gt;1,"DUPLICADO","OK"))</f>
      </c>
      <c r="J295" s="6">
        <f>IF(COUNTA(A295:F295)=0,"",IF(AND(A295&lt;&gt;"",E295&lt;&gt;""),"OK","ERRO: faltam "&amp;IF(A295="","CNPJ; ","")&amp;IF(E295="","Novo gerente; ","")))</f>
      </c>
      <c r="K295" s="6">
        <f>IF(COUNTA(A295:F295)=0,"",IF(AND(LEFT(H295,4)&lt;&gt;"ERRO",I295="OK",J295="OK"),"OK","REVISAR"))</f>
      </c>
    </row>
    <row r="296">
      <c r="A296" s="5"/>
      <c r="B296" s="4"/>
      <c r="C296" s="4"/>
      <c r="D296" s="4"/>
      <c r="E296" s="5"/>
      <c r="F296" s="4"/>
      <c r="G296" s="6">
        <f>IF(A296="","",SUBSTITUTE(SUBSTITUTE(SUBSTITUTE(SUBSTITUTE(SUBSTITUTE(SUBSTITUTE(SUBSTITUTE(TRIM(A296),".",""),"/",""),"-","")," ",""),"(",""),")",""),"+",""))</f>
      </c>
      <c r="H296" s="6">
        <f>IF(G296="","",IF(LEN(G296)&lt;&gt;14,"ERRO: "&amp;LEN(G296)&amp;" dígitos",IF(NOT(ISNUMBER(VALUE(G296))),"ERRO: não numérico",IF(AND(VALUE(MID(G296,13,1))=IF(MOD(SUMPRODUCT(--MID(G296,{1,2,3,4,5,6,7,8,9,10,11,12},1),{5,4,3,2,9,8,7,6,5,4,3,2}),11)&lt;2,0,11-MOD(SUMPRODUCT(--MID(G296,{1,2,3,4,5,6,7,8,9,10,11,12},1),{5,4,3,2,9,8,7,6,5,4,3,2}),11)),VALUE(MID(G296,14,1))=IF(MOD(SUMPRODUCT(--MID(G296,{1,2,3,4,5,6,7,8,9,10,11,12,13},1),{6,5,4,3,2,9,8,7,6,5,4,3,2}),11)&lt;2,0,11-MOD(SUMPRODUCT(--MID(G296,{1,2,3,4,5,6,7,8,9,10,11,12,13},1),{6,5,4,3,2,9,8,7,6,5,4,3,2}),11))),"OK","AVISO: dígito verificador (conferir na org)"))))</f>
      </c>
      <c r="I296" s="6">
        <f>IF(G296="","",IF(COUNTIF($G$2:$G$2001,G296)&gt;1,"DUPLICADO","OK"))</f>
      </c>
      <c r="J296" s="6">
        <f>IF(COUNTA(A296:F296)=0,"",IF(AND(A296&lt;&gt;"",E296&lt;&gt;""),"OK","ERRO: faltam "&amp;IF(A296="","CNPJ; ","")&amp;IF(E296="","Novo gerente; ","")))</f>
      </c>
      <c r="K296" s="6">
        <f>IF(COUNTA(A296:F296)=0,"",IF(AND(LEFT(H296,4)&lt;&gt;"ERRO",I296="OK",J296="OK"),"OK","REVISAR"))</f>
      </c>
    </row>
    <row r="297">
      <c r="A297" s="5"/>
      <c r="B297" s="4"/>
      <c r="C297" s="4"/>
      <c r="D297" s="4"/>
      <c r="E297" s="5"/>
      <c r="F297" s="4"/>
      <c r="G297" s="6">
        <f>IF(A297="","",SUBSTITUTE(SUBSTITUTE(SUBSTITUTE(SUBSTITUTE(SUBSTITUTE(SUBSTITUTE(SUBSTITUTE(TRIM(A297),".",""),"/",""),"-","")," ",""),"(",""),")",""),"+",""))</f>
      </c>
      <c r="H297" s="6">
        <f>IF(G297="","",IF(LEN(G297)&lt;&gt;14,"ERRO: "&amp;LEN(G297)&amp;" dígitos",IF(NOT(ISNUMBER(VALUE(G297))),"ERRO: não numérico",IF(AND(VALUE(MID(G297,13,1))=IF(MOD(SUMPRODUCT(--MID(G297,{1,2,3,4,5,6,7,8,9,10,11,12},1),{5,4,3,2,9,8,7,6,5,4,3,2}),11)&lt;2,0,11-MOD(SUMPRODUCT(--MID(G297,{1,2,3,4,5,6,7,8,9,10,11,12},1),{5,4,3,2,9,8,7,6,5,4,3,2}),11)),VALUE(MID(G297,14,1))=IF(MOD(SUMPRODUCT(--MID(G297,{1,2,3,4,5,6,7,8,9,10,11,12,13},1),{6,5,4,3,2,9,8,7,6,5,4,3,2}),11)&lt;2,0,11-MOD(SUMPRODUCT(--MID(G297,{1,2,3,4,5,6,7,8,9,10,11,12,13},1),{6,5,4,3,2,9,8,7,6,5,4,3,2}),11))),"OK","AVISO: dígito verificador (conferir na org)"))))</f>
      </c>
      <c r="I297" s="6">
        <f>IF(G297="","",IF(COUNTIF($G$2:$G$2001,G297)&gt;1,"DUPLICADO","OK"))</f>
      </c>
      <c r="J297" s="6">
        <f>IF(COUNTA(A297:F297)=0,"",IF(AND(A297&lt;&gt;"",E297&lt;&gt;""),"OK","ERRO: faltam "&amp;IF(A297="","CNPJ; ","")&amp;IF(E297="","Novo gerente; ","")))</f>
      </c>
      <c r="K297" s="6">
        <f>IF(COUNTA(A297:F297)=0,"",IF(AND(LEFT(H297,4)&lt;&gt;"ERRO",I297="OK",J297="OK"),"OK","REVISAR"))</f>
      </c>
    </row>
    <row r="298">
      <c r="A298" s="5"/>
      <c r="B298" s="4"/>
      <c r="C298" s="4"/>
      <c r="D298" s="4"/>
      <c r="E298" s="5"/>
      <c r="F298" s="4"/>
      <c r="G298" s="6">
        <f>IF(A298="","",SUBSTITUTE(SUBSTITUTE(SUBSTITUTE(SUBSTITUTE(SUBSTITUTE(SUBSTITUTE(SUBSTITUTE(TRIM(A298),".",""),"/",""),"-","")," ",""),"(",""),")",""),"+",""))</f>
      </c>
      <c r="H298" s="6">
        <f>IF(G298="","",IF(LEN(G298)&lt;&gt;14,"ERRO: "&amp;LEN(G298)&amp;" dígitos",IF(NOT(ISNUMBER(VALUE(G298))),"ERRO: não numérico",IF(AND(VALUE(MID(G298,13,1))=IF(MOD(SUMPRODUCT(--MID(G298,{1,2,3,4,5,6,7,8,9,10,11,12},1),{5,4,3,2,9,8,7,6,5,4,3,2}),11)&lt;2,0,11-MOD(SUMPRODUCT(--MID(G298,{1,2,3,4,5,6,7,8,9,10,11,12},1),{5,4,3,2,9,8,7,6,5,4,3,2}),11)),VALUE(MID(G298,14,1))=IF(MOD(SUMPRODUCT(--MID(G298,{1,2,3,4,5,6,7,8,9,10,11,12,13},1),{6,5,4,3,2,9,8,7,6,5,4,3,2}),11)&lt;2,0,11-MOD(SUMPRODUCT(--MID(G298,{1,2,3,4,5,6,7,8,9,10,11,12,13},1),{6,5,4,3,2,9,8,7,6,5,4,3,2}),11))),"OK","AVISO: dígito verificador (conferir na org)"))))</f>
      </c>
      <c r="I298" s="6">
        <f>IF(G298="","",IF(COUNTIF($G$2:$G$2001,G298)&gt;1,"DUPLICADO","OK"))</f>
      </c>
      <c r="J298" s="6">
        <f>IF(COUNTA(A298:F298)=0,"",IF(AND(A298&lt;&gt;"",E298&lt;&gt;""),"OK","ERRO: faltam "&amp;IF(A298="","CNPJ; ","")&amp;IF(E298="","Novo gerente; ","")))</f>
      </c>
      <c r="K298" s="6">
        <f>IF(COUNTA(A298:F298)=0,"",IF(AND(LEFT(H298,4)&lt;&gt;"ERRO",I298="OK",J298="OK"),"OK","REVISAR"))</f>
      </c>
    </row>
    <row r="299">
      <c r="A299" s="5"/>
      <c r="B299" s="4"/>
      <c r="C299" s="4"/>
      <c r="D299" s="4"/>
      <c r="E299" s="5"/>
      <c r="F299" s="4"/>
      <c r="G299" s="6">
        <f>IF(A299="","",SUBSTITUTE(SUBSTITUTE(SUBSTITUTE(SUBSTITUTE(SUBSTITUTE(SUBSTITUTE(SUBSTITUTE(TRIM(A299),".",""),"/",""),"-","")," ",""),"(",""),")",""),"+",""))</f>
      </c>
      <c r="H299" s="6">
        <f>IF(G299="","",IF(LEN(G299)&lt;&gt;14,"ERRO: "&amp;LEN(G299)&amp;" dígitos",IF(NOT(ISNUMBER(VALUE(G299))),"ERRO: não numérico",IF(AND(VALUE(MID(G299,13,1))=IF(MOD(SUMPRODUCT(--MID(G299,{1,2,3,4,5,6,7,8,9,10,11,12},1),{5,4,3,2,9,8,7,6,5,4,3,2}),11)&lt;2,0,11-MOD(SUMPRODUCT(--MID(G299,{1,2,3,4,5,6,7,8,9,10,11,12},1),{5,4,3,2,9,8,7,6,5,4,3,2}),11)),VALUE(MID(G299,14,1))=IF(MOD(SUMPRODUCT(--MID(G299,{1,2,3,4,5,6,7,8,9,10,11,12,13},1),{6,5,4,3,2,9,8,7,6,5,4,3,2}),11)&lt;2,0,11-MOD(SUMPRODUCT(--MID(G299,{1,2,3,4,5,6,7,8,9,10,11,12,13},1),{6,5,4,3,2,9,8,7,6,5,4,3,2}),11))),"OK","AVISO: dígito verificador (conferir na org)"))))</f>
      </c>
      <c r="I299" s="6">
        <f>IF(G299="","",IF(COUNTIF($G$2:$G$2001,G299)&gt;1,"DUPLICADO","OK"))</f>
      </c>
      <c r="J299" s="6">
        <f>IF(COUNTA(A299:F299)=0,"",IF(AND(A299&lt;&gt;"",E299&lt;&gt;""),"OK","ERRO: faltam "&amp;IF(A299="","CNPJ; ","")&amp;IF(E299="","Novo gerente; ","")))</f>
      </c>
      <c r="K299" s="6">
        <f>IF(COUNTA(A299:F299)=0,"",IF(AND(LEFT(H299,4)&lt;&gt;"ERRO",I299="OK",J299="OK"),"OK","REVISAR"))</f>
      </c>
    </row>
    <row r="300">
      <c r="A300" s="5"/>
      <c r="B300" s="4"/>
      <c r="C300" s="4"/>
      <c r="D300" s="4"/>
      <c r="E300" s="5"/>
      <c r="F300" s="4"/>
      <c r="G300" s="6">
        <f>IF(A300="","",SUBSTITUTE(SUBSTITUTE(SUBSTITUTE(SUBSTITUTE(SUBSTITUTE(SUBSTITUTE(SUBSTITUTE(TRIM(A300),".",""),"/",""),"-","")," ",""),"(",""),")",""),"+",""))</f>
      </c>
      <c r="H300" s="6">
        <f>IF(G300="","",IF(LEN(G300)&lt;&gt;14,"ERRO: "&amp;LEN(G300)&amp;" dígitos",IF(NOT(ISNUMBER(VALUE(G300))),"ERRO: não numérico",IF(AND(VALUE(MID(G300,13,1))=IF(MOD(SUMPRODUCT(--MID(G300,{1,2,3,4,5,6,7,8,9,10,11,12},1),{5,4,3,2,9,8,7,6,5,4,3,2}),11)&lt;2,0,11-MOD(SUMPRODUCT(--MID(G300,{1,2,3,4,5,6,7,8,9,10,11,12},1),{5,4,3,2,9,8,7,6,5,4,3,2}),11)),VALUE(MID(G300,14,1))=IF(MOD(SUMPRODUCT(--MID(G300,{1,2,3,4,5,6,7,8,9,10,11,12,13},1),{6,5,4,3,2,9,8,7,6,5,4,3,2}),11)&lt;2,0,11-MOD(SUMPRODUCT(--MID(G300,{1,2,3,4,5,6,7,8,9,10,11,12,13},1),{6,5,4,3,2,9,8,7,6,5,4,3,2}),11))),"OK","AVISO: dígito verificador (conferir na org)"))))</f>
      </c>
      <c r="I300" s="6">
        <f>IF(G300="","",IF(COUNTIF($G$2:$G$2001,G300)&gt;1,"DUPLICADO","OK"))</f>
      </c>
      <c r="J300" s="6">
        <f>IF(COUNTA(A300:F300)=0,"",IF(AND(A300&lt;&gt;"",E300&lt;&gt;""),"OK","ERRO: faltam "&amp;IF(A300="","CNPJ; ","")&amp;IF(E300="","Novo gerente; ","")))</f>
      </c>
      <c r="K300" s="6">
        <f>IF(COUNTA(A300:F300)=0,"",IF(AND(LEFT(H300,4)&lt;&gt;"ERRO",I300="OK",J300="OK"),"OK","REVISAR"))</f>
      </c>
    </row>
    <row r="301">
      <c r="A301" s="5"/>
      <c r="B301" s="4"/>
      <c r="C301" s="4"/>
      <c r="D301" s="4"/>
      <c r="E301" s="5"/>
      <c r="F301" s="4"/>
      <c r="G301" s="6">
        <f>IF(A301="","",SUBSTITUTE(SUBSTITUTE(SUBSTITUTE(SUBSTITUTE(SUBSTITUTE(SUBSTITUTE(SUBSTITUTE(TRIM(A301),".",""),"/",""),"-","")," ",""),"(",""),")",""),"+",""))</f>
      </c>
      <c r="H301" s="6">
        <f>IF(G301="","",IF(LEN(G301)&lt;&gt;14,"ERRO: "&amp;LEN(G301)&amp;" dígitos",IF(NOT(ISNUMBER(VALUE(G301))),"ERRO: não numérico",IF(AND(VALUE(MID(G301,13,1))=IF(MOD(SUMPRODUCT(--MID(G301,{1,2,3,4,5,6,7,8,9,10,11,12},1),{5,4,3,2,9,8,7,6,5,4,3,2}),11)&lt;2,0,11-MOD(SUMPRODUCT(--MID(G301,{1,2,3,4,5,6,7,8,9,10,11,12},1),{5,4,3,2,9,8,7,6,5,4,3,2}),11)),VALUE(MID(G301,14,1))=IF(MOD(SUMPRODUCT(--MID(G301,{1,2,3,4,5,6,7,8,9,10,11,12,13},1),{6,5,4,3,2,9,8,7,6,5,4,3,2}),11)&lt;2,0,11-MOD(SUMPRODUCT(--MID(G301,{1,2,3,4,5,6,7,8,9,10,11,12,13},1),{6,5,4,3,2,9,8,7,6,5,4,3,2}),11))),"OK","AVISO: dígito verificador (conferir na org)"))))</f>
      </c>
      <c r="I301" s="6">
        <f>IF(G301="","",IF(COUNTIF($G$2:$G$2001,G301)&gt;1,"DUPLICADO","OK"))</f>
      </c>
      <c r="J301" s="6">
        <f>IF(COUNTA(A301:F301)=0,"",IF(AND(A301&lt;&gt;"",E301&lt;&gt;""),"OK","ERRO: faltam "&amp;IF(A301="","CNPJ; ","")&amp;IF(E301="","Novo gerente; ","")))</f>
      </c>
      <c r="K301" s="6">
        <f>IF(COUNTA(A301:F301)=0,"",IF(AND(LEFT(H301,4)&lt;&gt;"ERRO",I301="OK",J301="OK"),"OK","REVISAR"))</f>
      </c>
    </row>
    <row r="302">
      <c r="A302" s="5"/>
      <c r="B302" s="4"/>
      <c r="C302" s="4"/>
      <c r="D302" s="4"/>
      <c r="E302" s="5"/>
      <c r="F302" s="4"/>
      <c r="G302" s="6">
        <f>IF(A302="","",SUBSTITUTE(SUBSTITUTE(SUBSTITUTE(SUBSTITUTE(SUBSTITUTE(SUBSTITUTE(SUBSTITUTE(TRIM(A302),".",""),"/",""),"-","")," ",""),"(",""),")",""),"+",""))</f>
      </c>
      <c r="H302" s="6">
        <f>IF(G302="","",IF(LEN(G302)&lt;&gt;14,"ERRO: "&amp;LEN(G302)&amp;" dígitos",IF(NOT(ISNUMBER(VALUE(G302))),"ERRO: não numérico",IF(AND(VALUE(MID(G302,13,1))=IF(MOD(SUMPRODUCT(--MID(G302,{1,2,3,4,5,6,7,8,9,10,11,12},1),{5,4,3,2,9,8,7,6,5,4,3,2}),11)&lt;2,0,11-MOD(SUMPRODUCT(--MID(G302,{1,2,3,4,5,6,7,8,9,10,11,12},1),{5,4,3,2,9,8,7,6,5,4,3,2}),11)),VALUE(MID(G302,14,1))=IF(MOD(SUMPRODUCT(--MID(G302,{1,2,3,4,5,6,7,8,9,10,11,12,13},1),{6,5,4,3,2,9,8,7,6,5,4,3,2}),11)&lt;2,0,11-MOD(SUMPRODUCT(--MID(G302,{1,2,3,4,5,6,7,8,9,10,11,12,13},1),{6,5,4,3,2,9,8,7,6,5,4,3,2}),11))),"OK","AVISO: dígito verificador (conferir na org)"))))</f>
      </c>
      <c r="I302" s="6">
        <f>IF(G302="","",IF(COUNTIF($G$2:$G$2001,G302)&gt;1,"DUPLICADO","OK"))</f>
      </c>
      <c r="J302" s="6">
        <f>IF(COUNTA(A302:F302)=0,"",IF(AND(A302&lt;&gt;"",E302&lt;&gt;""),"OK","ERRO: faltam "&amp;IF(A302="","CNPJ; ","")&amp;IF(E302="","Novo gerente; ","")))</f>
      </c>
      <c r="K302" s="6">
        <f>IF(COUNTA(A302:F302)=0,"",IF(AND(LEFT(H302,4)&lt;&gt;"ERRO",I302="OK",J302="OK"),"OK","REVISAR"))</f>
      </c>
    </row>
    <row r="303">
      <c r="A303" s="5"/>
      <c r="B303" s="4"/>
      <c r="C303" s="4"/>
      <c r="D303" s="4"/>
      <c r="E303" s="5"/>
      <c r="F303" s="4"/>
      <c r="G303" s="6">
        <f>IF(A303="","",SUBSTITUTE(SUBSTITUTE(SUBSTITUTE(SUBSTITUTE(SUBSTITUTE(SUBSTITUTE(SUBSTITUTE(TRIM(A303),".",""),"/",""),"-","")," ",""),"(",""),")",""),"+",""))</f>
      </c>
      <c r="H303" s="6">
        <f>IF(G303="","",IF(LEN(G303)&lt;&gt;14,"ERRO: "&amp;LEN(G303)&amp;" dígitos",IF(NOT(ISNUMBER(VALUE(G303))),"ERRO: não numérico",IF(AND(VALUE(MID(G303,13,1))=IF(MOD(SUMPRODUCT(--MID(G303,{1,2,3,4,5,6,7,8,9,10,11,12},1),{5,4,3,2,9,8,7,6,5,4,3,2}),11)&lt;2,0,11-MOD(SUMPRODUCT(--MID(G303,{1,2,3,4,5,6,7,8,9,10,11,12},1),{5,4,3,2,9,8,7,6,5,4,3,2}),11)),VALUE(MID(G303,14,1))=IF(MOD(SUMPRODUCT(--MID(G303,{1,2,3,4,5,6,7,8,9,10,11,12,13},1),{6,5,4,3,2,9,8,7,6,5,4,3,2}),11)&lt;2,0,11-MOD(SUMPRODUCT(--MID(G303,{1,2,3,4,5,6,7,8,9,10,11,12,13},1),{6,5,4,3,2,9,8,7,6,5,4,3,2}),11))),"OK","AVISO: dígito verificador (conferir na org)"))))</f>
      </c>
      <c r="I303" s="6">
        <f>IF(G303="","",IF(COUNTIF($G$2:$G$2001,G303)&gt;1,"DUPLICADO","OK"))</f>
      </c>
      <c r="J303" s="6">
        <f>IF(COUNTA(A303:F303)=0,"",IF(AND(A303&lt;&gt;"",E303&lt;&gt;""),"OK","ERRO: faltam "&amp;IF(A303="","CNPJ; ","")&amp;IF(E303="","Novo gerente; ","")))</f>
      </c>
      <c r="K303" s="6">
        <f>IF(COUNTA(A303:F303)=0,"",IF(AND(LEFT(H303,4)&lt;&gt;"ERRO",I303="OK",J303="OK"),"OK","REVISAR"))</f>
      </c>
    </row>
    <row r="304">
      <c r="A304" s="5"/>
      <c r="B304" s="4"/>
      <c r="C304" s="4"/>
      <c r="D304" s="4"/>
      <c r="E304" s="5"/>
      <c r="F304" s="4"/>
      <c r="G304" s="6">
        <f>IF(A304="","",SUBSTITUTE(SUBSTITUTE(SUBSTITUTE(SUBSTITUTE(SUBSTITUTE(SUBSTITUTE(SUBSTITUTE(TRIM(A304),".",""),"/",""),"-","")," ",""),"(",""),")",""),"+",""))</f>
      </c>
      <c r="H304" s="6">
        <f>IF(G304="","",IF(LEN(G304)&lt;&gt;14,"ERRO: "&amp;LEN(G304)&amp;" dígitos",IF(NOT(ISNUMBER(VALUE(G304))),"ERRO: não numérico",IF(AND(VALUE(MID(G304,13,1))=IF(MOD(SUMPRODUCT(--MID(G304,{1,2,3,4,5,6,7,8,9,10,11,12},1),{5,4,3,2,9,8,7,6,5,4,3,2}),11)&lt;2,0,11-MOD(SUMPRODUCT(--MID(G304,{1,2,3,4,5,6,7,8,9,10,11,12},1),{5,4,3,2,9,8,7,6,5,4,3,2}),11)),VALUE(MID(G304,14,1))=IF(MOD(SUMPRODUCT(--MID(G304,{1,2,3,4,5,6,7,8,9,10,11,12,13},1),{6,5,4,3,2,9,8,7,6,5,4,3,2}),11)&lt;2,0,11-MOD(SUMPRODUCT(--MID(G304,{1,2,3,4,5,6,7,8,9,10,11,12,13},1),{6,5,4,3,2,9,8,7,6,5,4,3,2}),11))),"OK","AVISO: dígito verificador (conferir na org)"))))</f>
      </c>
      <c r="I304" s="6">
        <f>IF(G304="","",IF(COUNTIF($G$2:$G$2001,G304)&gt;1,"DUPLICADO","OK"))</f>
      </c>
      <c r="J304" s="6">
        <f>IF(COUNTA(A304:F304)=0,"",IF(AND(A304&lt;&gt;"",E304&lt;&gt;""),"OK","ERRO: faltam "&amp;IF(A304="","CNPJ; ","")&amp;IF(E304="","Novo gerente; ","")))</f>
      </c>
      <c r="K304" s="6">
        <f>IF(COUNTA(A304:F304)=0,"",IF(AND(LEFT(H304,4)&lt;&gt;"ERRO",I304="OK",J304="OK"),"OK","REVISAR"))</f>
      </c>
    </row>
    <row r="305">
      <c r="A305" s="5"/>
      <c r="B305" s="4"/>
      <c r="C305" s="4"/>
      <c r="D305" s="4"/>
      <c r="E305" s="5"/>
      <c r="F305" s="4"/>
      <c r="G305" s="6">
        <f>IF(A305="","",SUBSTITUTE(SUBSTITUTE(SUBSTITUTE(SUBSTITUTE(SUBSTITUTE(SUBSTITUTE(SUBSTITUTE(TRIM(A305),".",""),"/",""),"-","")," ",""),"(",""),")",""),"+",""))</f>
      </c>
      <c r="H305" s="6">
        <f>IF(G305="","",IF(LEN(G305)&lt;&gt;14,"ERRO: "&amp;LEN(G305)&amp;" dígitos",IF(NOT(ISNUMBER(VALUE(G305))),"ERRO: não numérico",IF(AND(VALUE(MID(G305,13,1))=IF(MOD(SUMPRODUCT(--MID(G305,{1,2,3,4,5,6,7,8,9,10,11,12},1),{5,4,3,2,9,8,7,6,5,4,3,2}),11)&lt;2,0,11-MOD(SUMPRODUCT(--MID(G305,{1,2,3,4,5,6,7,8,9,10,11,12},1),{5,4,3,2,9,8,7,6,5,4,3,2}),11)),VALUE(MID(G305,14,1))=IF(MOD(SUMPRODUCT(--MID(G305,{1,2,3,4,5,6,7,8,9,10,11,12,13},1),{6,5,4,3,2,9,8,7,6,5,4,3,2}),11)&lt;2,0,11-MOD(SUMPRODUCT(--MID(G305,{1,2,3,4,5,6,7,8,9,10,11,12,13},1),{6,5,4,3,2,9,8,7,6,5,4,3,2}),11))),"OK","AVISO: dígito verificador (conferir na org)"))))</f>
      </c>
      <c r="I305" s="6">
        <f>IF(G305="","",IF(COUNTIF($G$2:$G$2001,G305)&gt;1,"DUPLICADO","OK"))</f>
      </c>
      <c r="J305" s="6">
        <f>IF(COUNTA(A305:F305)=0,"",IF(AND(A305&lt;&gt;"",E305&lt;&gt;""),"OK","ERRO: faltam "&amp;IF(A305="","CNPJ; ","")&amp;IF(E305="","Novo gerente; ","")))</f>
      </c>
      <c r="K305" s="6">
        <f>IF(COUNTA(A305:F305)=0,"",IF(AND(LEFT(H305,4)&lt;&gt;"ERRO",I305="OK",J305="OK"),"OK","REVISAR"))</f>
      </c>
    </row>
    <row r="306">
      <c r="A306" s="5"/>
      <c r="B306" s="4"/>
      <c r="C306" s="4"/>
      <c r="D306" s="4"/>
      <c r="E306" s="5"/>
      <c r="F306" s="4"/>
      <c r="G306" s="6">
        <f>IF(A306="","",SUBSTITUTE(SUBSTITUTE(SUBSTITUTE(SUBSTITUTE(SUBSTITUTE(SUBSTITUTE(SUBSTITUTE(TRIM(A306),".",""),"/",""),"-","")," ",""),"(",""),")",""),"+",""))</f>
      </c>
      <c r="H306" s="6">
        <f>IF(G306="","",IF(LEN(G306)&lt;&gt;14,"ERRO: "&amp;LEN(G306)&amp;" dígitos",IF(NOT(ISNUMBER(VALUE(G306))),"ERRO: não numérico",IF(AND(VALUE(MID(G306,13,1))=IF(MOD(SUMPRODUCT(--MID(G306,{1,2,3,4,5,6,7,8,9,10,11,12},1),{5,4,3,2,9,8,7,6,5,4,3,2}),11)&lt;2,0,11-MOD(SUMPRODUCT(--MID(G306,{1,2,3,4,5,6,7,8,9,10,11,12},1),{5,4,3,2,9,8,7,6,5,4,3,2}),11)),VALUE(MID(G306,14,1))=IF(MOD(SUMPRODUCT(--MID(G306,{1,2,3,4,5,6,7,8,9,10,11,12,13},1),{6,5,4,3,2,9,8,7,6,5,4,3,2}),11)&lt;2,0,11-MOD(SUMPRODUCT(--MID(G306,{1,2,3,4,5,6,7,8,9,10,11,12,13},1),{6,5,4,3,2,9,8,7,6,5,4,3,2}),11))),"OK","AVISO: dígito verificador (conferir na org)"))))</f>
      </c>
      <c r="I306" s="6">
        <f>IF(G306="","",IF(COUNTIF($G$2:$G$2001,G306)&gt;1,"DUPLICADO","OK"))</f>
      </c>
      <c r="J306" s="6">
        <f>IF(COUNTA(A306:F306)=0,"",IF(AND(A306&lt;&gt;"",E306&lt;&gt;""),"OK","ERRO: faltam "&amp;IF(A306="","CNPJ; ","")&amp;IF(E306="","Novo gerente; ","")))</f>
      </c>
      <c r="K306" s="6">
        <f>IF(COUNTA(A306:F306)=0,"",IF(AND(LEFT(H306,4)&lt;&gt;"ERRO",I306="OK",J306="OK"),"OK","REVISAR"))</f>
      </c>
    </row>
    <row r="307">
      <c r="A307" s="5"/>
      <c r="B307" s="4"/>
      <c r="C307" s="4"/>
      <c r="D307" s="4"/>
      <c r="E307" s="5"/>
      <c r="F307" s="4"/>
      <c r="G307" s="6">
        <f>IF(A307="","",SUBSTITUTE(SUBSTITUTE(SUBSTITUTE(SUBSTITUTE(SUBSTITUTE(SUBSTITUTE(SUBSTITUTE(TRIM(A307),".",""),"/",""),"-","")," ",""),"(",""),")",""),"+",""))</f>
      </c>
      <c r="H307" s="6">
        <f>IF(G307="","",IF(LEN(G307)&lt;&gt;14,"ERRO: "&amp;LEN(G307)&amp;" dígitos",IF(NOT(ISNUMBER(VALUE(G307))),"ERRO: não numérico",IF(AND(VALUE(MID(G307,13,1))=IF(MOD(SUMPRODUCT(--MID(G307,{1,2,3,4,5,6,7,8,9,10,11,12},1),{5,4,3,2,9,8,7,6,5,4,3,2}),11)&lt;2,0,11-MOD(SUMPRODUCT(--MID(G307,{1,2,3,4,5,6,7,8,9,10,11,12},1),{5,4,3,2,9,8,7,6,5,4,3,2}),11)),VALUE(MID(G307,14,1))=IF(MOD(SUMPRODUCT(--MID(G307,{1,2,3,4,5,6,7,8,9,10,11,12,13},1),{6,5,4,3,2,9,8,7,6,5,4,3,2}),11)&lt;2,0,11-MOD(SUMPRODUCT(--MID(G307,{1,2,3,4,5,6,7,8,9,10,11,12,13},1),{6,5,4,3,2,9,8,7,6,5,4,3,2}),11))),"OK","AVISO: dígito verificador (conferir na org)"))))</f>
      </c>
      <c r="I307" s="6">
        <f>IF(G307="","",IF(COUNTIF($G$2:$G$2001,G307)&gt;1,"DUPLICADO","OK"))</f>
      </c>
      <c r="J307" s="6">
        <f>IF(COUNTA(A307:F307)=0,"",IF(AND(A307&lt;&gt;"",E307&lt;&gt;""),"OK","ERRO: faltam "&amp;IF(A307="","CNPJ; ","")&amp;IF(E307="","Novo gerente; ","")))</f>
      </c>
      <c r="K307" s="6">
        <f>IF(COUNTA(A307:F307)=0,"",IF(AND(LEFT(H307,4)&lt;&gt;"ERRO",I307="OK",J307="OK"),"OK","REVISAR"))</f>
      </c>
    </row>
    <row r="308">
      <c r="A308" s="5"/>
      <c r="B308" s="4"/>
      <c r="C308" s="4"/>
      <c r="D308" s="4"/>
      <c r="E308" s="5"/>
      <c r="F308" s="4"/>
      <c r="G308" s="6">
        <f>IF(A308="","",SUBSTITUTE(SUBSTITUTE(SUBSTITUTE(SUBSTITUTE(SUBSTITUTE(SUBSTITUTE(SUBSTITUTE(TRIM(A308),".",""),"/",""),"-","")," ",""),"(",""),")",""),"+",""))</f>
      </c>
      <c r="H308" s="6">
        <f>IF(G308="","",IF(LEN(G308)&lt;&gt;14,"ERRO: "&amp;LEN(G308)&amp;" dígitos",IF(NOT(ISNUMBER(VALUE(G308))),"ERRO: não numérico",IF(AND(VALUE(MID(G308,13,1))=IF(MOD(SUMPRODUCT(--MID(G308,{1,2,3,4,5,6,7,8,9,10,11,12},1),{5,4,3,2,9,8,7,6,5,4,3,2}),11)&lt;2,0,11-MOD(SUMPRODUCT(--MID(G308,{1,2,3,4,5,6,7,8,9,10,11,12},1),{5,4,3,2,9,8,7,6,5,4,3,2}),11)),VALUE(MID(G308,14,1))=IF(MOD(SUMPRODUCT(--MID(G308,{1,2,3,4,5,6,7,8,9,10,11,12,13},1),{6,5,4,3,2,9,8,7,6,5,4,3,2}),11)&lt;2,0,11-MOD(SUMPRODUCT(--MID(G308,{1,2,3,4,5,6,7,8,9,10,11,12,13},1),{6,5,4,3,2,9,8,7,6,5,4,3,2}),11))),"OK","AVISO: dígito verificador (conferir na org)"))))</f>
      </c>
      <c r="I308" s="6">
        <f>IF(G308="","",IF(COUNTIF($G$2:$G$2001,G308)&gt;1,"DUPLICADO","OK"))</f>
      </c>
      <c r="J308" s="6">
        <f>IF(COUNTA(A308:F308)=0,"",IF(AND(A308&lt;&gt;"",E308&lt;&gt;""),"OK","ERRO: faltam "&amp;IF(A308="","CNPJ; ","")&amp;IF(E308="","Novo gerente; ","")))</f>
      </c>
      <c r="K308" s="6">
        <f>IF(COUNTA(A308:F308)=0,"",IF(AND(LEFT(H308,4)&lt;&gt;"ERRO",I308="OK",J308="OK"),"OK","REVISAR"))</f>
      </c>
    </row>
    <row r="309">
      <c r="A309" s="5"/>
      <c r="B309" s="4"/>
      <c r="C309" s="4"/>
      <c r="D309" s="4"/>
      <c r="E309" s="5"/>
      <c r="F309" s="4"/>
      <c r="G309" s="6">
        <f>IF(A309="","",SUBSTITUTE(SUBSTITUTE(SUBSTITUTE(SUBSTITUTE(SUBSTITUTE(SUBSTITUTE(SUBSTITUTE(TRIM(A309),".",""),"/",""),"-","")," ",""),"(",""),")",""),"+",""))</f>
      </c>
      <c r="H309" s="6">
        <f>IF(G309="","",IF(LEN(G309)&lt;&gt;14,"ERRO: "&amp;LEN(G309)&amp;" dígitos",IF(NOT(ISNUMBER(VALUE(G309))),"ERRO: não numérico",IF(AND(VALUE(MID(G309,13,1))=IF(MOD(SUMPRODUCT(--MID(G309,{1,2,3,4,5,6,7,8,9,10,11,12},1),{5,4,3,2,9,8,7,6,5,4,3,2}),11)&lt;2,0,11-MOD(SUMPRODUCT(--MID(G309,{1,2,3,4,5,6,7,8,9,10,11,12},1),{5,4,3,2,9,8,7,6,5,4,3,2}),11)),VALUE(MID(G309,14,1))=IF(MOD(SUMPRODUCT(--MID(G309,{1,2,3,4,5,6,7,8,9,10,11,12,13},1),{6,5,4,3,2,9,8,7,6,5,4,3,2}),11)&lt;2,0,11-MOD(SUMPRODUCT(--MID(G309,{1,2,3,4,5,6,7,8,9,10,11,12,13},1),{6,5,4,3,2,9,8,7,6,5,4,3,2}),11))),"OK","AVISO: dígito verificador (conferir na org)"))))</f>
      </c>
      <c r="I309" s="6">
        <f>IF(G309="","",IF(COUNTIF($G$2:$G$2001,G309)&gt;1,"DUPLICADO","OK"))</f>
      </c>
      <c r="J309" s="6">
        <f>IF(COUNTA(A309:F309)=0,"",IF(AND(A309&lt;&gt;"",E309&lt;&gt;""),"OK","ERRO: faltam "&amp;IF(A309="","CNPJ; ","")&amp;IF(E309="","Novo gerente; ","")))</f>
      </c>
      <c r="K309" s="6">
        <f>IF(COUNTA(A309:F309)=0,"",IF(AND(LEFT(H309,4)&lt;&gt;"ERRO",I309="OK",J309="OK"),"OK","REVISAR"))</f>
      </c>
    </row>
    <row r="310">
      <c r="A310" s="5"/>
      <c r="B310" s="4"/>
      <c r="C310" s="4"/>
      <c r="D310" s="4"/>
      <c r="E310" s="5"/>
      <c r="F310" s="4"/>
      <c r="G310" s="6">
        <f>IF(A310="","",SUBSTITUTE(SUBSTITUTE(SUBSTITUTE(SUBSTITUTE(SUBSTITUTE(SUBSTITUTE(SUBSTITUTE(TRIM(A310),".",""),"/",""),"-","")," ",""),"(",""),")",""),"+",""))</f>
      </c>
      <c r="H310" s="6">
        <f>IF(G310="","",IF(LEN(G310)&lt;&gt;14,"ERRO: "&amp;LEN(G310)&amp;" dígitos",IF(NOT(ISNUMBER(VALUE(G310))),"ERRO: não numérico",IF(AND(VALUE(MID(G310,13,1))=IF(MOD(SUMPRODUCT(--MID(G310,{1,2,3,4,5,6,7,8,9,10,11,12},1),{5,4,3,2,9,8,7,6,5,4,3,2}),11)&lt;2,0,11-MOD(SUMPRODUCT(--MID(G310,{1,2,3,4,5,6,7,8,9,10,11,12},1),{5,4,3,2,9,8,7,6,5,4,3,2}),11)),VALUE(MID(G310,14,1))=IF(MOD(SUMPRODUCT(--MID(G310,{1,2,3,4,5,6,7,8,9,10,11,12,13},1),{6,5,4,3,2,9,8,7,6,5,4,3,2}),11)&lt;2,0,11-MOD(SUMPRODUCT(--MID(G310,{1,2,3,4,5,6,7,8,9,10,11,12,13},1),{6,5,4,3,2,9,8,7,6,5,4,3,2}),11))),"OK","AVISO: dígito verificador (conferir na org)"))))</f>
      </c>
      <c r="I310" s="6">
        <f>IF(G310="","",IF(COUNTIF($G$2:$G$2001,G310)&gt;1,"DUPLICADO","OK"))</f>
      </c>
      <c r="J310" s="6">
        <f>IF(COUNTA(A310:F310)=0,"",IF(AND(A310&lt;&gt;"",E310&lt;&gt;""),"OK","ERRO: faltam "&amp;IF(A310="","CNPJ; ","")&amp;IF(E310="","Novo gerente; ","")))</f>
      </c>
      <c r="K310" s="6">
        <f>IF(COUNTA(A310:F310)=0,"",IF(AND(LEFT(H310,4)&lt;&gt;"ERRO",I310="OK",J310="OK"),"OK","REVISAR"))</f>
      </c>
    </row>
    <row r="311">
      <c r="A311" s="5"/>
      <c r="B311" s="4"/>
      <c r="C311" s="4"/>
      <c r="D311" s="4"/>
      <c r="E311" s="5"/>
      <c r="F311" s="4"/>
      <c r="G311" s="6">
        <f>IF(A311="","",SUBSTITUTE(SUBSTITUTE(SUBSTITUTE(SUBSTITUTE(SUBSTITUTE(SUBSTITUTE(SUBSTITUTE(TRIM(A311),".",""),"/",""),"-","")," ",""),"(",""),")",""),"+",""))</f>
      </c>
      <c r="H311" s="6">
        <f>IF(G311="","",IF(LEN(G311)&lt;&gt;14,"ERRO: "&amp;LEN(G311)&amp;" dígitos",IF(NOT(ISNUMBER(VALUE(G311))),"ERRO: não numérico",IF(AND(VALUE(MID(G311,13,1))=IF(MOD(SUMPRODUCT(--MID(G311,{1,2,3,4,5,6,7,8,9,10,11,12},1),{5,4,3,2,9,8,7,6,5,4,3,2}),11)&lt;2,0,11-MOD(SUMPRODUCT(--MID(G311,{1,2,3,4,5,6,7,8,9,10,11,12},1),{5,4,3,2,9,8,7,6,5,4,3,2}),11)),VALUE(MID(G311,14,1))=IF(MOD(SUMPRODUCT(--MID(G311,{1,2,3,4,5,6,7,8,9,10,11,12,13},1),{6,5,4,3,2,9,8,7,6,5,4,3,2}),11)&lt;2,0,11-MOD(SUMPRODUCT(--MID(G311,{1,2,3,4,5,6,7,8,9,10,11,12,13},1),{6,5,4,3,2,9,8,7,6,5,4,3,2}),11))),"OK","AVISO: dígito verificador (conferir na org)"))))</f>
      </c>
      <c r="I311" s="6">
        <f>IF(G311="","",IF(COUNTIF($G$2:$G$2001,G311)&gt;1,"DUPLICADO","OK"))</f>
      </c>
      <c r="J311" s="6">
        <f>IF(COUNTA(A311:F311)=0,"",IF(AND(A311&lt;&gt;"",E311&lt;&gt;""),"OK","ERRO: faltam "&amp;IF(A311="","CNPJ; ","")&amp;IF(E311="","Novo gerente; ","")))</f>
      </c>
      <c r="K311" s="6">
        <f>IF(COUNTA(A311:F311)=0,"",IF(AND(LEFT(H311,4)&lt;&gt;"ERRO",I311="OK",J311="OK"),"OK","REVISAR"))</f>
      </c>
    </row>
    <row r="312">
      <c r="A312" s="5"/>
      <c r="B312" s="4"/>
      <c r="C312" s="4"/>
      <c r="D312" s="4"/>
      <c r="E312" s="5"/>
      <c r="F312" s="4"/>
      <c r="G312" s="6">
        <f>IF(A312="","",SUBSTITUTE(SUBSTITUTE(SUBSTITUTE(SUBSTITUTE(SUBSTITUTE(SUBSTITUTE(SUBSTITUTE(TRIM(A312),".",""),"/",""),"-","")," ",""),"(",""),")",""),"+",""))</f>
      </c>
      <c r="H312" s="6">
        <f>IF(G312="","",IF(LEN(G312)&lt;&gt;14,"ERRO: "&amp;LEN(G312)&amp;" dígitos",IF(NOT(ISNUMBER(VALUE(G312))),"ERRO: não numérico",IF(AND(VALUE(MID(G312,13,1))=IF(MOD(SUMPRODUCT(--MID(G312,{1,2,3,4,5,6,7,8,9,10,11,12},1),{5,4,3,2,9,8,7,6,5,4,3,2}),11)&lt;2,0,11-MOD(SUMPRODUCT(--MID(G312,{1,2,3,4,5,6,7,8,9,10,11,12},1),{5,4,3,2,9,8,7,6,5,4,3,2}),11)),VALUE(MID(G312,14,1))=IF(MOD(SUMPRODUCT(--MID(G312,{1,2,3,4,5,6,7,8,9,10,11,12,13},1),{6,5,4,3,2,9,8,7,6,5,4,3,2}),11)&lt;2,0,11-MOD(SUMPRODUCT(--MID(G312,{1,2,3,4,5,6,7,8,9,10,11,12,13},1),{6,5,4,3,2,9,8,7,6,5,4,3,2}),11))),"OK","AVISO: dígito verificador (conferir na org)"))))</f>
      </c>
      <c r="I312" s="6">
        <f>IF(G312="","",IF(COUNTIF($G$2:$G$2001,G312)&gt;1,"DUPLICADO","OK"))</f>
      </c>
      <c r="J312" s="6">
        <f>IF(COUNTA(A312:F312)=0,"",IF(AND(A312&lt;&gt;"",E312&lt;&gt;""),"OK","ERRO: faltam "&amp;IF(A312="","CNPJ; ","")&amp;IF(E312="","Novo gerente; ","")))</f>
      </c>
      <c r="K312" s="6">
        <f>IF(COUNTA(A312:F312)=0,"",IF(AND(LEFT(H312,4)&lt;&gt;"ERRO",I312="OK",J312="OK"),"OK","REVISAR"))</f>
      </c>
    </row>
    <row r="313">
      <c r="A313" s="5"/>
      <c r="B313" s="4"/>
      <c r="C313" s="4"/>
      <c r="D313" s="4"/>
      <c r="E313" s="5"/>
      <c r="F313" s="4"/>
      <c r="G313" s="6">
        <f>IF(A313="","",SUBSTITUTE(SUBSTITUTE(SUBSTITUTE(SUBSTITUTE(SUBSTITUTE(SUBSTITUTE(SUBSTITUTE(TRIM(A313),".",""),"/",""),"-","")," ",""),"(",""),")",""),"+",""))</f>
      </c>
      <c r="H313" s="6">
        <f>IF(G313="","",IF(LEN(G313)&lt;&gt;14,"ERRO: "&amp;LEN(G313)&amp;" dígitos",IF(NOT(ISNUMBER(VALUE(G313))),"ERRO: não numérico",IF(AND(VALUE(MID(G313,13,1))=IF(MOD(SUMPRODUCT(--MID(G313,{1,2,3,4,5,6,7,8,9,10,11,12},1),{5,4,3,2,9,8,7,6,5,4,3,2}),11)&lt;2,0,11-MOD(SUMPRODUCT(--MID(G313,{1,2,3,4,5,6,7,8,9,10,11,12},1),{5,4,3,2,9,8,7,6,5,4,3,2}),11)),VALUE(MID(G313,14,1))=IF(MOD(SUMPRODUCT(--MID(G313,{1,2,3,4,5,6,7,8,9,10,11,12,13},1),{6,5,4,3,2,9,8,7,6,5,4,3,2}),11)&lt;2,0,11-MOD(SUMPRODUCT(--MID(G313,{1,2,3,4,5,6,7,8,9,10,11,12,13},1),{6,5,4,3,2,9,8,7,6,5,4,3,2}),11))),"OK","AVISO: dígito verificador (conferir na org)"))))</f>
      </c>
      <c r="I313" s="6">
        <f>IF(G313="","",IF(COUNTIF($G$2:$G$2001,G313)&gt;1,"DUPLICADO","OK"))</f>
      </c>
      <c r="J313" s="6">
        <f>IF(COUNTA(A313:F313)=0,"",IF(AND(A313&lt;&gt;"",E313&lt;&gt;""),"OK","ERRO: faltam "&amp;IF(A313="","CNPJ; ","")&amp;IF(E313="","Novo gerente; ","")))</f>
      </c>
      <c r="K313" s="6">
        <f>IF(COUNTA(A313:F313)=0,"",IF(AND(LEFT(H313,4)&lt;&gt;"ERRO",I313="OK",J313="OK"),"OK","REVISAR"))</f>
      </c>
    </row>
    <row r="314">
      <c r="A314" s="5"/>
      <c r="B314" s="4"/>
      <c r="C314" s="4"/>
      <c r="D314" s="4"/>
      <c r="E314" s="5"/>
      <c r="F314" s="4"/>
      <c r="G314" s="6">
        <f>IF(A314="","",SUBSTITUTE(SUBSTITUTE(SUBSTITUTE(SUBSTITUTE(SUBSTITUTE(SUBSTITUTE(SUBSTITUTE(TRIM(A314),".",""),"/",""),"-","")," ",""),"(",""),")",""),"+",""))</f>
      </c>
      <c r="H314" s="6">
        <f>IF(G314="","",IF(LEN(G314)&lt;&gt;14,"ERRO: "&amp;LEN(G314)&amp;" dígitos",IF(NOT(ISNUMBER(VALUE(G314))),"ERRO: não numérico",IF(AND(VALUE(MID(G314,13,1))=IF(MOD(SUMPRODUCT(--MID(G314,{1,2,3,4,5,6,7,8,9,10,11,12},1),{5,4,3,2,9,8,7,6,5,4,3,2}),11)&lt;2,0,11-MOD(SUMPRODUCT(--MID(G314,{1,2,3,4,5,6,7,8,9,10,11,12},1),{5,4,3,2,9,8,7,6,5,4,3,2}),11)),VALUE(MID(G314,14,1))=IF(MOD(SUMPRODUCT(--MID(G314,{1,2,3,4,5,6,7,8,9,10,11,12,13},1),{6,5,4,3,2,9,8,7,6,5,4,3,2}),11)&lt;2,0,11-MOD(SUMPRODUCT(--MID(G314,{1,2,3,4,5,6,7,8,9,10,11,12,13},1),{6,5,4,3,2,9,8,7,6,5,4,3,2}),11))),"OK","AVISO: dígito verificador (conferir na org)"))))</f>
      </c>
      <c r="I314" s="6">
        <f>IF(G314="","",IF(COUNTIF($G$2:$G$2001,G314)&gt;1,"DUPLICADO","OK"))</f>
      </c>
      <c r="J314" s="6">
        <f>IF(COUNTA(A314:F314)=0,"",IF(AND(A314&lt;&gt;"",E314&lt;&gt;""),"OK","ERRO: faltam "&amp;IF(A314="","CNPJ; ","")&amp;IF(E314="","Novo gerente; ","")))</f>
      </c>
      <c r="K314" s="6">
        <f>IF(COUNTA(A314:F314)=0,"",IF(AND(LEFT(H314,4)&lt;&gt;"ERRO",I314="OK",J314="OK"),"OK","REVISAR"))</f>
      </c>
    </row>
    <row r="315">
      <c r="A315" s="5"/>
      <c r="B315" s="4"/>
      <c r="C315" s="4"/>
      <c r="D315" s="4"/>
      <c r="E315" s="5"/>
      <c r="F315" s="4"/>
      <c r="G315" s="6">
        <f>IF(A315="","",SUBSTITUTE(SUBSTITUTE(SUBSTITUTE(SUBSTITUTE(SUBSTITUTE(SUBSTITUTE(SUBSTITUTE(TRIM(A315),".",""),"/",""),"-","")," ",""),"(",""),")",""),"+",""))</f>
      </c>
      <c r="H315" s="6">
        <f>IF(G315="","",IF(LEN(G315)&lt;&gt;14,"ERRO: "&amp;LEN(G315)&amp;" dígitos",IF(NOT(ISNUMBER(VALUE(G315))),"ERRO: não numérico",IF(AND(VALUE(MID(G315,13,1))=IF(MOD(SUMPRODUCT(--MID(G315,{1,2,3,4,5,6,7,8,9,10,11,12},1),{5,4,3,2,9,8,7,6,5,4,3,2}),11)&lt;2,0,11-MOD(SUMPRODUCT(--MID(G315,{1,2,3,4,5,6,7,8,9,10,11,12},1),{5,4,3,2,9,8,7,6,5,4,3,2}),11)),VALUE(MID(G315,14,1))=IF(MOD(SUMPRODUCT(--MID(G315,{1,2,3,4,5,6,7,8,9,10,11,12,13},1),{6,5,4,3,2,9,8,7,6,5,4,3,2}),11)&lt;2,0,11-MOD(SUMPRODUCT(--MID(G315,{1,2,3,4,5,6,7,8,9,10,11,12,13},1),{6,5,4,3,2,9,8,7,6,5,4,3,2}),11))),"OK","AVISO: dígito verificador (conferir na org)"))))</f>
      </c>
      <c r="I315" s="6">
        <f>IF(G315="","",IF(COUNTIF($G$2:$G$2001,G315)&gt;1,"DUPLICADO","OK"))</f>
      </c>
      <c r="J315" s="6">
        <f>IF(COUNTA(A315:F315)=0,"",IF(AND(A315&lt;&gt;"",E315&lt;&gt;""),"OK","ERRO: faltam "&amp;IF(A315="","CNPJ; ","")&amp;IF(E315="","Novo gerente; ","")))</f>
      </c>
      <c r="K315" s="6">
        <f>IF(COUNTA(A315:F315)=0,"",IF(AND(LEFT(H315,4)&lt;&gt;"ERRO",I315="OK",J315="OK"),"OK","REVISAR"))</f>
      </c>
    </row>
    <row r="316">
      <c r="A316" s="5"/>
      <c r="B316" s="4"/>
      <c r="C316" s="4"/>
      <c r="D316" s="4"/>
      <c r="E316" s="5"/>
      <c r="F316" s="4"/>
      <c r="G316" s="6">
        <f>IF(A316="","",SUBSTITUTE(SUBSTITUTE(SUBSTITUTE(SUBSTITUTE(SUBSTITUTE(SUBSTITUTE(SUBSTITUTE(TRIM(A316),".",""),"/",""),"-","")," ",""),"(",""),")",""),"+",""))</f>
      </c>
      <c r="H316" s="6">
        <f>IF(G316="","",IF(LEN(G316)&lt;&gt;14,"ERRO: "&amp;LEN(G316)&amp;" dígitos",IF(NOT(ISNUMBER(VALUE(G316))),"ERRO: não numérico",IF(AND(VALUE(MID(G316,13,1))=IF(MOD(SUMPRODUCT(--MID(G316,{1,2,3,4,5,6,7,8,9,10,11,12},1),{5,4,3,2,9,8,7,6,5,4,3,2}),11)&lt;2,0,11-MOD(SUMPRODUCT(--MID(G316,{1,2,3,4,5,6,7,8,9,10,11,12},1),{5,4,3,2,9,8,7,6,5,4,3,2}),11)),VALUE(MID(G316,14,1))=IF(MOD(SUMPRODUCT(--MID(G316,{1,2,3,4,5,6,7,8,9,10,11,12,13},1),{6,5,4,3,2,9,8,7,6,5,4,3,2}),11)&lt;2,0,11-MOD(SUMPRODUCT(--MID(G316,{1,2,3,4,5,6,7,8,9,10,11,12,13},1),{6,5,4,3,2,9,8,7,6,5,4,3,2}),11))),"OK","AVISO: dígito verificador (conferir na org)"))))</f>
      </c>
      <c r="I316" s="6">
        <f>IF(G316="","",IF(COUNTIF($G$2:$G$2001,G316)&gt;1,"DUPLICADO","OK"))</f>
      </c>
      <c r="J316" s="6">
        <f>IF(COUNTA(A316:F316)=0,"",IF(AND(A316&lt;&gt;"",E316&lt;&gt;""),"OK","ERRO: faltam "&amp;IF(A316="","CNPJ; ","")&amp;IF(E316="","Novo gerente; ","")))</f>
      </c>
      <c r="K316" s="6">
        <f>IF(COUNTA(A316:F316)=0,"",IF(AND(LEFT(H316,4)&lt;&gt;"ERRO",I316="OK",J316="OK"),"OK","REVISAR"))</f>
      </c>
    </row>
    <row r="317">
      <c r="A317" s="5"/>
      <c r="B317" s="4"/>
      <c r="C317" s="4"/>
      <c r="D317" s="4"/>
      <c r="E317" s="5"/>
      <c r="F317" s="4"/>
      <c r="G317" s="6">
        <f>IF(A317="","",SUBSTITUTE(SUBSTITUTE(SUBSTITUTE(SUBSTITUTE(SUBSTITUTE(SUBSTITUTE(SUBSTITUTE(TRIM(A317),".",""),"/",""),"-","")," ",""),"(",""),")",""),"+",""))</f>
      </c>
      <c r="H317" s="6">
        <f>IF(G317="","",IF(LEN(G317)&lt;&gt;14,"ERRO: "&amp;LEN(G317)&amp;" dígitos",IF(NOT(ISNUMBER(VALUE(G317))),"ERRO: não numérico",IF(AND(VALUE(MID(G317,13,1))=IF(MOD(SUMPRODUCT(--MID(G317,{1,2,3,4,5,6,7,8,9,10,11,12},1),{5,4,3,2,9,8,7,6,5,4,3,2}),11)&lt;2,0,11-MOD(SUMPRODUCT(--MID(G317,{1,2,3,4,5,6,7,8,9,10,11,12},1),{5,4,3,2,9,8,7,6,5,4,3,2}),11)),VALUE(MID(G317,14,1))=IF(MOD(SUMPRODUCT(--MID(G317,{1,2,3,4,5,6,7,8,9,10,11,12,13},1),{6,5,4,3,2,9,8,7,6,5,4,3,2}),11)&lt;2,0,11-MOD(SUMPRODUCT(--MID(G317,{1,2,3,4,5,6,7,8,9,10,11,12,13},1),{6,5,4,3,2,9,8,7,6,5,4,3,2}),11))),"OK","AVISO: dígito verificador (conferir na org)"))))</f>
      </c>
      <c r="I317" s="6">
        <f>IF(G317="","",IF(COUNTIF($G$2:$G$2001,G317)&gt;1,"DUPLICADO","OK"))</f>
      </c>
      <c r="J317" s="6">
        <f>IF(COUNTA(A317:F317)=0,"",IF(AND(A317&lt;&gt;"",E317&lt;&gt;""),"OK","ERRO: faltam "&amp;IF(A317="","CNPJ; ","")&amp;IF(E317="","Novo gerente; ","")))</f>
      </c>
      <c r="K317" s="6">
        <f>IF(COUNTA(A317:F317)=0,"",IF(AND(LEFT(H317,4)&lt;&gt;"ERRO",I317="OK",J317="OK"),"OK","REVISAR"))</f>
      </c>
    </row>
    <row r="318">
      <c r="A318" s="5"/>
      <c r="B318" s="4"/>
      <c r="C318" s="4"/>
      <c r="D318" s="4"/>
      <c r="E318" s="5"/>
      <c r="F318" s="4"/>
      <c r="G318" s="6">
        <f>IF(A318="","",SUBSTITUTE(SUBSTITUTE(SUBSTITUTE(SUBSTITUTE(SUBSTITUTE(SUBSTITUTE(SUBSTITUTE(TRIM(A318),".",""),"/",""),"-","")," ",""),"(",""),")",""),"+",""))</f>
      </c>
      <c r="H318" s="6">
        <f>IF(G318="","",IF(LEN(G318)&lt;&gt;14,"ERRO: "&amp;LEN(G318)&amp;" dígitos",IF(NOT(ISNUMBER(VALUE(G318))),"ERRO: não numérico",IF(AND(VALUE(MID(G318,13,1))=IF(MOD(SUMPRODUCT(--MID(G318,{1,2,3,4,5,6,7,8,9,10,11,12},1),{5,4,3,2,9,8,7,6,5,4,3,2}),11)&lt;2,0,11-MOD(SUMPRODUCT(--MID(G318,{1,2,3,4,5,6,7,8,9,10,11,12},1),{5,4,3,2,9,8,7,6,5,4,3,2}),11)),VALUE(MID(G318,14,1))=IF(MOD(SUMPRODUCT(--MID(G318,{1,2,3,4,5,6,7,8,9,10,11,12,13},1),{6,5,4,3,2,9,8,7,6,5,4,3,2}),11)&lt;2,0,11-MOD(SUMPRODUCT(--MID(G318,{1,2,3,4,5,6,7,8,9,10,11,12,13},1),{6,5,4,3,2,9,8,7,6,5,4,3,2}),11))),"OK","AVISO: dígito verificador (conferir na org)"))))</f>
      </c>
      <c r="I318" s="6">
        <f>IF(G318="","",IF(COUNTIF($G$2:$G$2001,G318)&gt;1,"DUPLICADO","OK"))</f>
      </c>
      <c r="J318" s="6">
        <f>IF(COUNTA(A318:F318)=0,"",IF(AND(A318&lt;&gt;"",E318&lt;&gt;""),"OK","ERRO: faltam "&amp;IF(A318="","CNPJ; ","")&amp;IF(E318="","Novo gerente; ","")))</f>
      </c>
      <c r="K318" s="6">
        <f>IF(COUNTA(A318:F318)=0,"",IF(AND(LEFT(H318,4)&lt;&gt;"ERRO",I318="OK",J318="OK"),"OK","REVISAR"))</f>
      </c>
    </row>
    <row r="319">
      <c r="A319" s="5"/>
      <c r="B319" s="4"/>
      <c r="C319" s="4"/>
      <c r="D319" s="4"/>
      <c r="E319" s="5"/>
      <c r="F319" s="4"/>
      <c r="G319" s="6">
        <f>IF(A319="","",SUBSTITUTE(SUBSTITUTE(SUBSTITUTE(SUBSTITUTE(SUBSTITUTE(SUBSTITUTE(SUBSTITUTE(TRIM(A319),".",""),"/",""),"-","")," ",""),"(",""),")",""),"+",""))</f>
      </c>
      <c r="H319" s="6">
        <f>IF(G319="","",IF(LEN(G319)&lt;&gt;14,"ERRO: "&amp;LEN(G319)&amp;" dígitos",IF(NOT(ISNUMBER(VALUE(G319))),"ERRO: não numérico",IF(AND(VALUE(MID(G319,13,1))=IF(MOD(SUMPRODUCT(--MID(G319,{1,2,3,4,5,6,7,8,9,10,11,12},1),{5,4,3,2,9,8,7,6,5,4,3,2}),11)&lt;2,0,11-MOD(SUMPRODUCT(--MID(G319,{1,2,3,4,5,6,7,8,9,10,11,12},1),{5,4,3,2,9,8,7,6,5,4,3,2}),11)),VALUE(MID(G319,14,1))=IF(MOD(SUMPRODUCT(--MID(G319,{1,2,3,4,5,6,7,8,9,10,11,12,13},1),{6,5,4,3,2,9,8,7,6,5,4,3,2}),11)&lt;2,0,11-MOD(SUMPRODUCT(--MID(G319,{1,2,3,4,5,6,7,8,9,10,11,12,13},1),{6,5,4,3,2,9,8,7,6,5,4,3,2}),11))),"OK","AVISO: dígito verificador (conferir na org)"))))</f>
      </c>
      <c r="I319" s="6">
        <f>IF(G319="","",IF(COUNTIF($G$2:$G$2001,G319)&gt;1,"DUPLICADO","OK"))</f>
      </c>
      <c r="J319" s="6">
        <f>IF(COUNTA(A319:F319)=0,"",IF(AND(A319&lt;&gt;"",E319&lt;&gt;""),"OK","ERRO: faltam "&amp;IF(A319="","CNPJ; ","")&amp;IF(E319="","Novo gerente; ","")))</f>
      </c>
      <c r="K319" s="6">
        <f>IF(COUNTA(A319:F319)=0,"",IF(AND(LEFT(H319,4)&lt;&gt;"ERRO",I319="OK",J319="OK"),"OK","REVISAR"))</f>
      </c>
    </row>
    <row r="320">
      <c r="A320" s="5"/>
      <c r="B320" s="4"/>
      <c r="C320" s="4"/>
      <c r="D320" s="4"/>
      <c r="E320" s="5"/>
      <c r="F320" s="4"/>
      <c r="G320" s="6">
        <f>IF(A320="","",SUBSTITUTE(SUBSTITUTE(SUBSTITUTE(SUBSTITUTE(SUBSTITUTE(SUBSTITUTE(SUBSTITUTE(TRIM(A320),".",""),"/",""),"-","")," ",""),"(",""),")",""),"+",""))</f>
      </c>
      <c r="H320" s="6">
        <f>IF(G320="","",IF(LEN(G320)&lt;&gt;14,"ERRO: "&amp;LEN(G320)&amp;" dígitos",IF(NOT(ISNUMBER(VALUE(G320))),"ERRO: não numérico",IF(AND(VALUE(MID(G320,13,1))=IF(MOD(SUMPRODUCT(--MID(G320,{1,2,3,4,5,6,7,8,9,10,11,12},1),{5,4,3,2,9,8,7,6,5,4,3,2}),11)&lt;2,0,11-MOD(SUMPRODUCT(--MID(G320,{1,2,3,4,5,6,7,8,9,10,11,12},1),{5,4,3,2,9,8,7,6,5,4,3,2}),11)),VALUE(MID(G320,14,1))=IF(MOD(SUMPRODUCT(--MID(G320,{1,2,3,4,5,6,7,8,9,10,11,12,13},1),{6,5,4,3,2,9,8,7,6,5,4,3,2}),11)&lt;2,0,11-MOD(SUMPRODUCT(--MID(G320,{1,2,3,4,5,6,7,8,9,10,11,12,13},1),{6,5,4,3,2,9,8,7,6,5,4,3,2}),11))),"OK","AVISO: dígito verificador (conferir na org)"))))</f>
      </c>
      <c r="I320" s="6">
        <f>IF(G320="","",IF(COUNTIF($G$2:$G$2001,G320)&gt;1,"DUPLICADO","OK"))</f>
      </c>
      <c r="J320" s="6">
        <f>IF(COUNTA(A320:F320)=0,"",IF(AND(A320&lt;&gt;"",E320&lt;&gt;""),"OK","ERRO: faltam "&amp;IF(A320="","CNPJ; ","")&amp;IF(E320="","Novo gerente; ","")))</f>
      </c>
      <c r="K320" s="6">
        <f>IF(COUNTA(A320:F320)=0,"",IF(AND(LEFT(H320,4)&lt;&gt;"ERRO",I320="OK",J320="OK"),"OK","REVISAR"))</f>
      </c>
    </row>
    <row r="321">
      <c r="A321" s="5"/>
      <c r="B321" s="4"/>
      <c r="C321" s="4"/>
      <c r="D321" s="4"/>
      <c r="E321" s="5"/>
      <c r="F321" s="4"/>
      <c r="G321" s="6">
        <f>IF(A321="","",SUBSTITUTE(SUBSTITUTE(SUBSTITUTE(SUBSTITUTE(SUBSTITUTE(SUBSTITUTE(SUBSTITUTE(TRIM(A321),".",""),"/",""),"-","")," ",""),"(",""),")",""),"+",""))</f>
      </c>
      <c r="H321" s="6">
        <f>IF(G321="","",IF(LEN(G321)&lt;&gt;14,"ERRO: "&amp;LEN(G321)&amp;" dígitos",IF(NOT(ISNUMBER(VALUE(G321))),"ERRO: não numérico",IF(AND(VALUE(MID(G321,13,1))=IF(MOD(SUMPRODUCT(--MID(G321,{1,2,3,4,5,6,7,8,9,10,11,12},1),{5,4,3,2,9,8,7,6,5,4,3,2}),11)&lt;2,0,11-MOD(SUMPRODUCT(--MID(G321,{1,2,3,4,5,6,7,8,9,10,11,12},1),{5,4,3,2,9,8,7,6,5,4,3,2}),11)),VALUE(MID(G321,14,1))=IF(MOD(SUMPRODUCT(--MID(G321,{1,2,3,4,5,6,7,8,9,10,11,12,13},1),{6,5,4,3,2,9,8,7,6,5,4,3,2}),11)&lt;2,0,11-MOD(SUMPRODUCT(--MID(G321,{1,2,3,4,5,6,7,8,9,10,11,12,13},1),{6,5,4,3,2,9,8,7,6,5,4,3,2}),11))),"OK","AVISO: dígito verificador (conferir na org)"))))</f>
      </c>
      <c r="I321" s="6">
        <f>IF(G321="","",IF(COUNTIF($G$2:$G$2001,G321)&gt;1,"DUPLICADO","OK"))</f>
      </c>
      <c r="J321" s="6">
        <f>IF(COUNTA(A321:F321)=0,"",IF(AND(A321&lt;&gt;"",E321&lt;&gt;""),"OK","ERRO: faltam "&amp;IF(A321="","CNPJ; ","")&amp;IF(E321="","Novo gerente; ","")))</f>
      </c>
      <c r="K321" s="6">
        <f>IF(COUNTA(A321:F321)=0,"",IF(AND(LEFT(H321,4)&lt;&gt;"ERRO",I321="OK",J321="OK"),"OK","REVISAR"))</f>
      </c>
    </row>
    <row r="322">
      <c r="A322" s="5"/>
      <c r="B322" s="4"/>
      <c r="C322" s="4"/>
      <c r="D322" s="4"/>
      <c r="E322" s="5"/>
      <c r="F322" s="4"/>
      <c r="G322" s="6">
        <f>IF(A322="","",SUBSTITUTE(SUBSTITUTE(SUBSTITUTE(SUBSTITUTE(SUBSTITUTE(SUBSTITUTE(SUBSTITUTE(TRIM(A322),".",""),"/",""),"-","")," ",""),"(",""),")",""),"+",""))</f>
      </c>
      <c r="H322" s="6">
        <f>IF(G322="","",IF(LEN(G322)&lt;&gt;14,"ERRO: "&amp;LEN(G322)&amp;" dígitos",IF(NOT(ISNUMBER(VALUE(G322))),"ERRO: não numérico",IF(AND(VALUE(MID(G322,13,1))=IF(MOD(SUMPRODUCT(--MID(G322,{1,2,3,4,5,6,7,8,9,10,11,12},1),{5,4,3,2,9,8,7,6,5,4,3,2}),11)&lt;2,0,11-MOD(SUMPRODUCT(--MID(G322,{1,2,3,4,5,6,7,8,9,10,11,12},1),{5,4,3,2,9,8,7,6,5,4,3,2}),11)),VALUE(MID(G322,14,1))=IF(MOD(SUMPRODUCT(--MID(G322,{1,2,3,4,5,6,7,8,9,10,11,12,13},1),{6,5,4,3,2,9,8,7,6,5,4,3,2}),11)&lt;2,0,11-MOD(SUMPRODUCT(--MID(G322,{1,2,3,4,5,6,7,8,9,10,11,12,13},1),{6,5,4,3,2,9,8,7,6,5,4,3,2}),11))),"OK","AVISO: dígito verificador (conferir na org)"))))</f>
      </c>
      <c r="I322" s="6">
        <f>IF(G322="","",IF(COUNTIF($G$2:$G$2001,G322)&gt;1,"DUPLICADO","OK"))</f>
      </c>
      <c r="J322" s="6">
        <f>IF(COUNTA(A322:F322)=0,"",IF(AND(A322&lt;&gt;"",E322&lt;&gt;""),"OK","ERRO: faltam "&amp;IF(A322="","CNPJ; ","")&amp;IF(E322="","Novo gerente; ","")))</f>
      </c>
      <c r="K322" s="6">
        <f>IF(COUNTA(A322:F322)=0,"",IF(AND(LEFT(H322,4)&lt;&gt;"ERRO",I322="OK",J322="OK"),"OK","REVISAR"))</f>
      </c>
    </row>
    <row r="323">
      <c r="A323" s="5"/>
      <c r="B323" s="4"/>
      <c r="C323" s="4"/>
      <c r="D323" s="4"/>
      <c r="E323" s="5"/>
      <c r="F323" s="4"/>
      <c r="G323" s="6">
        <f>IF(A323="","",SUBSTITUTE(SUBSTITUTE(SUBSTITUTE(SUBSTITUTE(SUBSTITUTE(SUBSTITUTE(SUBSTITUTE(TRIM(A323),".",""),"/",""),"-","")," ",""),"(",""),")",""),"+",""))</f>
      </c>
      <c r="H323" s="6">
        <f>IF(G323="","",IF(LEN(G323)&lt;&gt;14,"ERRO: "&amp;LEN(G323)&amp;" dígitos",IF(NOT(ISNUMBER(VALUE(G323))),"ERRO: não numérico",IF(AND(VALUE(MID(G323,13,1))=IF(MOD(SUMPRODUCT(--MID(G323,{1,2,3,4,5,6,7,8,9,10,11,12},1),{5,4,3,2,9,8,7,6,5,4,3,2}),11)&lt;2,0,11-MOD(SUMPRODUCT(--MID(G323,{1,2,3,4,5,6,7,8,9,10,11,12},1),{5,4,3,2,9,8,7,6,5,4,3,2}),11)),VALUE(MID(G323,14,1))=IF(MOD(SUMPRODUCT(--MID(G323,{1,2,3,4,5,6,7,8,9,10,11,12,13},1),{6,5,4,3,2,9,8,7,6,5,4,3,2}),11)&lt;2,0,11-MOD(SUMPRODUCT(--MID(G323,{1,2,3,4,5,6,7,8,9,10,11,12,13},1),{6,5,4,3,2,9,8,7,6,5,4,3,2}),11))),"OK","AVISO: dígito verificador (conferir na org)"))))</f>
      </c>
      <c r="I323" s="6">
        <f>IF(G323="","",IF(COUNTIF($G$2:$G$2001,G323)&gt;1,"DUPLICADO","OK"))</f>
      </c>
      <c r="J323" s="6">
        <f>IF(COUNTA(A323:F323)=0,"",IF(AND(A323&lt;&gt;"",E323&lt;&gt;""),"OK","ERRO: faltam "&amp;IF(A323="","CNPJ; ","")&amp;IF(E323="","Novo gerente; ","")))</f>
      </c>
      <c r="K323" s="6">
        <f>IF(COUNTA(A323:F323)=0,"",IF(AND(LEFT(H323,4)&lt;&gt;"ERRO",I323="OK",J323="OK"),"OK","REVISAR"))</f>
      </c>
    </row>
    <row r="324">
      <c r="A324" s="5"/>
      <c r="B324" s="4"/>
      <c r="C324" s="4"/>
      <c r="D324" s="4"/>
      <c r="E324" s="5"/>
      <c r="F324" s="4"/>
      <c r="G324" s="6">
        <f>IF(A324="","",SUBSTITUTE(SUBSTITUTE(SUBSTITUTE(SUBSTITUTE(SUBSTITUTE(SUBSTITUTE(SUBSTITUTE(TRIM(A324),".",""),"/",""),"-","")," ",""),"(",""),")",""),"+",""))</f>
      </c>
      <c r="H324" s="6">
        <f>IF(G324="","",IF(LEN(G324)&lt;&gt;14,"ERRO: "&amp;LEN(G324)&amp;" dígitos",IF(NOT(ISNUMBER(VALUE(G324))),"ERRO: não numérico",IF(AND(VALUE(MID(G324,13,1))=IF(MOD(SUMPRODUCT(--MID(G324,{1,2,3,4,5,6,7,8,9,10,11,12},1),{5,4,3,2,9,8,7,6,5,4,3,2}),11)&lt;2,0,11-MOD(SUMPRODUCT(--MID(G324,{1,2,3,4,5,6,7,8,9,10,11,12},1),{5,4,3,2,9,8,7,6,5,4,3,2}),11)),VALUE(MID(G324,14,1))=IF(MOD(SUMPRODUCT(--MID(G324,{1,2,3,4,5,6,7,8,9,10,11,12,13},1),{6,5,4,3,2,9,8,7,6,5,4,3,2}),11)&lt;2,0,11-MOD(SUMPRODUCT(--MID(G324,{1,2,3,4,5,6,7,8,9,10,11,12,13},1),{6,5,4,3,2,9,8,7,6,5,4,3,2}),11))),"OK","AVISO: dígito verificador (conferir na org)"))))</f>
      </c>
      <c r="I324" s="6">
        <f>IF(G324="","",IF(COUNTIF($G$2:$G$2001,G324)&gt;1,"DUPLICADO","OK"))</f>
      </c>
      <c r="J324" s="6">
        <f>IF(COUNTA(A324:F324)=0,"",IF(AND(A324&lt;&gt;"",E324&lt;&gt;""),"OK","ERRO: faltam "&amp;IF(A324="","CNPJ; ","")&amp;IF(E324="","Novo gerente; ","")))</f>
      </c>
      <c r="K324" s="6">
        <f>IF(COUNTA(A324:F324)=0,"",IF(AND(LEFT(H324,4)&lt;&gt;"ERRO",I324="OK",J324="OK"),"OK","REVISAR"))</f>
      </c>
    </row>
    <row r="325">
      <c r="A325" s="5"/>
      <c r="B325" s="4"/>
      <c r="C325" s="4"/>
      <c r="D325" s="4"/>
      <c r="E325" s="5"/>
      <c r="F325" s="4"/>
      <c r="G325" s="6">
        <f>IF(A325="","",SUBSTITUTE(SUBSTITUTE(SUBSTITUTE(SUBSTITUTE(SUBSTITUTE(SUBSTITUTE(SUBSTITUTE(TRIM(A325),".",""),"/",""),"-","")," ",""),"(",""),")",""),"+",""))</f>
      </c>
      <c r="H325" s="6">
        <f>IF(G325="","",IF(LEN(G325)&lt;&gt;14,"ERRO: "&amp;LEN(G325)&amp;" dígitos",IF(NOT(ISNUMBER(VALUE(G325))),"ERRO: não numérico",IF(AND(VALUE(MID(G325,13,1))=IF(MOD(SUMPRODUCT(--MID(G325,{1,2,3,4,5,6,7,8,9,10,11,12},1),{5,4,3,2,9,8,7,6,5,4,3,2}),11)&lt;2,0,11-MOD(SUMPRODUCT(--MID(G325,{1,2,3,4,5,6,7,8,9,10,11,12},1),{5,4,3,2,9,8,7,6,5,4,3,2}),11)),VALUE(MID(G325,14,1))=IF(MOD(SUMPRODUCT(--MID(G325,{1,2,3,4,5,6,7,8,9,10,11,12,13},1),{6,5,4,3,2,9,8,7,6,5,4,3,2}),11)&lt;2,0,11-MOD(SUMPRODUCT(--MID(G325,{1,2,3,4,5,6,7,8,9,10,11,12,13},1),{6,5,4,3,2,9,8,7,6,5,4,3,2}),11))),"OK","AVISO: dígito verificador (conferir na org)"))))</f>
      </c>
      <c r="I325" s="6">
        <f>IF(G325="","",IF(COUNTIF($G$2:$G$2001,G325)&gt;1,"DUPLICADO","OK"))</f>
      </c>
      <c r="J325" s="6">
        <f>IF(COUNTA(A325:F325)=0,"",IF(AND(A325&lt;&gt;"",E325&lt;&gt;""),"OK","ERRO: faltam "&amp;IF(A325="","CNPJ; ","")&amp;IF(E325="","Novo gerente; ","")))</f>
      </c>
      <c r="K325" s="6">
        <f>IF(COUNTA(A325:F325)=0,"",IF(AND(LEFT(H325,4)&lt;&gt;"ERRO",I325="OK",J325="OK"),"OK","REVISAR"))</f>
      </c>
    </row>
    <row r="326">
      <c r="A326" s="5"/>
      <c r="B326" s="4"/>
      <c r="C326" s="4"/>
      <c r="D326" s="4"/>
      <c r="E326" s="5"/>
      <c r="F326" s="4"/>
      <c r="G326" s="6">
        <f>IF(A326="","",SUBSTITUTE(SUBSTITUTE(SUBSTITUTE(SUBSTITUTE(SUBSTITUTE(SUBSTITUTE(SUBSTITUTE(TRIM(A326),".",""),"/",""),"-","")," ",""),"(",""),")",""),"+",""))</f>
      </c>
      <c r="H326" s="6">
        <f>IF(G326="","",IF(LEN(G326)&lt;&gt;14,"ERRO: "&amp;LEN(G326)&amp;" dígitos",IF(NOT(ISNUMBER(VALUE(G326))),"ERRO: não numérico",IF(AND(VALUE(MID(G326,13,1))=IF(MOD(SUMPRODUCT(--MID(G326,{1,2,3,4,5,6,7,8,9,10,11,12},1),{5,4,3,2,9,8,7,6,5,4,3,2}),11)&lt;2,0,11-MOD(SUMPRODUCT(--MID(G326,{1,2,3,4,5,6,7,8,9,10,11,12},1),{5,4,3,2,9,8,7,6,5,4,3,2}),11)),VALUE(MID(G326,14,1))=IF(MOD(SUMPRODUCT(--MID(G326,{1,2,3,4,5,6,7,8,9,10,11,12,13},1),{6,5,4,3,2,9,8,7,6,5,4,3,2}),11)&lt;2,0,11-MOD(SUMPRODUCT(--MID(G326,{1,2,3,4,5,6,7,8,9,10,11,12,13},1),{6,5,4,3,2,9,8,7,6,5,4,3,2}),11))),"OK","AVISO: dígito verificador (conferir na org)"))))</f>
      </c>
      <c r="I326" s="6">
        <f>IF(G326="","",IF(COUNTIF($G$2:$G$2001,G326)&gt;1,"DUPLICADO","OK"))</f>
      </c>
      <c r="J326" s="6">
        <f>IF(COUNTA(A326:F326)=0,"",IF(AND(A326&lt;&gt;"",E326&lt;&gt;""),"OK","ERRO: faltam "&amp;IF(A326="","CNPJ; ","")&amp;IF(E326="","Novo gerente; ","")))</f>
      </c>
      <c r="K326" s="6">
        <f>IF(COUNTA(A326:F326)=0,"",IF(AND(LEFT(H326,4)&lt;&gt;"ERRO",I326="OK",J326="OK"),"OK","REVISAR"))</f>
      </c>
    </row>
    <row r="327">
      <c r="A327" s="5"/>
      <c r="B327" s="4"/>
      <c r="C327" s="4"/>
      <c r="D327" s="4"/>
      <c r="E327" s="5"/>
      <c r="F327" s="4"/>
      <c r="G327" s="6">
        <f>IF(A327="","",SUBSTITUTE(SUBSTITUTE(SUBSTITUTE(SUBSTITUTE(SUBSTITUTE(SUBSTITUTE(SUBSTITUTE(TRIM(A327),".",""),"/",""),"-","")," ",""),"(",""),")",""),"+",""))</f>
      </c>
      <c r="H327" s="6">
        <f>IF(G327="","",IF(LEN(G327)&lt;&gt;14,"ERRO: "&amp;LEN(G327)&amp;" dígitos",IF(NOT(ISNUMBER(VALUE(G327))),"ERRO: não numérico",IF(AND(VALUE(MID(G327,13,1))=IF(MOD(SUMPRODUCT(--MID(G327,{1,2,3,4,5,6,7,8,9,10,11,12},1),{5,4,3,2,9,8,7,6,5,4,3,2}),11)&lt;2,0,11-MOD(SUMPRODUCT(--MID(G327,{1,2,3,4,5,6,7,8,9,10,11,12},1),{5,4,3,2,9,8,7,6,5,4,3,2}),11)),VALUE(MID(G327,14,1))=IF(MOD(SUMPRODUCT(--MID(G327,{1,2,3,4,5,6,7,8,9,10,11,12,13},1),{6,5,4,3,2,9,8,7,6,5,4,3,2}),11)&lt;2,0,11-MOD(SUMPRODUCT(--MID(G327,{1,2,3,4,5,6,7,8,9,10,11,12,13},1),{6,5,4,3,2,9,8,7,6,5,4,3,2}),11))),"OK","AVISO: dígito verificador (conferir na org)"))))</f>
      </c>
      <c r="I327" s="6">
        <f>IF(G327="","",IF(COUNTIF($G$2:$G$2001,G327)&gt;1,"DUPLICADO","OK"))</f>
      </c>
      <c r="J327" s="6">
        <f>IF(COUNTA(A327:F327)=0,"",IF(AND(A327&lt;&gt;"",E327&lt;&gt;""),"OK","ERRO: faltam "&amp;IF(A327="","CNPJ; ","")&amp;IF(E327="","Novo gerente; ","")))</f>
      </c>
      <c r="K327" s="6">
        <f>IF(COUNTA(A327:F327)=0,"",IF(AND(LEFT(H327,4)&lt;&gt;"ERRO",I327="OK",J327="OK"),"OK","REVISAR"))</f>
      </c>
    </row>
    <row r="328">
      <c r="A328" s="5"/>
      <c r="B328" s="4"/>
      <c r="C328" s="4"/>
      <c r="D328" s="4"/>
      <c r="E328" s="5"/>
      <c r="F328" s="4"/>
      <c r="G328" s="6">
        <f>IF(A328="","",SUBSTITUTE(SUBSTITUTE(SUBSTITUTE(SUBSTITUTE(SUBSTITUTE(SUBSTITUTE(SUBSTITUTE(TRIM(A328),".",""),"/",""),"-","")," ",""),"(",""),")",""),"+",""))</f>
      </c>
      <c r="H328" s="6">
        <f>IF(G328="","",IF(LEN(G328)&lt;&gt;14,"ERRO: "&amp;LEN(G328)&amp;" dígitos",IF(NOT(ISNUMBER(VALUE(G328))),"ERRO: não numérico",IF(AND(VALUE(MID(G328,13,1))=IF(MOD(SUMPRODUCT(--MID(G328,{1,2,3,4,5,6,7,8,9,10,11,12},1),{5,4,3,2,9,8,7,6,5,4,3,2}),11)&lt;2,0,11-MOD(SUMPRODUCT(--MID(G328,{1,2,3,4,5,6,7,8,9,10,11,12},1),{5,4,3,2,9,8,7,6,5,4,3,2}),11)),VALUE(MID(G328,14,1))=IF(MOD(SUMPRODUCT(--MID(G328,{1,2,3,4,5,6,7,8,9,10,11,12,13},1),{6,5,4,3,2,9,8,7,6,5,4,3,2}),11)&lt;2,0,11-MOD(SUMPRODUCT(--MID(G328,{1,2,3,4,5,6,7,8,9,10,11,12,13},1),{6,5,4,3,2,9,8,7,6,5,4,3,2}),11))),"OK","AVISO: dígito verificador (conferir na org)"))))</f>
      </c>
      <c r="I328" s="6">
        <f>IF(G328="","",IF(COUNTIF($G$2:$G$2001,G328)&gt;1,"DUPLICADO","OK"))</f>
      </c>
      <c r="J328" s="6">
        <f>IF(COUNTA(A328:F328)=0,"",IF(AND(A328&lt;&gt;"",E328&lt;&gt;""),"OK","ERRO: faltam "&amp;IF(A328="","CNPJ; ","")&amp;IF(E328="","Novo gerente; ","")))</f>
      </c>
      <c r="K328" s="6">
        <f>IF(COUNTA(A328:F328)=0,"",IF(AND(LEFT(H328,4)&lt;&gt;"ERRO",I328="OK",J328="OK"),"OK","REVISAR"))</f>
      </c>
    </row>
    <row r="329">
      <c r="A329" s="5"/>
      <c r="B329" s="4"/>
      <c r="C329" s="4"/>
      <c r="D329" s="4"/>
      <c r="E329" s="5"/>
      <c r="F329" s="4"/>
      <c r="G329" s="6">
        <f>IF(A329="","",SUBSTITUTE(SUBSTITUTE(SUBSTITUTE(SUBSTITUTE(SUBSTITUTE(SUBSTITUTE(SUBSTITUTE(TRIM(A329),".",""),"/",""),"-","")," ",""),"(",""),")",""),"+",""))</f>
      </c>
      <c r="H329" s="6">
        <f>IF(G329="","",IF(LEN(G329)&lt;&gt;14,"ERRO: "&amp;LEN(G329)&amp;" dígitos",IF(NOT(ISNUMBER(VALUE(G329))),"ERRO: não numérico",IF(AND(VALUE(MID(G329,13,1))=IF(MOD(SUMPRODUCT(--MID(G329,{1,2,3,4,5,6,7,8,9,10,11,12},1),{5,4,3,2,9,8,7,6,5,4,3,2}),11)&lt;2,0,11-MOD(SUMPRODUCT(--MID(G329,{1,2,3,4,5,6,7,8,9,10,11,12},1),{5,4,3,2,9,8,7,6,5,4,3,2}),11)),VALUE(MID(G329,14,1))=IF(MOD(SUMPRODUCT(--MID(G329,{1,2,3,4,5,6,7,8,9,10,11,12,13},1),{6,5,4,3,2,9,8,7,6,5,4,3,2}),11)&lt;2,0,11-MOD(SUMPRODUCT(--MID(G329,{1,2,3,4,5,6,7,8,9,10,11,12,13},1),{6,5,4,3,2,9,8,7,6,5,4,3,2}),11))),"OK","AVISO: dígito verificador (conferir na org)"))))</f>
      </c>
      <c r="I329" s="6">
        <f>IF(G329="","",IF(COUNTIF($G$2:$G$2001,G329)&gt;1,"DUPLICADO","OK"))</f>
      </c>
      <c r="J329" s="6">
        <f>IF(COUNTA(A329:F329)=0,"",IF(AND(A329&lt;&gt;"",E329&lt;&gt;""),"OK","ERRO: faltam "&amp;IF(A329="","CNPJ; ","")&amp;IF(E329="","Novo gerente; ","")))</f>
      </c>
      <c r="K329" s="6">
        <f>IF(COUNTA(A329:F329)=0,"",IF(AND(LEFT(H329,4)&lt;&gt;"ERRO",I329="OK",J329="OK"),"OK","REVISAR"))</f>
      </c>
    </row>
    <row r="330">
      <c r="A330" s="5"/>
      <c r="B330" s="4"/>
      <c r="C330" s="4"/>
      <c r="D330" s="4"/>
      <c r="E330" s="5"/>
      <c r="F330" s="4"/>
      <c r="G330" s="6">
        <f>IF(A330="","",SUBSTITUTE(SUBSTITUTE(SUBSTITUTE(SUBSTITUTE(SUBSTITUTE(SUBSTITUTE(SUBSTITUTE(TRIM(A330),".",""),"/",""),"-","")," ",""),"(",""),")",""),"+",""))</f>
      </c>
      <c r="H330" s="6">
        <f>IF(G330="","",IF(LEN(G330)&lt;&gt;14,"ERRO: "&amp;LEN(G330)&amp;" dígitos",IF(NOT(ISNUMBER(VALUE(G330))),"ERRO: não numérico",IF(AND(VALUE(MID(G330,13,1))=IF(MOD(SUMPRODUCT(--MID(G330,{1,2,3,4,5,6,7,8,9,10,11,12},1),{5,4,3,2,9,8,7,6,5,4,3,2}),11)&lt;2,0,11-MOD(SUMPRODUCT(--MID(G330,{1,2,3,4,5,6,7,8,9,10,11,12},1),{5,4,3,2,9,8,7,6,5,4,3,2}),11)),VALUE(MID(G330,14,1))=IF(MOD(SUMPRODUCT(--MID(G330,{1,2,3,4,5,6,7,8,9,10,11,12,13},1),{6,5,4,3,2,9,8,7,6,5,4,3,2}),11)&lt;2,0,11-MOD(SUMPRODUCT(--MID(G330,{1,2,3,4,5,6,7,8,9,10,11,12,13},1),{6,5,4,3,2,9,8,7,6,5,4,3,2}),11))),"OK","AVISO: dígito verificador (conferir na org)"))))</f>
      </c>
      <c r="I330" s="6">
        <f>IF(G330="","",IF(COUNTIF($G$2:$G$2001,G330)&gt;1,"DUPLICADO","OK"))</f>
      </c>
      <c r="J330" s="6">
        <f>IF(COUNTA(A330:F330)=0,"",IF(AND(A330&lt;&gt;"",E330&lt;&gt;""),"OK","ERRO: faltam "&amp;IF(A330="","CNPJ; ","")&amp;IF(E330="","Novo gerente; ","")))</f>
      </c>
      <c r="K330" s="6">
        <f>IF(COUNTA(A330:F330)=0,"",IF(AND(LEFT(H330,4)&lt;&gt;"ERRO",I330="OK",J330="OK"),"OK","REVISAR"))</f>
      </c>
    </row>
    <row r="331">
      <c r="A331" s="5"/>
      <c r="B331" s="4"/>
      <c r="C331" s="4"/>
      <c r="D331" s="4"/>
      <c r="E331" s="5"/>
      <c r="F331" s="4"/>
      <c r="G331" s="6">
        <f>IF(A331="","",SUBSTITUTE(SUBSTITUTE(SUBSTITUTE(SUBSTITUTE(SUBSTITUTE(SUBSTITUTE(SUBSTITUTE(TRIM(A331),".",""),"/",""),"-","")," ",""),"(",""),")",""),"+",""))</f>
      </c>
      <c r="H331" s="6">
        <f>IF(G331="","",IF(LEN(G331)&lt;&gt;14,"ERRO: "&amp;LEN(G331)&amp;" dígitos",IF(NOT(ISNUMBER(VALUE(G331))),"ERRO: não numérico",IF(AND(VALUE(MID(G331,13,1))=IF(MOD(SUMPRODUCT(--MID(G331,{1,2,3,4,5,6,7,8,9,10,11,12},1),{5,4,3,2,9,8,7,6,5,4,3,2}),11)&lt;2,0,11-MOD(SUMPRODUCT(--MID(G331,{1,2,3,4,5,6,7,8,9,10,11,12},1),{5,4,3,2,9,8,7,6,5,4,3,2}),11)),VALUE(MID(G331,14,1))=IF(MOD(SUMPRODUCT(--MID(G331,{1,2,3,4,5,6,7,8,9,10,11,12,13},1),{6,5,4,3,2,9,8,7,6,5,4,3,2}),11)&lt;2,0,11-MOD(SUMPRODUCT(--MID(G331,{1,2,3,4,5,6,7,8,9,10,11,12,13},1),{6,5,4,3,2,9,8,7,6,5,4,3,2}),11))),"OK","AVISO: dígito verificador (conferir na org)"))))</f>
      </c>
      <c r="I331" s="6">
        <f>IF(G331="","",IF(COUNTIF($G$2:$G$2001,G331)&gt;1,"DUPLICADO","OK"))</f>
      </c>
      <c r="J331" s="6">
        <f>IF(COUNTA(A331:F331)=0,"",IF(AND(A331&lt;&gt;"",E331&lt;&gt;""),"OK","ERRO: faltam "&amp;IF(A331="","CNPJ; ","")&amp;IF(E331="","Novo gerente; ","")))</f>
      </c>
      <c r="K331" s="6">
        <f>IF(COUNTA(A331:F331)=0,"",IF(AND(LEFT(H331,4)&lt;&gt;"ERRO",I331="OK",J331="OK"),"OK","REVISAR"))</f>
      </c>
    </row>
    <row r="332">
      <c r="A332" s="5"/>
      <c r="B332" s="4"/>
      <c r="C332" s="4"/>
      <c r="D332" s="4"/>
      <c r="E332" s="5"/>
      <c r="F332" s="4"/>
      <c r="G332" s="6">
        <f>IF(A332="","",SUBSTITUTE(SUBSTITUTE(SUBSTITUTE(SUBSTITUTE(SUBSTITUTE(SUBSTITUTE(SUBSTITUTE(TRIM(A332),".",""),"/",""),"-","")," ",""),"(",""),")",""),"+",""))</f>
      </c>
      <c r="H332" s="6">
        <f>IF(G332="","",IF(LEN(G332)&lt;&gt;14,"ERRO: "&amp;LEN(G332)&amp;" dígitos",IF(NOT(ISNUMBER(VALUE(G332))),"ERRO: não numérico",IF(AND(VALUE(MID(G332,13,1))=IF(MOD(SUMPRODUCT(--MID(G332,{1,2,3,4,5,6,7,8,9,10,11,12},1),{5,4,3,2,9,8,7,6,5,4,3,2}),11)&lt;2,0,11-MOD(SUMPRODUCT(--MID(G332,{1,2,3,4,5,6,7,8,9,10,11,12},1),{5,4,3,2,9,8,7,6,5,4,3,2}),11)),VALUE(MID(G332,14,1))=IF(MOD(SUMPRODUCT(--MID(G332,{1,2,3,4,5,6,7,8,9,10,11,12,13},1),{6,5,4,3,2,9,8,7,6,5,4,3,2}),11)&lt;2,0,11-MOD(SUMPRODUCT(--MID(G332,{1,2,3,4,5,6,7,8,9,10,11,12,13},1),{6,5,4,3,2,9,8,7,6,5,4,3,2}),11))),"OK","AVISO: dígito verificador (conferir na org)"))))</f>
      </c>
      <c r="I332" s="6">
        <f>IF(G332="","",IF(COUNTIF($G$2:$G$2001,G332)&gt;1,"DUPLICADO","OK"))</f>
      </c>
      <c r="J332" s="6">
        <f>IF(COUNTA(A332:F332)=0,"",IF(AND(A332&lt;&gt;"",E332&lt;&gt;""),"OK","ERRO: faltam "&amp;IF(A332="","CNPJ; ","")&amp;IF(E332="","Novo gerente; ","")))</f>
      </c>
      <c r="K332" s="6">
        <f>IF(COUNTA(A332:F332)=0,"",IF(AND(LEFT(H332,4)&lt;&gt;"ERRO",I332="OK",J332="OK"),"OK","REVISAR"))</f>
      </c>
    </row>
    <row r="333">
      <c r="A333" s="5"/>
      <c r="B333" s="4"/>
      <c r="C333" s="4"/>
      <c r="D333" s="4"/>
      <c r="E333" s="5"/>
      <c r="F333" s="4"/>
      <c r="G333" s="6">
        <f>IF(A333="","",SUBSTITUTE(SUBSTITUTE(SUBSTITUTE(SUBSTITUTE(SUBSTITUTE(SUBSTITUTE(SUBSTITUTE(TRIM(A333),".",""),"/",""),"-","")," ",""),"(",""),")",""),"+",""))</f>
      </c>
      <c r="H333" s="6">
        <f>IF(G333="","",IF(LEN(G333)&lt;&gt;14,"ERRO: "&amp;LEN(G333)&amp;" dígitos",IF(NOT(ISNUMBER(VALUE(G333))),"ERRO: não numérico",IF(AND(VALUE(MID(G333,13,1))=IF(MOD(SUMPRODUCT(--MID(G333,{1,2,3,4,5,6,7,8,9,10,11,12},1),{5,4,3,2,9,8,7,6,5,4,3,2}),11)&lt;2,0,11-MOD(SUMPRODUCT(--MID(G333,{1,2,3,4,5,6,7,8,9,10,11,12},1),{5,4,3,2,9,8,7,6,5,4,3,2}),11)),VALUE(MID(G333,14,1))=IF(MOD(SUMPRODUCT(--MID(G333,{1,2,3,4,5,6,7,8,9,10,11,12,13},1),{6,5,4,3,2,9,8,7,6,5,4,3,2}),11)&lt;2,0,11-MOD(SUMPRODUCT(--MID(G333,{1,2,3,4,5,6,7,8,9,10,11,12,13},1),{6,5,4,3,2,9,8,7,6,5,4,3,2}),11))),"OK","AVISO: dígito verificador (conferir na org)"))))</f>
      </c>
      <c r="I333" s="6">
        <f>IF(G333="","",IF(COUNTIF($G$2:$G$2001,G333)&gt;1,"DUPLICADO","OK"))</f>
      </c>
      <c r="J333" s="6">
        <f>IF(COUNTA(A333:F333)=0,"",IF(AND(A333&lt;&gt;"",E333&lt;&gt;""),"OK","ERRO: faltam "&amp;IF(A333="","CNPJ; ","")&amp;IF(E333="","Novo gerente; ","")))</f>
      </c>
      <c r="K333" s="6">
        <f>IF(COUNTA(A333:F333)=0,"",IF(AND(LEFT(H333,4)&lt;&gt;"ERRO",I333="OK",J333="OK"),"OK","REVISAR"))</f>
      </c>
    </row>
    <row r="334">
      <c r="A334" s="5"/>
      <c r="B334" s="4"/>
      <c r="C334" s="4"/>
      <c r="D334" s="4"/>
      <c r="E334" s="5"/>
      <c r="F334" s="4"/>
      <c r="G334" s="6">
        <f>IF(A334="","",SUBSTITUTE(SUBSTITUTE(SUBSTITUTE(SUBSTITUTE(SUBSTITUTE(SUBSTITUTE(SUBSTITUTE(TRIM(A334),".",""),"/",""),"-","")," ",""),"(",""),")",""),"+",""))</f>
      </c>
      <c r="H334" s="6">
        <f>IF(G334="","",IF(LEN(G334)&lt;&gt;14,"ERRO: "&amp;LEN(G334)&amp;" dígitos",IF(NOT(ISNUMBER(VALUE(G334))),"ERRO: não numérico",IF(AND(VALUE(MID(G334,13,1))=IF(MOD(SUMPRODUCT(--MID(G334,{1,2,3,4,5,6,7,8,9,10,11,12},1),{5,4,3,2,9,8,7,6,5,4,3,2}),11)&lt;2,0,11-MOD(SUMPRODUCT(--MID(G334,{1,2,3,4,5,6,7,8,9,10,11,12},1),{5,4,3,2,9,8,7,6,5,4,3,2}),11)),VALUE(MID(G334,14,1))=IF(MOD(SUMPRODUCT(--MID(G334,{1,2,3,4,5,6,7,8,9,10,11,12,13},1),{6,5,4,3,2,9,8,7,6,5,4,3,2}),11)&lt;2,0,11-MOD(SUMPRODUCT(--MID(G334,{1,2,3,4,5,6,7,8,9,10,11,12,13},1),{6,5,4,3,2,9,8,7,6,5,4,3,2}),11))),"OK","AVISO: dígito verificador (conferir na org)"))))</f>
      </c>
      <c r="I334" s="6">
        <f>IF(G334="","",IF(COUNTIF($G$2:$G$2001,G334)&gt;1,"DUPLICADO","OK"))</f>
      </c>
      <c r="J334" s="6">
        <f>IF(COUNTA(A334:F334)=0,"",IF(AND(A334&lt;&gt;"",E334&lt;&gt;""),"OK","ERRO: faltam "&amp;IF(A334="","CNPJ; ","")&amp;IF(E334="","Novo gerente; ","")))</f>
      </c>
      <c r="K334" s="6">
        <f>IF(COUNTA(A334:F334)=0,"",IF(AND(LEFT(H334,4)&lt;&gt;"ERRO",I334="OK",J334="OK"),"OK","REVISAR"))</f>
      </c>
    </row>
    <row r="335">
      <c r="A335" s="5"/>
      <c r="B335" s="4"/>
      <c r="C335" s="4"/>
      <c r="D335" s="4"/>
      <c r="E335" s="5"/>
      <c r="F335" s="4"/>
      <c r="G335" s="6">
        <f>IF(A335="","",SUBSTITUTE(SUBSTITUTE(SUBSTITUTE(SUBSTITUTE(SUBSTITUTE(SUBSTITUTE(SUBSTITUTE(TRIM(A335),".",""),"/",""),"-","")," ",""),"(",""),")",""),"+",""))</f>
      </c>
      <c r="H335" s="6">
        <f>IF(G335="","",IF(LEN(G335)&lt;&gt;14,"ERRO: "&amp;LEN(G335)&amp;" dígitos",IF(NOT(ISNUMBER(VALUE(G335))),"ERRO: não numérico",IF(AND(VALUE(MID(G335,13,1))=IF(MOD(SUMPRODUCT(--MID(G335,{1,2,3,4,5,6,7,8,9,10,11,12},1),{5,4,3,2,9,8,7,6,5,4,3,2}),11)&lt;2,0,11-MOD(SUMPRODUCT(--MID(G335,{1,2,3,4,5,6,7,8,9,10,11,12},1),{5,4,3,2,9,8,7,6,5,4,3,2}),11)),VALUE(MID(G335,14,1))=IF(MOD(SUMPRODUCT(--MID(G335,{1,2,3,4,5,6,7,8,9,10,11,12,13},1),{6,5,4,3,2,9,8,7,6,5,4,3,2}),11)&lt;2,0,11-MOD(SUMPRODUCT(--MID(G335,{1,2,3,4,5,6,7,8,9,10,11,12,13},1),{6,5,4,3,2,9,8,7,6,5,4,3,2}),11))),"OK","AVISO: dígito verificador (conferir na org)"))))</f>
      </c>
      <c r="I335" s="6">
        <f>IF(G335="","",IF(COUNTIF($G$2:$G$2001,G335)&gt;1,"DUPLICADO","OK"))</f>
      </c>
      <c r="J335" s="6">
        <f>IF(COUNTA(A335:F335)=0,"",IF(AND(A335&lt;&gt;"",E335&lt;&gt;""),"OK","ERRO: faltam "&amp;IF(A335="","CNPJ; ","")&amp;IF(E335="","Novo gerente; ","")))</f>
      </c>
      <c r="K335" s="6">
        <f>IF(COUNTA(A335:F335)=0,"",IF(AND(LEFT(H335,4)&lt;&gt;"ERRO",I335="OK",J335="OK"),"OK","REVISAR"))</f>
      </c>
    </row>
    <row r="336">
      <c r="A336" s="5"/>
      <c r="B336" s="4"/>
      <c r="C336" s="4"/>
      <c r="D336" s="4"/>
      <c r="E336" s="5"/>
      <c r="F336" s="4"/>
      <c r="G336" s="6">
        <f>IF(A336="","",SUBSTITUTE(SUBSTITUTE(SUBSTITUTE(SUBSTITUTE(SUBSTITUTE(SUBSTITUTE(SUBSTITUTE(TRIM(A336),".",""),"/",""),"-","")," ",""),"(",""),")",""),"+",""))</f>
      </c>
      <c r="H336" s="6">
        <f>IF(G336="","",IF(LEN(G336)&lt;&gt;14,"ERRO: "&amp;LEN(G336)&amp;" dígitos",IF(NOT(ISNUMBER(VALUE(G336))),"ERRO: não numérico",IF(AND(VALUE(MID(G336,13,1))=IF(MOD(SUMPRODUCT(--MID(G336,{1,2,3,4,5,6,7,8,9,10,11,12},1),{5,4,3,2,9,8,7,6,5,4,3,2}),11)&lt;2,0,11-MOD(SUMPRODUCT(--MID(G336,{1,2,3,4,5,6,7,8,9,10,11,12},1),{5,4,3,2,9,8,7,6,5,4,3,2}),11)),VALUE(MID(G336,14,1))=IF(MOD(SUMPRODUCT(--MID(G336,{1,2,3,4,5,6,7,8,9,10,11,12,13},1),{6,5,4,3,2,9,8,7,6,5,4,3,2}),11)&lt;2,0,11-MOD(SUMPRODUCT(--MID(G336,{1,2,3,4,5,6,7,8,9,10,11,12,13},1),{6,5,4,3,2,9,8,7,6,5,4,3,2}),11))),"OK","AVISO: dígito verificador (conferir na org)"))))</f>
      </c>
      <c r="I336" s="6">
        <f>IF(G336="","",IF(COUNTIF($G$2:$G$2001,G336)&gt;1,"DUPLICADO","OK"))</f>
      </c>
      <c r="J336" s="6">
        <f>IF(COUNTA(A336:F336)=0,"",IF(AND(A336&lt;&gt;"",E336&lt;&gt;""),"OK","ERRO: faltam "&amp;IF(A336="","CNPJ; ","")&amp;IF(E336="","Novo gerente; ","")))</f>
      </c>
      <c r="K336" s="6">
        <f>IF(COUNTA(A336:F336)=0,"",IF(AND(LEFT(H336,4)&lt;&gt;"ERRO",I336="OK",J336="OK"),"OK","REVISAR"))</f>
      </c>
    </row>
    <row r="337">
      <c r="A337" s="5"/>
      <c r="B337" s="4"/>
      <c r="C337" s="4"/>
      <c r="D337" s="4"/>
      <c r="E337" s="5"/>
      <c r="F337" s="4"/>
      <c r="G337" s="6">
        <f>IF(A337="","",SUBSTITUTE(SUBSTITUTE(SUBSTITUTE(SUBSTITUTE(SUBSTITUTE(SUBSTITUTE(SUBSTITUTE(TRIM(A337),".",""),"/",""),"-","")," ",""),"(",""),")",""),"+",""))</f>
      </c>
      <c r="H337" s="6">
        <f>IF(G337="","",IF(LEN(G337)&lt;&gt;14,"ERRO: "&amp;LEN(G337)&amp;" dígitos",IF(NOT(ISNUMBER(VALUE(G337))),"ERRO: não numérico",IF(AND(VALUE(MID(G337,13,1))=IF(MOD(SUMPRODUCT(--MID(G337,{1,2,3,4,5,6,7,8,9,10,11,12},1),{5,4,3,2,9,8,7,6,5,4,3,2}),11)&lt;2,0,11-MOD(SUMPRODUCT(--MID(G337,{1,2,3,4,5,6,7,8,9,10,11,12},1),{5,4,3,2,9,8,7,6,5,4,3,2}),11)),VALUE(MID(G337,14,1))=IF(MOD(SUMPRODUCT(--MID(G337,{1,2,3,4,5,6,7,8,9,10,11,12,13},1),{6,5,4,3,2,9,8,7,6,5,4,3,2}),11)&lt;2,0,11-MOD(SUMPRODUCT(--MID(G337,{1,2,3,4,5,6,7,8,9,10,11,12,13},1),{6,5,4,3,2,9,8,7,6,5,4,3,2}),11))),"OK","AVISO: dígito verificador (conferir na org)"))))</f>
      </c>
      <c r="I337" s="6">
        <f>IF(G337="","",IF(COUNTIF($G$2:$G$2001,G337)&gt;1,"DUPLICADO","OK"))</f>
      </c>
      <c r="J337" s="6">
        <f>IF(COUNTA(A337:F337)=0,"",IF(AND(A337&lt;&gt;"",E337&lt;&gt;""),"OK","ERRO: faltam "&amp;IF(A337="","CNPJ; ","")&amp;IF(E337="","Novo gerente; ","")))</f>
      </c>
      <c r="K337" s="6">
        <f>IF(COUNTA(A337:F337)=0,"",IF(AND(LEFT(H337,4)&lt;&gt;"ERRO",I337="OK",J337="OK"),"OK","REVISAR"))</f>
      </c>
    </row>
    <row r="338">
      <c r="A338" s="5"/>
      <c r="B338" s="4"/>
      <c r="C338" s="4"/>
      <c r="D338" s="4"/>
      <c r="E338" s="5"/>
      <c r="F338" s="4"/>
      <c r="G338" s="6">
        <f>IF(A338="","",SUBSTITUTE(SUBSTITUTE(SUBSTITUTE(SUBSTITUTE(SUBSTITUTE(SUBSTITUTE(SUBSTITUTE(TRIM(A338),".",""),"/",""),"-","")," ",""),"(",""),")",""),"+",""))</f>
      </c>
      <c r="H338" s="6">
        <f>IF(G338="","",IF(LEN(G338)&lt;&gt;14,"ERRO: "&amp;LEN(G338)&amp;" dígitos",IF(NOT(ISNUMBER(VALUE(G338))),"ERRO: não numérico",IF(AND(VALUE(MID(G338,13,1))=IF(MOD(SUMPRODUCT(--MID(G338,{1,2,3,4,5,6,7,8,9,10,11,12},1),{5,4,3,2,9,8,7,6,5,4,3,2}),11)&lt;2,0,11-MOD(SUMPRODUCT(--MID(G338,{1,2,3,4,5,6,7,8,9,10,11,12},1),{5,4,3,2,9,8,7,6,5,4,3,2}),11)),VALUE(MID(G338,14,1))=IF(MOD(SUMPRODUCT(--MID(G338,{1,2,3,4,5,6,7,8,9,10,11,12,13},1),{6,5,4,3,2,9,8,7,6,5,4,3,2}),11)&lt;2,0,11-MOD(SUMPRODUCT(--MID(G338,{1,2,3,4,5,6,7,8,9,10,11,12,13},1),{6,5,4,3,2,9,8,7,6,5,4,3,2}),11))),"OK","AVISO: dígito verificador (conferir na org)"))))</f>
      </c>
      <c r="I338" s="6">
        <f>IF(G338="","",IF(COUNTIF($G$2:$G$2001,G338)&gt;1,"DUPLICADO","OK"))</f>
      </c>
      <c r="J338" s="6">
        <f>IF(COUNTA(A338:F338)=0,"",IF(AND(A338&lt;&gt;"",E338&lt;&gt;""),"OK","ERRO: faltam "&amp;IF(A338="","CNPJ; ","")&amp;IF(E338="","Novo gerente; ","")))</f>
      </c>
      <c r="K338" s="6">
        <f>IF(COUNTA(A338:F338)=0,"",IF(AND(LEFT(H338,4)&lt;&gt;"ERRO",I338="OK",J338="OK"),"OK","REVISAR"))</f>
      </c>
    </row>
    <row r="339">
      <c r="A339" s="5"/>
      <c r="B339" s="4"/>
      <c r="C339" s="4"/>
      <c r="D339" s="4"/>
      <c r="E339" s="5"/>
      <c r="F339" s="4"/>
      <c r="G339" s="6">
        <f>IF(A339="","",SUBSTITUTE(SUBSTITUTE(SUBSTITUTE(SUBSTITUTE(SUBSTITUTE(SUBSTITUTE(SUBSTITUTE(TRIM(A339),".",""),"/",""),"-","")," ",""),"(",""),")",""),"+",""))</f>
      </c>
      <c r="H339" s="6">
        <f>IF(G339="","",IF(LEN(G339)&lt;&gt;14,"ERRO: "&amp;LEN(G339)&amp;" dígitos",IF(NOT(ISNUMBER(VALUE(G339))),"ERRO: não numérico",IF(AND(VALUE(MID(G339,13,1))=IF(MOD(SUMPRODUCT(--MID(G339,{1,2,3,4,5,6,7,8,9,10,11,12},1),{5,4,3,2,9,8,7,6,5,4,3,2}),11)&lt;2,0,11-MOD(SUMPRODUCT(--MID(G339,{1,2,3,4,5,6,7,8,9,10,11,12},1),{5,4,3,2,9,8,7,6,5,4,3,2}),11)),VALUE(MID(G339,14,1))=IF(MOD(SUMPRODUCT(--MID(G339,{1,2,3,4,5,6,7,8,9,10,11,12,13},1),{6,5,4,3,2,9,8,7,6,5,4,3,2}),11)&lt;2,0,11-MOD(SUMPRODUCT(--MID(G339,{1,2,3,4,5,6,7,8,9,10,11,12,13},1),{6,5,4,3,2,9,8,7,6,5,4,3,2}),11))),"OK","AVISO: dígito verificador (conferir na org)"))))</f>
      </c>
      <c r="I339" s="6">
        <f>IF(G339="","",IF(COUNTIF($G$2:$G$2001,G339)&gt;1,"DUPLICADO","OK"))</f>
      </c>
      <c r="J339" s="6">
        <f>IF(COUNTA(A339:F339)=0,"",IF(AND(A339&lt;&gt;"",E339&lt;&gt;""),"OK","ERRO: faltam "&amp;IF(A339="","CNPJ; ","")&amp;IF(E339="","Novo gerente; ","")))</f>
      </c>
      <c r="K339" s="6">
        <f>IF(COUNTA(A339:F339)=0,"",IF(AND(LEFT(H339,4)&lt;&gt;"ERRO",I339="OK",J339="OK"),"OK","REVISAR"))</f>
      </c>
    </row>
    <row r="340">
      <c r="A340" s="5"/>
      <c r="B340" s="4"/>
      <c r="C340" s="4"/>
      <c r="D340" s="4"/>
      <c r="E340" s="5"/>
      <c r="F340" s="4"/>
      <c r="G340" s="6">
        <f>IF(A340="","",SUBSTITUTE(SUBSTITUTE(SUBSTITUTE(SUBSTITUTE(SUBSTITUTE(SUBSTITUTE(SUBSTITUTE(TRIM(A340),".",""),"/",""),"-","")," ",""),"(",""),")",""),"+",""))</f>
      </c>
      <c r="H340" s="6">
        <f>IF(G340="","",IF(LEN(G340)&lt;&gt;14,"ERRO: "&amp;LEN(G340)&amp;" dígitos",IF(NOT(ISNUMBER(VALUE(G340))),"ERRO: não numérico",IF(AND(VALUE(MID(G340,13,1))=IF(MOD(SUMPRODUCT(--MID(G340,{1,2,3,4,5,6,7,8,9,10,11,12},1),{5,4,3,2,9,8,7,6,5,4,3,2}),11)&lt;2,0,11-MOD(SUMPRODUCT(--MID(G340,{1,2,3,4,5,6,7,8,9,10,11,12},1),{5,4,3,2,9,8,7,6,5,4,3,2}),11)),VALUE(MID(G340,14,1))=IF(MOD(SUMPRODUCT(--MID(G340,{1,2,3,4,5,6,7,8,9,10,11,12,13},1),{6,5,4,3,2,9,8,7,6,5,4,3,2}),11)&lt;2,0,11-MOD(SUMPRODUCT(--MID(G340,{1,2,3,4,5,6,7,8,9,10,11,12,13},1),{6,5,4,3,2,9,8,7,6,5,4,3,2}),11))),"OK","AVISO: dígito verificador (conferir na org)"))))</f>
      </c>
      <c r="I340" s="6">
        <f>IF(G340="","",IF(COUNTIF($G$2:$G$2001,G340)&gt;1,"DUPLICADO","OK"))</f>
      </c>
      <c r="J340" s="6">
        <f>IF(COUNTA(A340:F340)=0,"",IF(AND(A340&lt;&gt;"",E340&lt;&gt;""),"OK","ERRO: faltam "&amp;IF(A340="","CNPJ; ","")&amp;IF(E340="","Novo gerente; ","")))</f>
      </c>
      <c r="K340" s="6">
        <f>IF(COUNTA(A340:F340)=0,"",IF(AND(LEFT(H340,4)&lt;&gt;"ERRO",I340="OK",J340="OK"),"OK","REVISAR"))</f>
      </c>
    </row>
    <row r="341">
      <c r="A341" s="5"/>
      <c r="B341" s="4"/>
      <c r="C341" s="4"/>
      <c r="D341" s="4"/>
      <c r="E341" s="5"/>
      <c r="F341" s="4"/>
      <c r="G341" s="6">
        <f>IF(A341="","",SUBSTITUTE(SUBSTITUTE(SUBSTITUTE(SUBSTITUTE(SUBSTITUTE(SUBSTITUTE(SUBSTITUTE(TRIM(A341),".",""),"/",""),"-","")," ",""),"(",""),")",""),"+",""))</f>
      </c>
      <c r="H341" s="6">
        <f>IF(G341="","",IF(LEN(G341)&lt;&gt;14,"ERRO: "&amp;LEN(G341)&amp;" dígitos",IF(NOT(ISNUMBER(VALUE(G341))),"ERRO: não numérico",IF(AND(VALUE(MID(G341,13,1))=IF(MOD(SUMPRODUCT(--MID(G341,{1,2,3,4,5,6,7,8,9,10,11,12},1),{5,4,3,2,9,8,7,6,5,4,3,2}),11)&lt;2,0,11-MOD(SUMPRODUCT(--MID(G341,{1,2,3,4,5,6,7,8,9,10,11,12},1),{5,4,3,2,9,8,7,6,5,4,3,2}),11)),VALUE(MID(G341,14,1))=IF(MOD(SUMPRODUCT(--MID(G341,{1,2,3,4,5,6,7,8,9,10,11,12,13},1),{6,5,4,3,2,9,8,7,6,5,4,3,2}),11)&lt;2,0,11-MOD(SUMPRODUCT(--MID(G341,{1,2,3,4,5,6,7,8,9,10,11,12,13},1),{6,5,4,3,2,9,8,7,6,5,4,3,2}),11))),"OK","AVISO: dígito verificador (conferir na org)"))))</f>
      </c>
      <c r="I341" s="6">
        <f>IF(G341="","",IF(COUNTIF($G$2:$G$2001,G341)&gt;1,"DUPLICADO","OK"))</f>
      </c>
      <c r="J341" s="6">
        <f>IF(COUNTA(A341:F341)=0,"",IF(AND(A341&lt;&gt;"",E341&lt;&gt;""),"OK","ERRO: faltam "&amp;IF(A341="","CNPJ; ","")&amp;IF(E341="","Novo gerente; ","")))</f>
      </c>
      <c r="K341" s="6">
        <f>IF(COUNTA(A341:F341)=0,"",IF(AND(LEFT(H341,4)&lt;&gt;"ERRO",I341="OK",J341="OK"),"OK","REVISAR"))</f>
      </c>
    </row>
    <row r="342">
      <c r="A342" s="5"/>
      <c r="B342" s="4"/>
      <c r="C342" s="4"/>
      <c r="D342" s="4"/>
      <c r="E342" s="5"/>
      <c r="F342" s="4"/>
      <c r="G342" s="6">
        <f>IF(A342="","",SUBSTITUTE(SUBSTITUTE(SUBSTITUTE(SUBSTITUTE(SUBSTITUTE(SUBSTITUTE(SUBSTITUTE(TRIM(A342),".",""),"/",""),"-","")," ",""),"(",""),")",""),"+",""))</f>
      </c>
      <c r="H342" s="6">
        <f>IF(G342="","",IF(LEN(G342)&lt;&gt;14,"ERRO: "&amp;LEN(G342)&amp;" dígitos",IF(NOT(ISNUMBER(VALUE(G342))),"ERRO: não numérico",IF(AND(VALUE(MID(G342,13,1))=IF(MOD(SUMPRODUCT(--MID(G342,{1,2,3,4,5,6,7,8,9,10,11,12},1),{5,4,3,2,9,8,7,6,5,4,3,2}),11)&lt;2,0,11-MOD(SUMPRODUCT(--MID(G342,{1,2,3,4,5,6,7,8,9,10,11,12},1),{5,4,3,2,9,8,7,6,5,4,3,2}),11)),VALUE(MID(G342,14,1))=IF(MOD(SUMPRODUCT(--MID(G342,{1,2,3,4,5,6,7,8,9,10,11,12,13},1),{6,5,4,3,2,9,8,7,6,5,4,3,2}),11)&lt;2,0,11-MOD(SUMPRODUCT(--MID(G342,{1,2,3,4,5,6,7,8,9,10,11,12,13},1),{6,5,4,3,2,9,8,7,6,5,4,3,2}),11))),"OK","AVISO: dígito verificador (conferir na org)"))))</f>
      </c>
      <c r="I342" s="6">
        <f>IF(G342="","",IF(COUNTIF($G$2:$G$2001,G342)&gt;1,"DUPLICADO","OK"))</f>
      </c>
      <c r="J342" s="6">
        <f>IF(COUNTA(A342:F342)=0,"",IF(AND(A342&lt;&gt;"",E342&lt;&gt;""),"OK","ERRO: faltam "&amp;IF(A342="","CNPJ; ","")&amp;IF(E342="","Novo gerente; ","")))</f>
      </c>
      <c r="K342" s="6">
        <f>IF(COUNTA(A342:F342)=0,"",IF(AND(LEFT(H342,4)&lt;&gt;"ERRO",I342="OK",J342="OK"),"OK","REVISAR"))</f>
      </c>
    </row>
    <row r="343">
      <c r="A343" s="5"/>
      <c r="B343" s="4"/>
      <c r="C343" s="4"/>
      <c r="D343" s="4"/>
      <c r="E343" s="5"/>
      <c r="F343" s="4"/>
      <c r="G343" s="6">
        <f>IF(A343="","",SUBSTITUTE(SUBSTITUTE(SUBSTITUTE(SUBSTITUTE(SUBSTITUTE(SUBSTITUTE(SUBSTITUTE(TRIM(A343),".",""),"/",""),"-","")," ",""),"(",""),")",""),"+",""))</f>
      </c>
      <c r="H343" s="6">
        <f>IF(G343="","",IF(LEN(G343)&lt;&gt;14,"ERRO: "&amp;LEN(G343)&amp;" dígitos",IF(NOT(ISNUMBER(VALUE(G343))),"ERRO: não numérico",IF(AND(VALUE(MID(G343,13,1))=IF(MOD(SUMPRODUCT(--MID(G343,{1,2,3,4,5,6,7,8,9,10,11,12},1),{5,4,3,2,9,8,7,6,5,4,3,2}),11)&lt;2,0,11-MOD(SUMPRODUCT(--MID(G343,{1,2,3,4,5,6,7,8,9,10,11,12},1),{5,4,3,2,9,8,7,6,5,4,3,2}),11)),VALUE(MID(G343,14,1))=IF(MOD(SUMPRODUCT(--MID(G343,{1,2,3,4,5,6,7,8,9,10,11,12,13},1),{6,5,4,3,2,9,8,7,6,5,4,3,2}),11)&lt;2,0,11-MOD(SUMPRODUCT(--MID(G343,{1,2,3,4,5,6,7,8,9,10,11,12,13},1),{6,5,4,3,2,9,8,7,6,5,4,3,2}),11))),"OK","AVISO: dígito verificador (conferir na org)"))))</f>
      </c>
      <c r="I343" s="6">
        <f>IF(G343="","",IF(COUNTIF($G$2:$G$2001,G343)&gt;1,"DUPLICADO","OK"))</f>
      </c>
      <c r="J343" s="6">
        <f>IF(COUNTA(A343:F343)=0,"",IF(AND(A343&lt;&gt;"",E343&lt;&gt;""),"OK","ERRO: faltam "&amp;IF(A343="","CNPJ; ","")&amp;IF(E343="","Novo gerente; ","")))</f>
      </c>
      <c r="K343" s="6">
        <f>IF(COUNTA(A343:F343)=0,"",IF(AND(LEFT(H343,4)&lt;&gt;"ERRO",I343="OK",J343="OK"),"OK","REVISAR"))</f>
      </c>
    </row>
    <row r="344">
      <c r="A344" s="5"/>
      <c r="B344" s="4"/>
      <c r="C344" s="4"/>
      <c r="D344" s="4"/>
      <c r="E344" s="5"/>
      <c r="F344" s="4"/>
      <c r="G344" s="6">
        <f>IF(A344="","",SUBSTITUTE(SUBSTITUTE(SUBSTITUTE(SUBSTITUTE(SUBSTITUTE(SUBSTITUTE(SUBSTITUTE(TRIM(A344),".",""),"/",""),"-","")," ",""),"(",""),")",""),"+",""))</f>
      </c>
      <c r="H344" s="6">
        <f>IF(G344="","",IF(LEN(G344)&lt;&gt;14,"ERRO: "&amp;LEN(G344)&amp;" dígitos",IF(NOT(ISNUMBER(VALUE(G344))),"ERRO: não numérico",IF(AND(VALUE(MID(G344,13,1))=IF(MOD(SUMPRODUCT(--MID(G344,{1,2,3,4,5,6,7,8,9,10,11,12},1),{5,4,3,2,9,8,7,6,5,4,3,2}),11)&lt;2,0,11-MOD(SUMPRODUCT(--MID(G344,{1,2,3,4,5,6,7,8,9,10,11,12},1),{5,4,3,2,9,8,7,6,5,4,3,2}),11)),VALUE(MID(G344,14,1))=IF(MOD(SUMPRODUCT(--MID(G344,{1,2,3,4,5,6,7,8,9,10,11,12,13},1),{6,5,4,3,2,9,8,7,6,5,4,3,2}),11)&lt;2,0,11-MOD(SUMPRODUCT(--MID(G344,{1,2,3,4,5,6,7,8,9,10,11,12,13},1),{6,5,4,3,2,9,8,7,6,5,4,3,2}),11))),"OK","AVISO: dígito verificador (conferir na org)"))))</f>
      </c>
      <c r="I344" s="6">
        <f>IF(G344="","",IF(COUNTIF($G$2:$G$2001,G344)&gt;1,"DUPLICADO","OK"))</f>
      </c>
      <c r="J344" s="6">
        <f>IF(COUNTA(A344:F344)=0,"",IF(AND(A344&lt;&gt;"",E344&lt;&gt;""),"OK","ERRO: faltam "&amp;IF(A344="","CNPJ; ","")&amp;IF(E344="","Novo gerente; ","")))</f>
      </c>
      <c r="K344" s="6">
        <f>IF(COUNTA(A344:F344)=0,"",IF(AND(LEFT(H344,4)&lt;&gt;"ERRO",I344="OK",J344="OK"),"OK","REVISAR"))</f>
      </c>
    </row>
    <row r="345">
      <c r="A345" s="5"/>
      <c r="B345" s="4"/>
      <c r="C345" s="4"/>
      <c r="D345" s="4"/>
      <c r="E345" s="5"/>
      <c r="F345" s="4"/>
      <c r="G345" s="6">
        <f>IF(A345="","",SUBSTITUTE(SUBSTITUTE(SUBSTITUTE(SUBSTITUTE(SUBSTITUTE(SUBSTITUTE(SUBSTITUTE(TRIM(A345),".",""),"/",""),"-","")," ",""),"(",""),")",""),"+",""))</f>
      </c>
      <c r="H345" s="6">
        <f>IF(G345="","",IF(LEN(G345)&lt;&gt;14,"ERRO: "&amp;LEN(G345)&amp;" dígitos",IF(NOT(ISNUMBER(VALUE(G345))),"ERRO: não numérico",IF(AND(VALUE(MID(G345,13,1))=IF(MOD(SUMPRODUCT(--MID(G345,{1,2,3,4,5,6,7,8,9,10,11,12},1),{5,4,3,2,9,8,7,6,5,4,3,2}),11)&lt;2,0,11-MOD(SUMPRODUCT(--MID(G345,{1,2,3,4,5,6,7,8,9,10,11,12},1),{5,4,3,2,9,8,7,6,5,4,3,2}),11)),VALUE(MID(G345,14,1))=IF(MOD(SUMPRODUCT(--MID(G345,{1,2,3,4,5,6,7,8,9,10,11,12,13},1),{6,5,4,3,2,9,8,7,6,5,4,3,2}),11)&lt;2,0,11-MOD(SUMPRODUCT(--MID(G345,{1,2,3,4,5,6,7,8,9,10,11,12,13},1),{6,5,4,3,2,9,8,7,6,5,4,3,2}),11))),"OK","AVISO: dígito verificador (conferir na org)"))))</f>
      </c>
      <c r="I345" s="6">
        <f>IF(G345="","",IF(COUNTIF($G$2:$G$2001,G345)&gt;1,"DUPLICADO","OK"))</f>
      </c>
      <c r="J345" s="6">
        <f>IF(COUNTA(A345:F345)=0,"",IF(AND(A345&lt;&gt;"",E345&lt;&gt;""),"OK","ERRO: faltam "&amp;IF(A345="","CNPJ; ","")&amp;IF(E345="","Novo gerente; ","")))</f>
      </c>
      <c r="K345" s="6">
        <f>IF(COUNTA(A345:F345)=0,"",IF(AND(LEFT(H345,4)&lt;&gt;"ERRO",I345="OK",J345="OK"),"OK","REVISAR"))</f>
      </c>
    </row>
    <row r="346">
      <c r="A346" s="5"/>
      <c r="B346" s="4"/>
      <c r="C346" s="4"/>
      <c r="D346" s="4"/>
      <c r="E346" s="5"/>
      <c r="F346" s="4"/>
      <c r="G346" s="6">
        <f>IF(A346="","",SUBSTITUTE(SUBSTITUTE(SUBSTITUTE(SUBSTITUTE(SUBSTITUTE(SUBSTITUTE(SUBSTITUTE(TRIM(A346),".",""),"/",""),"-","")," ",""),"(",""),")",""),"+",""))</f>
      </c>
      <c r="H346" s="6">
        <f>IF(G346="","",IF(LEN(G346)&lt;&gt;14,"ERRO: "&amp;LEN(G346)&amp;" dígitos",IF(NOT(ISNUMBER(VALUE(G346))),"ERRO: não numérico",IF(AND(VALUE(MID(G346,13,1))=IF(MOD(SUMPRODUCT(--MID(G346,{1,2,3,4,5,6,7,8,9,10,11,12},1),{5,4,3,2,9,8,7,6,5,4,3,2}),11)&lt;2,0,11-MOD(SUMPRODUCT(--MID(G346,{1,2,3,4,5,6,7,8,9,10,11,12},1),{5,4,3,2,9,8,7,6,5,4,3,2}),11)),VALUE(MID(G346,14,1))=IF(MOD(SUMPRODUCT(--MID(G346,{1,2,3,4,5,6,7,8,9,10,11,12,13},1),{6,5,4,3,2,9,8,7,6,5,4,3,2}),11)&lt;2,0,11-MOD(SUMPRODUCT(--MID(G346,{1,2,3,4,5,6,7,8,9,10,11,12,13},1),{6,5,4,3,2,9,8,7,6,5,4,3,2}),11))),"OK","AVISO: dígito verificador (conferir na org)"))))</f>
      </c>
      <c r="I346" s="6">
        <f>IF(G346="","",IF(COUNTIF($G$2:$G$2001,G346)&gt;1,"DUPLICADO","OK"))</f>
      </c>
      <c r="J346" s="6">
        <f>IF(COUNTA(A346:F346)=0,"",IF(AND(A346&lt;&gt;"",E346&lt;&gt;""),"OK","ERRO: faltam "&amp;IF(A346="","CNPJ; ","")&amp;IF(E346="","Novo gerente; ","")))</f>
      </c>
      <c r="K346" s="6">
        <f>IF(COUNTA(A346:F346)=0,"",IF(AND(LEFT(H346,4)&lt;&gt;"ERRO",I346="OK",J346="OK"),"OK","REVISAR"))</f>
      </c>
    </row>
    <row r="347">
      <c r="A347" s="5"/>
      <c r="B347" s="4"/>
      <c r="C347" s="4"/>
      <c r="D347" s="4"/>
      <c r="E347" s="5"/>
      <c r="F347" s="4"/>
      <c r="G347" s="6">
        <f>IF(A347="","",SUBSTITUTE(SUBSTITUTE(SUBSTITUTE(SUBSTITUTE(SUBSTITUTE(SUBSTITUTE(SUBSTITUTE(TRIM(A347),".",""),"/",""),"-","")," ",""),"(",""),")",""),"+",""))</f>
      </c>
      <c r="H347" s="6">
        <f>IF(G347="","",IF(LEN(G347)&lt;&gt;14,"ERRO: "&amp;LEN(G347)&amp;" dígitos",IF(NOT(ISNUMBER(VALUE(G347))),"ERRO: não numérico",IF(AND(VALUE(MID(G347,13,1))=IF(MOD(SUMPRODUCT(--MID(G347,{1,2,3,4,5,6,7,8,9,10,11,12},1),{5,4,3,2,9,8,7,6,5,4,3,2}),11)&lt;2,0,11-MOD(SUMPRODUCT(--MID(G347,{1,2,3,4,5,6,7,8,9,10,11,12},1),{5,4,3,2,9,8,7,6,5,4,3,2}),11)),VALUE(MID(G347,14,1))=IF(MOD(SUMPRODUCT(--MID(G347,{1,2,3,4,5,6,7,8,9,10,11,12,13},1),{6,5,4,3,2,9,8,7,6,5,4,3,2}),11)&lt;2,0,11-MOD(SUMPRODUCT(--MID(G347,{1,2,3,4,5,6,7,8,9,10,11,12,13},1),{6,5,4,3,2,9,8,7,6,5,4,3,2}),11))),"OK","AVISO: dígito verificador (conferir na org)"))))</f>
      </c>
      <c r="I347" s="6">
        <f>IF(G347="","",IF(COUNTIF($G$2:$G$2001,G347)&gt;1,"DUPLICADO","OK"))</f>
      </c>
      <c r="J347" s="6">
        <f>IF(COUNTA(A347:F347)=0,"",IF(AND(A347&lt;&gt;"",E347&lt;&gt;""),"OK","ERRO: faltam "&amp;IF(A347="","CNPJ; ","")&amp;IF(E347="","Novo gerente; ","")))</f>
      </c>
      <c r="K347" s="6">
        <f>IF(COUNTA(A347:F347)=0,"",IF(AND(LEFT(H347,4)&lt;&gt;"ERRO",I347="OK",J347="OK"),"OK","REVISAR"))</f>
      </c>
    </row>
    <row r="348">
      <c r="A348" s="5"/>
      <c r="B348" s="4"/>
      <c r="C348" s="4"/>
      <c r="D348" s="4"/>
      <c r="E348" s="5"/>
      <c r="F348" s="4"/>
      <c r="G348" s="6">
        <f>IF(A348="","",SUBSTITUTE(SUBSTITUTE(SUBSTITUTE(SUBSTITUTE(SUBSTITUTE(SUBSTITUTE(SUBSTITUTE(TRIM(A348),".",""),"/",""),"-","")," ",""),"(",""),")",""),"+",""))</f>
      </c>
      <c r="H348" s="6">
        <f>IF(G348="","",IF(LEN(G348)&lt;&gt;14,"ERRO: "&amp;LEN(G348)&amp;" dígitos",IF(NOT(ISNUMBER(VALUE(G348))),"ERRO: não numérico",IF(AND(VALUE(MID(G348,13,1))=IF(MOD(SUMPRODUCT(--MID(G348,{1,2,3,4,5,6,7,8,9,10,11,12},1),{5,4,3,2,9,8,7,6,5,4,3,2}),11)&lt;2,0,11-MOD(SUMPRODUCT(--MID(G348,{1,2,3,4,5,6,7,8,9,10,11,12},1),{5,4,3,2,9,8,7,6,5,4,3,2}),11)),VALUE(MID(G348,14,1))=IF(MOD(SUMPRODUCT(--MID(G348,{1,2,3,4,5,6,7,8,9,10,11,12,13},1),{6,5,4,3,2,9,8,7,6,5,4,3,2}),11)&lt;2,0,11-MOD(SUMPRODUCT(--MID(G348,{1,2,3,4,5,6,7,8,9,10,11,12,13},1),{6,5,4,3,2,9,8,7,6,5,4,3,2}),11))),"OK","AVISO: dígito verificador (conferir na org)"))))</f>
      </c>
      <c r="I348" s="6">
        <f>IF(G348="","",IF(COUNTIF($G$2:$G$2001,G348)&gt;1,"DUPLICADO","OK"))</f>
      </c>
      <c r="J348" s="6">
        <f>IF(COUNTA(A348:F348)=0,"",IF(AND(A348&lt;&gt;"",E348&lt;&gt;""),"OK","ERRO: faltam "&amp;IF(A348="","CNPJ; ","")&amp;IF(E348="","Novo gerente; ","")))</f>
      </c>
      <c r="K348" s="6">
        <f>IF(COUNTA(A348:F348)=0,"",IF(AND(LEFT(H348,4)&lt;&gt;"ERRO",I348="OK",J348="OK"),"OK","REVISAR"))</f>
      </c>
    </row>
    <row r="349">
      <c r="A349" s="5"/>
      <c r="B349" s="4"/>
      <c r="C349" s="4"/>
      <c r="D349" s="4"/>
      <c r="E349" s="5"/>
      <c r="F349" s="4"/>
      <c r="G349" s="6">
        <f>IF(A349="","",SUBSTITUTE(SUBSTITUTE(SUBSTITUTE(SUBSTITUTE(SUBSTITUTE(SUBSTITUTE(SUBSTITUTE(TRIM(A349),".",""),"/",""),"-","")," ",""),"(",""),")",""),"+",""))</f>
      </c>
      <c r="H349" s="6">
        <f>IF(G349="","",IF(LEN(G349)&lt;&gt;14,"ERRO: "&amp;LEN(G349)&amp;" dígitos",IF(NOT(ISNUMBER(VALUE(G349))),"ERRO: não numérico",IF(AND(VALUE(MID(G349,13,1))=IF(MOD(SUMPRODUCT(--MID(G349,{1,2,3,4,5,6,7,8,9,10,11,12},1),{5,4,3,2,9,8,7,6,5,4,3,2}),11)&lt;2,0,11-MOD(SUMPRODUCT(--MID(G349,{1,2,3,4,5,6,7,8,9,10,11,12},1),{5,4,3,2,9,8,7,6,5,4,3,2}),11)),VALUE(MID(G349,14,1))=IF(MOD(SUMPRODUCT(--MID(G349,{1,2,3,4,5,6,7,8,9,10,11,12,13},1),{6,5,4,3,2,9,8,7,6,5,4,3,2}),11)&lt;2,0,11-MOD(SUMPRODUCT(--MID(G349,{1,2,3,4,5,6,7,8,9,10,11,12,13},1),{6,5,4,3,2,9,8,7,6,5,4,3,2}),11))),"OK","AVISO: dígito verificador (conferir na org)"))))</f>
      </c>
      <c r="I349" s="6">
        <f>IF(G349="","",IF(COUNTIF($G$2:$G$2001,G349)&gt;1,"DUPLICADO","OK"))</f>
      </c>
      <c r="J349" s="6">
        <f>IF(COUNTA(A349:F349)=0,"",IF(AND(A349&lt;&gt;"",E349&lt;&gt;""),"OK","ERRO: faltam "&amp;IF(A349="","CNPJ; ","")&amp;IF(E349="","Novo gerente; ","")))</f>
      </c>
      <c r="K349" s="6">
        <f>IF(COUNTA(A349:F349)=0,"",IF(AND(LEFT(H349,4)&lt;&gt;"ERRO",I349="OK",J349="OK"),"OK","REVISAR"))</f>
      </c>
    </row>
    <row r="350">
      <c r="A350" s="5"/>
      <c r="B350" s="4"/>
      <c r="C350" s="4"/>
      <c r="D350" s="4"/>
      <c r="E350" s="5"/>
      <c r="F350" s="4"/>
      <c r="G350" s="6">
        <f>IF(A350="","",SUBSTITUTE(SUBSTITUTE(SUBSTITUTE(SUBSTITUTE(SUBSTITUTE(SUBSTITUTE(SUBSTITUTE(TRIM(A350),".",""),"/",""),"-","")," ",""),"(",""),")",""),"+",""))</f>
      </c>
      <c r="H350" s="6">
        <f>IF(G350="","",IF(LEN(G350)&lt;&gt;14,"ERRO: "&amp;LEN(G350)&amp;" dígitos",IF(NOT(ISNUMBER(VALUE(G350))),"ERRO: não numérico",IF(AND(VALUE(MID(G350,13,1))=IF(MOD(SUMPRODUCT(--MID(G350,{1,2,3,4,5,6,7,8,9,10,11,12},1),{5,4,3,2,9,8,7,6,5,4,3,2}),11)&lt;2,0,11-MOD(SUMPRODUCT(--MID(G350,{1,2,3,4,5,6,7,8,9,10,11,12},1),{5,4,3,2,9,8,7,6,5,4,3,2}),11)),VALUE(MID(G350,14,1))=IF(MOD(SUMPRODUCT(--MID(G350,{1,2,3,4,5,6,7,8,9,10,11,12,13},1),{6,5,4,3,2,9,8,7,6,5,4,3,2}),11)&lt;2,0,11-MOD(SUMPRODUCT(--MID(G350,{1,2,3,4,5,6,7,8,9,10,11,12,13},1),{6,5,4,3,2,9,8,7,6,5,4,3,2}),11))),"OK","AVISO: dígito verificador (conferir na org)"))))</f>
      </c>
      <c r="I350" s="6">
        <f>IF(G350="","",IF(COUNTIF($G$2:$G$2001,G350)&gt;1,"DUPLICADO","OK"))</f>
      </c>
      <c r="J350" s="6">
        <f>IF(COUNTA(A350:F350)=0,"",IF(AND(A350&lt;&gt;"",E350&lt;&gt;""),"OK","ERRO: faltam "&amp;IF(A350="","CNPJ; ","")&amp;IF(E350="","Novo gerente; ","")))</f>
      </c>
      <c r="K350" s="6">
        <f>IF(COUNTA(A350:F350)=0,"",IF(AND(LEFT(H350,4)&lt;&gt;"ERRO",I350="OK",J350="OK"),"OK","REVISAR"))</f>
      </c>
    </row>
    <row r="351">
      <c r="A351" s="5"/>
      <c r="B351" s="4"/>
      <c r="C351" s="4"/>
      <c r="D351" s="4"/>
      <c r="E351" s="5"/>
      <c r="F351" s="4"/>
      <c r="G351" s="6">
        <f>IF(A351="","",SUBSTITUTE(SUBSTITUTE(SUBSTITUTE(SUBSTITUTE(SUBSTITUTE(SUBSTITUTE(SUBSTITUTE(TRIM(A351),".",""),"/",""),"-","")," ",""),"(",""),")",""),"+",""))</f>
      </c>
      <c r="H351" s="6">
        <f>IF(G351="","",IF(LEN(G351)&lt;&gt;14,"ERRO: "&amp;LEN(G351)&amp;" dígitos",IF(NOT(ISNUMBER(VALUE(G351))),"ERRO: não numérico",IF(AND(VALUE(MID(G351,13,1))=IF(MOD(SUMPRODUCT(--MID(G351,{1,2,3,4,5,6,7,8,9,10,11,12},1),{5,4,3,2,9,8,7,6,5,4,3,2}),11)&lt;2,0,11-MOD(SUMPRODUCT(--MID(G351,{1,2,3,4,5,6,7,8,9,10,11,12},1),{5,4,3,2,9,8,7,6,5,4,3,2}),11)),VALUE(MID(G351,14,1))=IF(MOD(SUMPRODUCT(--MID(G351,{1,2,3,4,5,6,7,8,9,10,11,12,13},1),{6,5,4,3,2,9,8,7,6,5,4,3,2}),11)&lt;2,0,11-MOD(SUMPRODUCT(--MID(G351,{1,2,3,4,5,6,7,8,9,10,11,12,13},1),{6,5,4,3,2,9,8,7,6,5,4,3,2}),11))),"OK","AVISO: dígito verificador (conferir na org)"))))</f>
      </c>
      <c r="I351" s="6">
        <f>IF(G351="","",IF(COUNTIF($G$2:$G$2001,G351)&gt;1,"DUPLICADO","OK"))</f>
      </c>
      <c r="J351" s="6">
        <f>IF(COUNTA(A351:F351)=0,"",IF(AND(A351&lt;&gt;"",E351&lt;&gt;""),"OK","ERRO: faltam "&amp;IF(A351="","CNPJ; ","")&amp;IF(E351="","Novo gerente; ","")))</f>
      </c>
      <c r="K351" s="6">
        <f>IF(COUNTA(A351:F351)=0,"",IF(AND(LEFT(H351,4)&lt;&gt;"ERRO",I351="OK",J351="OK"),"OK","REVISAR"))</f>
      </c>
    </row>
    <row r="352">
      <c r="A352" s="5"/>
      <c r="B352" s="4"/>
      <c r="C352" s="4"/>
      <c r="D352" s="4"/>
      <c r="E352" s="5"/>
      <c r="F352" s="4"/>
      <c r="G352" s="6">
        <f>IF(A352="","",SUBSTITUTE(SUBSTITUTE(SUBSTITUTE(SUBSTITUTE(SUBSTITUTE(SUBSTITUTE(SUBSTITUTE(TRIM(A352),".",""),"/",""),"-","")," ",""),"(",""),")",""),"+",""))</f>
      </c>
      <c r="H352" s="6">
        <f>IF(G352="","",IF(LEN(G352)&lt;&gt;14,"ERRO: "&amp;LEN(G352)&amp;" dígitos",IF(NOT(ISNUMBER(VALUE(G352))),"ERRO: não numérico",IF(AND(VALUE(MID(G352,13,1))=IF(MOD(SUMPRODUCT(--MID(G352,{1,2,3,4,5,6,7,8,9,10,11,12},1),{5,4,3,2,9,8,7,6,5,4,3,2}),11)&lt;2,0,11-MOD(SUMPRODUCT(--MID(G352,{1,2,3,4,5,6,7,8,9,10,11,12},1),{5,4,3,2,9,8,7,6,5,4,3,2}),11)),VALUE(MID(G352,14,1))=IF(MOD(SUMPRODUCT(--MID(G352,{1,2,3,4,5,6,7,8,9,10,11,12,13},1),{6,5,4,3,2,9,8,7,6,5,4,3,2}),11)&lt;2,0,11-MOD(SUMPRODUCT(--MID(G352,{1,2,3,4,5,6,7,8,9,10,11,12,13},1),{6,5,4,3,2,9,8,7,6,5,4,3,2}),11))),"OK","AVISO: dígito verificador (conferir na org)"))))</f>
      </c>
      <c r="I352" s="6">
        <f>IF(G352="","",IF(COUNTIF($G$2:$G$2001,G352)&gt;1,"DUPLICADO","OK"))</f>
      </c>
      <c r="J352" s="6">
        <f>IF(COUNTA(A352:F352)=0,"",IF(AND(A352&lt;&gt;"",E352&lt;&gt;""),"OK","ERRO: faltam "&amp;IF(A352="","CNPJ; ","")&amp;IF(E352="","Novo gerente; ","")))</f>
      </c>
      <c r="K352" s="6">
        <f>IF(COUNTA(A352:F352)=0,"",IF(AND(LEFT(H352,4)&lt;&gt;"ERRO",I352="OK",J352="OK"),"OK","REVISAR"))</f>
      </c>
    </row>
    <row r="353">
      <c r="A353" s="5"/>
      <c r="B353" s="4"/>
      <c r="C353" s="4"/>
      <c r="D353" s="4"/>
      <c r="E353" s="5"/>
      <c r="F353" s="4"/>
      <c r="G353" s="6">
        <f>IF(A353="","",SUBSTITUTE(SUBSTITUTE(SUBSTITUTE(SUBSTITUTE(SUBSTITUTE(SUBSTITUTE(SUBSTITUTE(TRIM(A353),".",""),"/",""),"-","")," ",""),"(",""),")",""),"+",""))</f>
      </c>
      <c r="H353" s="6">
        <f>IF(G353="","",IF(LEN(G353)&lt;&gt;14,"ERRO: "&amp;LEN(G353)&amp;" dígitos",IF(NOT(ISNUMBER(VALUE(G353))),"ERRO: não numérico",IF(AND(VALUE(MID(G353,13,1))=IF(MOD(SUMPRODUCT(--MID(G353,{1,2,3,4,5,6,7,8,9,10,11,12},1),{5,4,3,2,9,8,7,6,5,4,3,2}),11)&lt;2,0,11-MOD(SUMPRODUCT(--MID(G353,{1,2,3,4,5,6,7,8,9,10,11,12},1),{5,4,3,2,9,8,7,6,5,4,3,2}),11)),VALUE(MID(G353,14,1))=IF(MOD(SUMPRODUCT(--MID(G353,{1,2,3,4,5,6,7,8,9,10,11,12,13},1),{6,5,4,3,2,9,8,7,6,5,4,3,2}),11)&lt;2,0,11-MOD(SUMPRODUCT(--MID(G353,{1,2,3,4,5,6,7,8,9,10,11,12,13},1),{6,5,4,3,2,9,8,7,6,5,4,3,2}),11))),"OK","AVISO: dígito verificador (conferir na org)"))))</f>
      </c>
      <c r="I353" s="6">
        <f>IF(G353="","",IF(COUNTIF($G$2:$G$2001,G353)&gt;1,"DUPLICADO","OK"))</f>
      </c>
      <c r="J353" s="6">
        <f>IF(COUNTA(A353:F353)=0,"",IF(AND(A353&lt;&gt;"",E353&lt;&gt;""),"OK","ERRO: faltam "&amp;IF(A353="","CNPJ; ","")&amp;IF(E353="","Novo gerente; ","")))</f>
      </c>
      <c r="K353" s="6">
        <f>IF(COUNTA(A353:F353)=0,"",IF(AND(LEFT(H353,4)&lt;&gt;"ERRO",I353="OK",J353="OK"),"OK","REVISAR"))</f>
      </c>
    </row>
    <row r="354">
      <c r="A354" s="5"/>
      <c r="B354" s="4"/>
      <c r="C354" s="4"/>
      <c r="D354" s="4"/>
      <c r="E354" s="5"/>
      <c r="F354" s="4"/>
      <c r="G354" s="6">
        <f>IF(A354="","",SUBSTITUTE(SUBSTITUTE(SUBSTITUTE(SUBSTITUTE(SUBSTITUTE(SUBSTITUTE(SUBSTITUTE(TRIM(A354),".",""),"/",""),"-","")," ",""),"(",""),")",""),"+",""))</f>
      </c>
      <c r="H354" s="6">
        <f>IF(G354="","",IF(LEN(G354)&lt;&gt;14,"ERRO: "&amp;LEN(G354)&amp;" dígitos",IF(NOT(ISNUMBER(VALUE(G354))),"ERRO: não numérico",IF(AND(VALUE(MID(G354,13,1))=IF(MOD(SUMPRODUCT(--MID(G354,{1,2,3,4,5,6,7,8,9,10,11,12},1),{5,4,3,2,9,8,7,6,5,4,3,2}),11)&lt;2,0,11-MOD(SUMPRODUCT(--MID(G354,{1,2,3,4,5,6,7,8,9,10,11,12},1),{5,4,3,2,9,8,7,6,5,4,3,2}),11)),VALUE(MID(G354,14,1))=IF(MOD(SUMPRODUCT(--MID(G354,{1,2,3,4,5,6,7,8,9,10,11,12,13},1),{6,5,4,3,2,9,8,7,6,5,4,3,2}),11)&lt;2,0,11-MOD(SUMPRODUCT(--MID(G354,{1,2,3,4,5,6,7,8,9,10,11,12,13},1),{6,5,4,3,2,9,8,7,6,5,4,3,2}),11))),"OK","AVISO: dígito verificador (conferir na org)"))))</f>
      </c>
      <c r="I354" s="6">
        <f>IF(G354="","",IF(COUNTIF($G$2:$G$2001,G354)&gt;1,"DUPLICADO","OK"))</f>
      </c>
      <c r="J354" s="6">
        <f>IF(COUNTA(A354:F354)=0,"",IF(AND(A354&lt;&gt;"",E354&lt;&gt;""),"OK","ERRO: faltam "&amp;IF(A354="","CNPJ; ","")&amp;IF(E354="","Novo gerente; ","")))</f>
      </c>
      <c r="K354" s="6">
        <f>IF(COUNTA(A354:F354)=0,"",IF(AND(LEFT(H354,4)&lt;&gt;"ERRO",I354="OK",J354="OK"),"OK","REVISAR"))</f>
      </c>
    </row>
    <row r="355">
      <c r="A355" s="5"/>
      <c r="B355" s="4"/>
      <c r="C355" s="4"/>
      <c r="D355" s="4"/>
      <c r="E355" s="5"/>
      <c r="F355" s="4"/>
      <c r="G355" s="6">
        <f>IF(A355="","",SUBSTITUTE(SUBSTITUTE(SUBSTITUTE(SUBSTITUTE(SUBSTITUTE(SUBSTITUTE(SUBSTITUTE(TRIM(A355),".",""),"/",""),"-","")," ",""),"(",""),")",""),"+",""))</f>
      </c>
      <c r="H355" s="6">
        <f>IF(G355="","",IF(LEN(G355)&lt;&gt;14,"ERRO: "&amp;LEN(G355)&amp;" dígitos",IF(NOT(ISNUMBER(VALUE(G355))),"ERRO: não numérico",IF(AND(VALUE(MID(G355,13,1))=IF(MOD(SUMPRODUCT(--MID(G355,{1,2,3,4,5,6,7,8,9,10,11,12},1),{5,4,3,2,9,8,7,6,5,4,3,2}),11)&lt;2,0,11-MOD(SUMPRODUCT(--MID(G355,{1,2,3,4,5,6,7,8,9,10,11,12},1),{5,4,3,2,9,8,7,6,5,4,3,2}),11)),VALUE(MID(G355,14,1))=IF(MOD(SUMPRODUCT(--MID(G355,{1,2,3,4,5,6,7,8,9,10,11,12,13},1),{6,5,4,3,2,9,8,7,6,5,4,3,2}),11)&lt;2,0,11-MOD(SUMPRODUCT(--MID(G355,{1,2,3,4,5,6,7,8,9,10,11,12,13},1),{6,5,4,3,2,9,8,7,6,5,4,3,2}),11))),"OK","AVISO: dígito verificador (conferir na org)"))))</f>
      </c>
      <c r="I355" s="6">
        <f>IF(G355="","",IF(COUNTIF($G$2:$G$2001,G355)&gt;1,"DUPLICADO","OK"))</f>
      </c>
      <c r="J355" s="6">
        <f>IF(COUNTA(A355:F355)=0,"",IF(AND(A355&lt;&gt;"",E355&lt;&gt;""),"OK","ERRO: faltam "&amp;IF(A355="","CNPJ; ","")&amp;IF(E355="","Novo gerente; ","")))</f>
      </c>
      <c r="K355" s="6">
        <f>IF(COUNTA(A355:F355)=0,"",IF(AND(LEFT(H355,4)&lt;&gt;"ERRO",I355="OK",J355="OK"),"OK","REVISAR"))</f>
      </c>
    </row>
    <row r="356">
      <c r="A356" s="5"/>
      <c r="B356" s="4"/>
      <c r="C356" s="4"/>
      <c r="D356" s="4"/>
      <c r="E356" s="5"/>
      <c r="F356" s="4"/>
      <c r="G356" s="6">
        <f>IF(A356="","",SUBSTITUTE(SUBSTITUTE(SUBSTITUTE(SUBSTITUTE(SUBSTITUTE(SUBSTITUTE(SUBSTITUTE(TRIM(A356),".",""),"/",""),"-","")," ",""),"(",""),")",""),"+",""))</f>
      </c>
      <c r="H356" s="6">
        <f>IF(G356="","",IF(LEN(G356)&lt;&gt;14,"ERRO: "&amp;LEN(G356)&amp;" dígitos",IF(NOT(ISNUMBER(VALUE(G356))),"ERRO: não numérico",IF(AND(VALUE(MID(G356,13,1))=IF(MOD(SUMPRODUCT(--MID(G356,{1,2,3,4,5,6,7,8,9,10,11,12},1),{5,4,3,2,9,8,7,6,5,4,3,2}),11)&lt;2,0,11-MOD(SUMPRODUCT(--MID(G356,{1,2,3,4,5,6,7,8,9,10,11,12},1),{5,4,3,2,9,8,7,6,5,4,3,2}),11)),VALUE(MID(G356,14,1))=IF(MOD(SUMPRODUCT(--MID(G356,{1,2,3,4,5,6,7,8,9,10,11,12,13},1),{6,5,4,3,2,9,8,7,6,5,4,3,2}),11)&lt;2,0,11-MOD(SUMPRODUCT(--MID(G356,{1,2,3,4,5,6,7,8,9,10,11,12,13},1),{6,5,4,3,2,9,8,7,6,5,4,3,2}),11))),"OK","AVISO: dígito verificador (conferir na org)"))))</f>
      </c>
      <c r="I356" s="6">
        <f>IF(G356="","",IF(COUNTIF($G$2:$G$2001,G356)&gt;1,"DUPLICADO","OK"))</f>
      </c>
      <c r="J356" s="6">
        <f>IF(COUNTA(A356:F356)=0,"",IF(AND(A356&lt;&gt;"",E356&lt;&gt;""),"OK","ERRO: faltam "&amp;IF(A356="","CNPJ; ","")&amp;IF(E356="","Novo gerente; ","")))</f>
      </c>
      <c r="K356" s="6">
        <f>IF(COUNTA(A356:F356)=0,"",IF(AND(LEFT(H356,4)&lt;&gt;"ERRO",I356="OK",J356="OK"),"OK","REVISAR"))</f>
      </c>
    </row>
    <row r="357">
      <c r="A357" s="5"/>
      <c r="B357" s="4"/>
      <c r="C357" s="4"/>
      <c r="D357" s="4"/>
      <c r="E357" s="5"/>
      <c r="F357" s="4"/>
      <c r="G357" s="6">
        <f>IF(A357="","",SUBSTITUTE(SUBSTITUTE(SUBSTITUTE(SUBSTITUTE(SUBSTITUTE(SUBSTITUTE(SUBSTITUTE(TRIM(A357),".",""),"/",""),"-","")," ",""),"(",""),")",""),"+",""))</f>
      </c>
      <c r="H357" s="6">
        <f>IF(G357="","",IF(LEN(G357)&lt;&gt;14,"ERRO: "&amp;LEN(G357)&amp;" dígitos",IF(NOT(ISNUMBER(VALUE(G357))),"ERRO: não numérico",IF(AND(VALUE(MID(G357,13,1))=IF(MOD(SUMPRODUCT(--MID(G357,{1,2,3,4,5,6,7,8,9,10,11,12},1),{5,4,3,2,9,8,7,6,5,4,3,2}),11)&lt;2,0,11-MOD(SUMPRODUCT(--MID(G357,{1,2,3,4,5,6,7,8,9,10,11,12},1),{5,4,3,2,9,8,7,6,5,4,3,2}),11)),VALUE(MID(G357,14,1))=IF(MOD(SUMPRODUCT(--MID(G357,{1,2,3,4,5,6,7,8,9,10,11,12,13},1),{6,5,4,3,2,9,8,7,6,5,4,3,2}),11)&lt;2,0,11-MOD(SUMPRODUCT(--MID(G357,{1,2,3,4,5,6,7,8,9,10,11,12,13},1),{6,5,4,3,2,9,8,7,6,5,4,3,2}),11))),"OK","AVISO: dígito verificador (conferir na org)"))))</f>
      </c>
      <c r="I357" s="6">
        <f>IF(G357="","",IF(COUNTIF($G$2:$G$2001,G357)&gt;1,"DUPLICADO","OK"))</f>
      </c>
      <c r="J357" s="6">
        <f>IF(COUNTA(A357:F357)=0,"",IF(AND(A357&lt;&gt;"",E357&lt;&gt;""),"OK","ERRO: faltam "&amp;IF(A357="","CNPJ; ","")&amp;IF(E357="","Novo gerente; ","")))</f>
      </c>
      <c r="K357" s="6">
        <f>IF(COUNTA(A357:F357)=0,"",IF(AND(LEFT(H357,4)&lt;&gt;"ERRO",I357="OK",J357="OK"),"OK","REVISAR"))</f>
      </c>
    </row>
    <row r="358">
      <c r="A358" s="5"/>
      <c r="B358" s="4"/>
      <c r="C358" s="4"/>
      <c r="D358" s="4"/>
      <c r="E358" s="5"/>
      <c r="F358" s="4"/>
      <c r="G358" s="6">
        <f>IF(A358="","",SUBSTITUTE(SUBSTITUTE(SUBSTITUTE(SUBSTITUTE(SUBSTITUTE(SUBSTITUTE(SUBSTITUTE(TRIM(A358),".",""),"/",""),"-","")," ",""),"(",""),")",""),"+",""))</f>
      </c>
      <c r="H358" s="6">
        <f>IF(G358="","",IF(LEN(G358)&lt;&gt;14,"ERRO: "&amp;LEN(G358)&amp;" dígitos",IF(NOT(ISNUMBER(VALUE(G358))),"ERRO: não numérico",IF(AND(VALUE(MID(G358,13,1))=IF(MOD(SUMPRODUCT(--MID(G358,{1,2,3,4,5,6,7,8,9,10,11,12},1),{5,4,3,2,9,8,7,6,5,4,3,2}),11)&lt;2,0,11-MOD(SUMPRODUCT(--MID(G358,{1,2,3,4,5,6,7,8,9,10,11,12},1),{5,4,3,2,9,8,7,6,5,4,3,2}),11)),VALUE(MID(G358,14,1))=IF(MOD(SUMPRODUCT(--MID(G358,{1,2,3,4,5,6,7,8,9,10,11,12,13},1),{6,5,4,3,2,9,8,7,6,5,4,3,2}),11)&lt;2,0,11-MOD(SUMPRODUCT(--MID(G358,{1,2,3,4,5,6,7,8,9,10,11,12,13},1),{6,5,4,3,2,9,8,7,6,5,4,3,2}),11))),"OK","AVISO: dígito verificador (conferir na org)"))))</f>
      </c>
      <c r="I358" s="6">
        <f>IF(G358="","",IF(COUNTIF($G$2:$G$2001,G358)&gt;1,"DUPLICADO","OK"))</f>
      </c>
      <c r="J358" s="6">
        <f>IF(COUNTA(A358:F358)=0,"",IF(AND(A358&lt;&gt;"",E358&lt;&gt;""),"OK","ERRO: faltam "&amp;IF(A358="","CNPJ; ","")&amp;IF(E358="","Novo gerente; ","")))</f>
      </c>
      <c r="K358" s="6">
        <f>IF(COUNTA(A358:F358)=0,"",IF(AND(LEFT(H358,4)&lt;&gt;"ERRO",I358="OK",J358="OK"),"OK","REVISAR"))</f>
      </c>
    </row>
    <row r="359">
      <c r="A359" s="5"/>
      <c r="B359" s="4"/>
      <c r="C359" s="4"/>
      <c r="D359" s="4"/>
      <c r="E359" s="5"/>
      <c r="F359" s="4"/>
      <c r="G359" s="6">
        <f>IF(A359="","",SUBSTITUTE(SUBSTITUTE(SUBSTITUTE(SUBSTITUTE(SUBSTITUTE(SUBSTITUTE(SUBSTITUTE(TRIM(A359),".",""),"/",""),"-","")," ",""),"(",""),")",""),"+",""))</f>
      </c>
      <c r="H359" s="6">
        <f>IF(G359="","",IF(LEN(G359)&lt;&gt;14,"ERRO: "&amp;LEN(G359)&amp;" dígitos",IF(NOT(ISNUMBER(VALUE(G359))),"ERRO: não numérico",IF(AND(VALUE(MID(G359,13,1))=IF(MOD(SUMPRODUCT(--MID(G359,{1,2,3,4,5,6,7,8,9,10,11,12},1),{5,4,3,2,9,8,7,6,5,4,3,2}),11)&lt;2,0,11-MOD(SUMPRODUCT(--MID(G359,{1,2,3,4,5,6,7,8,9,10,11,12},1),{5,4,3,2,9,8,7,6,5,4,3,2}),11)),VALUE(MID(G359,14,1))=IF(MOD(SUMPRODUCT(--MID(G359,{1,2,3,4,5,6,7,8,9,10,11,12,13},1),{6,5,4,3,2,9,8,7,6,5,4,3,2}),11)&lt;2,0,11-MOD(SUMPRODUCT(--MID(G359,{1,2,3,4,5,6,7,8,9,10,11,12,13},1),{6,5,4,3,2,9,8,7,6,5,4,3,2}),11))),"OK","AVISO: dígito verificador (conferir na org)"))))</f>
      </c>
      <c r="I359" s="6">
        <f>IF(G359="","",IF(COUNTIF($G$2:$G$2001,G359)&gt;1,"DUPLICADO","OK"))</f>
      </c>
      <c r="J359" s="6">
        <f>IF(COUNTA(A359:F359)=0,"",IF(AND(A359&lt;&gt;"",E359&lt;&gt;""),"OK","ERRO: faltam "&amp;IF(A359="","CNPJ; ","")&amp;IF(E359="","Novo gerente; ","")))</f>
      </c>
      <c r="K359" s="6">
        <f>IF(COUNTA(A359:F359)=0,"",IF(AND(LEFT(H359,4)&lt;&gt;"ERRO",I359="OK",J359="OK"),"OK","REVISAR"))</f>
      </c>
    </row>
    <row r="360">
      <c r="A360" s="5"/>
      <c r="B360" s="4"/>
      <c r="C360" s="4"/>
      <c r="D360" s="4"/>
      <c r="E360" s="5"/>
      <c r="F360" s="4"/>
      <c r="G360" s="6">
        <f>IF(A360="","",SUBSTITUTE(SUBSTITUTE(SUBSTITUTE(SUBSTITUTE(SUBSTITUTE(SUBSTITUTE(SUBSTITUTE(TRIM(A360),".",""),"/",""),"-","")," ",""),"(",""),")",""),"+",""))</f>
      </c>
      <c r="H360" s="6">
        <f>IF(G360="","",IF(LEN(G360)&lt;&gt;14,"ERRO: "&amp;LEN(G360)&amp;" dígitos",IF(NOT(ISNUMBER(VALUE(G360))),"ERRO: não numérico",IF(AND(VALUE(MID(G360,13,1))=IF(MOD(SUMPRODUCT(--MID(G360,{1,2,3,4,5,6,7,8,9,10,11,12},1),{5,4,3,2,9,8,7,6,5,4,3,2}),11)&lt;2,0,11-MOD(SUMPRODUCT(--MID(G360,{1,2,3,4,5,6,7,8,9,10,11,12},1),{5,4,3,2,9,8,7,6,5,4,3,2}),11)),VALUE(MID(G360,14,1))=IF(MOD(SUMPRODUCT(--MID(G360,{1,2,3,4,5,6,7,8,9,10,11,12,13},1),{6,5,4,3,2,9,8,7,6,5,4,3,2}),11)&lt;2,0,11-MOD(SUMPRODUCT(--MID(G360,{1,2,3,4,5,6,7,8,9,10,11,12,13},1),{6,5,4,3,2,9,8,7,6,5,4,3,2}),11))),"OK","AVISO: dígito verificador (conferir na org)"))))</f>
      </c>
      <c r="I360" s="6">
        <f>IF(G360="","",IF(COUNTIF($G$2:$G$2001,G360)&gt;1,"DUPLICADO","OK"))</f>
      </c>
      <c r="J360" s="6">
        <f>IF(COUNTA(A360:F360)=0,"",IF(AND(A360&lt;&gt;"",E360&lt;&gt;""),"OK","ERRO: faltam "&amp;IF(A360="","CNPJ; ","")&amp;IF(E360="","Novo gerente; ","")))</f>
      </c>
      <c r="K360" s="6">
        <f>IF(COUNTA(A360:F360)=0,"",IF(AND(LEFT(H360,4)&lt;&gt;"ERRO",I360="OK",J360="OK"),"OK","REVISAR"))</f>
      </c>
    </row>
    <row r="361">
      <c r="A361" s="5"/>
      <c r="B361" s="4"/>
      <c r="C361" s="4"/>
      <c r="D361" s="4"/>
      <c r="E361" s="5"/>
      <c r="F361" s="4"/>
      <c r="G361" s="6">
        <f>IF(A361="","",SUBSTITUTE(SUBSTITUTE(SUBSTITUTE(SUBSTITUTE(SUBSTITUTE(SUBSTITUTE(SUBSTITUTE(TRIM(A361),".",""),"/",""),"-","")," ",""),"(",""),")",""),"+",""))</f>
      </c>
      <c r="H361" s="6">
        <f>IF(G361="","",IF(LEN(G361)&lt;&gt;14,"ERRO: "&amp;LEN(G361)&amp;" dígitos",IF(NOT(ISNUMBER(VALUE(G361))),"ERRO: não numérico",IF(AND(VALUE(MID(G361,13,1))=IF(MOD(SUMPRODUCT(--MID(G361,{1,2,3,4,5,6,7,8,9,10,11,12},1),{5,4,3,2,9,8,7,6,5,4,3,2}),11)&lt;2,0,11-MOD(SUMPRODUCT(--MID(G361,{1,2,3,4,5,6,7,8,9,10,11,12},1),{5,4,3,2,9,8,7,6,5,4,3,2}),11)),VALUE(MID(G361,14,1))=IF(MOD(SUMPRODUCT(--MID(G361,{1,2,3,4,5,6,7,8,9,10,11,12,13},1),{6,5,4,3,2,9,8,7,6,5,4,3,2}),11)&lt;2,0,11-MOD(SUMPRODUCT(--MID(G361,{1,2,3,4,5,6,7,8,9,10,11,12,13},1),{6,5,4,3,2,9,8,7,6,5,4,3,2}),11))),"OK","AVISO: dígito verificador (conferir na org)"))))</f>
      </c>
      <c r="I361" s="6">
        <f>IF(G361="","",IF(COUNTIF($G$2:$G$2001,G361)&gt;1,"DUPLICADO","OK"))</f>
      </c>
      <c r="J361" s="6">
        <f>IF(COUNTA(A361:F361)=0,"",IF(AND(A361&lt;&gt;"",E361&lt;&gt;""),"OK","ERRO: faltam "&amp;IF(A361="","CNPJ; ","")&amp;IF(E361="","Novo gerente; ","")))</f>
      </c>
      <c r="K361" s="6">
        <f>IF(COUNTA(A361:F361)=0,"",IF(AND(LEFT(H361,4)&lt;&gt;"ERRO",I361="OK",J361="OK"),"OK","REVISAR"))</f>
      </c>
    </row>
    <row r="362">
      <c r="A362" s="5"/>
      <c r="B362" s="4"/>
      <c r="C362" s="4"/>
      <c r="D362" s="4"/>
      <c r="E362" s="5"/>
      <c r="F362" s="4"/>
      <c r="G362" s="6">
        <f>IF(A362="","",SUBSTITUTE(SUBSTITUTE(SUBSTITUTE(SUBSTITUTE(SUBSTITUTE(SUBSTITUTE(SUBSTITUTE(TRIM(A362),".",""),"/",""),"-","")," ",""),"(",""),")",""),"+",""))</f>
      </c>
      <c r="H362" s="6">
        <f>IF(G362="","",IF(LEN(G362)&lt;&gt;14,"ERRO: "&amp;LEN(G362)&amp;" dígitos",IF(NOT(ISNUMBER(VALUE(G362))),"ERRO: não numérico",IF(AND(VALUE(MID(G362,13,1))=IF(MOD(SUMPRODUCT(--MID(G362,{1,2,3,4,5,6,7,8,9,10,11,12},1),{5,4,3,2,9,8,7,6,5,4,3,2}),11)&lt;2,0,11-MOD(SUMPRODUCT(--MID(G362,{1,2,3,4,5,6,7,8,9,10,11,12},1),{5,4,3,2,9,8,7,6,5,4,3,2}),11)),VALUE(MID(G362,14,1))=IF(MOD(SUMPRODUCT(--MID(G362,{1,2,3,4,5,6,7,8,9,10,11,12,13},1),{6,5,4,3,2,9,8,7,6,5,4,3,2}),11)&lt;2,0,11-MOD(SUMPRODUCT(--MID(G362,{1,2,3,4,5,6,7,8,9,10,11,12,13},1),{6,5,4,3,2,9,8,7,6,5,4,3,2}),11))),"OK","AVISO: dígito verificador (conferir na org)"))))</f>
      </c>
      <c r="I362" s="6">
        <f>IF(G362="","",IF(COUNTIF($G$2:$G$2001,G362)&gt;1,"DUPLICADO","OK"))</f>
      </c>
      <c r="J362" s="6">
        <f>IF(COUNTA(A362:F362)=0,"",IF(AND(A362&lt;&gt;"",E362&lt;&gt;""),"OK","ERRO: faltam "&amp;IF(A362="","CNPJ; ","")&amp;IF(E362="","Novo gerente; ","")))</f>
      </c>
      <c r="K362" s="6">
        <f>IF(COUNTA(A362:F362)=0,"",IF(AND(LEFT(H362,4)&lt;&gt;"ERRO",I362="OK",J362="OK"),"OK","REVISAR"))</f>
      </c>
    </row>
    <row r="363">
      <c r="A363" s="5"/>
      <c r="B363" s="4"/>
      <c r="C363" s="4"/>
      <c r="D363" s="4"/>
      <c r="E363" s="5"/>
      <c r="F363" s="4"/>
      <c r="G363" s="6">
        <f>IF(A363="","",SUBSTITUTE(SUBSTITUTE(SUBSTITUTE(SUBSTITUTE(SUBSTITUTE(SUBSTITUTE(SUBSTITUTE(TRIM(A363),".",""),"/",""),"-","")," ",""),"(",""),")",""),"+",""))</f>
      </c>
      <c r="H363" s="6">
        <f>IF(G363="","",IF(LEN(G363)&lt;&gt;14,"ERRO: "&amp;LEN(G363)&amp;" dígitos",IF(NOT(ISNUMBER(VALUE(G363))),"ERRO: não numérico",IF(AND(VALUE(MID(G363,13,1))=IF(MOD(SUMPRODUCT(--MID(G363,{1,2,3,4,5,6,7,8,9,10,11,12},1),{5,4,3,2,9,8,7,6,5,4,3,2}),11)&lt;2,0,11-MOD(SUMPRODUCT(--MID(G363,{1,2,3,4,5,6,7,8,9,10,11,12},1),{5,4,3,2,9,8,7,6,5,4,3,2}),11)),VALUE(MID(G363,14,1))=IF(MOD(SUMPRODUCT(--MID(G363,{1,2,3,4,5,6,7,8,9,10,11,12,13},1),{6,5,4,3,2,9,8,7,6,5,4,3,2}),11)&lt;2,0,11-MOD(SUMPRODUCT(--MID(G363,{1,2,3,4,5,6,7,8,9,10,11,12,13},1),{6,5,4,3,2,9,8,7,6,5,4,3,2}),11))),"OK","AVISO: dígito verificador (conferir na org)"))))</f>
      </c>
      <c r="I363" s="6">
        <f>IF(G363="","",IF(COUNTIF($G$2:$G$2001,G363)&gt;1,"DUPLICADO","OK"))</f>
      </c>
      <c r="J363" s="6">
        <f>IF(COUNTA(A363:F363)=0,"",IF(AND(A363&lt;&gt;"",E363&lt;&gt;""),"OK","ERRO: faltam "&amp;IF(A363="","CNPJ; ","")&amp;IF(E363="","Novo gerente; ","")))</f>
      </c>
      <c r="K363" s="6">
        <f>IF(COUNTA(A363:F363)=0,"",IF(AND(LEFT(H363,4)&lt;&gt;"ERRO",I363="OK",J363="OK"),"OK","REVISAR"))</f>
      </c>
    </row>
    <row r="364">
      <c r="A364" s="5"/>
      <c r="B364" s="4"/>
      <c r="C364" s="4"/>
      <c r="D364" s="4"/>
      <c r="E364" s="5"/>
      <c r="F364" s="4"/>
      <c r="G364" s="6">
        <f>IF(A364="","",SUBSTITUTE(SUBSTITUTE(SUBSTITUTE(SUBSTITUTE(SUBSTITUTE(SUBSTITUTE(SUBSTITUTE(TRIM(A364),".",""),"/",""),"-","")," ",""),"(",""),")",""),"+",""))</f>
      </c>
      <c r="H364" s="6">
        <f>IF(G364="","",IF(LEN(G364)&lt;&gt;14,"ERRO: "&amp;LEN(G364)&amp;" dígitos",IF(NOT(ISNUMBER(VALUE(G364))),"ERRO: não numérico",IF(AND(VALUE(MID(G364,13,1))=IF(MOD(SUMPRODUCT(--MID(G364,{1,2,3,4,5,6,7,8,9,10,11,12},1),{5,4,3,2,9,8,7,6,5,4,3,2}),11)&lt;2,0,11-MOD(SUMPRODUCT(--MID(G364,{1,2,3,4,5,6,7,8,9,10,11,12},1),{5,4,3,2,9,8,7,6,5,4,3,2}),11)),VALUE(MID(G364,14,1))=IF(MOD(SUMPRODUCT(--MID(G364,{1,2,3,4,5,6,7,8,9,10,11,12,13},1),{6,5,4,3,2,9,8,7,6,5,4,3,2}),11)&lt;2,0,11-MOD(SUMPRODUCT(--MID(G364,{1,2,3,4,5,6,7,8,9,10,11,12,13},1),{6,5,4,3,2,9,8,7,6,5,4,3,2}),11))),"OK","AVISO: dígito verificador (conferir na org)"))))</f>
      </c>
      <c r="I364" s="6">
        <f>IF(G364="","",IF(COUNTIF($G$2:$G$2001,G364)&gt;1,"DUPLICADO","OK"))</f>
      </c>
      <c r="J364" s="6">
        <f>IF(COUNTA(A364:F364)=0,"",IF(AND(A364&lt;&gt;"",E364&lt;&gt;""),"OK","ERRO: faltam "&amp;IF(A364="","CNPJ; ","")&amp;IF(E364="","Novo gerente; ","")))</f>
      </c>
      <c r="K364" s="6">
        <f>IF(COUNTA(A364:F364)=0,"",IF(AND(LEFT(H364,4)&lt;&gt;"ERRO",I364="OK",J364="OK"),"OK","REVISAR"))</f>
      </c>
    </row>
    <row r="365">
      <c r="A365" s="5"/>
      <c r="B365" s="4"/>
      <c r="C365" s="4"/>
      <c r="D365" s="4"/>
      <c r="E365" s="5"/>
      <c r="F365" s="4"/>
      <c r="G365" s="6">
        <f>IF(A365="","",SUBSTITUTE(SUBSTITUTE(SUBSTITUTE(SUBSTITUTE(SUBSTITUTE(SUBSTITUTE(SUBSTITUTE(TRIM(A365),".",""),"/",""),"-","")," ",""),"(",""),")",""),"+",""))</f>
      </c>
      <c r="H365" s="6">
        <f>IF(G365="","",IF(LEN(G365)&lt;&gt;14,"ERRO: "&amp;LEN(G365)&amp;" dígitos",IF(NOT(ISNUMBER(VALUE(G365))),"ERRO: não numérico",IF(AND(VALUE(MID(G365,13,1))=IF(MOD(SUMPRODUCT(--MID(G365,{1,2,3,4,5,6,7,8,9,10,11,12},1),{5,4,3,2,9,8,7,6,5,4,3,2}),11)&lt;2,0,11-MOD(SUMPRODUCT(--MID(G365,{1,2,3,4,5,6,7,8,9,10,11,12},1),{5,4,3,2,9,8,7,6,5,4,3,2}),11)),VALUE(MID(G365,14,1))=IF(MOD(SUMPRODUCT(--MID(G365,{1,2,3,4,5,6,7,8,9,10,11,12,13},1),{6,5,4,3,2,9,8,7,6,5,4,3,2}),11)&lt;2,0,11-MOD(SUMPRODUCT(--MID(G365,{1,2,3,4,5,6,7,8,9,10,11,12,13},1),{6,5,4,3,2,9,8,7,6,5,4,3,2}),11))),"OK","AVISO: dígito verificador (conferir na org)"))))</f>
      </c>
      <c r="I365" s="6">
        <f>IF(G365="","",IF(COUNTIF($G$2:$G$2001,G365)&gt;1,"DUPLICADO","OK"))</f>
      </c>
      <c r="J365" s="6">
        <f>IF(COUNTA(A365:F365)=0,"",IF(AND(A365&lt;&gt;"",E365&lt;&gt;""),"OK","ERRO: faltam "&amp;IF(A365="","CNPJ; ","")&amp;IF(E365="","Novo gerente; ","")))</f>
      </c>
      <c r="K365" s="6">
        <f>IF(COUNTA(A365:F365)=0,"",IF(AND(LEFT(H365,4)&lt;&gt;"ERRO",I365="OK",J365="OK"),"OK","REVISAR"))</f>
      </c>
    </row>
    <row r="366">
      <c r="A366" s="5"/>
      <c r="B366" s="4"/>
      <c r="C366" s="4"/>
      <c r="D366" s="4"/>
      <c r="E366" s="5"/>
      <c r="F366" s="4"/>
      <c r="G366" s="6">
        <f>IF(A366="","",SUBSTITUTE(SUBSTITUTE(SUBSTITUTE(SUBSTITUTE(SUBSTITUTE(SUBSTITUTE(SUBSTITUTE(TRIM(A366),".",""),"/",""),"-","")," ",""),"(",""),")",""),"+",""))</f>
      </c>
      <c r="H366" s="6">
        <f>IF(G366="","",IF(LEN(G366)&lt;&gt;14,"ERRO: "&amp;LEN(G366)&amp;" dígitos",IF(NOT(ISNUMBER(VALUE(G366))),"ERRO: não numérico",IF(AND(VALUE(MID(G366,13,1))=IF(MOD(SUMPRODUCT(--MID(G366,{1,2,3,4,5,6,7,8,9,10,11,12},1),{5,4,3,2,9,8,7,6,5,4,3,2}),11)&lt;2,0,11-MOD(SUMPRODUCT(--MID(G366,{1,2,3,4,5,6,7,8,9,10,11,12},1),{5,4,3,2,9,8,7,6,5,4,3,2}),11)),VALUE(MID(G366,14,1))=IF(MOD(SUMPRODUCT(--MID(G366,{1,2,3,4,5,6,7,8,9,10,11,12,13},1),{6,5,4,3,2,9,8,7,6,5,4,3,2}),11)&lt;2,0,11-MOD(SUMPRODUCT(--MID(G366,{1,2,3,4,5,6,7,8,9,10,11,12,13},1),{6,5,4,3,2,9,8,7,6,5,4,3,2}),11))),"OK","AVISO: dígito verificador (conferir na org)"))))</f>
      </c>
      <c r="I366" s="6">
        <f>IF(G366="","",IF(COUNTIF($G$2:$G$2001,G366)&gt;1,"DUPLICADO","OK"))</f>
      </c>
      <c r="J366" s="6">
        <f>IF(COUNTA(A366:F366)=0,"",IF(AND(A366&lt;&gt;"",E366&lt;&gt;""),"OK","ERRO: faltam "&amp;IF(A366="","CNPJ; ","")&amp;IF(E366="","Novo gerente; ","")))</f>
      </c>
      <c r="K366" s="6">
        <f>IF(COUNTA(A366:F366)=0,"",IF(AND(LEFT(H366,4)&lt;&gt;"ERRO",I366="OK",J366="OK"),"OK","REVISAR"))</f>
      </c>
    </row>
    <row r="367">
      <c r="A367" s="5"/>
      <c r="B367" s="4"/>
      <c r="C367" s="4"/>
      <c r="D367" s="4"/>
      <c r="E367" s="5"/>
      <c r="F367" s="4"/>
      <c r="G367" s="6">
        <f>IF(A367="","",SUBSTITUTE(SUBSTITUTE(SUBSTITUTE(SUBSTITUTE(SUBSTITUTE(SUBSTITUTE(SUBSTITUTE(TRIM(A367),".",""),"/",""),"-","")," ",""),"(",""),")",""),"+",""))</f>
      </c>
      <c r="H367" s="6">
        <f>IF(G367="","",IF(LEN(G367)&lt;&gt;14,"ERRO: "&amp;LEN(G367)&amp;" dígitos",IF(NOT(ISNUMBER(VALUE(G367))),"ERRO: não numérico",IF(AND(VALUE(MID(G367,13,1))=IF(MOD(SUMPRODUCT(--MID(G367,{1,2,3,4,5,6,7,8,9,10,11,12},1),{5,4,3,2,9,8,7,6,5,4,3,2}),11)&lt;2,0,11-MOD(SUMPRODUCT(--MID(G367,{1,2,3,4,5,6,7,8,9,10,11,12},1),{5,4,3,2,9,8,7,6,5,4,3,2}),11)),VALUE(MID(G367,14,1))=IF(MOD(SUMPRODUCT(--MID(G367,{1,2,3,4,5,6,7,8,9,10,11,12,13},1),{6,5,4,3,2,9,8,7,6,5,4,3,2}),11)&lt;2,0,11-MOD(SUMPRODUCT(--MID(G367,{1,2,3,4,5,6,7,8,9,10,11,12,13},1),{6,5,4,3,2,9,8,7,6,5,4,3,2}),11))),"OK","AVISO: dígito verificador (conferir na org)"))))</f>
      </c>
      <c r="I367" s="6">
        <f>IF(G367="","",IF(COUNTIF($G$2:$G$2001,G367)&gt;1,"DUPLICADO","OK"))</f>
      </c>
      <c r="J367" s="6">
        <f>IF(COUNTA(A367:F367)=0,"",IF(AND(A367&lt;&gt;"",E367&lt;&gt;""),"OK","ERRO: faltam "&amp;IF(A367="","CNPJ; ","")&amp;IF(E367="","Novo gerente; ","")))</f>
      </c>
      <c r="K367" s="6">
        <f>IF(COUNTA(A367:F367)=0,"",IF(AND(LEFT(H367,4)&lt;&gt;"ERRO",I367="OK",J367="OK"),"OK","REVISAR"))</f>
      </c>
    </row>
    <row r="368">
      <c r="A368" s="5"/>
      <c r="B368" s="4"/>
      <c r="C368" s="4"/>
      <c r="D368" s="4"/>
      <c r="E368" s="5"/>
      <c r="F368" s="4"/>
      <c r="G368" s="6">
        <f>IF(A368="","",SUBSTITUTE(SUBSTITUTE(SUBSTITUTE(SUBSTITUTE(SUBSTITUTE(SUBSTITUTE(SUBSTITUTE(TRIM(A368),".",""),"/",""),"-","")," ",""),"(",""),")",""),"+",""))</f>
      </c>
      <c r="H368" s="6">
        <f>IF(G368="","",IF(LEN(G368)&lt;&gt;14,"ERRO: "&amp;LEN(G368)&amp;" dígitos",IF(NOT(ISNUMBER(VALUE(G368))),"ERRO: não numérico",IF(AND(VALUE(MID(G368,13,1))=IF(MOD(SUMPRODUCT(--MID(G368,{1,2,3,4,5,6,7,8,9,10,11,12},1),{5,4,3,2,9,8,7,6,5,4,3,2}),11)&lt;2,0,11-MOD(SUMPRODUCT(--MID(G368,{1,2,3,4,5,6,7,8,9,10,11,12},1),{5,4,3,2,9,8,7,6,5,4,3,2}),11)),VALUE(MID(G368,14,1))=IF(MOD(SUMPRODUCT(--MID(G368,{1,2,3,4,5,6,7,8,9,10,11,12,13},1),{6,5,4,3,2,9,8,7,6,5,4,3,2}),11)&lt;2,0,11-MOD(SUMPRODUCT(--MID(G368,{1,2,3,4,5,6,7,8,9,10,11,12,13},1),{6,5,4,3,2,9,8,7,6,5,4,3,2}),11))),"OK","AVISO: dígito verificador (conferir na org)"))))</f>
      </c>
      <c r="I368" s="6">
        <f>IF(G368="","",IF(COUNTIF($G$2:$G$2001,G368)&gt;1,"DUPLICADO","OK"))</f>
      </c>
      <c r="J368" s="6">
        <f>IF(COUNTA(A368:F368)=0,"",IF(AND(A368&lt;&gt;"",E368&lt;&gt;""),"OK","ERRO: faltam "&amp;IF(A368="","CNPJ; ","")&amp;IF(E368="","Novo gerente; ","")))</f>
      </c>
      <c r="K368" s="6">
        <f>IF(COUNTA(A368:F368)=0,"",IF(AND(LEFT(H368,4)&lt;&gt;"ERRO",I368="OK",J368="OK"),"OK","REVISAR"))</f>
      </c>
    </row>
    <row r="369">
      <c r="A369" s="5"/>
      <c r="B369" s="4"/>
      <c r="C369" s="4"/>
      <c r="D369" s="4"/>
      <c r="E369" s="5"/>
      <c r="F369" s="4"/>
      <c r="G369" s="6">
        <f>IF(A369="","",SUBSTITUTE(SUBSTITUTE(SUBSTITUTE(SUBSTITUTE(SUBSTITUTE(SUBSTITUTE(SUBSTITUTE(TRIM(A369),".",""),"/",""),"-","")," ",""),"(",""),")",""),"+",""))</f>
      </c>
      <c r="H369" s="6">
        <f>IF(G369="","",IF(LEN(G369)&lt;&gt;14,"ERRO: "&amp;LEN(G369)&amp;" dígitos",IF(NOT(ISNUMBER(VALUE(G369))),"ERRO: não numérico",IF(AND(VALUE(MID(G369,13,1))=IF(MOD(SUMPRODUCT(--MID(G369,{1,2,3,4,5,6,7,8,9,10,11,12},1),{5,4,3,2,9,8,7,6,5,4,3,2}),11)&lt;2,0,11-MOD(SUMPRODUCT(--MID(G369,{1,2,3,4,5,6,7,8,9,10,11,12},1),{5,4,3,2,9,8,7,6,5,4,3,2}),11)),VALUE(MID(G369,14,1))=IF(MOD(SUMPRODUCT(--MID(G369,{1,2,3,4,5,6,7,8,9,10,11,12,13},1),{6,5,4,3,2,9,8,7,6,5,4,3,2}),11)&lt;2,0,11-MOD(SUMPRODUCT(--MID(G369,{1,2,3,4,5,6,7,8,9,10,11,12,13},1),{6,5,4,3,2,9,8,7,6,5,4,3,2}),11))),"OK","AVISO: dígito verificador (conferir na org)"))))</f>
      </c>
      <c r="I369" s="6">
        <f>IF(G369="","",IF(COUNTIF($G$2:$G$2001,G369)&gt;1,"DUPLICADO","OK"))</f>
      </c>
      <c r="J369" s="6">
        <f>IF(COUNTA(A369:F369)=0,"",IF(AND(A369&lt;&gt;"",E369&lt;&gt;""),"OK","ERRO: faltam "&amp;IF(A369="","CNPJ; ","")&amp;IF(E369="","Novo gerente; ","")))</f>
      </c>
      <c r="K369" s="6">
        <f>IF(COUNTA(A369:F369)=0,"",IF(AND(LEFT(H369,4)&lt;&gt;"ERRO",I369="OK",J369="OK"),"OK","REVISAR"))</f>
      </c>
    </row>
    <row r="370">
      <c r="A370" s="5"/>
      <c r="B370" s="4"/>
      <c r="C370" s="4"/>
      <c r="D370" s="4"/>
      <c r="E370" s="5"/>
      <c r="F370" s="4"/>
      <c r="G370" s="6">
        <f>IF(A370="","",SUBSTITUTE(SUBSTITUTE(SUBSTITUTE(SUBSTITUTE(SUBSTITUTE(SUBSTITUTE(SUBSTITUTE(TRIM(A370),".",""),"/",""),"-","")," ",""),"(",""),")",""),"+",""))</f>
      </c>
      <c r="H370" s="6">
        <f>IF(G370="","",IF(LEN(G370)&lt;&gt;14,"ERRO: "&amp;LEN(G370)&amp;" dígitos",IF(NOT(ISNUMBER(VALUE(G370))),"ERRO: não numérico",IF(AND(VALUE(MID(G370,13,1))=IF(MOD(SUMPRODUCT(--MID(G370,{1,2,3,4,5,6,7,8,9,10,11,12},1),{5,4,3,2,9,8,7,6,5,4,3,2}),11)&lt;2,0,11-MOD(SUMPRODUCT(--MID(G370,{1,2,3,4,5,6,7,8,9,10,11,12},1),{5,4,3,2,9,8,7,6,5,4,3,2}),11)),VALUE(MID(G370,14,1))=IF(MOD(SUMPRODUCT(--MID(G370,{1,2,3,4,5,6,7,8,9,10,11,12,13},1),{6,5,4,3,2,9,8,7,6,5,4,3,2}),11)&lt;2,0,11-MOD(SUMPRODUCT(--MID(G370,{1,2,3,4,5,6,7,8,9,10,11,12,13},1),{6,5,4,3,2,9,8,7,6,5,4,3,2}),11))),"OK","AVISO: dígito verificador (conferir na org)"))))</f>
      </c>
      <c r="I370" s="6">
        <f>IF(G370="","",IF(COUNTIF($G$2:$G$2001,G370)&gt;1,"DUPLICADO","OK"))</f>
      </c>
      <c r="J370" s="6">
        <f>IF(COUNTA(A370:F370)=0,"",IF(AND(A370&lt;&gt;"",E370&lt;&gt;""),"OK","ERRO: faltam "&amp;IF(A370="","CNPJ; ","")&amp;IF(E370="","Novo gerente; ","")))</f>
      </c>
      <c r="K370" s="6">
        <f>IF(COUNTA(A370:F370)=0,"",IF(AND(LEFT(H370,4)&lt;&gt;"ERRO",I370="OK",J370="OK"),"OK","REVISAR"))</f>
      </c>
    </row>
    <row r="371">
      <c r="A371" s="5"/>
      <c r="B371" s="4"/>
      <c r="C371" s="4"/>
      <c r="D371" s="4"/>
      <c r="E371" s="5"/>
      <c r="F371" s="4"/>
      <c r="G371" s="6">
        <f>IF(A371="","",SUBSTITUTE(SUBSTITUTE(SUBSTITUTE(SUBSTITUTE(SUBSTITUTE(SUBSTITUTE(SUBSTITUTE(TRIM(A371),".",""),"/",""),"-","")," ",""),"(",""),")",""),"+",""))</f>
      </c>
      <c r="H371" s="6">
        <f>IF(G371="","",IF(LEN(G371)&lt;&gt;14,"ERRO: "&amp;LEN(G371)&amp;" dígitos",IF(NOT(ISNUMBER(VALUE(G371))),"ERRO: não numérico",IF(AND(VALUE(MID(G371,13,1))=IF(MOD(SUMPRODUCT(--MID(G371,{1,2,3,4,5,6,7,8,9,10,11,12},1),{5,4,3,2,9,8,7,6,5,4,3,2}),11)&lt;2,0,11-MOD(SUMPRODUCT(--MID(G371,{1,2,3,4,5,6,7,8,9,10,11,12},1),{5,4,3,2,9,8,7,6,5,4,3,2}),11)),VALUE(MID(G371,14,1))=IF(MOD(SUMPRODUCT(--MID(G371,{1,2,3,4,5,6,7,8,9,10,11,12,13},1),{6,5,4,3,2,9,8,7,6,5,4,3,2}),11)&lt;2,0,11-MOD(SUMPRODUCT(--MID(G371,{1,2,3,4,5,6,7,8,9,10,11,12,13},1),{6,5,4,3,2,9,8,7,6,5,4,3,2}),11))),"OK","AVISO: dígito verificador (conferir na org)"))))</f>
      </c>
      <c r="I371" s="6">
        <f>IF(G371="","",IF(COUNTIF($G$2:$G$2001,G371)&gt;1,"DUPLICADO","OK"))</f>
      </c>
      <c r="J371" s="6">
        <f>IF(COUNTA(A371:F371)=0,"",IF(AND(A371&lt;&gt;"",E371&lt;&gt;""),"OK","ERRO: faltam "&amp;IF(A371="","CNPJ; ","")&amp;IF(E371="","Novo gerente; ","")))</f>
      </c>
      <c r="K371" s="6">
        <f>IF(COUNTA(A371:F371)=0,"",IF(AND(LEFT(H371,4)&lt;&gt;"ERRO",I371="OK",J371="OK"),"OK","REVISAR"))</f>
      </c>
    </row>
    <row r="372">
      <c r="A372" s="5"/>
      <c r="B372" s="4"/>
      <c r="C372" s="4"/>
      <c r="D372" s="4"/>
      <c r="E372" s="5"/>
      <c r="F372" s="4"/>
      <c r="G372" s="6">
        <f>IF(A372="","",SUBSTITUTE(SUBSTITUTE(SUBSTITUTE(SUBSTITUTE(SUBSTITUTE(SUBSTITUTE(SUBSTITUTE(TRIM(A372),".",""),"/",""),"-","")," ",""),"(",""),")",""),"+",""))</f>
      </c>
      <c r="H372" s="6">
        <f>IF(G372="","",IF(LEN(G372)&lt;&gt;14,"ERRO: "&amp;LEN(G372)&amp;" dígitos",IF(NOT(ISNUMBER(VALUE(G372))),"ERRO: não numérico",IF(AND(VALUE(MID(G372,13,1))=IF(MOD(SUMPRODUCT(--MID(G372,{1,2,3,4,5,6,7,8,9,10,11,12},1),{5,4,3,2,9,8,7,6,5,4,3,2}),11)&lt;2,0,11-MOD(SUMPRODUCT(--MID(G372,{1,2,3,4,5,6,7,8,9,10,11,12},1),{5,4,3,2,9,8,7,6,5,4,3,2}),11)),VALUE(MID(G372,14,1))=IF(MOD(SUMPRODUCT(--MID(G372,{1,2,3,4,5,6,7,8,9,10,11,12,13},1),{6,5,4,3,2,9,8,7,6,5,4,3,2}),11)&lt;2,0,11-MOD(SUMPRODUCT(--MID(G372,{1,2,3,4,5,6,7,8,9,10,11,12,13},1),{6,5,4,3,2,9,8,7,6,5,4,3,2}),11))),"OK","AVISO: dígito verificador (conferir na org)"))))</f>
      </c>
      <c r="I372" s="6">
        <f>IF(G372="","",IF(COUNTIF($G$2:$G$2001,G372)&gt;1,"DUPLICADO","OK"))</f>
      </c>
      <c r="J372" s="6">
        <f>IF(COUNTA(A372:F372)=0,"",IF(AND(A372&lt;&gt;"",E372&lt;&gt;""),"OK","ERRO: faltam "&amp;IF(A372="","CNPJ; ","")&amp;IF(E372="","Novo gerente; ","")))</f>
      </c>
      <c r="K372" s="6">
        <f>IF(COUNTA(A372:F372)=0,"",IF(AND(LEFT(H372,4)&lt;&gt;"ERRO",I372="OK",J372="OK"),"OK","REVISAR"))</f>
      </c>
    </row>
    <row r="373">
      <c r="A373" s="5"/>
      <c r="B373" s="4"/>
      <c r="C373" s="4"/>
      <c r="D373" s="4"/>
      <c r="E373" s="5"/>
      <c r="F373" s="4"/>
      <c r="G373" s="6">
        <f>IF(A373="","",SUBSTITUTE(SUBSTITUTE(SUBSTITUTE(SUBSTITUTE(SUBSTITUTE(SUBSTITUTE(SUBSTITUTE(TRIM(A373),".",""),"/",""),"-","")," ",""),"(",""),")",""),"+",""))</f>
      </c>
      <c r="H373" s="6">
        <f>IF(G373="","",IF(LEN(G373)&lt;&gt;14,"ERRO: "&amp;LEN(G373)&amp;" dígitos",IF(NOT(ISNUMBER(VALUE(G373))),"ERRO: não numérico",IF(AND(VALUE(MID(G373,13,1))=IF(MOD(SUMPRODUCT(--MID(G373,{1,2,3,4,5,6,7,8,9,10,11,12},1),{5,4,3,2,9,8,7,6,5,4,3,2}),11)&lt;2,0,11-MOD(SUMPRODUCT(--MID(G373,{1,2,3,4,5,6,7,8,9,10,11,12},1),{5,4,3,2,9,8,7,6,5,4,3,2}),11)),VALUE(MID(G373,14,1))=IF(MOD(SUMPRODUCT(--MID(G373,{1,2,3,4,5,6,7,8,9,10,11,12,13},1),{6,5,4,3,2,9,8,7,6,5,4,3,2}),11)&lt;2,0,11-MOD(SUMPRODUCT(--MID(G373,{1,2,3,4,5,6,7,8,9,10,11,12,13},1),{6,5,4,3,2,9,8,7,6,5,4,3,2}),11))),"OK","AVISO: dígito verificador (conferir na org)"))))</f>
      </c>
      <c r="I373" s="6">
        <f>IF(G373="","",IF(COUNTIF($G$2:$G$2001,G373)&gt;1,"DUPLICADO","OK"))</f>
      </c>
      <c r="J373" s="6">
        <f>IF(COUNTA(A373:F373)=0,"",IF(AND(A373&lt;&gt;"",E373&lt;&gt;""),"OK","ERRO: faltam "&amp;IF(A373="","CNPJ; ","")&amp;IF(E373="","Novo gerente; ","")))</f>
      </c>
      <c r="K373" s="6">
        <f>IF(COUNTA(A373:F373)=0,"",IF(AND(LEFT(H373,4)&lt;&gt;"ERRO",I373="OK",J373="OK"),"OK","REVISAR"))</f>
      </c>
    </row>
    <row r="374">
      <c r="A374" s="5"/>
      <c r="B374" s="4"/>
      <c r="C374" s="4"/>
      <c r="D374" s="4"/>
      <c r="E374" s="5"/>
      <c r="F374" s="4"/>
      <c r="G374" s="6">
        <f>IF(A374="","",SUBSTITUTE(SUBSTITUTE(SUBSTITUTE(SUBSTITUTE(SUBSTITUTE(SUBSTITUTE(SUBSTITUTE(TRIM(A374),".",""),"/",""),"-","")," ",""),"(",""),")",""),"+",""))</f>
      </c>
      <c r="H374" s="6">
        <f>IF(G374="","",IF(LEN(G374)&lt;&gt;14,"ERRO: "&amp;LEN(G374)&amp;" dígitos",IF(NOT(ISNUMBER(VALUE(G374))),"ERRO: não numérico",IF(AND(VALUE(MID(G374,13,1))=IF(MOD(SUMPRODUCT(--MID(G374,{1,2,3,4,5,6,7,8,9,10,11,12},1),{5,4,3,2,9,8,7,6,5,4,3,2}),11)&lt;2,0,11-MOD(SUMPRODUCT(--MID(G374,{1,2,3,4,5,6,7,8,9,10,11,12},1),{5,4,3,2,9,8,7,6,5,4,3,2}),11)),VALUE(MID(G374,14,1))=IF(MOD(SUMPRODUCT(--MID(G374,{1,2,3,4,5,6,7,8,9,10,11,12,13},1),{6,5,4,3,2,9,8,7,6,5,4,3,2}),11)&lt;2,0,11-MOD(SUMPRODUCT(--MID(G374,{1,2,3,4,5,6,7,8,9,10,11,12,13},1),{6,5,4,3,2,9,8,7,6,5,4,3,2}),11))),"OK","AVISO: dígito verificador (conferir na org)"))))</f>
      </c>
      <c r="I374" s="6">
        <f>IF(G374="","",IF(COUNTIF($G$2:$G$2001,G374)&gt;1,"DUPLICADO","OK"))</f>
      </c>
      <c r="J374" s="6">
        <f>IF(COUNTA(A374:F374)=0,"",IF(AND(A374&lt;&gt;"",E374&lt;&gt;""),"OK","ERRO: faltam "&amp;IF(A374="","CNPJ; ","")&amp;IF(E374="","Novo gerente; ","")))</f>
      </c>
      <c r="K374" s="6">
        <f>IF(COUNTA(A374:F374)=0,"",IF(AND(LEFT(H374,4)&lt;&gt;"ERRO",I374="OK",J374="OK"),"OK","REVISAR"))</f>
      </c>
    </row>
    <row r="375">
      <c r="A375" s="5"/>
      <c r="B375" s="4"/>
      <c r="C375" s="4"/>
      <c r="D375" s="4"/>
      <c r="E375" s="5"/>
      <c r="F375" s="4"/>
      <c r="G375" s="6">
        <f>IF(A375="","",SUBSTITUTE(SUBSTITUTE(SUBSTITUTE(SUBSTITUTE(SUBSTITUTE(SUBSTITUTE(SUBSTITUTE(TRIM(A375),".",""),"/",""),"-","")," ",""),"(",""),")",""),"+",""))</f>
      </c>
      <c r="H375" s="6">
        <f>IF(G375="","",IF(LEN(G375)&lt;&gt;14,"ERRO: "&amp;LEN(G375)&amp;" dígitos",IF(NOT(ISNUMBER(VALUE(G375))),"ERRO: não numérico",IF(AND(VALUE(MID(G375,13,1))=IF(MOD(SUMPRODUCT(--MID(G375,{1,2,3,4,5,6,7,8,9,10,11,12},1),{5,4,3,2,9,8,7,6,5,4,3,2}),11)&lt;2,0,11-MOD(SUMPRODUCT(--MID(G375,{1,2,3,4,5,6,7,8,9,10,11,12},1),{5,4,3,2,9,8,7,6,5,4,3,2}),11)),VALUE(MID(G375,14,1))=IF(MOD(SUMPRODUCT(--MID(G375,{1,2,3,4,5,6,7,8,9,10,11,12,13},1),{6,5,4,3,2,9,8,7,6,5,4,3,2}),11)&lt;2,0,11-MOD(SUMPRODUCT(--MID(G375,{1,2,3,4,5,6,7,8,9,10,11,12,13},1),{6,5,4,3,2,9,8,7,6,5,4,3,2}),11))),"OK","AVISO: dígito verificador (conferir na org)"))))</f>
      </c>
      <c r="I375" s="6">
        <f>IF(G375="","",IF(COUNTIF($G$2:$G$2001,G375)&gt;1,"DUPLICADO","OK"))</f>
      </c>
      <c r="J375" s="6">
        <f>IF(COUNTA(A375:F375)=0,"",IF(AND(A375&lt;&gt;"",E375&lt;&gt;""),"OK","ERRO: faltam "&amp;IF(A375="","CNPJ; ","")&amp;IF(E375="","Novo gerente; ","")))</f>
      </c>
      <c r="K375" s="6">
        <f>IF(COUNTA(A375:F375)=0,"",IF(AND(LEFT(H375,4)&lt;&gt;"ERRO",I375="OK",J375="OK"),"OK","REVISAR"))</f>
      </c>
    </row>
    <row r="376">
      <c r="A376" s="5"/>
      <c r="B376" s="4"/>
      <c r="C376" s="4"/>
      <c r="D376" s="4"/>
      <c r="E376" s="5"/>
      <c r="F376" s="4"/>
      <c r="G376" s="6">
        <f>IF(A376="","",SUBSTITUTE(SUBSTITUTE(SUBSTITUTE(SUBSTITUTE(SUBSTITUTE(SUBSTITUTE(SUBSTITUTE(TRIM(A376),".",""),"/",""),"-","")," ",""),"(",""),")",""),"+",""))</f>
      </c>
      <c r="H376" s="6">
        <f>IF(G376="","",IF(LEN(G376)&lt;&gt;14,"ERRO: "&amp;LEN(G376)&amp;" dígitos",IF(NOT(ISNUMBER(VALUE(G376))),"ERRO: não numérico",IF(AND(VALUE(MID(G376,13,1))=IF(MOD(SUMPRODUCT(--MID(G376,{1,2,3,4,5,6,7,8,9,10,11,12},1),{5,4,3,2,9,8,7,6,5,4,3,2}),11)&lt;2,0,11-MOD(SUMPRODUCT(--MID(G376,{1,2,3,4,5,6,7,8,9,10,11,12},1),{5,4,3,2,9,8,7,6,5,4,3,2}),11)),VALUE(MID(G376,14,1))=IF(MOD(SUMPRODUCT(--MID(G376,{1,2,3,4,5,6,7,8,9,10,11,12,13},1),{6,5,4,3,2,9,8,7,6,5,4,3,2}),11)&lt;2,0,11-MOD(SUMPRODUCT(--MID(G376,{1,2,3,4,5,6,7,8,9,10,11,12,13},1),{6,5,4,3,2,9,8,7,6,5,4,3,2}),11))),"OK","AVISO: dígito verificador (conferir na org)"))))</f>
      </c>
      <c r="I376" s="6">
        <f>IF(G376="","",IF(COUNTIF($G$2:$G$2001,G376)&gt;1,"DUPLICADO","OK"))</f>
      </c>
      <c r="J376" s="6">
        <f>IF(COUNTA(A376:F376)=0,"",IF(AND(A376&lt;&gt;"",E376&lt;&gt;""),"OK","ERRO: faltam "&amp;IF(A376="","CNPJ; ","")&amp;IF(E376="","Novo gerente; ","")))</f>
      </c>
      <c r="K376" s="6">
        <f>IF(COUNTA(A376:F376)=0,"",IF(AND(LEFT(H376,4)&lt;&gt;"ERRO",I376="OK",J376="OK"),"OK","REVISAR"))</f>
      </c>
    </row>
    <row r="377">
      <c r="A377" s="5"/>
      <c r="B377" s="4"/>
      <c r="C377" s="4"/>
      <c r="D377" s="4"/>
      <c r="E377" s="5"/>
      <c r="F377" s="4"/>
      <c r="G377" s="6">
        <f>IF(A377="","",SUBSTITUTE(SUBSTITUTE(SUBSTITUTE(SUBSTITUTE(SUBSTITUTE(SUBSTITUTE(SUBSTITUTE(TRIM(A377),".",""),"/",""),"-","")," ",""),"(",""),")",""),"+",""))</f>
      </c>
      <c r="H377" s="6">
        <f>IF(G377="","",IF(LEN(G377)&lt;&gt;14,"ERRO: "&amp;LEN(G377)&amp;" dígitos",IF(NOT(ISNUMBER(VALUE(G377))),"ERRO: não numérico",IF(AND(VALUE(MID(G377,13,1))=IF(MOD(SUMPRODUCT(--MID(G377,{1,2,3,4,5,6,7,8,9,10,11,12},1),{5,4,3,2,9,8,7,6,5,4,3,2}),11)&lt;2,0,11-MOD(SUMPRODUCT(--MID(G377,{1,2,3,4,5,6,7,8,9,10,11,12},1),{5,4,3,2,9,8,7,6,5,4,3,2}),11)),VALUE(MID(G377,14,1))=IF(MOD(SUMPRODUCT(--MID(G377,{1,2,3,4,5,6,7,8,9,10,11,12,13},1),{6,5,4,3,2,9,8,7,6,5,4,3,2}),11)&lt;2,0,11-MOD(SUMPRODUCT(--MID(G377,{1,2,3,4,5,6,7,8,9,10,11,12,13},1),{6,5,4,3,2,9,8,7,6,5,4,3,2}),11))),"OK","AVISO: dígito verificador (conferir na org)"))))</f>
      </c>
      <c r="I377" s="6">
        <f>IF(G377="","",IF(COUNTIF($G$2:$G$2001,G377)&gt;1,"DUPLICADO","OK"))</f>
      </c>
      <c r="J377" s="6">
        <f>IF(COUNTA(A377:F377)=0,"",IF(AND(A377&lt;&gt;"",E377&lt;&gt;""),"OK","ERRO: faltam "&amp;IF(A377="","CNPJ; ","")&amp;IF(E377="","Novo gerente; ","")))</f>
      </c>
      <c r="K377" s="6">
        <f>IF(COUNTA(A377:F377)=0,"",IF(AND(LEFT(H377,4)&lt;&gt;"ERRO",I377="OK",J377="OK"),"OK","REVISAR"))</f>
      </c>
    </row>
    <row r="378">
      <c r="A378" s="5"/>
      <c r="B378" s="4"/>
      <c r="C378" s="4"/>
      <c r="D378" s="4"/>
      <c r="E378" s="5"/>
      <c r="F378" s="4"/>
      <c r="G378" s="6">
        <f>IF(A378="","",SUBSTITUTE(SUBSTITUTE(SUBSTITUTE(SUBSTITUTE(SUBSTITUTE(SUBSTITUTE(SUBSTITUTE(TRIM(A378),".",""),"/",""),"-","")," ",""),"(",""),")",""),"+",""))</f>
      </c>
      <c r="H378" s="6">
        <f>IF(G378="","",IF(LEN(G378)&lt;&gt;14,"ERRO: "&amp;LEN(G378)&amp;" dígitos",IF(NOT(ISNUMBER(VALUE(G378))),"ERRO: não numérico",IF(AND(VALUE(MID(G378,13,1))=IF(MOD(SUMPRODUCT(--MID(G378,{1,2,3,4,5,6,7,8,9,10,11,12},1),{5,4,3,2,9,8,7,6,5,4,3,2}),11)&lt;2,0,11-MOD(SUMPRODUCT(--MID(G378,{1,2,3,4,5,6,7,8,9,10,11,12},1),{5,4,3,2,9,8,7,6,5,4,3,2}),11)),VALUE(MID(G378,14,1))=IF(MOD(SUMPRODUCT(--MID(G378,{1,2,3,4,5,6,7,8,9,10,11,12,13},1),{6,5,4,3,2,9,8,7,6,5,4,3,2}),11)&lt;2,0,11-MOD(SUMPRODUCT(--MID(G378,{1,2,3,4,5,6,7,8,9,10,11,12,13},1),{6,5,4,3,2,9,8,7,6,5,4,3,2}),11))),"OK","AVISO: dígito verificador (conferir na org)"))))</f>
      </c>
      <c r="I378" s="6">
        <f>IF(G378="","",IF(COUNTIF($G$2:$G$2001,G378)&gt;1,"DUPLICADO","OK"))</f>
      </c>
      <c r="J378" s="6">
        <f>IF(COUNTA(A378:F378)=0,"",IF(AND(A378&lt;&gt;"",E378&lt;&gt;""),"OK","ERRO: faltam "&amp;IF(A378="","CNPJ; ","")&amp;IF(E378="","Novo gerente; ","")))</f>
      </c>
      <c r="K378" s="6">
        <f>IF(COUNTA(A378:F378)=0,"",IF(AND(LEFT(H378,4)&lt;&gt;"ERRO",I378="OK",J378="OK"),"OK","REVISAR"))</f>
      </c>
    </row>
    <row r="379">
      <c r="A379" s="5"/>
      <c r="B379" s="4"/>
      <c r="C379" s="4"/>
      <c r="D379" s="4"/>
      <c r="E379" s="5"/>
      <c r="F379" s="4"/>
      <c r="G379" s="6">
        <f>IF(A379="","",SUBSTITUTE(SUBSTITUTE(SUBSTITUTE(SUBSTITUTE(SUBSTITUTE(SUBSTITUTE(SUBSTITUTE(TRIM(A379),".",""),"/",""),"-","")," ",""),"(",""),")",""),"+",""))</f>
      </c>
      <c r="H379" s="6">
        <f>IF(G379="","",IF(LEN(G379)&lt;&gt;14,"ERRO: "&amp;LEN(G379)&amp;" dígitos",IF(NOT(ISNUMBER(VALUE(G379))),"ERRO: não numérico",IF(AND(VALUE(MID(G379,13,1))=IF(MOD(SUMPRODUCT(--MID(G379,{1,2,3,4,5,6,7,8,9,10,11,12},1),{5,4,3,2,9,8,7,6,5,4,3,2}),11)&lt;2,0,11-MOD(SUMPRODUCT(--MID(G379,{1,2,3,4,5,6,7,8,9,10,11,12},1),{5,4,3,2,9,8,7,6,5,4,3,2}),11)),VALUE(MID(G379,14,1))=IF(MOD(SUMPRODUCT(--MID(G379,{1,2,3,4,5,6,7,8,9,10,11,12,13},1),{6,5,4,3,2,9,8,7,6,5,4,3,2}),11)&lt;2,0,11-MOD(SUMPRODUCT(--MID(G379,{1,2,3,4,5,6,7,8,9,10,11,12,13},1),{6,5,4,3,2,9,8,7,6,5,4,3,2}),11))),"OK","AVISO: dígito verificador (conferir na org)"))))</f>
      </c>
      <c r="I379" s="6">
        <f>IF(G379="","",IF(COUNTIF($G$2:$G$2001,G379)&gt;1,"DUPLICADO","OK"))</f>
      </c>
      <c r="J379" s="6">
        <f>IF(COUNTA(A379:F379)=0,"",IF(AND(A379&lt;&gt;"",E379&lt;&gt;""),"OK","ERRO: faltam "&amp;IF(A379="","CNPJ; ","")&amp;IF(E379="","Novo gerente; ","")))</f>
      </c>
      <c r="K379" s="6">
        <f>IF(COUNTA(A379:F379)=0,"",IF(AND(LEFT(H379,4)&lt;&gt;"ERRO",I379="OK",J379="OK"),"OK","REVISAR"))</f>
      </c>
    </row>
    <row r="380">
      <c r="A380" s="5"/>
      <c r="B380" s="4"/>
      <c r="C380" s="4"/>
      <c r="D380" s="4"/>
      <c r="E380" s="5"/>
      <c r="F380" s="4"/>
      <c r="G380" s="6">
        <f>IF(A380="","",SUBSTITUTE(SUBSTITUTE(SUBSTITUTE(SUBSTITUTE(SUBSTITUTE(SUBSTITUTE(SUBSTITUTE(TRIM(A380),".",""),"/",""),"-","")," ",""),"(",""),")",""),"+",""))</f>
      </c>
      <c r="H380" s="6">
        <f>IF(G380="","",IF(LEN(G380)&lt;&gt;14,"ERRO: "&amp;LEN(G380)&amp;" dígitos",IF(NOT(ISNUMBER(VALUE(G380))),"ERRO: não numérico",IF(AND(VALUE(MID(G380,13,1))=IF(MOD(SUMPRODUCT(--MID(G380,{1,2,3,4,5,6,7,8,9,10,11,12},1),{5,4,3,2,9,8,7,6,5,4,3,2}),11)&lt;2,0,11-MOD(SUMPRODUCT(--MID(G380,{1,2,3,4,5,6,7,8,9,10,11,12},1),{5,4,3,2,9,8,7,6,5,4,3,2}),11)),VALUE(MID(G380,14,1))=IF(MOD(SUMPRODUCT(--MID(G380,{1,2,3,4,5,6,7,8,9,10,11,12,13},1),{6,5,4,3,2,9,8,7,6,5,4,3,2}),11)&lt;2,0,11-MOD(SUMPRODUCT(--MID(G380,{1,2,3,4,5,6,7,8,9,10,11,12,13},1),{6,5,4,3,2,9,8,7,6,5,4,3,2}),11))),"OK","AVISO: dígito verificador (conferir na org)"))))</f>
      </c>
      <c r="I380" s="6">
        <f>IF(G380="","",IF(COUNTIF($G$2:$G$2001,G380)&gt;1,"DUPLICADO","OK"))</f>
      </c>
      <c r="J380" s="6">
        <f>IF(COUNTA(A380:F380)=0,"",IF(AND(A380&lt;&gt;"",E380&lt;&gt;""),"OK","ERRO: faltam "&amp;IF(A380="","CNPJ; ","")&amp;IF(E380="","Novo gerente; ","")))</f>
      </c>
      <c r="K380" s="6">
        <f>IF(COUNTA(A380:F380)=0,"",IF(AND(LEFT(H380,4)&lt;&gt;"ERRO",I380="OK",J380="OK"),"OK","REVISAR"))</f>
      </c>
    </row>
    <row r="381">
      <c r="A381" s="5"/>
      <c r="B381" s="4"/>
      <c r="C381" s="4"/>
      <c r="D381" s="4"/>
      <c r="E381" s="5"/>
      <c r="F381" s="4"/>
      <c r="G381" s="6">
        <f>IF(A381="","",SUBSTITUTE(SUBSTITUTE(SUBSTITUTE(SUBSTITUTE(SUBSTITUTE(SUBSTITUTE(SUBSTITUTE(TRIM(A381),".",""),"/",""),"-","")," ",""),"(",""),")",""),"+",""))</f>
      </c>
      <c r="H381" s="6">
        <f>IF(G381="","",IF(LEN(G381)&lt;&gt;14,"ERRO: "&amp;LEN(G381)&amp;" dígitos",IF(NOT(ISNUMBER(VALUE(G381))),"ERRO: não numérico",IF(AND(VALUE(MID(G381,13,1))=IF(MOD(SUMPRODUCT(--MID(G381,{1,2,3,4,5,6,7,8,9,10,11,12},1),{5,4,3,2,9,8,7,6,5,4,3,2}),11)&lt;2,0,11-MOD(SUMPRODUCT(--MID(G381,{1,2,3,4,5,6,7,8,9,10,11,12},1),{5,4,3,2,9,8,7,6,5,4,3,2}),11)),VALUE(MID(G381,14,1))=IF(MOD(SUMPRODUCT(--MID(G381,{1,2,3,4,5,6,7,8,9,10,11,12,13},1),{6,5,4,3,2,9,8,7,6,5,4,3,2}),11)&lt;2,0,11-MOD(SUMPRODUCT(--MID(G381,{1,2,3,4,5,6,7,8,9,10,11,12,13},1),{6,5,4,3,2,9,8,7,6,5,4,3,2}),11))),"OK","AVISO: dígito verificador (conferir na org)"))))</f>
      </c>
      <c r="I381" s="6">
        <f>IF(G381="","",IF(COUNTIF($G$2:$G$2001,G381)&gt;1,"DUPLICADO","OK"))</f>
      </c>
      <c r="J381" s="6">
        <f>IF(COUNTA(A381:F381)=0,"",IF(AND(A381&lt;&gt;"",E381&lt;&gt;""),"OK","ERRO: faltam "&amp;IF(A381="","CNPJ; ","")&amp;IF(E381="","Novo gerente; ","")))</f>
      </c>
      <c r="K381" s="6">
        <f>IF(COUNTA(A381:F381)=0,"",IF(AND(LEFT(H381,4)&lt;&gt;"ERRO",I381="OK",J381="OK"),"OK","REVISAR"))</f>
      </c>
    </row>
    <row r="382">
      <c r="A382" s="5"/>
      <c r="B382" s="4"/>
      <c r="C382" s="4"/>
      <c r="D382" s="4"/>
      <c r="E382" s="5"/>
      <c r="F382" s="4"/>
      <c r="G382" s="6">
        <f>IF(A382="","",SUBSTITUTE(SUBSTITUTE(SUBSTITUTE(SUBSTITUTE(SUBSTITUTE(SUBSTITUTE(SUBSTITUTE(TRIM(A382),".",""),"/",""),"-","")," ",""),"(",""),")",""),"+",""))</f>
      </c>
      <c r="H382" s="6">
        <f>IF(G382="","",IF(LEN(G382)&lt;&gt;14,"ERRO: "&amp;LEN(G382)&amp;" dígitos",IF(NOT(ISNUMBER(VALUE(G382))),"ERRO: não numérico",IF(AND(VALUE(MID(G382,13,1))=IF(MOD(SUMPRODUCT(--MID(G382,{1,2,3,4,5,6,7,8,9,10,11,12},1),{5,4,3,2,9,8,7,6,5,4,3,2}),11)&lt;2,0,11-MOD(SUMPRODUCT(--MID(G382,{1,2,3,4,5,6,7,8,9,10,11,12},1),{5,4,3,2,9,8,7,6,5,4,3,2}),11)),VALUE(MID(G382,14,1))=IF(MOD(SUMPRODUCT(--MID(G382,{1,2,3,4,5,6,7,8,9,10,11,12,13},1),{6,5,4,3,2,9,8,7,6,5,4,3,2}),11)&lt;2,0,11-MOD(SUMPRODUCT(--MID(G382,{1,2,3,4,5,6,7,8,9,10,11,12,13},1),{6,5,4,3,2,9,8,7,6,5,4,3,2}),11))),"OK","AVISO: dígito verificador (conferir na org)"))))</f>
      </c>
      <c r="I382" s="6">
        <f>IF(G382="","",IF(COUNTIF($G$2:$G$2001,G382)&gt;1,"DUPLICADO","OK"))</f>
      </c>
      <c r="J382" s="6">
        <f>IF(COUNTA(A382:F382)=0,"",IF(AND(A382&lt;&gt;"",E382&lt;&gt;""),"OK","ERRO: faltam "&amp;IF(A382="","CNPJ; ","")&amp;IF(E382="","Novo gerente; ","")))</f>
      </c>
      <c r="K382" s="6">
        <f>IF(COUNTA(A382:F382)=0,"",IF(AND(LEFT(H382,4)&lt;&gt;"ERRO",I382="OK",J382="OK"),"OK","REVISAR"))</f>
      </c>
    </row>
    <row r="383">
      <c r="A383" s="5"/>
      <c r="B383" s="4"/>
      <c r="C383" s="4"/>
      <c r="D383" s="4"/>
      <c r="E383" s="5"/>
      <c r="F383" s="4"/>
      <c r="G383" s="6">
        <f>IF(A383="","",SUBSTITUTE(SUBSTITUTE(SUBSTITUTE(SUBSTITUTE(SUBSTITUTE(SUBSTITUTE(SUBSTITUTE(TRIM(A383),".",""),"/",""),"-","")," ",""),"(",""),")",""),"+",""))</f>
      </c>
      <c r="H383" s="6">
        <f>IF(G383="","",IF(LEN(G383)&lt;&gt;14,"ERRO: "&amp;LEN(G383)&amp;" dígitos",IF(NOT(ISNUMBER(VALUE(G383))),"ERRO: não numérico",IF(AND(VALUE(MID(G383,13,1))=IF(MOD(SUMPRODUCT(--MID(G383,{1,2,3,4,5,6,7,8,9,10,11,12},1),{5,4,3,2,9,8,7,6,5,4,3,2}),11)&lt;2,0,11-MOD(SUMPRODUCT(--MID(G383,{1,2,3,4,5,6,7,8,9,10,11,12},1),{5,4,3,2,9,8,7,6,5,4,3,2}),11)),VALUE(MID(G383,14,1))=IF(MOD(SUMPRODUCT(--MID(G383,{1,2,3,4,5,6,7,8,9,10,11,12,13},1),{6,5,4,3,2,9,8,7,6,5,4,3,2}),11)&lt;2,0,11-MOD(SUMPRODUCT(--MID(G383,{1,2,3,4,5,6,7,8,9,10,11,12,13},1),{6,5,4,3,2,9,8,7,6,5,4,3,2}),11))),"OK","AVISO: dígito verificador (conferir na org)"))))</f>
      </c>
      <c r="I383" s="6">
        <f>IF(G383="","",IF(COUNTIF($G$2:$G$2001,G383)&gt;1,"DUPLICADO","OK"))</f>
      </c>
      <c r="J383" s="6">
        <f>IF(COUNTA(A383:F383)=0,"",IF(AND(A383&lt;&gt;"",E383&lt;&gt;""),"OK","ERRO: faltam "&amp;IF(A383="","CNPJ; ","")&amp;IF(E383="","Novo gerente; ","")))</f>
      </c>
      <c r="K383" s="6">
        <f>IF(COUNTA(A383:F383)=0,"",IF(AND(LEFT(H383,4)&lt;&gt;"ERRO",I383="OK",J383="OK"),"OK","REVISAR"))</f>
      </c>
    </row>
    <row r="384">
      <c r="A384" s="5"/>
      <c r="B384" s="4"/>
      <c r="C384" s="4"/>
      <c r="D384" s="4"/>
      <c r="E384" s="5"/>
      <c r="F384" s="4"/>
      <c r="G384" s="6">
        <f>IF(A384="","",SUBSTITUTE(SUBSTITUTE(SUBSTITUTE(SUBSTITUTE(SUBSTITUTE(SUBSTITUTE(SUBSTITUTE(TRIM(A384),".",""),"/",""),"-","")," ",""),"(",""),")",""),"+",""))</f>
      </c>
      <c r="H384" s="6">
        <f>IF(G384="","",IF(LEN(G384)&lt;&gt;14,"ERRO: "&amp;LEN(G384)&amp;" dígitos",IF(NOT(ISNUMBER(VALUE(G384))),"ERRO: não numérico",IF(AND(VALUE(MID(G384,13,1))=IF(MOD(SUMPRODUCT(--MID(G384,{1,2,3,4,5,6,7,8,9,10,11,12},1),{5,4,3,2,9,8,7,6,5,4,3,2}),11)&lt;2,0,11-MOD(SUMPRODUCT(--MID(G384,{1,2,3,4,5,6,7,8,9,10,11,12},1),{5,4,3,2,9,8,7,6,5,4,3,2}),11)),VALUE(MID(G384,14,1))=IF(MOD(SUMPRODUCT(--MID(G384,{1,2,3,4,5,6,7,8,9,10,11,12,13},1),{6,5,4,3,2,9,8,7,6,5,4,3,2}),11)&lt;2,0,11-MOD(SUMPRODUCT(--MID(G384,{1,2,3,4,5,6,7,8,9,10,11,12,13},1),{6,5,4,3,2,9,8,7,6,5,4,3,2}),11))),"OK","AVISO: dígito verificador (conferir na org)"))))</f>
      </c>
      <c r="I384" s="6">
        <f>IF(G384="","",IF(COUNTIF($G$2:$G$2001,G384)&gt;1,"DUPLICADO","OK"))</f>
      </c>
      <c r="J384" s="6">
        <f>IF(COUNTA(A384:F384)=0,"",IF(AND(A384&lt;&gt;"",E384&lt;&gt;""),"OK","ERRO: faltam "&amp;IF(A384="","CNPJ; ","")&amp;IF(E384="","Novo gerente; ","")))</f>
      </c>
      <c r="K384" s="6">
        <f>IF(COUNTA(A384:F384)=0,"",IF(AND(LEFT(H384,4)&lt;&gt;"ERRO",I384="OK",J384="OK"),"OK","REVISAR"))</f>
      </c>
    </row>
    <row r="385">
      <c r="A385" s="5"/>
      <c r="B385" s="4"/>
      <c r="C385" s="4"/>
      <c r="D385" s="4"/>
      <c r="E385" s="5"/>
      <c r="F385" s="4"/>
      <c r="G385" s="6">
        <f>IF(A385="","",SUBSTITUTE(SUBSTITUTE(SUBSTITUTE(SUBSTITUTE(SUBSTITUTE(SUBSTITUTE(SUBSTITUTE(TRIM(A385),".",""),"/",""),"-","")," ",""),"(",""),")",""),"+",""))</f>
      </c>
      <c r="H385" s="6">
        <f>IF(G385="","",IF(LEN(G385)&lt;&gt;14,"ERRO: "&amp;LEN(G385)&amp;" dígitos",IF(NOT(ISNUMBER(VALUE(G385))),"ERRO: não numérico",IF(AND(VALUE(MID(G385,13,1))=IF(MOD(SUMPRODUCT(--MID(G385,{1,2,3,4,5,6,7,8,9,10,11,12},1),{5,4,3,2,9,8,7,6,5,4,3,2}),11)&lt;2,0,11-MOD(SUMPRODUCT(--MID(G385,{1,2,3,4,5,6,7,8,9,10,11,12},1),{5,4,3,2,9,8,7,6,5,4,3,2}),11)),VALUE(MID(G385,14,1))=IF(MOD(SUMPRODUCT(--MID(G385,{1,2,3,4,5,6,7,8,9,10,11,12,13},1),{6,5,4,3,2,9,8,7,6,5,4,3,2}),11)&lt;2,0,11-MOD(SUMPRODUCT(--MID(G385,{1,2,3,4,5,6,7,8,9,10,11,12,13},1),{6,5,4,3,2,9,8,7,6,5,4,3,2}),11))),"OK","AVISO: dígito verificador (conferir na org)"))))</f>
      </c>
      <c r="I385" s="6">
        <f>IF(G385="","",IF(COUNTIF($G$2:$G$2001,G385)&gt;1,"DUPLICADO","OK"))</f>
      </c>
      <c r="J385" s="6">
        <f>IF(COUNTA(A385:F385)=0,"",IF(AND(A385&lt;&gt;"",E385&lt;&gt;""),"OK","ERRO: faltam "&amp;IF(A385="","CNPJ; ","")&amp;IF(E385="","Novo gerente; ","")))</f>
      </c>
      <c r="K385" s="6">
        <f>IF(COUNTA(A385:F385)=0,"",IF(AND(LEFT(H385,4)&lt;&gt;"ERRO",I385="OK",J385="OK"),"OK","REVISAR"))</f>
      </c>
    </row>
    <row r="386">
      <c r="A386" s="5"/>
      <c r="B386" s="4"/>
      <c r="C386" s="4"/>
      <c r="D386" s="4"/>
      <c r="E386" s="5"/>
      <c r="F386" s="4"/>
      <c r="G386" s="6">
        <f>IF(A386="","",SUBSTITUTE(SUBSTITUTE(SUBSTITUTE(SUBSTITUTE(SUBSTITUTE(SUBSTITUTE(SUBSTITUTE(TRIM(A386),".",""),"/",""),"-","")," ",""),"(",""),")",""),"+",""))</f>
      </c>
      <c r="H386" s="6">
        <f>IF(G386="","",IF(LEN(G386)&lt;&gt;14,"ERRO: "&amp;LEN(G386)&amp;" dígitos",IF(NOT(ISNUMBER(VALUE(G386))),"ERRO: não numérico",IF(AND(VALUE(MID(G386,13,1))=IF(MOD(SUMPRODUCT(--MID(G386,{1,2,3,4,5,6,7,8,9,10,11,12},1),{5,4,3,2,9,8,7,6,5,4,3,2}),11)&lt;2,0,11-MOD(SUMPRODUCT(--MID(G386,{1,2,3,4,5,6,7,8,9,10,11,12},1),{5,4,3,2,9,8,7,6,5,4,3,2}),11)),VALUE(MID(G386,14,1))=IF(MOD(SUMPRODUCT(--MID(G386,{1,2,3,4,5,6,7,8,9,10,11,12,13},1),{6,5,4,3,2,9,8,7,6,5,4,3,2}),11)&lt;2,0,11-MOD(SUMPRODUCT(--MID(G386,{1,2,3,4,5,6,7,8,9,10,11,12,13},1),{6,5,4,3,2,9,8,7,6,5,4,3,2}),11))),"OK","AVISO: dígito verificador (conferir na org)"))))</f>
      </c>
      <c r="I386" s="6">
        <f>IF(G386="","",IF(COUNTIF($G$2:$G$2001,G386)&gt;1,"DUPLICADO","OK"))</f>
      </c>
      <c r="J386" s="6">
        <f>IF(COUNTA(A386:F386)=0,"",IF(AND(A386&lt;&gt;"",E386&lt;&gt;""),"OK","ERRO: faltam "&amp;IF(A386="","CNPJ; ","")&amp;IF(E386="","Novo gerente; ","")))</f>
      </c>
      <c r="K386" s="6">
        <f>IF(COUNTA(A386:F386)=0,"",IF(AND(LEFT(H386,4)&lt;&gt;"ERRO",I386="OK",J386="OK"),"OK","REVISAR"))</f>
      </c>
    </row>
    <row r="387">
      <c r="A387" s="5"/>
      <c r="B387" s="4"/>
      <c r="C387" s="4"/>
      <c r="D387" s="4"/>
      <c r="E387" s="5"/>
      <c r="F387" s="4"/>
      <c r="G387" s="6">
        <f>IF(A387="","",SUBSTITUTE(SUBSTITUTE(SUBSTITUTE(SUBSTITUTE(SUBSTITUTE(SUBSTITUTE(SUBSTITUTE(TRIM(A387),".",""),"/",""),"-","")," ",""),"(",""),")",""),"+",""))</f>
      </c>
      <c r="H387" s="6">
        <f>IF(G387="","",IF(LEN(G387)&lt;&gt;14,"ERRO: "&amp;LEN(G387)&amp;" dígitos",IF(NOT(ISNUMBER(VALUE(G387))),"ERRO: não numérico",IF(AND(VALUE(MID(G387,13,1))=IF(MOD(SUMPRODUCT(--MID(G387,{1,2,3,4,5,6,7,8,9,10,11,12},1),{5,4,3,2,9,8,7,6,5,4,3,2}),11)&lt;2,0,11-MOD(SUMPRODUCT(--MID(G387,{1,2,3,4,5,6,7,8,9,10,11,12},1),{5,4,3,2,9,8,7,6,5,4,3,2}),11)),VALUE(MID(G387,14,1))=IF(MOD(SUMPRODUCT(--MID(G387,{1,2,3,4,5,6,7,8,9,10,11,12,13},1),{6,5,4,3,2,9,8,7,6,5,4,3,2}),11)&lt;2,0,11-MOD(SUMPRODUCT(--MID(G387,{1,2,3,4,5,6,7,8,9,10,11,12,13},1),{6,5,4,3,2,9,8,7,6,5,4,3,2}),11))),"OK","AVISO: dígito verificador (conferir na org)"))))</f>
      </c>
      <c r="I387" s="6">
        <f>IF(G387="","",IF(COUNTIF($G$2:$G$2001,G387)&gt;1,"DUPLICADO","OK"))</f>
      </c>
      <c r="J387" s="6">
        <f>IF(COUNTA(A387:F387)=0,"",IF(AND(A387&lt;&gt;"",E387&lt;&gt;""),"OK","ERRO: faltam "&amp;IF(A387="","CNPJ; ","")&amp;IF(E387="","Novo gerente; ","")))</f>
      </c>
      <c r="K387" s="6">
        <f>IF(COUNTA(A387:F387)=0,"",IF(AND(LEFT(H387,4)&lt;&gt;"ERRO",I387="OK",J387="OK"),"OK","REVISAR"))</f>
      </c>
    </row>
    <row r="388">
      <c r="A388" s="5"/>
      <c r="B388" s="4"/>
      <c r="C388" s="4"/>
      <c r="D388" s="4"/>
      <c r="E388" s="5"/>
      <c r="F388" s="4"/>
      <c r="G388" s="6">
        <f>IF(A388="","",SUBSTITUTE(SUBSTITUTE(SUBSTITUTE(SUBSTITUTE(SUBSTITUTE(SUBSTITUTE(SUBSTITUTE(TRIM(A388),".",""),"/",""),"-","")," ",""),"(",""),")",""),"+",""))</f>
      </c>
      <c r="H388" s="6">
        <f>IF(G388="","",IF(LEN(G388)&lt;&gt;14,"ERRO: "&amp;LEN(G388)&amp;" dígitos",IF(NOT(ISNUMBER(VALUE(G388))),"ERRO: não numérico",IF(AND(VALUE(MID(G388,13,1))=IF(MOD(SUMPRODUCT(--MID(G388,{1,2,3,4,5,6,7,8,9,10,11,12},1),{5,4,3,2,9,8,7,6,5,4,3,2}),11)&lt;2,0,11-MOD(SUMPRODUCT(--MID(G388,{1,2,3,4,5,6,7,8,9,10,11,12},1),{5,4,3,2,9,8,7,6,5,4,3,2}),11)),VALUE(MID(G388,14,1))=IF(MOD(SUMPRODUCT(--MID(G388,{1,2,3,4,5,6,7,8,9,10,11,12,13},1),{6,5,4,3,2,9,8,7,6,5,4,3,2}),11)&lt;2,0,11-MOD(SUMPRODUCT(--MID(G388,{1,2,3,4,5,6,7,8,9,10,11,12,13},1),{6,5,4,3,2,9,8,7,6,5,4,3,2}),11))),"OK","AVISO: dígito verificador (conferir na org)"))))</f>
      </c>
      <c r="I388" s="6">
        <f>IF(G388="","",IF(COUNTIF($G$2:$G$2001,G388)&gt;1,"DUPLICADO","OK"))</f>
      </c>
      <c r="J388" s="6">
        <f>IF(COUNTA(A388:F388)=0,"",IF(AND(A388&lt;&gt;"",E388&lt;&gt;""),"OK","ERRO: faltam "&amp;IF(A388="","CNPJ; ","")&amp;IF(E388="","Novo gerente; ","")))</f>
      </c>
      <c r="K388" s="6">
        <f>IF(COUNTA(A388:F388)=0,"",IF(AND(LEFT(H388,4)&lt;&gt;"ERRO",I388="OK",J388="OK"),"OK","REVISAR"))</f>
      </c>
    </row>
    <row r="389">
      <c r="A389" s="5"/>
      <c r="B389" s="4"/>
      <c r="C389" s="4"/>
      <c r="D389" s="4"/>
      <c r="E389" s="5"/>
      <c r="F389" s="4"/>
      <c r="G389" s="6">
        <f>IF(A389="","",SUBSTITUTE(SUBSTITUTE(SUBSTITUTE(SUBSTITUTE(SUBSTITUTE(SUBSTITUTE(SUBSTITUTE(TRIM(A389),".",""),"/",""),"-","")," ",""),"(",""),")",""),"+",""))</f>
      </c>
      <c r="H389" s="6">
        <f>IF(G389="","",IF(LEN(G389)&lt;&gt;14,"ERRO: "&amp;LEN(G389)&amp;" dígitos",IF(NOT(ISNUMBER(VALUE(G389))),"ERRO: não numérico",IF(AND(VALUE(MID(G389,13,1))=IF(MOD(SUMPRODUCT(--MID(G389,{1,2,3,4,5,6,7,8,9,10,11,12},1),{5,4,3,2,9,8,7,6,5,4,3,2}),11)&lt;2,0,11-MOD(SUMPRODUCT(--MID(G389,{1,2,3,4,5,6,7,8,9,10,11,12},1),{5,4,3,2,9,8,7,6,5,4,3,2}),11)),VALUE(MID(G389,14,1))=IF(MOD(SUMPRODUCT(--MID(G389,{1,2,3,4,5,6,7,8,9,10,11,12,13},1),{6,5,4,3,2,9,8,7,6,5,4,3,2}),11)&lt;2,0,11-MOD(SUMPRODUCT(--MID(G389,{1,2,3,4,5,6,7,8,9,10,11,12,13},1),{6,5,4,3,2,9,8,7,6,5,4,3,2}),11))),"OK","AVISO: dígito verificador (conferir na org)"))))</f>
      </c>
      <c r="I389" s="6">
        <f>IF(G389="","",IF(COUNTIF($G$2:$G$2001,G389)&gt;1,"DUPLICADO","OK"))</f>
      </c>
      <c r="J389" s="6">
        <f>IF(COUNTA(A389:F389)=0,"",IF(AND(A389&lt;&gt;"",E389&lt;&gt;""),"OK","ERRO: faltam "&amp;IF(A389="","CNPJ; ","")&amp;IF(E389="","Novo gerente; ","")))</f>
      </c>
      <c r="K389" s="6">
        <f>IF(COUNTA(A389:F389)=0,"",IF(AND(LEFT(H389,4)&lt;&gt;"ERRO",I389="OK",J389="OK"),"OK","REVISAR"))</f>
      </c>
    </row>
    <row r="390">
      <c r="A390" s="5"/>
      <c r="B390" s="4"/>
      <c r="C390" s="4"/>
      <c r="D390" s="4"/>
      <c r="E390" s="5"/>
      <c r="F390" s="4"/>
      <c r="G390" s="6">
        <f>IF(A390="","",SUBSTITUTE(SUBSTITUTE(SUBSTITUTE(SUBSTITUTE(SUBSTITUTE(SUBSTITUTE(SUBSTITUTE(TRIM(A390),".",""),"/",""),"-","")," ",""),"(",""),")",""),"+",""))</f>
      </c>
      <c r="H390" s="6">
        <f>IF(G390="","",IF(LEN(G390)&lt;&gt;14,"ERRO: "&amp;LEN(G390)&amp;" dígitos",IF(NOT(ISNUMBER(VALUE(G390))),"ERRO: não numérico",IF(AND(VALUE(MID(G390,13,1))=IF(MOD(SUMPRODUCT(--MID(G390,{1,2,3,4,5,6,7,8,9,10,11,12},1),{5,4,3,2,9,8,7,6,5,4,3,2}),11)&lt;2,0,11-MOD(SUMPRODUCT(--MID(G390,{1,2,3,4,5,6,7,8,9,10,11,12},1),{5,4,3,2,9,8,7,6,5,4,3,2}),11)),VALUE(MID(G390,14,1))=IF(MOD(SUMPRODUCT(--MID(G390,{1,2,3,4,5,6,7,8,9,10,11,12,13},1),{6,5,4,3,2,9,8,7,6,5,4,3,2}),11)&lt;2,0,11-MOD(SUMPRODUCT(--MID(G390,{1,2,3,4,5,6,7,8,9,10,11,12,13},1),{6,5,4,3,2,9,8,7,6,5,4,3,2}),11))),"OK","AVISO: dígito verificador (conferir na org)"))))</f>
      </c>
      <c r="I390" s="6">
        <f>IF(G390="","",IF(COUNTIF($G$2:$G$2001,G390)&gt;1,"DUPLICADO","OK"))</f>
      </c>
      <c r="J390" s="6">
        <f>IF(COUNTA(A390:F390)=0,"",IF(AND(A390&lt;&gt;"",E390&lt;&gt;""),"OK","ERRO: faltam "&amp;IF(A390="","CNPJ; ","")&amp;IF(E390="","Novo gerente; ","")))</f>
      </c>
      <c r="K390" s="6">
        <f>IF(COUNTA(A390:F390)=0,"",IF(AND(LEFT(H390,4)&lt;&gt;"ERRO",I390="OK",J390="OK"),"OK","REVISAR"))</f>
      </c>
    </row>
    <row r="391">
      <c r="A391" s="5"/>
      <c r="B391" s="4"/>
      <c r="C391" s="4"/>
      <c r="D391" s="4"/>
      <c r="E391" s="5"/>
      <c r="F391" s="4"/>
      <c r="G391" s="6">
        <f>IF(A391="","",SUBSTITUTE(SUBSTITUTE(SUBSTITUTE(SUBSTITUTE(SUBSTITUTE(SUBSTITUTE(SUBSTITUTE(TRIM(A391),".",""),"/",""),"-","")," ",""),"(",""),")",""),"+",""))</f>
      </c>
      <c r="H391" s="6">
        <f>IF(G391="","",IF(LEN(G391)&lt;&gt;14,"ERRO: "&amp;LEN(G391)&amp;" dígitos",IF(NOT(ISNUMBER(VALUE(G391))),"ERRO: não numérico",IF(AND(VALUE(MID(G391,13,1))=IF(MOD(SUMPRODUCT(--MID(G391,{1,2,3,4,5,6,7,8,9,10,11,12},1),{5,4,3,2,9,8,7,6,5,4,3,2}),11)&lt;2,0,11-MOD(SUMPRODUCT(--MID(G391,{1,2,3,4,5,6,7,8,9,10,11,12},1),{5,4,3,2,9,8,7,6,5,4,3,2}),11)),VALUE(MID(G391,14,1))=IF(MOD(SUMPRODUCT(--MID(G391,{1,2,3,4,5,6,7,8,9,10,11,12,13},1),{6,5,4,3,2,9,8,7,6,5,4,3,2}),11)&lt;2,0,11-MOD(SUMPRODUCT(--MID(G391,{1,2,3,4,5,6,7,8,9,10,11,12,13},1),{6,5,4,3,2,9,8,7,6,5,4,3,2}),11))),"OK","AVISO: dígito verificador (conferir na org)"))))</f>
      </c>
      <c r="I391" s="6">
        <f>IF(G391="","",IF(COUNTIF($G$2:$G$2001,G391)&gt;1,"DUPLICADO","OK"))</f>
      </c>
      <c r="J391" s="6">
        <f>IF(COUNTA(A391:F391)=0,"",IF(AND(A391&lt;&gt;"",E391&lt;&gt;""),"OK","ERRO: faltam "&amp;IF(A391="","CNPJ; ","")&amp;IF(E391="","Novo gerente; ","")))</f>
      </c>
      <c r="K391" s="6">
        <f>IF(COUNTA(A391:F391)=0,"",IF(AND(LEFT(H391,4)&lt;&gt;"ERRO",I391="OK",J391="OK"),"OK","REVISAR"))</f>
      </c>
    </row>
    <row r="392">
      <c r="A392" s="5"/>
      <c r="B392" s="4"/>
      <c r="C392" s="4"/>
      <c r="D392" s="4"/>
      <c r="E392" s="5"/>
      <c r="F392" s="4"/>
      <c r="G392" s="6">
        <f>IF(A392="","",SUBSTITUTE(SUBSTITUTE(SUBSTITUTE(SUBSTITUTE(SUBSTITUTE(SUBSTITUTE(SUBSTITUTE(TRIM(A392),".",""),"/",""),"-","")," ",""),"(",""),")",""),"+",""))</f>
      </c>
      <c r="H392" s="6">
        <f>IF(G392="","",IF(LEN(G392)&lt;&gt;14,"ERRO: "&amp;LEN(G392)&amp;" dígitos",IF(NOT(ISNUMBER(VALUE(G392))),"ERRO: não numérico",IF(AND(VALUE(MID(G392,13,1))=IF(MOD(SUMPRODUCT(--MID(G392,{1,2,3,4,5,6,7,8,9,10,11,12},1),{5,4,3,2,9,8,7,6,5,4,3,2}),11)&lt;2,0,11-MOD(SUMPRODUCT(--MID(G392,{1,2,3,4,5,6,7,8,9,10,11,12},1),{5,4,3,2,9,8,7,6,5,4,3,2}),11)),VALUE(MID(G392,14,1))=IF(MOD(SUMPRODUCT(--MID(G392,{1,2,3,4,5,6,7,8,9,10,11,12,13},1),{6,5,4,3,2,9,8,7,6,5,4,3,2}),11)&lt;2,0,11-MOD(SUMPRODUCT(--MID(G392,{1,2,3,4,5,6,7,8,9,10,11,12,13},1),{6,5,4,3,2,9,8,7,6,5,4,3,2}),11))),"OK","AVISO: dígito verificador (conferir na org)"))))</f>
      </c>
      <c r="I392" s="6">
        <f>IF(G392="","",IF(COUNTIF($G$2:$G$2001,G392)&gt;1,"DUPLICADO","OK"))</f>
      </c>
      <c r="J392" s="6">
        <f>IF(COUNTA(A392:F392)=0,"",IF(AND(A392&lt;&gt;"",E392&lt;&gt;""),"OK","ERRO: faltam "&amp;IF(A392="","CNPJ; ","")&amp;IF(E392="","Novo gerente; ","")))</f>
      </c>
      <c r="K392" s="6">
        <f>IF(COUNTA(A392:F392)=0,"",IF(AND(LEFT(H392,4)&lt;&gt;"ERRO",I392="OK",J392="OK"),"OK","REVISAR"))</f>
      </c>
    </row>
    <row r="393">
      <c r="A393" s="5"/>
      <c r="B393" s="4"/>
      <c r="C393" s="4"/>
      <c r="D393" s="4"/>
      <c r="E393" s="5"/>
      <c r="F393" s="4"/>
      <c r="G393" s="6">
        <f>IF(A393="","",SUBSTITUTE(SUBSTITUTE(SUBSTITUTE(SUBSTITUTE(SUBSTITUTE(SUBSTITUTE(SUBSTITUTE(TRIM(A393),".",""),"/",""),"-","")," ",""),"(",""),")",""),"+",""))</f>
      </c>
      <c r="H393" s="6">
        <f>IF(G393="","",IF(LEN(G393)&lt;&gt;14,"ERRO: "&amp;LEN(G393)&amp;" dígitos",IF(NOT(ISNUMBER(VALUE(G393))),"ERRO: não numérico",IF(AND(VALUE(MID(G393,13,1))=IF(MOD(SUMPRODUCT(--MID(G393,{1,2,3,4,5,6,7,8,9,10,11,12},1),{5,4,3,2,9,8,7,6,5,4,3,2}),11)&lt;2,0,11-MOD(SUMPRODUCT(--MID(G393,{1,2,3,4,5,6,7,8,9,10,11,12},1),{5,4,3,2,9,8,7,6,5,4,3,2}),11)),VALUE(MID(G393,14,1))=IF(MOD(SUMPRODUCT(--MID(G393,{1,2,3,4,5,6,7,8,9,10,11,12,13},1),{6,5,4,3,2,9,8,7,6,5,4,3,2}),11)&lt;2,0,11-MOD(SUMPRODUCT(--MID(G393,{1,2,3,4,5,6,7,8,9,10,11,12,13},1),{6,5,4,3,2,9,8,7,6,5,4,3,2}),11))),"OK","AVISO: dígito verificador (conferir na org)"))))</f>
      </c>
      <c r="I393" s="6">
        <f>IF(G393="","",IF(COUNTIF($G$2:$G$2001,G393)&gt;1,"DUPLICADO","OK"))</f>
      </c>
      <c r="J393" s="6">
        <f>IF(COUNTA(A393:F393)=0,"",IF(AND(A393&lt;&gt;"",E393&lt;&gt;""),"OK","ERRO: faltam "&amp;IF(A393="","CNPJ; ","")&amp;IF(E393="","Novo gerente; ","")))</f>
      </c>
      <c r="K393" s="6">
        <f>IF(COUNTA(A393:F393)=0,"",IF(AND(LEFT(H393,4)&lt;&gt;"ERRO",I393="OK",J393="OK"),"OK","REVISAR"))</f>
      </c>
    </row>
    <row r="394">
      <c r="A394" s="5"/>
      <c r="B394" s="4"/>
      <c r="C394" s="4"/>
      <c r="D394" s="4"/>
      <c r="E394" s="5"/>
      <c r="F394" s="4"/>
      <c r="G394" s="6">
        <f>IF(A394="","",SUBSTITUTE(SUBSTITUTE(SUBSTITUTE(SUBSTITUTE(SUBSTITUTE(SUBSTITUTE(SUBSTITUTE(TRIM(A394),".",""),"/",""),"-","")," ",""),"(",""),")",""),"+",""))</f>
      </c>
      <c r="H394" s="6">
        <f>IF(G394="","",IF(LEN(G394)&lt;&gt;14,"ERRO: "&amp;LEN(G394)&amp;" dígitos",IF(NOT(ISNUMBER(VALUE(G394))),"ERRO: não numérico",IF(AND(VALUE(MID(G394,13,1))=IF(MOD(SUMPRODUCT(--MID(G394,{1,2,3,4,5,6,7,8,9,10,11,12},1),{5,4,3,2,9,8,7,6,5,4,3,2}),11)&lt;2,0,11-MOD(SUMPRODUCT(--MID(G394,{1,2,3,4,5,6,7,8,9,10,11,12},1),{5,4,3,2,9,8,7,6,5,4,3,2}),11)),VALUE(MID(G394,14,1))=IF(MOD(SUMPRODUCT(--MID(G394,{1,2,3,4,5,6,7,8,9,10,11,12,13},1),{6,5,4,3,2,9,8,7,6,5,4,3,2}),11)&lt;2,0,11-MOD(SUMPRODUCT(--MID(G394,{1,2,3,4,5,6,7,8,9,10,11,12,13},1),{6,5,4,3,2,9,8,7,6,5,4,3,2}),11))),"OK","AVISO: dígito verificador (conferir na org)"))))</f>
      </c>
      <c r="I394" s="6">
        <f>IF(G394="","",IF(COUNTIF($G$2:$G$2001,G394)&gt;1,"DUPLICADO","OK"))</f>
      </c>
      <c r="J394" s="6">
        <f>IF(COUNTA(A394:F394)=0,"",IF(AND(A394&lt;&gt;"",E394&lt;&gt;""),"OK","ERRO: faltam "&amp;IF(A394="","CNPJ; ","")&amp;IF(E394="","Novo gerente; ","")))</f>
      </c>
      <c r="K394" s="6">
        <f>IF(COUNTA(A394:F394)=0,"",IF(AND(LEFT(H394,4)&lt;&gt;"ERRO",I394="OK",J394="OK"),"OK","REVISAR"))</f>
      </c>
    </row>
    <row r="395">
      <c r="A395" s="5"/>
      <c r="B395" s="4"/>
      <c r="C395" s="4"/>
      <c r="D395" s="4"/>
      <c r="E395" s="5"/>
      <c r="F395" s="4"/>
      <c r="G395" s="6">
        <f>IF(A395="","",SUBSTITUTE(SUBSTITUTE(SUBSTITUTE(SUBSTITUTE(SUBSTITUTE(SUBSTITUTE(SUBSTITUTE(TRIM(A395),".",""),"/",""),"-","")," ",""),"(",""),")",""),"+",""))</f>
      </c>
      <c r="H395" s="6">
        <f>IF(G395="","",IF(LEN(G395)&lt;&gt;14,"ERRO: "&amp;LEN(G395)&amp;" dígitos",IF(NOT(ISNUMBER(VALUE(G395))),"ERRO: não numérico",IF(AND(VALUE(MID(G395,13,1))=IF(MOD(SUMPRODUCT(--MID(G395,{1,2,3,4,5,6,7,8,9,10,11,12},1),{5,4,3,2,9,8,7,6,5,4,3,2}),11)&lt;2,0,11-MOD(SUMPRODUCT(--MID(G395,{1,2,3,4,5,6,7,8,9,10,11,12},1),{5,4,3,2,9,8,7,6,5,4,3,2}),11)),VALUE(MID(G395,14,1))=IF(MOD(SUMPRODUCT(--MID(G395,{1,2,3,4,5,6,7,8,9,10,11,12,13},1),{6,5,4,3,2,9,8,7,6,5,4,3,2}),11)&lt;2,0,11-MOD(SUMPRODUCT(--MID(G395,{1,2,3,4,5,6,7,8,9,10,11,12,13},1),{6,5,4,3,2,9,8,7,6,5,4,3,2}),11))),"OK","AVISO: dígito verificador (conferir na org)"))))</f>
      </c>
      <c r="I395" s="6">
        <f>IF(G395="","",IF(COUNTIF($G$2:$G$2001,G395)&gt;1,"DUPLICADO","OK"))</f>
      </c>
      <c r="J395" s="6">
        <f>IF(COUNTA(A395:F395)=0,"",IF(AND(A395&lt;&gt;"",E395&lt;&gt;""),"OK","ERRO: faltam "&amp;IF(A395="","CNPJ; ","")&amp;IF(E395="","Novo gerente; ","")))</f>
      </c>
      <c r="K395" s="6">
        <f>IF(COUNTA(A395:F395)=0,"",IF(AND(LEFT(H395,4)&lt;&gt;"ERRO",I395="OK",J395="OK"),"OK","REVISAR"))</f>
      </c>
    </row>
    <row r="396">
      <c r="A396" s="5"/>
      <c r="B396" s="4"/>
      <c r="C396" s="4"/>
      <c r="D396" s="4"/>
      <c r="E396" s="5"/>
      <c r="F396" s="4"/>
      <c r="G396" s="6">
        <f>IF(A396="","",SUBSTITUTE(SUBSTITUTE(SUBSTITUTE(SUBSTITUTE(SUBSTITUTE(SUBSTITUTE(SUBSTITUTE(TRIM(A396),".",""),"/",""),"-","")," ",""),"(",""),")",""),"+",""))</f>
      </c>
      <c r="H396" s="6">
        <f>IF(G396="","",IF(LEN(G396)&lt;&gt;14,"ERRO: "&amp;LEN(G396)&amp;" dígitos",IF(NOT(ISNUMBER(VALUE(G396))),"ERRO: não numérico",IF(AND(VALUE(MID(G396,13,1))=IF(MOD(SUMPRODUCT(--MID(G396,{1,2,3,4,5,6,7,8,9,10,11,12},1),{5,4,3,2,9,8,7,6,5,4,3,2}),11)&lt;2,0,11-MOD(SUMPRODUCT(--MID(G396,{1,2,3,4,5,6,7,8,9,10,11,12},1),{5,4,3,2,9,8,7,6,5,4,3,2}),11)),VALUE(MID(G396,14,1))=IF(MOD(SUMPRODUCT(--MID(G396,{1,2,3,4,5,6,7,8,9,10,11,12,13},1),{6,5,4,3,2,9,8,7,6,5,4,3,2}),11)&lt;2,0,11-MOD(SUMPRODUCT(--MID(G396,{1,2,3,4,5,6,7,8,9,10,11,12,13},1),{6,5,4,3,2,9,8,7,6,5,4,3,2}),11))),"OK","AVISO: dígito verificador (conferir na org)"))))</f>
      </c>
      <c r="I396" s="6">
        <f>IF(G396="","",IF(COUNTIF($G$2:$G$2001,G396)&gt;1,"DUPLICADO","OK"))</f>
      </c>
      <c r="J396" s="6">
        <f>IF(COUNTA(A396:F396)=0,"",IF(AND(A396&lt;&gt;"",E396&lt;&gt;""),"OK","ERRO: faltam "&amp;IF(A396="","CNPJ; ","")&amp;IF(E396="","Novo gerente; ","")))</f>
      </c>
      <c r="K396" s="6">
        <f>IF(COUNTA(A396:F396)=0,"",IF(AND(LEFT(H396,4)&lt;&gt;"ERRO",I396="OK",J396="OK"),"OK","REVISAR"))</f>
      </c>
    </row>
    <row r="397">
      <c r="A397" s="5"/>
      <c r="B397" s="4"/>
      <c r="C397" s="4"/>
      <c r="D397" s="4"/>
      <c r="E397" s="5"/>
      <c r="F397" s="4"/>
      <c r="G397" s="6">
        <f>IF(A397="","",SUBSTITUTE(SUBSTITUTE(SUBSTITUTE(SUBSTITUTE(SUBSTITUTE(SUBSTITUTE(SUBSTITUTE(TRIM(A397),".",""),"/",""),"-","")," ",""),"(",""),")",""),"+",""))</f>
      </c>
      <c r="H397" s="6">
        <f>IF(G397="","",IF(LEN(G397)&lt;&gt;14,"ERRO: "&amp;LEN(G397)&amp;" dígitos",IF(NOT(ISNUMBER(VALUE(G397))),"ERRO: não numérico",IF(AND(VALUE(MID(G397,13,1))=IF(MOD(SUMPRODUCT(--MID(G397,{1,2,3,4,5,6,7,8,9,10,11,12},1),{5,4,3,2,9,8,7,6,5,4,3,2}),11)&lt;2,0,11-MOD(SUMPRODUCT(--MID(G397,{1,2,3,4,5,6,7,8,9,10,11,12},1),{5,4,3,2,9,8,7,6,5,4,3,2}),11)),VALUE(MID(G397,14,1))=IF(MOD(SUMPRODUCT(--MID(G397,{1,2,3,4,5,6,7,8,9,10,11,12,13},1),{6,5,4,3,2,9,8,7,6,5,4,3,2}),11)&lt;2,0,11-MOD(SUMPRODUCT(--MID(G397,{1,2,3,4,5,6,7,8,9,10,11,12,13},1),{6,5,4,3,2,9,8,7,6,5,4,3,2}),11))),"OK","AVISO: dígito verificador (conferir na org)"))))</f>
      </c>
      <c r="I397" s="6">
        <f>IF(G397="","",IF(COUNTIF($G$2:$G$2001,G397)&gt;1,"DUPLICADO","OK"))</f>
      </c>
      <c r="J397" s="6">
        <f>IF(COUNTA(A397:F397)=0,"",IF(AND(A397&lt;&gt;"",E397&lt;&gt;""),"OK","ERRO: faltam "&amp;IF(A397="","CNPJ; ","")&amp;IF(E397="","Novo gerente; ","")))</f>
      </c>
      <c r="K397" s="6">
        <f>IF(COUNTA(A397:F397)=0,"",IF(AND(LEFT(H397,4)&lt;&gt;"ERRO",I397="OK",J397="OK"),"OK","REVISAR"))</f>
      </c>
    </row>
    <row r="398">
      <c r="A398" s="5"/>
      <c r="B398" s="4"/>
      <c r="C398" s="4"/>
      <c r="D398" s="4"/>
      <c r="E398" s="5"/>
      <c r="F398" s="4"/>
      <c r="G398" s="6">
        <f>IF(A398="","",SUBSTITUTE(SUBSTITUTE(SUBSTITUTE(SUBSTITUTE(SUBSTITUTE(SUBSTITUTE(SUBSTITUTE(TRIM(A398),".",""),"/",""),"-","")," ",""),"(",""),")",""),"+",""))</f>
      </c>
      <c r="H398" s="6">
        <f>IF(G398="","",IF(LEN(G398)&lt;&gt;14,"ERRO: "&amp;LEN(G398)&amp;" dígitos",IF(NOT(ISNUMBER(VALUE(G398))),"ERRO: não numérico",IF(AND(VALUE(MID(G398,13,1))=IF(MOD(SUMPRODUCT(--MID(G398,{1,2,3,4,5,6,7,8,9,10,11,12},1),{5,4,3,2,9,8,7,6,5,4,3,2}),11)&lt;2,0,11-MOD(SUMPRODUCT(--MID(G398,{1,2,3,4,5,6,7,8,9,10,11,12},1),{5,4,3,2,9,8,7,6,5,4,3,2}),11)),VALUE(MID(G398,14,1))=IF(MOD(SUMPRODUCT(--MID(G398,{1,2,3,4,5,6,7,8,9,10,11,12,13},1),{6,5,4,3,2,9,8,7,6,5,4,3,2}),11)&lt;2,0,11-MOD(SUMPRODUCT(--MID(G398,{1,2,3,4,5,6,7,8,9,10,11,12,13},1),{6,5,4,3,2,9,8,7,6,5,4,3,2}),11))),"OK","AVISO: dígito verificador (conferir na org)"))))</f>
      </c>
      <c r="I398" s="6">
        <f>IF(G398="","",IF(COUNTIF($G$2:$G$2001,G398)&gt;1,"DUPLICADO","OK"))</f>
      </c>
      <c r="J398" s="6">
        <f>IF(COUNTA(A398:F398)=0,"",IF(AND(A398&lt;&gt;"",E398&lt;&gt;""),"OK","ERRO: faltam "&amp;IF(A398="","CNPJ; ","")&amp;IF(E398="","Novo gerente; ","")))</f>
      </c>
      <c r="K398" s="6">
        <f>IF(COUNTA(A398:F398)=0,"",IF(AND(LEFT(H398,4)&lt;&gt;"ERRO",I398="OK",J398="OK"),"OK","REVISAR"))</f>
      </c>
    </row>
    <row r="399">
      <c r="A399" s="5"/>
      <c r="B399" s="4"/>
      <c r="C399" s="4"/>
      <c r="D399" s="4"/>
      <c r="E399" s="5"/>
      <c r="F399" s="4"/>
      <c r="G399" s="6">
        <f>IF(A399="","",SUBSTITUTE(SUBSTITUTE(SUBSTITUTE(SUBSTITUTE(SUBSTITUTE(SUBSTITUTE(SUBSTITUTE(TRIM(A399),".",""),"/",""),"-","")," ",""),"(",""),")",""),"+",""))</f>
      </c>
      <c r="H399" s="6">
        <f>IF(G399="","",IF(LEN(G399)&lt;&gt;14,"ERRO: "&amp;LEN(G399)&amp;" dígitos",IF(NOT(ISNUMBER(VALUE(G399))),"ERRO: não numérico",IF(AND(VALUE(MID(G399,13,1))=IF(MOD(SUMPRODUCT(--MID(G399,{1,2,3,4,5,6,7,8,9,10,11,12},1),{5,4,3,2,9,8,7,6,5,4,3,2}),11)&lt;2,0,11-MOD(SUMPRODUCT(--MID(G399,{1,2,3,4,5,6,7,8,9,10,11,12},1),{5,4,3,2,9,8,7,6,5,4,3,2}),11)),VALUE(MID(G399,14,1))=IF(MOD(SUMPRODUCT(--MID(G399,{1,2,3,4,5,6,7,8,9,10,11,12,13},1),{6,5,4,3,2,9,8,7,6,5,4,3,2}),11)&lt;2,0,11-MOD(SUMPRODUCT(--MID(G399,{1,2,3,4,5,6,7,8,9,10,11,12,13},1),{6,5,4,3,2,9,8,7,6,5,4,3,2}),11))),"OK","AVISO: dígito verificador (conferir na org)"))))</f>
      </c>
      <c r="I399" s="6">
        <f>IF(G399="","",IF(COUNTIF($G$2:$G$2001,G399)&gt;1,"DUPLICADO","OK"))</f>
      </c>
      <c r="J399" s="6">
        <f>IF(COUNTA(A399:F399)=0,"",IF(AND(A399&lt;&gt;"",E399&lt;&gt;""),"OK","ERRO: faltam "&amp;IF(A399="","CNPJ; ","")&amp;IF(E399="","Novo gerente; ","")))</f>
      </c>
      <c r="K399" s="6">
        <f>IF(COUNTA(A399:F399)=0,"",IF(AND(LEFT(H399,4)&lt;&gt;"ERRO",I399="OK",J399="OK"),"OK","REVISAR"))</f>
      </c>
    </row>
    <row r="400">
      <c r="A400" s="5"/>
      <c r="B400" s="4"/>
      <c r="C400" s="4"/>
      <c r="D400" s="4"/>
      <c r="E400" s="5"/>
      <c r="F400" s="4"/>
      <c r="G400" s="6">
        <f>IF(A400="","",SUBSTITUTE(SUBSTITUTE(SUBSTITUTE(SUBSTITUTE(SUBSTITUTE(SUBSTITUTE(SUBSTITUTE(TRIM(A400),".",""),"/",""),"-","")," ",""),"(",""),")",""),"+",""))</f>
      </c>
      <c r="H400" s="6">
        <f>IF(G400="","",IF(LEN(G400)&lt;&gt;14,"ERRO: "&amp;LEN(G400)&amp;" dígitos",IF(NOT(ISNUMBER(VALUE(G400))),"ERRO: não numérico",IF(AND(VALUE(MID(G400,13,1))=IF(MOD(SUMPRODUCT(--MID(G400,{1,2,3,4,5,6,7,8,9,10,11,12},1),{5,4,3,2,9,8,7,6,5,4,3,2}),11)&lt;2,0,11-MOD(SUMPRODUCT(--MID(G400,{1,2,3,4,5,6,7,8,9,10,11,12},1),{5,4,3,2,9,8,7,6,5,4,3,2}),11)),VALUE(MID(G400,14,1))=IF(MOD(SUMPRODUCT(--MID(G400,{1,2,3,4,5,6,7,8,9,10,11,12,13},1),{6,5,4,3,2,9,8,7,6,5,4,3,2}),11)&lt;2,0,11-MOD(SUMPRODUCT(--MID(G400,{1,2,3,4,5,6,7,8,9,10,11,12,13},1),{6,5,4,3,2,9,8,7,6,5,4,3,2}),11))),"OK","AVISO: dígito verificador (conferir na org)"))))</f>
      </c>
      <c r="I400" s="6">
        <f>IF(G400="","",IF(COUNTIF($G$2:$G$2001,G400)&gt;1,"DUPLICADO","OK"))</f>
      </c>
      <c r="J400" s="6">
        <f>IF(COUNTA(A400:F400)=0,"",IF(AND(A400&lt;&gt;"",E400&lt;&gt;""),"OK","ERRO: faltam "&amp;IF(A400="","CNPJ; ","")&amp;IF(E400="","Novo gerente; ","")))</f>
      </c>
      <c r="K400" s="6">
        <f>IF(COUNTA(A400:F400)=0,"",IF(AND(LEFT(H400,4)&lt;&gt;"ERRO",I400="OK",J400="OK"),"OK","REVISAR"))</f>
      </c>
    </row>
    <row r="401">
      <c r="A401" s="5"/>
      <c r="B401" s="4"/>
      <c r="C401" s="4"/>
      <c r="D401" s="4"/>
      <c r="E401" s="5"/>
      <c r="F401" s="4"/>
      <c r="G401" s="6">
        <f>IF(A401="","",SUBSTITUTE(SUBSTITUTE(SUBSTITUTE(SUBSTITUTE(SUBSTITUTE(SUBSTITUTE(SUBSTITUTE(TRIM(A401),".",""),"/",""),"-","")," ",""),"(",""),")",""),"+",""))</f>
      </c>
      <c r="H401" s="6">
        <f>IF(G401="","",IF(LEN(G401)&lt;&gt;14,"ERRO: "&amp;LEN(G401)&amp;" dígitos",IF(NOT(ISNUMBER(VALUE(G401))),"ERRO: não numérico",IF(AND(VALUE(MID(G401,13,1))=IF(MOD(SUMPRODUCT(--MID(G401,{1,2,3,4,5,6,7,8,9,10,11,12},1),{5,4,3,2,9,8,7,6,5,4,3,2}),11)&lt;2,0,11-MOD(SUMPRODUCT(--MID(G401,{1,2,3,4,5,6,7,8,9,10,11,12},1),{5,4,3,2,9,8,7,6,5,4,3,2}),11)),VALUE(MID(G401,14,1))=IF(MOD(SUMPRODUCT(--MID(G401,{1,2,3,4,5,6,7,8,9,10,11,12,13},1),{6,5,4,3,2,9,8,7,6,5,4,3,2}),11)&lt;2,0,11-MOD(SUMPRODUCT(--MID(G401,{1,2,3,4,5,6,7,8,9,10,11,12,13},1),{6,5,4,3,2,9,8,7,6,5,4,3,2}),11))),"OK","AVISO: dígito verificador (conferir na org)"))))</f>
      </c>
      <c r="I401" s="6">
        <f>IF(G401="","",IF(COUNTIF($G$2:$G$2001,G401)&gt;1,"DUPLICADO","OK"))</f>
      </c>
      <c r="J401" s="6">
        <f>IF(COUNTA(A401:F401)=0,"",IF(AND(A401&lt;&gt;"",E401&lt;&gt;""),"OK","ERRO: faltam "&amp;IF(A401="","CNPJ; ","")&amp;IF(E401="","Novo gerente; ","")))</f>
      </c>
      <c r="K401" s="6">
        <f>IF(COUNTA(A401:F401)=0,"",IF(AND(LEFT(H401,4)&lt;&gt;"ERRO",I401="OK",J401="OK"),"OK","REVISAR"))</f>
      </c>
    </row>
    <row r="402">
      <c r="A402" s="5"/>
      <c r="B402" s="4"/>
      <c r="C402" s="4"/>
      <c r="D402" s="4"/>
      <c r="E402" s="5"/>
      <c r="F402" s="4"/>
      <c r="G402" s="6">
        <f>IF(A402="","",SUBSTITUTE(SUBSTITUTE(SUBSTITUTE(SUBSTITUTE(SUBSTITUTE(SUBSTITUTE(SUBSTITUTE(TRIM(A402),".",""),"/",""),"-","")," ",""),"(",""),")",""),"+",""))</f>
      </c>
      <c r="H402" s="6">
        <f>IF(G402="","",IF(LEN(G402)&lt;&gt;14,"ERRO: "&amp;LEN(G402)&amp;" dígitos",IF(NOT(ISNUMBER(VALUE(G402))),"ERRO: não numérico",IF(AND(VALUE(MID(G402,13,1))=IF(MOD(SUMPRODUCT(--MID(G402,{1,2,3,4,5,6,7,8,9,10,11,12},1),{5,4,3,2,9,8,7,6,5,4,3,2}),11)&lt;2,0,11-MOD(SUMPRODUCT(--MID(G402,{1,2,3,4,5,6,7,8,9,10,11,12},1),{5,4,3,2,9,8,7,6,5,4,3,2}),11)),VALUE(MID(G402,14,1))=IF(MOD(SUMPRODUCT(--MID(G402,{1,2,3,4,5,6,7,8,9,10,11,12,13},1),{6,5,4,3,2,9,8,7,6,5,4,3,2}),11)&lt;2,0,11-MOD(SUMPRODUCT(--MID(G402,{1,2,3,4,5,6,7,8,9,10,11,12,13},1),{6,5,4,3,2,9,8,7,6,5,4,3,2}),11))),"OK","AVISO: dígito verificador (conferir na org)"))))</f>
      </c>
      <c r="I402" s="6">
        <f>IF(G402="","",IF(COUNTIF($G$2:$G$2001,G402)&gt;1,"DUPLICADO","OK"))</f>
      </c>
      <c r="J402" s="6">
        <f>IF(COUNTA(A402:F402)=0,"",IF(AND(A402&lt;&gt;"",E402&lt;&gt;""),"OK","ERRO: faltam "&amp;IF(A402="","CNPJ; ","")&amp;IF(E402="","Novo gerente; ","")))</f>
      </c>
      <c r="K402" s="6">
        <f>IF(COUNTA(A402:F402)=0,"",IF(AND(LEFT(H402,4)&lt;&gt;"ERRO",I402="OK",J402="OK"),"OK","REVISAR"))</f>
      </c>
    </row>
    <row r="403">
      <c r="A403" s="5"/>
      <c r="B403" s="4"/>
      <c r="C403" s="4"/>
      <c r="D403" s="4"/>
      <c r="E403" s="5"/>
      <c r="F403" s="4"/>
      <c r="G403" s="6">
        <f>IF(A403="","",SUBSTITUTE(SUBSTITUTE(SUBSTITUTE(SUBSTITUTE(SUBSTITUTE(SUBSTITUTE(SUBSTITUTE(TRIM(A403),".",""),"/",""),"-","")," ",""),"(",""),")",""),"+",""))</f>
      </c>
      <c r="H403" s="6">
        <f>IF(G403="","",IF(LEN(G403)&lt;&gt;14,"ERRO: "&amp;LEN(G403)&amp;" dígitos",IF(NOT(ISNUMBER(VALUE(G403))),"ERRO: não numérico",IF(AND(VALUE(MID(G403,13,1))=IF(MOD(SUMPRODUCT(--MID(G403,{1,2,3,4,5,6,7,8,9,10,11,12},1),{5,4,3,2,9,8,7,6,5,4,3,2}),11)&lt;2,0,11-MOD(SUMPRODUCT(--MID(G403,{1,2,3,4,5,6,7,8,9,10,11,12},1),{5,4,3,2,9,8,7,6,5,4,3,2}),11)),VALUE(MID(G403,14,1))=IF(MOD(SUMPRODUCT(--MID(G403,{1,2,3,4,5,6,7,8,9,10,11,12,13},1),{6,5,4,3,2,9,8,7,6,5,4,3,2}),11)&lt;2,0,11-MOD(SUMPRODUCT(--MID(G403,{1,2,3,4,5,6,7,8,9,10,11,12,13},1),{6,5,4,3,2,9,8,7,6,5,4,3,2}),11))),"OK","AVISO: dígito verificador (conferir na org)"))))</f>
      </c>
      <c r="I403" s="6">
        <f>IF(G403="","",IF(COUNTIF($G$2:$G$2001,G403)&gt;1,"DUPLICADO","OK"))</f>
      </c>
      <c r="J403" s="6">
        <f>IF(COUNTA(A403:F403)=0,"",IF(AND(A403&lt;&gt;"",E403&lt;&gt;""),"OK","ERRO: faltam "&amp;IF(A403="","CNPJ; ","")&amp;IF(E403="","Novo gerente; ","")))</f>
      </c>
      <c r="K403" s="6">
        <f>IF(COUNTA(A403:F403)=0,"",IF(AND(LEFT(H403,4)&lt;&gt;"ERRO",I403="OK",J403="OK"),"OK","REVISAR"))</f>
      </c>
    </row>
    <row r="404">
      <c r="A404" s="5"/>
      <c r="B404" s="4"/>
      <c r="C404" s="4"/>
      <c r="D404" s="4"/>
      <c r="E404" s="5"/>
      <c r="F404" s="4"/>
      <c r="G404" s="6">
        <f>IF(A404="","",SUBSTITUTE(SUBSTITUTE(SUBSTITUTE(SUBSTITUTE(SUBSTITUTE(SUBSTITUTE(SUBSTITUTE(TRIM(A404),".",""),"/",""),"-","")," ",""),"(",""),")",""),"+",""))</f>
      </c>
      <c r="H404" s="6">
        <f>IF(G404="","",IF(LEN(G404)&lt;&gt;14,"ERRO: "&amp;LEN(G404)&amp;" dígitos",IF(NOT(ISNUMBER(VALUE(G404))),"ERRO: não numérico",IF(AND(VALUE(MID(G404,13,1))=IF(MOD(SUMPRODUCT(--MID(G404,{1,2,3,4,5,6,7,8,9,10,11,12},1),{5,4,3,2,9,8,7,6,5,4,3,2}),11)&lt;2,0,11-MOD(SUMPRODUCT(--MID(G404,{1,2,3,4,5,6,7,8,9,10,11,12},1),{5,4,3,2,9,8,7,6,5,4,3,2}),11)),VALUE(MID(G404,14,1))=IF(MOD(SUMPRODUCT(--MID(G404,{1,2,3,4,5,6,7,8,9,10,11,12,13},1),{6,5,4,3,2,9,8,7,6,5,4,3,2}),11)&lt;2,0,11-MOD(SUMPRODUCT(--MID(G404,{1,2,3,4,5,6,7,8,9,10,11,12,13},1),{6,5,4,3,2,9,8,7,6,5,4,3,2}),11))),"OK","AVISO: dígito verificador (conferir na org)"))))</f>
      </c>
      <c r="I404" s="6">
        <f>IF(G404="","",IF(COUNTIF($G$2:$G$2001,G404)&gt;1,"DUPLICADO","OK"))</f>
      </c>
      <c r="J404" s="6">
        <f>IF(COUNTA(A404:F404)=0,"",IF(AND(A404&lt;&gt;"",E404&lt;&gt;""),"OK","ERRO: faltam "&amp;IF(A404="","CNPJ; ","")&amp;IF(E404="","Novo gerente; ","")))</f>
      </c>
      <c r="K404" s="6">
        <f>IF(COUNTA(A404:F404)=0,"",IF(AND(LEFT(H404,4)&lt;&gt;"ERRO",I404="OK",J404="OK"),"OK","REVISAR"))</f>
      </c>
    </row>
    <row r="405">
      <c r="A405" s="5"/>
      <c r="B405" s="4"/>
      <c r="C405" s="4"/>
      <c r="D405" s="4"/>
      <c r="E405" s="5"/>
      <c r="F405" s="4"/>
      <c r="G405" s="6">
        <f>IF(A405="","",SUBSTITUTE(SUBSTITUTE(SUBSTITUTE(SUBSTITUTE(SUBSTITUTE(SUBSTITUTE(SUBSTITUTE(TRIM(A405),".",""),"/",""),"-","")," ",""),"(",""),")",""),"+",""))</f>
      </c>
      <c r="H405" s="6">
        <f>IF(G405="","",IF(LEN(G405)&lt;&gt;14,"ERRO: "&amp;LEN(G405)&amp;" dígitos",IF(NOT(ISNUMBER(VALUE(G405))),"ERRO: não numérico",IF(AND(VALUE(MID(G405,13,1))=IF(MOD(SUMPRODUCT(--MID(G405,{1,2,3,4,5,6,7,8,9,10,11,12},1),{5,4,3,2,9,8,7,6,5,4,3,2}),11)&lt;2,0,11-MOD(SUMPRODUCT(--MID(G405,{1,2,3,4,5,6,7,8,9,10,11,12},1),{5,4,3,2,9,8,7,6,5,4,3,2}),11)),VALUE(MID(G405,14,1))=IF(MOD(SUMPRODUCT(--MID(G405,{1,2,3,4,5,6,7,8,9,10,11,12,13},1),{6,5,4,3,2,9,8,7,6,5,4,3,2}),11)&lt;2,0,11-MOD(SUMPRODUCT(--MID(G405,{1,2,3,4,5,6,7,8,9,10,11,12,13},1),{6,5,4,3,2,9,8,7,6,5,4,3,2}),11))),"OK","AVISO: dígito verificador (conferir na org)"))))</f>
      </c>
      <c r="I405" s="6">
        <f>IF(G405="","",IF(COUNTIF($G$2:$G$2001,G405)&gt;1,"DUPLICADO","OK"))</f>
      </c>
      <c r="J405" s="6">
        <f>IF(COUNTA(A405:F405)=0,"",IF(AND(A405&lt;&gt;"",E405&lt;&gt;""),"OK","ERRO: faltam "&amp;IF(A405="","CNPJ; ","")&amp;IF(E405="","Novo gerente; ","")))</f>
      </c>
      <c r="K405" s="6">
        <f>IF(COUNTA(A405:F405)=0,"",IF(AND(LEFT(H405,4)&lt;&gt;"ERRO",I405="OK",J405="OK"),"OK","REVISAR"))</f>
      </c>
    </row>
    <row r="406">
      <c r="A406" s="5"/>
      <c r="B406" s="4"/>
      <c r="C406" s="4"/>
      <c r="D406" s="4"/>
      <c r="E406" s="5"/>
      <c r="F406" s="4"/>
      <c r="G406" s="6">
        <f>IF(A406="","",SUBSTITUTE(SUBSTITUTE(SUBSTITUTE(SUBSTITUTE(SUBSTITUTE(SUBSTITUTE(SUBSTITUTE(TRIM(A406),".",""),"/",""),"-","")," ",""),"(",""),")",""),"+",""))</f>
      </c>
      <c r="H406" s="6">
        <f>IF(G406="","",IF(LEN(G406)&lt;&gt;14,"ERRO: "&amp;LEN(G406)&amp;" dígitos",IF(NOT(ISNUMBER(VALUE(G406))),"ERRO: não numérico",IF(AND(VALUE(MID(G406,13,1))=IF(MOD(SUMPRODUCT(--MID(G406,{1,2,3,4,5,6,7,8,9,10,11,12},1),{5,4,3,2,9,8,7,6,5,4,3,2}),11)&lt;2,0,11-MOD(SUMPRODUCT(--MID(G406,{1,2,3,4,5,6,7,8,9,10,11,12},1),{5,4,3,2,9,8,7,6,5,4,3,2}),11)),VALUE(MID(G406,14,1))=IF(MOD(SUMPRODUCT(--MID(G406,{1,2,3,4,5,6,7,8,9,10,11,12,13},1),{6,5,4,3,2,9,8,7,6,5,4,3,2}),11)&lt;2,0,11-MOD(SUMPRODUCT(--MID(G406,{1,2,3,4,5,6,7,8,9,10,11,12,13},1),{6,5,4,3,2,9,8,7,6,5,4,3,2}),11))),"OK","AVISO: dígito verificador (conferir na org)"))))</f>
      </c>
      <c r="I406" s="6">
        <f>IF(G406="","",IF(COUNTIF($G$2:$G$2001,G406)&gt;1,"DUPLICADO","OK"))</f>
      </c>
      <c r="J406" s="6">
        <f>IF(COUNTA(A406:F406)=0,"",IF(AND(A406&lt;&gt;"",E406&lt;&gt;""),"OK","ERRO: faltam "&amp;IF(A406="","CNPJ; ","")&amp;IF(E406="","Novo gerente; ","")))</f>
      </c>
      <c r="K406" s="6">
        <f>IF(COUNTA(A406:F406)=0,"",IF(AND(LEFT(H406,4)&lt;&gt;"ERRO",I406="OK",J406="OK"),"OK","REVISAR"))</f>
      </c>
    </row>
    <row r="407">
      <c r="A407" s="5"/>
      <c r="B407" s="4"/>
      <c r="C407" s="4"/>
      <c r="D407" s="4"/>
      <c r="E407" s="5"/>
      <c r="F407" s="4"/>
      <c r="G407" s="6">
        <f>IF(A407="","",SUBSTITUTE(SUBSTITUTE(SUBSTITUTE(SUBSTITUTE(SUBSTITUTE(SUBSTITUTE(SUBSTITUTE(TRIM(A407),".",""),"/",""),"-","")," ",""),"(",""),")",""),"+",""))</f>
      </c>
      <c r="H407" s="6">
        <f>IF(G407="","",IF(LEN(G407)&lt;&gt;14,"ERRO: "&amp;LEN(G407)&amp;" dígitos",IF(NOT(ISNUMBER(VALUE(G407))),"ERRO: não numérico",IF(AND(VALUE(MID(G407,13,1))=IF(MOD(SUMPRODUCT(--MID(G407,{1,2,3,4,5,6,7,8,9,10,11,12},1),{5,4,3,2,9,8,7,6,5,4,3,2}),11)&lt;2,0,11-MOD(SUMPRODUCT(--MID(G407,{1,2,3,4,5,6,7,8,9,10,11,12},1),{5,4,3,2,9,8,7,6,5,4,3,2}),11)),VALUE(MID(G407,14,1))=IF(MOD(SUMPRODUCT(--MID(G407,{1,2,3,4,5,6,7,8,9,10,11,12,13},1),{6,5,4,3,2,9,8,7,6,5,4,3,2}),11)&lt;2,0,11-MOD(SUMPRODUCT(--MID(G407,{1,2,3,4,5,6,7,8,9,10,11,12,13},1),{6,5,4,3,2,9,8,7,6,5,4,3,2}),11))),"OK","AVISO: dígito verificador (conferir na org)"))))</f>
      </c>
      <c r="I407" s="6">
        <f>IF(G407="","",IF(COUNTIF($G$2:$G$2001,G407)&gt;1,"DUPLICADO","OK"))</f>
      </c>
      <c r="J407" s="6">
        <f>IF(COUNTA(A407:F407)=0,"",IF(AND(A407&lt;&gt;"",E407&lt;&gt;""),"OK","ERRO: faltam "&amp;IF(A407="","CNPJ; ","")&amp;IF(E407="","Novo gerente; ","")))</f>
      </c>
      <c r="K407" s="6">
        <f>IF(COUNTA(A407:F407)=0,"",IF(AND(LEFT(H407,4)&lt;&gt;"ERRO",I407="OK",J407="OK"),"OK","REVISAR"))</f>
      </c>
    </row>
    <row r="408">
      <c r="A408" s="5"/>
      <c r="B408" s="4"/>
      <c r="C408" s="4"/>
      <c r="D408" s="4"/>
      <c r="E408" s="5"/>
      <c r="F408" s="4"/>
      <c r="G408" s="6">
        <f>IF(A408="","",SUBSTITUTE(SUBSTITUTE(SUBSTITUTE(SUBSTITUTE(SUBSTITUTE(SUBSTITUTE(SUBSTITUTE(TRIM(A408),".",""),"/",""),"-","")," ",""),"(",""),")",""),"+",""))</f>
      </c>
      <c r="H408" s="6">
        <f>IF(G408="","",IF(LEN(G408)&lt;&gt;14,"ERRO: "&amp;LEN(G408)&amp;" dígitos",IF(NOT(ISNUMBER(VALUE(G408))),"ERRO: não numérico",IF(AND(VALUE(MID(G408,13,1))=IF(MOD(SUMPRODUCT(--MID(G408,{1,2,3,4,5,6,7,8,9,10,11,12},1),{5,4,3,2,9,8,7,6,5,4,3,2}),11)&lt;2,0,11-MOD(SUMPRODUCT(--MID(G408,{1,2,3,4,5,6,7,8,9,10,11,12},1),{5,4,3,2,9,8,7,6,5,4,3,2}),11)),VALUE(MID(G408,14,1))=IF(MOD(SUMPRODUCT(--MID(G408,{1,2,3,4,5,6,7,8,9,10,11,12,13},1),{6,5,4,3,2,9,8,7,6,5,4,3,2}),11)&lt;2,0,11-MOD(SUMPRODUCT(--MID(G408,{1,2,3,4,5,6,7,8,9,10,11,12,13},1),{6,5,4,3,2,9,8,7,6,5,4,3,2}),11))),"OK","AVISO: dígito verificador (conferir na org)"))))</f>
      </c>
      <c r="I408" s="6">
        <f>IF(G408="","",IF(COUNTIF($G$2:$G$2001,G408)&gt;1,"DUPLICADO","OK"))</f>
      </c>
      <c r="J408" s="6">
        <f>IF(COUNTA(A408:F408)=0,"",IF(AND(A408&lt;&gt;"",E408&lt;&gt;""),"OK","ERRO: faltam "&amp;IF(A408="","CNPJ; ","")&amp;IF(E408="","Novo gerente; ","")))</f>
      </c>
      <c r="K408" s="6">
        <f>IF(COUNTA(A408:F408)=0,"",IF(AND(LEFT(H408,4)&lt;&gt;"ERRO",I408="OK",J408="OK"),"OK","REVISAR"))</f>
      </c>
    </row>
    <row r="409">
      <c r="A409" s="5"/>
      <c r="B409" s="4"/>
      <c r="C409" s="4"/>
      <c r="D409" s="4"/>
      <c r="E409" s="5"/>
      <c r="F409" s="4"/>
      <c r="G409" s="6">
        <f>IF(A409="","",SUBSTITUTE(SUBSTITUTE(SUBSTITUTE(SUBSTITUTE(SUBSTITUTE(SUBSTITUTE(SUBSTITUTE(TRIM(A409),".",""),"/",""),"-","")," ",""),"(",""),")",""),"+",""))</f>
      </c>
      <c r="H409" s="6">
        <f>IF(G409="","",IF(LEN(G409)&lt;&gt;14,"ERRO: "&amp;LEN(G409)&amp;" dígitos",IF(NOT(ISNUMBER(VALUE(G409))),"ERRO: não numérico",IF(AND(VALUE(MID(G409,13,1))=IF(MOD(SUMPRODUCT(--MID(G409,{1,2,3,4,5,6,7,8,9,10,11,12},1),{5,4,3,2,9,8,7,6,5,4,3,2}),11)&lt;2,0,11-MOD(SUMPRODUCT(--MID(G409,{1,2,3,4,5,6,7,8,9,10,11,12},1),{5,4,3,2,9,8,7,6,5,4,3,2}),11)),VALUE(MID(G409,14,1))=IF(MOD(SUMPRODUCT(--MID(G409,{1,2,3,4,5,6,7,8,9,10,11,12,13},1),{6,5,4,3,2,9,8,7,6,5,4,3,2}),11)&lt;2,0,11-MOD(SUMPRODUCT(--MID(G409,{1,2,3,4,5,6,7,8,9,10,11,12,13},1),{6,5,4,3,2,9,8,7,6,5,4,3,2}),11))),"OK","AVISO: dígito verificador (conferir na org)"))))</f>
      </c>
      <c r="I409" s="6">
        <f>IF(G409="","",IF(COUNTIF($G$2:$G$2001,G409)&gt;1,"DUPLICADO","OK"))</f>
      </c>
      <c r="J409" s="6">
        <f>IF(COUNTA(A409:F409)=0,"",IF(AND(A409&lt;&gt;"",E409&lt;&gt;""),"OK","ERRO: faltam "&amp;IF(A409="","CNPJ; ","")&amp;IF(E409="","Novo gerente; ","")))</f>
      </c>
      <c r="K409" s="6">
        <f>IF(COUNTA(A409:F409)=0,"",IF(AND(LEFT(H409,4)&lt;&gt;"ERRO",I409="OK",J409="OK"),"OK","REVISAR"))</f>
      </c>
    </row>
    <row r="410">
      <c r="A410" s="5"/>
      <c r="B410" s="4"/>
      <c r="C410" s="4"/>
      <c r="D410" s="4"/>
      <c r="E410" s="5"/>
      <c r="F410" s="4"/>
      <c r="G410" s="6">
        <f>IF(A410="","",SUBSTITUTE(SUBSTITUTE(SUBSTITUTE(SUBSTITUTE(SUBSTITUTE(SUBSTITUTE(SUBSTITUTE(TRIM(A410),".",""),"/",""),"-","")," ",""),"(",""),")",""),"+",""))</f>
      </c>
      <c r="H410" s="6">
        <f>IF(G410="","",IF(LEN(G410)&lt;&gt;14,"ERRO: "&amp;LEN(G410)&amp;" dígitos",IF(NOT(ISNUMBER(VALUE(G410))),"ERRO: não numérico",IF(AND(VALUE(MID(G410,13,1))=IF(MOD(SUMPRODUCT(--MID(G410,{1,2,3,4,5,6,7,8,9,10,11,12},1),{5,4,3,2,9,8,7,6,5,4,3,2}),11)&lt;2,0,11-MOD(SUMPRODUCT(--MID(G410,{1,2,3,4,5,6,7,8,9,10,11,12},1),{5,4,3,2,9,8,7,6,5,4,3,2}),11)),VALUE(MID(G410,14,1))=IF(MOD(SUMPRODUCT(--MID(G410,{1,2,3,4,5,6,7,8,9,10,11,12,13},1),{6,5,4,3,2,9,8,7,6,5,4,3,2}),11)&lt;2,0,11-MOD(SUMPRODUCT(--MID(G410,{1,2,3,4,5,6,7,8,9,10,11,12,13},1),{6,5,4,3,2,9,8,7,6,5,4,3,2}),11))),"OK","AVISO: dígito verificador (conferir na org)"))))</f>
      </c>
      <c r="I410" s="6">
        <f>IF(G410="","",IF(COUNTIF($G$2:$G$2001,G410)&gt;1,"DUPLICADO","OK"))</f>
      </c>
      <c r="J410" s="6">
        <f>IF(COUNTA(A410:F410)=0,"",IF(AND(A410&lt;&gt;"",E410&lt;&gt;""),"OK","ERRO: faltam "&amp;IF(A410="","CNPJ; ","")&amp;IF(E410="","Novo gerente; ","")))</f>
      </c>
      <c r="K410" s="6">
        <f>IF(COUNTA(A410:F410)=0,"",IF(AND(LEFT(H410,4)&lt;&gt;"ERRO",I410="OK",J410="OK"),"OK","REVISAR"))</f>
      </c>
    </row>
    <row r="411">
      <c r="A411" s="5"/>
      <c r="B411" s="4"/>
      <c r="C411" s="4"/>
      <c r="D411" s="4"/>
      <c r="E411" s="5"/>
      <c r="F411" s="4"/>
      <c r="G411" s="6">
        <f>IF(A411="","",SUBSTITUTE(SUBSTITUTE(SUBSTITUTE(SUBSTITUTE(SUBSTITUTE(SUBSTITUTE(SUBSTITUTE(TRIM(A411),".",""),"/",""),"-","")," ",""),"(",""),")",""),"+",""))</f>
      </c>
      <c r="H411" s="6">
        <f>IF(G411="","",IF(LEN(G411)&lt;&gt;14,"ERRO: "&amp;LEN(G411)&amp;" dígitos",IF(NOT(ISNUMBER(VALUE(G411))),"ERRO: não numérico",IF(AND(VALUE(MID(G411,13,1))=IF(MOD(SUMPRODUCT(--MID(G411,{1,2,3,4,5,6,7,8,9,10,11,12},1),{5,4,3,2,9,8,7,6,5,4,3,2}),11)&lt;2,0,11-MOD(SUMPRODUCT(--MID(G411,{1,2,3,4,5,6,7,8,9,10,11,12},1),{5,4,3,2,9,8,7,6,5,4,3,2}),11)),VALUE(MID(G411,14,1))=IF(MOD(SUMPRODUCT(--MID(G411,{1,2,3,4,5,6,7,8,9,10,11,12,13},1),{6,5,4,3,2,9,8,7,6,5,4,3,2}),11)&lt;2,0,11-MOD(SUMPRODUCT(--MID(G411,{1,2,3,4,5,6,7,8,9,10,11,12,13},1),{6,5,4,3,2,9,8,7,6,5,4,3,2}),11))),"OK","AVISO: dígito verificador (conferir na org)"))))</f>
      </c>
      <c r="I411" s="6">
        <f>IF(G411="","",IF(COUNTIF($G$2:$G$2001,G411)&gt;1,"DUPLICADO","OK"))</f>
      </c>
      <c r="J411" s="6">
        <f>IF(COUNTA(A411:F411)=0,"",IF(AND(A411&lt;&gt;"",E411&lt;&gt;""),"OK","ERRO: faltam "&amp;IF(A411="","CNPJ; ","")&amp;IF(E411="","Novo gerente; ","")))</f>
      </c>
      <c r="K411" s="6">
        <f>IF(COUNTA(A411:F411)=0,"",IF(AND(LEFT(H411,4)&lt;&gt;"ERRO",I411="OK",J411="OK"),"OK","REVISAR"))</f>
      </c>
    </row>
    <row r="412">
      <c r="A412" s="5"/>
      <c r="B412" s="4"/>
      <c r="C412" s="4"/>
      <c r="D412" s="4"/>
      <c r="E412" s="5"/>
      <c r="F412" s="4"/>
      <c r="G412" s="6">
        <f>IF(A412="","",SUBSTITUTE(SUBSTITUTE(SUBSTITUTE(SUBSTITUTE(SUBSTITUTE(SUBSTITUTE(SUBSTITUTE(TRIM(A412),".",""),"/",""),"-","")," ",""),"(",""),")",""),"+",""))</f>
      </c>
      <c r="H412" s="6">
        <f>IF(G412="","",IF(LEN(G412)&lt;&gt;14,"ERRO: "&amp;LEN(G412)&amp;" dígitos",IF(NOT(ISNUMBER(VALUE(G412))),"ERRO: não numérico",IF(AND(VALUE(MID(G412,13,1))=IF(MOD(SUMPRODUCT(--MID(G412,{1,2,3,4,5,6,7,8,9,10,11,12},1),{5,4,3,2,9,8,7,6,5,4,3,2}),11)&lt;2,0,11-MOD(SUMPRODUCT(--MID(G412,{1,2,3,4,5,6,7,8,9,10,11,12},1),{5,4,3,2,9,8,7,6,5,4,3,2}),11)),VALUE(MID(G412,14,1))=IF(MOD(SUMPRODUCT(--MID(G412,{1,2,3,4,5,6,7,8,9,10,11,12,13},1),{6,5,4,3,2,9,8,7,6,5,4,3,2}),11)&lt;2,0,11-MOD(SUMPRODUCT(--MID(G412,{1,2,3,4,5,6,7,8,9,10,11,12,13},1),{6,5,4,3,2,9,8,7,6,5,4,3,2}),11))),"OK","AVISO: dígito verificador (conferir na org)"))))</f>
      </c>
      <c r="I412" s="6">
        <f>IF(G412="","",IF(COUNTIF($G$2:$G$2001,G412)&gt;1,"DUPLICADO","OK"))</f>
      </c>
      <c r="J412" s="6">
        <f>IF(COUNTA(A412:F412)=0,"",IF(AND(A412&lt;&gt;"",E412&lt;&gt;""),"OK","ERRO: faltam "&amp;IF(A412="","CNPJ; ","")&amp;IF(E412="","Novo gerente; ","")))</f>
      </c>
      <c r="K412" s="6">
        <f>IF(COUNTA(A412:F412)=0,"",IF(AND(LEFT(H412,4)&lt;&gt;"ERRO",I412="OK",J412="OK"),"OK","REVISAR"))</f>
      </c>
    </row>
    <row r="413">
      <c r="A413" s="5"/>
      <c r="B413" s="4"/>
      <c r="C413" s="4"/>
      <c r="D413" s="4"/>
      <c r="E413" s="5"/>
      <c r="F413" s="4"/>
      <c r="G413" s="6">
        <f>IF(A413="","",SUBSTITUTE(SUBSTITUTE(SUBSTITUTE(SUBSTITUTE(SUBSTITUTE(SUBSTITUTE(SUBSTITUTE(TRIM(A413),".",""),"/",""),"-","")," ",""),"(",""),")",""),"+",""))</f>
      </c>
      <c r="H413" s="6">
        <f>IF(G413="","",IF(LEN(G413)&lt;&gt;14,"ERRO: "&amp;LEN(G413)&amp;" dígitos",IF(NOT(ISNUMBER(VALUE(G413))),"ERRO: não numérico",IF(AND(VALUE(MID(G413,13,1))=IF(MOD(SUMPRODUCT(--MID(G413,{1,2,3,4,5,6,7,8,9,10,11,12},1),{5,4,3,2,9,8,7,6,5,4,3,2}),11)&lt;2,0,11-MOD(SUMPRODUCT(--MID(G413,{1,2,3,4,5,6,7,8,9,10,11,12},1),{5,4,3,2,9,8,7,6,5,4,3,2}),11)),VALUE(MID(G413,14,1))=IF(MOD(SUMPRODUCT(--MID(G413,{1,2,3,4,5,6,7,8,9,10,11,12,13},1),{6,5,4,3,2,9,8,7,6,5,4,3,2}),11)&lt;2,0,11-MOD(SUMPRODUCT(--MID(G413,{1,2,3,4,5,6,7,8,9,10,11,12,13},1),{6,5,4,3,2,9,8,7,6,5,4,3,2}),11))),"OK","AVISO: dígito verificador (conferir na org)"))))</f>
      </c>
      <c r="I413" s="6">
        <f>IF(G413="","",IF(COUNTIF($G$2:$G$2001,G413)&gt;1,"DUPLICADO","OK"))</f>
      </c>
      <c r="J413" s="6">
        <f>IF(COUNTA(A413:F413)=0,"",IF(AND(A413&lt;&gt;"",E413&lt;&gt;""),"OK","ERRO: faltam "&amp;IF(A413="","CNPJ; ","")&amp;IF(E413="","Novo gerente; ","")))</f>
      </c>
      <c r="K413" s="6">
        <f>IF(COUNTA(A413:F413)=0,"",IF(AND(LEFT(H413,4)&lt;&gt;"ERRO",I413="OK",J413="OK"),"OK","REVISAR"))</f>
      </c>
    </row>
    <row r="414">
      <c r="A414" s="5"/>
      <c r="B414" s="4"/>
      <c r="C414" s="4"/>
      <c r="D414" s="4"/>
      <c r="E414" s="5"/>
      <c r="F414" s="4"/>
      <c r="G414" s="6">
        <f>IF(A414="","",SUBSTITUTE(SUBSTITUTE(SUBSTITUTE(SUBSTITUTE(SUBSTITUTE(SUBSTITUTE(SUBSTITUTE(TRIM(A414),".",""),"/",""),"-","")," ",""),"(",""),")",""),"+",""))</f>
      </c>
      <c r="H414" s="6">
        <f>IF(G414="","",IF(LEN(G414)&lt;&gt;14,"ERRO: "&amp;LEN(G414)&amp;" dígitos",IF(NOT(ISNUMBER(VALUE(G414))),"ERRO: não numérico",IF(AND(VALUE(MID(G414,13,1))=IF(MOD(SUMPRODUCT(--MID(G414,{1,2,3,4,5,6,7,8,9,10,11,12},1),{5,4,3,2,9,8,7,6,5,4,3,2}),11)&lt;2,0,11-MOD(SUMPRODUCT(--MID(G414,{1,2,3,4,5,6,7,8,9,10,11,12},1),{5,4,3,2,9,8,7,6,5,4,3,2}),11)),VALUE(MID(G414,14,1))=IF(MOD(SUMPRODUCT(--MID(G414,{1,2,3,4,5,6,7,8,9,10,11,12,13},1),{6,5,4,3,2,9,8,7,6,5,4,3,2}),11)&lt;2,0,11-MOD(SUMPRODUCT(--MID(G414,{1,2,3,4,5,6,7,8,9,10,11,12,13},1),{6,5,4,3,2,9,8,7,6,5,4,3,2}),11))),"OK","AVISO: dígito verificador (conferir na org)"))))</f>
      </c>
      <c r="I414" s="6">
        <f>IF(G414="","",IF(COUNTIF($G$2:$G$2001,G414)&gt;1,"DUPLICADO","OK"))</f>
      </c>
      <c r="J414" s="6">
        <f>IF(COUNTA(A414:F414)=0,"",IF(AND(A414&lt;&gt;"",E414&lt;&gt;""),"OK","ERRO: faltam "&amp;IF(A414="","CNPJ; ","")&amp;IF(E414="","Novo gerente; ","")))</f>
      </c>
      <c r="K414" s="6">
        <f>IF(COUNTA(A414:F414)=0,"",IF(AND(LEFT(H414,4)&lt;&gt;"ERRO",I414="OK",J414="OK"),"OK","REVISAR"))</f>
      </c>
    </row>
    <row r="415">
      <c r="A415" s="5"/>
      <c r="B415" s="4"/>
      <c r="C415" s="4"/>
      <c r="D415" s="4"/>
      <c r="E415" s="5"/>
      <c r="F415" s="4"/>
      <c r="G415" s="6">
        <f>IF(A415="","",SUBSTITUTE(SUBSTITUTE(SUBSTITUTE(SUBSTITUTE(SUBSTITUTE(SUBSTITUTE(SUBSTITUTE(TRIM(A415),".",""),"/",""),"-","")," ",""),"(",""),")",""),"+",""))</f>
      </c>
      <c r="H415" s="6">
        <f>IF(G415="","",IF(LEN(G415)&lt;&gt;14,"ERRO: "&amp;LEN(G415)&amp;" dígitos",IF(NOT(ISNUMBER(VALUE(G415))),"ERRO: não numérico",IF(AND(VALUE(MID(G415,13,1))=IF(MOD(SUMPRODUCT(--MID(G415,{1,2,3,4,5,6,7,8,9,10,11,12},1),{5,4,3,2,9,8,7,6,5,4,3,2}),11)&lt;2,0,11-MOD(SUMPRODUCT(--MID(G415,{1,2,3,4,5,6,7,8,9,10,11,12},1),{5,4,3,2,9,8,7,6,5,4,3,2}),11)),VALUE(MID(G415,14,1))=IF(MOD(SUMPRODUCT(--MID(G415,{1,2,3,4,5,6,7,8,9,10,11,12,13},1),{6,5,4,3,2,9,8,7,6,5,4,3,2}),11)&lt;2,0,11-MOD(SUMPRODUCT(--MID(G415,{1,2,3,4,5,6,7,8,9,10,11,12,13},1),{6,5,4,3,2,9,8,7,6,5,4,3,2}),11))),"OK","AVISO: dígito verificador (conferir na org)"))))</f>
      </c>
      <c r="I415" s="6">
        <f>IF(G415="","",IF(COUNTIF($G$2:$G$2001,G415)&gt;1,"DUPLICADO","OK"))</f>
      </c>
      <c r="J415" s="6">
        <f>IF(COUNTA(A415:F415)=0,"",IF(AND(A415&lt;&gt;"",E415&lt;&gt;""),"OK","ERRO: faltam "&amp;IF(A415="","CNPJ; ","")&amp;IF(E415="","Novo gerente; ","")))</f>
      </c>
      <c r="K415" s="6">
        <f>IF(COUNTA(A415:F415)=0,"",IF(AND(LEFT(H415,4)&lt;&gt;"ERRO",I415="OK",J415="OK"),"OK","REVISAR"))</f>
      </c>
    </row>
    <row r="416">
      <c r="A416" s="5"/>
      <c r="B416" s="4"/>
      <c r="C416" s="4"/>
      <c r="D416" s="4"/>
      <c r="E416" s="5"/>
      <c r="F416" s="4"/>
      <c r="G416" s="6">
        <f>IF(A416="","",SUBSTITUTE(SUBSTITUTE(SUBSTITUTE(SUBSTITUTE(SUBSTITUTE(SUBSTITUTE(SUBSTITUTE(TRIM(A416),".",""),"/",""),"-","")," ",""),"(",""),")",""),"+",""))</f>
      </c>
      <c r="H416" s="6">
        <f>IF(G416="","",IF(LEN(G416)&lt;&gt;14,"ERRO: "&amp;LEN(G416)&amp;" dígitos",IF(NOT(ISNUMBER(VALUE(G416))),"ERRO: não numérico",IF(AND(VALUE(MID(G416,13,1))=IF(MOD(SUMPRODUCT(--MID(G416,{1,2,3,4,5,6,7,8,9,10,11,12},1),{5,4,3,2,9,8,7,6,5,4,3,2}),11)&lt;2,0,11-MOD(SUMPRODUCT(--MID(G416,{1,2,3,4,5,6,7,8,9,10,11,12},1),{5,4,3,2,9,8,7,6,5,4,3,2}),11)),VALUE(MID(G416,14,1))=IF(MOD(SUMPRODUCT(--MID(G416,{1,2,3,4,5,6,7,8,9,10,11,12,13},1),{6,5,4,3,2,9,8,7,6,5,4,3,2}),11)&lt;2,0,11-MOD(SUMPRODUCT(--MID(G416,{1,2,3,4,5,6,7,8,9,10,11,12,13},1),{6,5,4,3,2,9,8,7,6,5,4,3,2}),11))),"OK","AVISO: dígito verificador (conferir na org)"))))</f>
      </c>
      <c r="I416" s="6">
        <f>IF(G416="","",IF(COUNTIF($G$2:$G$2001,G416)&gt;1,"DUPLICADO","OK"))</f>
      </c>
      <c r="J416" s="6">
        <f>IF(COUNTA(A416:F416)=0,"",IF(AND(A416&lt;&gt;"",E416&lt;&gt;""),"OK","ERRO: faltam "&amp;IF(A416="","CNPJ; ","")&amp;IF(E416="","Novo gerente; ","")))</f>
      </c>
      <c r="K416" s="6">
        <f>IF(COUNTA(A416:F416)=0,"",IF(AND(LEFT(H416,4)&lt;&gt;"ERRO",I416="OK",J416="OK"),"OK","REVISAR"))</f>
      </c>
    </row>
    <row r="417">
      <c r="A417" s="5"/>
      <c r="B417" s="4"/>
      <c r="C417" s="4"/>
      <c r="D417" s="4"/>
      <c r="E417" s="5"/>
      <c r="F417" s="4"/>
      <c r="G417" s="6">
        <f>IF(A417="","",SUBSTITUTE(SUBSTITUTE(SUBSTITUTE(SUBSTITUTE(SUBSTITUTE(SUBSTITUTE(SUBSTITUTE(TRIM(A417),".",""),"/",""),"-","")," ",""),"(",""),")",""),"+",""))</f>
      </c>
      <c r="H417" s="6">
        <f>IF(G417="","",IF(LEN(G417)&lt;&gt;14,"ERRO: "&amp;LEN(G417)&amp;" dígitos",IF(NOT(ISNUMBER(VALUE(G417))),"ERRO: não numérico",IF(AND(VALUE(MID(G417,13,1))=IF(MOD(SUMPRODUCT(--MID(G417,{1,2,3,4,5,6,7,8,9,10,11,12},1),{5,4,3,2,9,8,7,6,5,4,3,2}),11)&lt;2,0,11-MOD(SUMPRODUCT(--MID(G417,{1,2,3,4,5,6,7,8,9,10,11,12},1),{5,4,3,2,9,8,7,6,5,4,3,2}),11)),VALUE(MID(G417,14,1))=IF(MOD(SUMPRODUCT(--MID(G417,{1,2,3,4,5,6,7,8,9,10,11,12,13},1),{6,5,4,3,2,9,8,7,6,5,4,3,2}),11)&lt;2,0,11-MOD(SUMPRODUCT(--MID(G417,{1,2,3,4,5,6,7,8,9,10,11,12,13},1),{6,5,4,3,2,9,8,7,6,5,4,3,2}),11))),"OK","AVISO: dígito verificador (conferir na org)"))))</f>
      </c>
      <c r="I417" s="6">
        <f>IF(G417="","",IF(COUNTIF($G$2:$G$2001,G417)&gt;1,"DUPLICADO","OK"))</f>
      </c>
      <c r="J417" s="6">
        <f>IF(COUNTA(A417:F417)=0,"",IF(AND(A417&lt;&gt;"",E417&lt;&gt;""),"OK","ERRO: faltam "&amp;IF(A417="","CNPJ; ","")&amp;IF(E417="","Novo gerente; ","")))</f>
      </c>
      <c r="K417" s="6">
        <f>IF(COUNTA(A417:F417)=0,"",IF(AND(LEFT(H417,4)&lt;&gt;"ERRO",I417="OK",J417="OK"),"OK","REVISAR"))</f>
      </c>
    </row>
    <row r="418">
      <c r="A418" s="5"/>
      <c r="B418" s="4"/>
      <c r="C418" s="4"/>
      <c r="D418" s="4"/>
      <c r="E418" s="5"/>
      <c r="F418" s="4"/>
      <c r="G418" s="6">
        <f>IF(A418="","",SUBSTITUTE(SUBSTITUTE(SUBSTITUTE(SUBSTITUTE(SUBSTITUTE(SUBSTITUTE(SUBSTITUTE(TRIM(A418),".",""),"/",""),"-","")," ",""),"(",""),")",""),"+",""))</f>
      </c>
      <c r="H418" s="6">
        <f>IF(G418="","",IF(LEN(G418)&lt;&gt;14,"ERRO: "&amp;LEN(G418)&amp;" dígitos",IF(NOT(ISNUMBER(VALUE(G418))),"ERRO: não numérico",IF(AND(VALUE(MID(G418,13,1))=IF(MOD(SUMPRODUCT(--MID(G418,{1,2,3,4,5,6,7,8,9,10,11,12},1),{5,4,3,2,9,8,7,6,5,4,3,2}),11)&lt;2,0,11-MOD(SUMPRODUCT(--MID(G418,{1,2,3,4,5,6,7,8,9,10,11,12},1),{5,4,3,2,9,8,7,6,5,4,3,2}),11)),VALUE(MID(G418,14,1))=IF(MOD(SUMPRODUCT(--MID(G418,{1,2,3,4,5,6,7,8,9,10,11,12,13},1),{6,5,4,3,2,9,8,7,6,5,4,3,2}),11)&lt;2,0,11-MOD(SUMPRODUCT(--MID(G418,{1,2,3,4,5,6,7,8,9,10,11,12,13},1),{6,5,4,3,2,9,8,7,6,5,4,3,2}),11))),"OK","AVISO: dígito verificador (conferir na org)"))))</f>
      </c>
      <c r="I418" s="6">
        <f>IF(G418="","",IF(COUNTIF($G$2:$G$2001,G418)&gt;1,"DUPLICADO","OK"))</f>
      </c>
      <c r="J418" s="6">
        <f>IF(COUNTA(A418:F418)=0,"",IF(AND(A418&lt;&gt;"",E418&lt;&gt;""),"OK","ERRO: faltam "&amp;IF(A418="","CNPJ; ","")&amp;IF(E418="","Novo gerente; ","")))</f>
      </c>
      <c r="K418" s="6">
        <f>IF(COUNTA(A418:F418)=0,"",IF(AND(LEFT(H418,4)&lt;&gt;"ERRO",I418="OK",J418="OK"),"OK","REVISAR"))</f>
      </c>
    </row>
    <row r="419">
      <c r="A419" s="5"/>
      <c r="B419" s="4"/>
      <c r="C419" s="4"/>
      <c r="D419" s="4"/>
      <c r="E419" s="5"/>
      <c r="F419" s="4"/>
      <c r="G419" s="6">
        <f>IF(A419="","",SUBSTITUTE(SUBSTITUTE(SUBSTITUTE(SUBSTITUTE(SUBSTITUTE(SUBSTITUTE(SUBSTITUTE(TRIM(A419),".",""),"/",""),"-","")," ",""),"(",""),")",""),"+",""))</f>
      </c>
      <c r="H419" s="6">
        <f>IF(G419="","",IF(LEN(G419)&lt;&gt;14,"ERRO: "&amp;LEN(G419)&amp;" dígitos",IF(NOT(ISNUMBER(VALUE(G419))),"ERRO: não numérico",IF(AND(VALUE(MID(G419,13,1))=IF(MOD(SUMPRODUCT(--MID(G419,{1,2,3,4,5,6,7,8,9,10,11,12},1),{5,4,3,2,9,8,7,6,5,4,3,2}),11)&lt;2,0,11-MOD(SUMPRODUCT(--MID(G419,{1,2,3,4,5,6,7,8,9,10,11,12},1),{5,4,3,2,9,8,7,6,5,4,3,2}),11)),VALUE(MID(G419,14,1))=IF(MOD(SUMPRODUCT(--MID(G419,{1,2,3,4,5,6,7,8,9,10,11,12,13},1),{6,5,4,3,2,9,8,7,6,5,4,3,2}),11)&lt;2,0,11-MOD(SUMPRODUCT(--MID(G419,{1,2,3,4,5,6,7,8,9,10,11,12,13},1),{6,5,4,3,2,9,8,7,6,5,4,3,2}),11))),"OK","AVISO: dígito verificador (conferir na org)"))))</f>
      </c>
      <c r="I419" s="6">
        <f>IF(G419="","",IF(COUNTIF($G$2:$G$2001,G419)&gt;1,"DUPLICADO","OK"))</f>
      </c>
      <c r="J419" s="6">
        <f>IF(COUNTA(A419:F419)=0,"",IF(AND(A419&lt;&gt;"",E419&lt;&gt;""),"OK","ERRO: faltam "&amp;IF(A419="","CNPJ; ","")&amp;IF(E419="","Novo gerente; ","")))</f>
      </c>
      <c r="K419" s="6">
        <f>IF(COUNTA(A419:F419)=0,"",IF(AND(LEFT(H419,4)&lt;&gt;"ERRO",I419="OK",J419="OK"),"OK","REVISAR"))</f>
      </c>
    </row>
    <row r="420">
      <c r="A420" s="5"/>
      <c r="B420" s="4"/>
      <c r="C420" s="4"/>
      <c r="D420" s="4"/>
      <c r="E420" s="5"/>
      <c r="F420" s="4"/>
      <c r="G420" s="6">
        <f>IF(A420="","",SUBSTITUTE(SUBSTITUTE(SUBSTITUTE(SUBSTITUTE(SUBSTITUTE(SUBSTITUTE(SUBSTITUTE(TRIM(A420),".",""),"/",""),"-","")," ",""),"(",""),")",""),"+",""))</f>
      </c>
      <c r="H420" s="6">
        <f>IF(G420="","",IF(LEN(G420)&lt;&gt;14,"ERRO: "&amp;LEN(G420)&amp;" dígitos",IF(NOT(ISNUMBER(VALUE(G420))),"ERRO: não numérico",IF(AND(VALUE(MID(G420,13,1))=IF(MOD(SUMPRODUCT(--MID(G420,{1,2,3,4,5,6,7,8,9,10,11,12},1),{5,4,3,2,9,8,7,6,5,4,3,2}),11)&lt;2,0,11-MOD(SUMPRODUCT(--MID(G420,{1,2,3,4,5,6,7,8,9,10,11,12},1),{5,4,3,2,9,8,7,6,5,4,3,2}),11)),VALUE(MID(G420,14,1))=IF(MOD(SUMPRODUCT(--MID(G420,{1,2,3,4,5,6,7,8,9,10,11,12,13},1),{6,5,4,3,2,9,8,7,6,5,4,3,2}),11)&lt;2,0,11-MOD(SUMPRODUCT(--MID(G420,{1,2,3,4,5,6,7,8,9,10,11,12,13},1),{6,5,4,3,2,9,8,7,6,5,4,3,2}),11))),"OK","AVISO: dígito verificador (conferir na org)"))))</f>
      </c>
      <c r="I420" s="6">
        <f>IF(G420="","",IF(COUNTIF($G$2:$G$2001,G420)&gt;1,"DUPLICADO","OK"))</f>
      </c>
      <c r="J420" s="6">
        <f>IF(COUNTA(A420:F420)=0,"",IF(AND(A420&lt;&gt;"",E420&lt;&gt;""),"OK","ERRO: faltam "&amp;IF(A420="","CNPJ; ","")&amp;IF(E420="","Novo gerente; ","")))</f>
      </c>
      <c r="K420" s="6">
        <f>IF(COUNTA(A420:F420)=0,"",IF(AND(LEFT(H420,4)&lt;&gt;"ERRO",I420="OK",J420="OK"),"OK","REVISAR"))</f>
      </c>
    </row>
    <row r="421">
      <c r="A421" s="5"/>
      <c r="B421" s="4"/>
      <c r="C421" s="4"/>
      <c r="D421" s="4"/>
      <c r="E421" s="5"/>
      <c r="F421" s="4"/>
      <c r="G421" s="6">
        <f>IF(A421="","",SUBSTITUTE(SUBSTITUTE(SUBSTITUTE(SUBSTITUTE(SUBSTITUTE(SUBSTITUTE(SUBSTITUTE(TRIM(A421),".",""),"/",""),"-","")," ",""),"(",""),")",""),"+",""))</f>
      </c>
      <c r="H421" s="6">
        <f>IF(G421="","",IF(LEN(G421)&lt;&gt;14,"ERRO: "&amp;LEN(G421)&amp;" dígitos",IF(NOT(ISNUMBER(VALUE(G421))),"ERRO: não numérico",IF(AND(VALUE(MID(G421,13,1))=IF(MOD(SUMPRODUCT(--MID(G421,{1,2,3,4,5,6,7,8,9,10,11,12},1),{5,4,3,2,9,8,7,6,5,4,3,2}),11)&lt;2,0,11-MOD(SUMPRODUCT(--MID(G421,{1,2,3,4,5,6,7,8,9,10,11,12},1),{5,4,3,2,9,8,7,6,5,4,3,2}),11)),VALUE(MID(G421,14,1))=IF(MOD(SUMPRODUCT(--MID(G421,{1,2,3,4,5,6,7,8,9,10,11,12,13},1),{6,5,4,3,2,9,8,7,6,5,4,3,2}),11)&lt;2,0,11-MOD(SUMPRODUCT(--MID(G421,{1,2,3,4,5,6,7,8,9,10,11,12,13},1),{6,5,4,3,2,9,8,7,6,5,4,3,2}),11))),"OK","AVISO: dígito verificador (conferir na org)"))))</f>
      </c>
      <c r="I421" s="6">
        <f>IF(G421="","",IF(COUNTIF($G$2:$G$2001,G421)&gt;1,"DUPLICADO","OK"))</f>
      </c>
      <c r="J421" s="6">
        <f>IF(COUNTA(A421:F421)=0,"",IF(AND(A421&lt;&gt;"",E421&lt;&gt;""),"OK","ERRO: faltam "&amp;IF(A421="","CNPJ; ","")&amp;IF(E421="","Novo gerente; ","")))</f>
      </c>
      <c r="K421" s="6">
        <f>IF(COUNTA(A421:F421)=0,"",IF(AND(LEFT(H421,4)&lt;&gt;"ERRO",I421="OK",J421="OK"),"OK","REVISAR"))</f>
      </c>
    </row>
    <row r="422">
      <c r="A422" s="5"/>
      <c r="B422" s="4"/>
      <c r="C422" s="4"/>
      <c r="D422" s="4"/>
      <c r="E422" s="5"/>
      <c r="F422" s="4"/>
      <c r="G422" s="6">
        <f>IF(A422="","",SUBSTITUTE(SUBSTITUTE(SUBSTITUTE(SUBSTITUTE(SUBSTITUTE(SUBSTITUTE(SUBSTITUTE(TRIM(A422),".",""),"/",""),"-","")," ",""),"(",""),")",""),"+",""))</f>
      </c>
      <c r="H422" s="6">
        <f>IF(G422="","",IF(LEN(G422)&lt;&gt;14,"ERRO: "&amp;LEN(G422)&amp;" dígitos",IF(NOT(ISNUMBER(VALUE(G422))),"ERRO: não numérico",IF(AND(VALUE(MID(G422,13,1))=IF(MOD(SUMPRODUCT(--MID(G422,{1,2,3,4,5,6,7,8,9,10,11,12},1),{5,4,3,2,9,8,7,6,5,4,3,2}),11)&lt;2,0,11-MOD(SUMPRODUCT(--MID(G422,{1,2,3,4,5,6,7,8,9,10,11,12},1),{5,4,3,2,9,8,7,6,5,4,3,2}),11)),VALUE(MID(G422,14,1))=IF(MOD(SUMPRODUCT(--MID(G422,{1,2,3,4,5,6,7,8,9,10,11,12,13},1),{6,5,4,3,2,9,8,7,6,5,4,3,2}),11)&lt;2,0,11-MOD(SUMPRODUCT(--MID(G422,{1,2,3,4,5,6,7,8,9,10,11,12,13},1),{6,5,4,3,2,9,8,7,6,5,4,3,2}),11))),"OK","AVISO: dígito verificador (conferir na org)"))))</f>
      </c>
      <c r="I422" s="6">
        <f>IF(G422="","",IF(COUNTIF($G$2:$G$2001,G422)&gt;1,"DUPLICADO","OK"))</f>
      </c>
      <c r="J422" s="6">
        <f>IF(COUNTA(A422:F422)=0,"",IF(AND(A422&lt;&gt;"",E422&lt;&gt;""),"OK","ERRO: faltam "&amp;IF(A422="","CNPJ; ","")&amp;IF(E422="","Novo gerente; ","")))</f>
      </c>
      <c r="K422" s="6">
        <f>IF(COUNTA(A422:F422)=0,"",IF(AND(LEFT(H422,4)&lt;&gt;"ERRO",I422="OK",J422="OK"),"OK","REVISAR"))</f>
      </c>
    </row>
    <row r="423">
      <c r="A423" s="5"/>
      <c r="B423" s="4"/>
      <c r="C423" s="4"/>
      <c r="D423" s="4"/>
      <c r="E423" s="5"/>
      <c r="F423" s="4"/>
      <c r="G423" s="6">
        <f>IF(A423="","",SUBSTITUTE(SUBSTITUTE(SUBSTITUTE(SUBSTITUTE(SUBSTITUTE(SUBSTITUTE(SUBSTITUTE(TRIM(A423),".",""),"/",""),"-","")," ",""),"(",""),")",""),"+",""))</f>
      </c>
      <c r="H423" s="6">
        <f>IF(G423="","",IF(LEN(G423)&lt;&gt;14,"ERRO: "&amp;LEN(G423)&amp;" dígitos",IF(NOT(ISNUMBER(VALUE(G423))),"ERRO: não numérico",IF(AND(VALUE(MID(G423,13,1))=IF(MOD(SUMPRODUCT(--MID(G423,{1,2,3,4,5,6,7,8,9,10,11,12},1),{5,4,3,2,9,8,7,6,5,4,3,2}),11)&lt;2,0,11-MOD(SUMPRODUCT(--MID(G423,{1,2,3,4,5,6,7,8,9,10,11,12},1),{5,4,3,2,9,8,7,6,5,4,3,2}),11)),VALUE(MID(G423,14,1))=IF(MOD(SUMPRODUCT(--MID(G423,{1,2,3,4,5,6,7,8,9,10,11,12,13},1),{6,5,4,3,2,9,8,7,6,5,4,3,2}),11)&lt;2,0,11-MOD(SUMPRODUCT(--MID(G423,{1,2,3,4,5,6,7,8,9,10,11,12,13},1),{6,5,4,3,2,9,8,7,6,5,4,3,2}),11))),"OK","AVISO: dígito verificador (conferir na org)"))))</f>
      </c>
      <c r="I423" s="6">
        <f>IF(G423="","",IF(COUNTIF($G$2:$G$2001,G423)&gt;1,"DUPLICADO","OK"))</f>
      </c>
      <c r="J423" s="6">
        <f>IF(COUNTA(A423:F423)=0,"",IF(AND(A423&lt;&gt;"",E423&lt;&gt;""),"OK","ERRO: faltam "&amp;IF(A423="","CNPJ; ","")&amp;IF(E423="","Novo gerente; ","")))</f>
      </c>
      <c r="K423" s="6">
        <f>IF(COUNTA(A423:F423)=0,"",IF(AND(LEFT(H423,4)&lt;&gt;"ERRO",I423="OK",J423="OK"),"OK","REVISAR"))</f>
      </c>
    </row>
    <row r="424">
      <c r="A424" s="5"/>
      <c r="B424" s="4"/>
      <c r="C424" s="4"/>
      <c r="D424" s="4"/>
      <c r="E424" s="5"/>
      <c r="F424" s="4"/>
      <c r="G424" s="6">
        <f>IF(A424="","",SUBSTITUTE(SUBSTITUTE(SUBSTITUTE(SUBSTITUTE(SUBSTITUTE(SUBSTITUTE(SUBSTITUTE(TRIM(A424),".",""),"/",""),"-","")," ",""),"(",""),")",""),"+",""))</f>
      </c>
      <c r="H424" s="6">
        <f>IF(G424="","",IF(LEN(G424)&lt;&gt;14,"ERRO: "&amp;LEN(G424)&amp;" dígitos",IF(NOT(ISNUMBER(VALUE(G424))),"ERRO: não numérico",IF(AND(VALUE(MID(G424,13,1))=IF(MOD(SUMPRODUCT(--MID(G424,{1,2,3,4,5,6,7,8,9,10,11,12},1),{5,4,3,2,9,8,7,6,5,4,3,2}),11)&lt;2,0,11-MOD(SUMPRODUCT(--MID(G424,{1,2,3,4,5,6,7,8,9,10,11,12},1),{5,4,3,2,9,8,7,6,5,4,3,2}),11)),VALUE(MID(G424,14,1))=IF(MOD(SUMPRODUCT(--MID(G424,{1,2,3,4,5,6,7,8,9,10,11,12,13},1),{6,5,4,3,2,9,8,7,6,5,4,3,2}),11)&lt;2,0,11-MOD(SUMPRODUCT(--MID(G424,{1,2,3,4,5,6,7,8,9,10,11,12,13},1),{6,5,4,3,2,9,8,7,6,5,4,3,2}),11))),"OK","AVISO: dígito verificador (conferir na org)"))))</f>
      </c>
      <c r="I424" s="6">
        <f>IF(G424="","",IF(COUNTIF($G$2:$G$2001,G424)&gt;1,"DUPLICADO","OK"))</f>
      </c>
      <c r="J424" s="6">
        <f>IF(COUNTA(A424:F424)=0,"",IF(AND(A424&lt;&gt;"",E424&lt;&gt;""),"OK","ERRO: faltam "&amp;IF(A424="","CNPJ; ","")&amp;IF(E424="","Novo gerente; ","")))</f>
      </c>
      <c r="K424" s="6">
        <f>IF(COUNTA(A424:F424)=0,"",IF(AND(LEFT(H424,4)&lt;&gt;"ERRO",I424="OK",J424="OK"),"OK","REVISAR"))</f>
      </c>
    </row>
    <row r="425">
      <c r="A425" s="5"/>
      <c r="B425" s="4"/>
      <c r="C425" s="4"/>
      <c r="D425" s="4"/>
      <c r="E425" s="5"/>
      <c r="F425" s="4"/>
      <c r="G425" s="6">
        <f>IF(A425="","",SUBSTITUTE(SUBSTITUTE(SUBSTITUTE(SUBSTITUTE(SUBSTITUTE(SUBSTITUTE(SUBSTITUTE(TRIM(A425),".",""),"/",""),"-","")," ",""),"(",""),")",""),"+",""))</f>
      </c>
      <c r="H425" s="6">
        <f>IF(G425="","",IF(LEN(G425)&lt;&gt;14,"ERRO: "&amp;LEN(G425)&amp;" dígitos",IF(NOT(ISNUMBER(VALUE(G425))),"ERRO: não numérico",IF(AND(VALUE(MID(G425,13,1))=IF(MOD(SUMPRODUCT(--MID(G425,{1,2,3,4,5,6,7,8,9,10,11,12},1),{5,4,3,2,9,8,7,6,5,4,3,2}),11)&lt;2,0,11-MOD(SUMPRODUCT(--MID(G425,{1,2,3,4,5,6,7,8,9,10,11,12},1),{5,4,3,2,9,8,7,6,5,4,3,2}),11)),VALUE(MID(G425,14,1))=IF(MOD(SUMPRODUCT(--MID(G425,{1,2,3,4,5,6,7,8,9,10,11,12,13},1),{6,5,4,3,2,9,8,7,6,5,4,3,2}),11)&lt;2,0,11-MOD(SUMPRODUCT(--MID(G425,{1,2,3,4,5,6,7,8,9,10,11,12,13},1),{6,5,4,3,2,9,8,7,6,5,4,3,2}),11))),"OK","AVISO: dígito verificador (conferir na org)"))))</f>
      </c>
      <c r="I425" s="6">
        <f>IF(G425="","",IF(COUNTIF($G$2:$G$2001,G425)&gt;1,"DUPLICADO","OK"))</f>
      </c>
      <c r="J425" s="6">
        <f>IF(COUNTA(A425:F425)=0,"",IF(AND(A425&lt;&gt;"",E425&lt;&gt;""),"OK","ERRO: faltam "&amp;IF(A425="","CNPJ; ","")&amp;IF(E425="","Novo gerente; ","")))</f>
      </c>
      <c r="K425" s="6">
        <f>IF(COUNTA(A425:F425)=0,"",IF(AND(LEFT(H425,4)&lt;&gt;"ERRO",I425="OK",J425="OK"),"OK","REVISAR"))</f>
      </c>
    </row>
    <row r="426">
      <c r="A426" s="5"/>
      <c r="B426" s="4"/>
      <c r="C426" s="4"/>
      <c r="D426" s="4"/>
      <c r="E426" s="5"/>
      <c r="F426" s="4"/>
      <c r="G426" s="6">
        <f>IF(A426="","",SUBSTITUTE(SUBSTITUTE(SUBSTITUTE(SUBSTITUTE(SUBSTITUTE(SUBSTITUTE(SUBSTITUTE(TRIM(A426),".",""),"/",""),"-","")," ",""),"(",""),")",""),"+",""))</f>
      </c>
      <c r="H426" s="6">
        <f>IF(G426="","",IF(LEN(G426)&lt;&gt;14,"ERRO: "&amp;LEN(G426)&amp;" dígitos",IF(NOT(ISNUMBER(VALUE(G426))),"ERRO: não numérico",IF(AND(VALUE(MID(G426,13,1))=IF(MOD(SUMPRODUCT(--MID(G426,{1,2,3,4,5,6,7,8,9,10,11,12},1),{5,4,3,2,9,8,7,6,5,4,3,2}),11)&lt;2,0,11-MOD(SUMPRODUCT(--MID(G426,{1,2,3,4,5,6,7,8,9,10,11,12},1),{5,4,3,2,9,8,7,6,5,4,3,2}),11)),VALUE(MID(G426,14,1))=IF(MOD(SUMPRODUCT(--MID(G426,{1,2,3,4,5,6,7,8,9,10,11,12,13},1),{6,5,4,3,2,9,8,7,6,5,4,3,2}),11)&lt;2,0,11-MOD(SUMPRODUCT(--MID(G426,{1,2,3,4,5,6,7,8,9,10,11,12,13},1),{6,5,4,3,2,9,8,7,6,5,4,3,2}),11))),"OK","AVISO: dígito verificador (conferir na org)"))))</f>
      </c>
      <c r="I426" s="6">
        <f>IF(G426="","",IF(COUNTIF($G$2:$G$2001,G426)&gt;1,"DUPLICADO","OK"))</f>
      </c>
      <c r="J426" s="6">
        <f>IF(COUNTA(A426:F426)=0,"",IF(AND(A426&lt;&gt;"",E426&lt;&gt;""),"OK","ERRO: faltam "&amp;IF(A426="","CNPJ; ","")&amp;IF(E426="","Novo gerente; ","")))</f>
      </c>
      <c r="K426" s="6">
        <f>IF(COUNTA(A426:F426)=0,"",IF(AND(LEFT(H426,4)&lt;&gt;"ERRO",I426="OK",J426="OK"),"OK","REVISAR"))</f>
      </c>
    </row>
    <row r="427">
      <c r="A427" s="5"/>
      <c r="B427" s="4"/>
      <c r="C427" s="4"/>
      <c r="D427" s="4"/>
      <c r="E427" s="5"/>
      <c r="F427" s="4"/>
      <c r="G427" s="6">
        <f>IF(A427="","",SUBSTITUTE(SUBSTITUTE(SUBSTITUTE(SUBSTITUTE(SUBSTITUTE(SUBSTITUTE(SUBSTITUTE(TRIM(A427),".",""),"/",""),"-","")," ",""),"(",""),")",""),"+",""))</f>
      </c>
      <c r="H427" s="6">
        <f>IF(G427="","",IF(LEN(G427)&lt;&gt;14,"ERRO: "&amp;LEN(G427)&amp;" dígitos",IF(NOT(ISNUMBER(VALUE(G427))),"ERRO: não numérico",IF(AND(VALUE(MID(G427,13,1))=IF(MOD(SUMPRODUCT(--MID(G427,{1,2,3,4,5,6,7,8,9,10,11,12},1),{5,4,3,2,9,8,7,6,5,4,3,2}),11)&lt;2,0,11-MOD(SUMPRODUCT(--MID(G427,{1,2,3,4,5,6,7,8,9,10,11,12},1),{5,4,3,2,9,8,7,6,5,4,3,2}),11)),VALUE(MID(G427,14,1))=IF(MOD(SUMPRODUCT(--MID(G427,{1,2,3,4,5,6,7,8,9,10,11,12,13},1),{6,5,4,3,2,9,8,7,6,5,4,3,2}),11)&lt;2,0,11-MOD(SUMPRODUCT(--MID(G427,{1,2,3,4,5,6,7,8,9,10,11,12,13},1),{6,5,4,3,2,9,8,7,6,5,4,3,2}),11))),"OK","AVISO: dígito verificador (conferir na org)"))))</f>
      </c>
      <c r="I427" s="6">
        <f>IF(G427="","",IF(COUNTIF($G$2:$G$2001,G427)&gt;1,"DUPLICADO","OK"))</f>
      </c>
      <c r="J427" s="6">
        <f>IF(COUNTA(A427:F427)=0,"",IF(AND(A427&lt;&gt;"",E427&lt;&gt;""),"OK","ERRO: faltam "&amp;IF(A427="","CNPJ; ","")&amp;IF(E427="","Novo gerente; ","")))</f>
      </c>
      <c r="K427" s="6">
        <f>IF(COUNTA(A427:F427)=0,"",IF(AND(LEFT(H427,4)&lt;&gt;"ERRO",I427="OK",J427="OK"),"OK","REVISAR"))</f>
      </c>
    </row>
    <row r="428">
      <c r="A428" s="5"/>
      <c r="B428" s="4"/>
      <c r="C428" s="4"/>
      <c r="D428" s="4"/>
      <c r="E428" s="5"/>
      <c r="F428" s="4"/>
      <c r="G428" s="6">
        <f>IF(A428="","",SUBSTITUTE(SUBSTITUTE(SUBSTITUTE(SUBSTITUTE(SUBSTITUTE(SUBSTITUTE(SUBSTITUTE(TRIM(A428),".",""),"/",""),"-","")," ",""),"(",""),")",""),"+",""))</f>
      </c>
      <c r="H428" s="6">
        <f>IF(G428="","",IF(LEN(G428)&lt;&gt;14,"ERRO: "&amp;LEN(G428)&amp;" dígitos",IF(NOT(ISNUMBER(VALUE(G428))),"ERRO: não numérico",IF(AND(VALUE(MID(G428,13,1))=IF(MOD(SUMPRODUCT(--MID(G428,{1,2,3,4,5,6,7,8,9,10,11,12},1),{5,4,3,2,9,8,7,6,5,4,3,2}),11)&lt;2,0,11-MOD(SUMPRODUCT(--MID(G428,{1,2,3,4,5,6,7,8,9,10,11,12},1),{5,4,3,2,9,8,7,6,5,4,3,2}),11)),VALUE(MID(G428,14,1))=IF(MOD(SUMPRODUCT(--MID(G428,{1,2,3,4,5,6,7,8,9,10,11,12,13},1),{6,5,4,3,2,9,8,7,6,5,4,3,2}),11)&lt;2,0,11-MOD(SUMPRODUCT(--MID(G428,{1,2,3,4,5,6,7,8,9,10,11,12,13},1),{6,5,4,3,2,9,8,7,6,5,4,3,2}),11))),"OK","AVISO: dígito verificador (conferir na org)"))))</f>
      </c>
      <c r="I428" s="6">
        <f>IF(G428="","",IF(COUNTIF($G$2:$G$2001,G428)&gt;1,"DUPLICADO","OK"))</f>
      </c>
      <c r="J428" s="6">
        <f>IF(COUNTA(A428:F428)=0,"",IF(AND(A428&lt;&gt;"",E428&lt;&gt;""),"OK","ERRO: faltam "&amp;IF(A428="","CNPJ; ","")&amp;IF(E428="","Novo gerente; ","")))</f>
      </c>
      <c r="K428" s="6">
        <f>IF(COUNTA(A428:F428)=0,"",IF(AND(LEFT(H428,4)&lt;&gt;"ERRO",I428="OK",J428="OK"),"OK","REVISAR"))</f>
      </c>
    </row>
    <row r="429">
      <c r="A429" s="5"/>
      <c r="B429" s="4"/>
      <c r="C429" s="4"/>
      <c r="D429" s="4"/>
      <c r="E429" s="5"/>
      <c r="F429" s="4"/>
      <c r="G429" s="6">
        <f>IF(A429="","",SUBSTITUTE(SUBSTITUTE(SUBSTITUTE(SUBSTITUTE(SUBSTITUTE(SUBSTITUTE(SUBSTITUTE(TRIM(A429),".",""),"/",""),"-","")," ",""),"(",""),")",""),"+",""))</f>
      </c>
      <c r="H429" s="6">
        <f>IF(G429="","",IF(LEN(G429)&lt;&gt;14,"ERRO: "&amp;LEN(G429)&amp;" dígitos",IF(NOT(ISNUMBER(VALUE(G429))),"ERRO: não numérico",IF(AND(VALUE(MID(G429,13,1))=IF(MOD(SUMPRODUCT(--MID(G429,{1,2,3,4,5,6,7,8,9,10,11,12},1),{5,4,3,2,9,8,7,6,5,4,3,2}),11)&lt;2,0,11-MOD(SUMPRODUCT(--MID(G429,{1,2,3,4,5,6,7,8,9,10,11,12},1),{5,4,3,2,9,8,7,6,5,4,3,2}),11)),VALUE(MID(G429,14,1))=IF(MOD(SUMPRODUCT(--MID(G429,{1,2,3,4,5,6,7,8,9,10,11,12,13},1),{6,5,4,3,2,9,8,7,6,5,4,3,2}),11)&lt;2,0,11-MOD(SUMPRODUCT(--MID(G429,{1,2,3,4,5,6,7,8,9,10,11,12,13},1),{6,5,4,3,2,9,8,7,6,5,4,3,2}),11))),"OK","AVISO: dígito verificador (conferir na org)"))))</f>
      </c>
      <c r="I429" s="6">
        <f>IF(G429="","",IF(COUNTIF($G$2:$G$2001,G429)&gt;1,"DUPLICADO","OK"))</f>
      </c>
      <c r="J429" s="6">
        <f>IF(COUNTA(A429:F429)=0,"",IF(AND(A429&lt;&gt;"",E429&lt;&gt;""),"OK","ERRO: faltam "&amp;IF(A429="","CNPJ; ","")&amp;IF(E429="","Novo gerente; ","")))</f>
      </c>
      <c r="K429" s="6">
        <f>IF(COUNTA(A429:F429)=0,"",IF(AND(LEFT(H429,4)&lt;&gt;"ERRO",I429="OK",J429="OK"),"OK","REVISAR"))</f>
      </c>
    </row>
    <row r="430">
      <c r="A430" s="5"/>
      <c r="B430" s="4"/>
      <c r="C430" s="4"/>
      <c r="D430" s="4"/>
      <c r="E430" s="5"/>
      <c r="F430" s="4"/>
      <c r="G430" s="6">
        <f>IF(A430="","",SUBSTITUTE(SUBSTITUTE(SUBSTITUTE(SUBSTITUTE(SUBSTITUTE(SUBSTITUTE(SUBSTITUTE(TRIM(A430),".",""),"/",""),"-","")," ",""),"(",""),")",""),"+",""))</f>
      </c>
      <c r="H430" s="6">
        <f>IF(G430="","",IF(LEN(G430)&lt;&gt;14,"ERRO: "&amp;LEN(G430)&amp;" dígitos",IF(NOT(ISNUMBER(VALUE(G430))),"ERRO: não numérico",IF(AND(VALUE(MID(G430,13,1))=IF(MOD(SUMPRODUCT(--MID(G430,{1,2,3,4,5,6,7,8,9,10,11,12},1),{5,4,3,2,9,8,7,6,5,4,3,2}),11)&lt;2,0,11-MOD(SUMPRODUCT(--MID(G430,{1,2,3,4,5,6,7,8,9,10,11,12},1),{5,4,3,2,9,8,7,6,5,4,3,2}),11)),VALUE(MID(G430,14,1))=IF(MOD(SUMPRODUCT(--MID(G430,{1,2,3,4,5,6,7,8,9,10,11,12,13},1),{6,5,4,3,2,9,8,7,6,5,4,3,2}),11)&lt;2,0,11-MOD(SUMPRODUCT(--MID(G430,{1,2,3,4,5,6,7,8,9,10,11,12,13},1),{6,5,4,3,2,9,8,7,6,5,4,3,2}),11))),"OK","AVISO: dígito verificador (conferir na org)"))))</f>
      </c>
      <c r="I430" s="6">
        <f>IF(G430="","",IF(COUNTIF($G$2:$G$2001,G430)&gt;1,"DUPLICADO","OK"))</f>
      </c>
      <c r="J430" s="6">
        <f>IF(COUNTA(A430:F430)=0,"",IF(AND(A430&lt;&gt;"",E430&lt;&gt;""),"OK","ERRO: faltam "&amp;IF(A430="","CNPJ; ","")&amp;IF(E430="","Novo gerente; ","")))</f>
      </c>
      <c r="K430" s="6">
        <f>IF(COUNTA(A430:F430)=0,"",IF(AND(LEFT(H430,4)&lt;&gt;"ERRO",I430="OK",J430="OK"),"OK","REVISAR"))</f>
      </c>
    </row>
    <row r="431">
      <c r="A431" s="5"/>
      <c r="B431" s="4"/>
      <c r="C431" s="4"/>
      <c r="D431" s="4"/>
      <c r="E431" s="5"/>
      <c r="F431" s="4"/>
      <c r="G431" s="6">
        <f>IF(A431="","",SUBSTITUTE(SUBSTITUTE(SUBSTITUTE(SUBSTITUTE(SUBSTITUTE(SUBSTITUTE(SUBSTITUTE(TRIM(A431),".",""),"/",""),"-","")," ",""),"(",""),")",""),"+",""))</f>
      </c>
      <c r="H431" s="6">
        <f>IF(G431="","",IF(LEN(G431)&lt;&gt;14,"ERRO: "&amp;LEN(G431)&amp;" dígitos",IF(NOT(ISNUMBER(VALUE(G431))),"ERRO: não numérico",IF(AND(VALUE(MID(G431,13,1))=IF(MOD(SUMPRODUCT(--MID(G431,{1,2,3,4,5,6,7,8,9,10,11,12},1),{5,4,3,2,9,8,7,6,5,4,3,2}),11)&lt;2,0,11-MOD(SUMPRODUCT(--MID(G431,{1,2,3,4,5,6,7,8,9,10,11,12},1),{5,4,3,2,9,8,7,6,5,4,3,2}),11)),VALUE(MID(G431,14,1))=IF(MOD(SUMPRODUCT(--MID(G431,{1,2,3,4,5,6,7,8,9,10,11,12,13},1),{6,5,4,3,2,9,8,7,6,5,4,3,2}),11)&lt;2,0,11-MOD(SUMPRODUCT(--MID(G431,{1,2,3,4,5,6,7,8,9,10,11,12,13},1),{6,5,4,3,2,9,8,7,6,5,4,3,2}),11))),"OK","AVISO: dígito verificador (conferir na org)"))))</f>
      </c>
      <c r="I431" s="6">
        <f>IF(G431="","",IF(COUNTIF($G$2:$G$2001,G431)&gt;1,"DUPLICADO","OK"))</f>
      </c>
      <c r="J431" s="6">
        <f>IF(COUNTA(A431:F431)=0,"",IF(AND(A431&lt;&gt;"",E431&lt;&gt;""),"OK","ERRO: faltam "&amp;IF(A431="","CNPJ; ","")&amp;IF(E431="","Novo gerente; ","")))</f>
      </c>
      <c r="K431" s="6">
        <f>IF(COUNTA(A431:F431)=0,"",IF(AND(LEFT(H431,4)&lt;&gt;"ERRO",I431="OK",J431="OK"),"OK","REVISAR"))</f>
      </c>
    </row>
    <row r="432">
      <c r="A432" s="5"/>
      <c r="B432" s="4"/>
      <c r="C432" s="4"/>
      <c r="D432" s="4"/>
      <c r="E432" s="5"/>
      <c r="F432" s="4"/>
      <c r="G432" s="6">
        <f>IF(A432="","",SUBSTITUTE(SUBSTITUTE(SUBSTITUTE(SUBSTITUTE(SUBSTITUTE(SUBSTITUTE(SUBSTITUTE(TRIM(A432),".",""),"/",""),"-","")," ",""),"(",""),")",""),"+",""))</f>
      </c>
      <c r="H432" s="6">
        <f>IF(G432="","",IF(LEN(G432)&lt;&gt;14,"ERRO: "&amp;LEN(G432)&amp;" dígitos",IF(NOT(ISNUMBER(VALUE(G432))),"ERRO: não numérico",IF(AND(VALUE(MID(G432,13,1))=IF(MOD(SUMPRODUCT(--MID(G432,{1,2,3,4,5,6,7,8,9,10,11,12},1),{5,4,3,2,9,8,7,6,5,4,3,2}),11)&lt;2,0,11-MOD(SUMPRODUCT(--MID(G432,{1,2,3,4,5,6,7,8,9,10,11,12},1),{5,4,3,2,9,8,7,6,5,4,3,2}),11)),VALUE(MID(G432,14,1))=IF(MOD(SUMPRODUCT(--MID(G432,{1,2,3,4,5,6,7,8,9,10,11,12,13},1),{6,5,4,3,2,9,8,7,6,5,4,3,2}),11)&lt;2,0,11-MOD(SUMPRODUCT(--MID(G432,{1,2,3,4,5,6,7,8,9,10,11,12,13},1),{6,5,4,3,2,9,8,7,6,5,4,3,2}),11))),"OK","AVISO: dígito verificador (conferir na org)"))))</f>
      </c>
      <c r="I432" s="6">
        <f>IF(G432="","",IF(COUNTIF($G$2:$G$2001,G432)&gt;1,"DUPLICADO","OK"))</f>
      </c>
      <c r="J432" s="6">
        <f>IF(COUNTA(A432:F432)=0,"",IF(AND(A432&lt;&gt;"",E432&lt;&gt;""),"OK","ERRO: faltam "&amp;IF(A432="","CNPJ; ","")&amp;IF(E432="","Novo gerente; ","")))</f>
      </c>
      <c r="K432" s="6">
        <f>IF(COUNTA(A432:F432)=0,"",IF(AND(LEFT(H432,4)&lt;&gt;"ERRO",I432="OK",J432="OK"),"OK","REVISAR"))</f>
      </c>
    </row>
    <row r="433">
      <c r="A433" s="5"/>
      <c r="B433" s="4"/>
      <c r="C433" s="4"/>
      <c r="D433" s="4"/>
      <c r="E433" s="5"/>
      <c r="F433" s="4"/>
      <c r="G433" s="6">
        <f>IF(A433="","",SUBSTITUTE(SUBSTITUTE(SUBSTITUTE(SUBSTITUTE(SUBSTITUTE(SUBSTITUTE(SUBSTITUTE(TRIM(A433),".",""),"/",""),"-","")," ",""),"(",""),")",""),"+",""))</f>
      </c>
      <c r="H433" s="6">
        <f>IF(G433="","",IF(LEN(G433)&lt;&gt;14,"ERRO: "&amp;LEN(G433)&amp;" dígitos",IF(NOT(ISNUMBER(VALUE(G433))),"ERRO: não numérico",IF(AND(VALUE(MID(G433,13,1))=IF(MOD(SUMPRODUCT(--MID(G433,{1,2,3,4,5,6,7,8,9,10,11,12},1),{5,4,3,2,9,8,7,6,5,4,3,2}),11)&lt;2,0,11-MOD(SUMPRODUCT(--MID(G433,{1,2,3,4,5,6,7,8,9,10,11,12},1),{5,4,3,2,9,8,7,6,5,4,3,2}),11)),VALUE(MID(G433,14,1))=IF(MOD(SUMPRODUCT(--MID(G433,{1,2,3,4,5,6,7,8,9,10,11,12,13},1),{6,5,4,3,2,9,8,7,6,5,4,3,2}),11)&lt;2,0,11-MOD(SUMPRODUCT(--MID(G433,{1,2,3,4,5,6,7,8,9,10,11,12,13},1),{6,5,4,3,2,9,8,7,6,5,4,3,2}),11))),"OK","AVISO: dígito verificador (conferir na org)"))))</f>
      </c>
      <c r="I433" s="6">
        <f>IF(G433="","",IF(COUNTIF($G$2:$G$2001,G433)&gt;1,"DUPLICADO","OK"))</f>
      </c>
      <c r="J433" s="6">
        <f>IF(COUNTA(A433:F433)=0,"",IF(AND(A433&lt;&gt;"",E433&lt;&gt;""),"OK","ERRO: faltam "&amp;IF(A433="","CNPJ; ","")&amp;IF(E433="","Novo gerente; ","")))</f>
      </c>
      <c r="K433" s="6">
        <f>IF(COUNTA(A433:F433)=0,"",IF(AND(LEFT(H433,4)&lt;&gt;"ERRO",I433="OK",J433="OK"),"OK","REVISAR"))</f>
      </c>
    </row>
    <row r="434">
      <c r="A434" s="5"/>
      <c r="B434" s="4"/>
      <c r="C434" s="4"/>
      <c r="D434" s="4"/>
      <c r="E434" s="5"/>
      <c r="F434" s="4"/>
      <c r="G434" s="6">
        <f>IF(A434="","",SUBSTITUTE(SUBSTITUTE(SUBSTITUTE(SUBSTITUTE(SUBSTITUTE(SUBSTITUTE(SUBSTITUTE(TRIM(A434),".",""),"/",""),"-","")," ",""),"(",""),")",""),"+",""))</f>
      </c>
      <c r="H434" s="6">
        <f>IF(G434="","",IF(LEN(G434)&lt;&gt;14,"ERRO: "&amp;LEN(G434)&amp;" dígitos",IF(NOT(ISNUMBER(VALUE(G434))),"ERRO: não numérico",IF(AND(VALUE(MID(G434,13,1))=IF(MOD(SUMPRODUCT(--MID(G434,{1,2,3,4,5,6,7,8,9,10,11,12},1),{5,4,3,2,9,8,7,6,5,4,3,2}),11)&lt;2,0,11-MOD(SUMPRODUCT(--MID(G434,{1,2,3,4,5,6,7,8,9,10,11,12},1),{5,4,3,2,9,8,7,6,5,4,3,2}),11)),VALUE(MID(G434,14,1))=IF(MOD(SUMPRODUCT(--MID(G434,{1,2,3,4,5,6,7,8,9,10,11,12,13},1),{6,5,4,3,2,9,8,7,6,5,4,3,2}),11)&lt;2,0,11-MOD(SUMPRODUCT(--MID(G434,{1,2,3,4,5,6,7,8,9,10,11,12,13},1),{6,5,4,3,2,9,8,7,6,5,4,3,2}),11))),"OK","AVISO: dígito verificador (conferir na org)"))))</f>
      </c>
      <c r="I434" s="6">
        <f>IF(G434="","",IF(COUNTIF($G$2:$G$2001,G434)&gt;1,"DUPLICADO","OK"))</f>
      </c>
      <c r="J434" s="6">
        <f>IF(COUNTA(A434:F434)=0,"",IF(AND(A434&lt;&gt;"",E434&lt;&gt;""),"OK","ERRO: faltam "&amp;IF(A434="","CNPJ; ","")&amp;IF(E434="","Novo gerente; ","")))</f>
      </c>
      <c r="K434" s="6">
        <f>IF(COUNTA(A434:F434)=0,"",IF(AND(LEFT(H434,4)&lt;&gt;"ERRO",I434="OK",J434="OK"),"OK","REVISAR"))</f>
      </c>
    </row>
    <row r="435">
      <c r="A435" s="5"/>
      <c r="B435" s="4"/>
      <c r="C435" s="4"/>
      <c r="D435" s="4"/>
      <c r="E435" s="5"/>
      <c r="F435" s="4"/>
      <c r="G435" s="6">
        <f>IF(A435="","",SUBSTITUTE(SUBSTITUTE(SUBSTITUTE(SUBSTITUTE(SUBSTITUTE(SUBSTITUTE(SUBSTITUTE(TRIM(A435),".",""),"/",""),"-","")," ",""),"(",""),")",""),"+",""))</f>
      </c>
      <c r="H435" s="6">
        <f>IF(G435="","",IF(LEN(G435)&lt;&gt;14,"ERRO: "&amp;LEN(G435)&amp;" dígitos",IF(NOT(ISNUMBER(VALUE(G435))),"ERRO: não numérico",IF(AND(VALUE(MID(G435,13,1))=IF(MOD(SUMPRODUCT(--MID(G435,{1,2,3,4,5,6,7,8,9,10,11,12},1),{5,4,3,2,9,8,7,6,5,4,3,2}),11)&lt;2,0,11-MOD(SUMPRODUCT(--MID(G435,{1,2,3,4,5,6,7,8,9,10,11,12},1),{5,4,3,2,9,8,7,6,5,4,3,2}),11)),VALUE(MID(G435,14,1))=IF(MOD(SUMPRODUCT(--MID(G435,{1,2,3,4,5,6,7,8,9,10,11,12,13},1),{6,5,4,3,2,9,8,7,6,5,4,3,2}),11)&lt;2,0,11-MOD(SUMPRODUCT(--MID(G435,{1,2,3,4,5,6,7,8,9,10,11,12,13},1),{6,5,4,3,2,9,8,7,6,5,4,3,2}),11))),"OK","AVISO: dígito verificador (conferir na org)"))))</f>
      </c>
      <c r="I435" s="6">
        <f>IF(G435="","",IF(COUNTIF($G$2:$G$2001,G435)&gt;1,"DUPLICADO","OK"))</f>
      </c>
      <c r="J435" s="6">
        <f>IF(COUNTA(A435:F435)=0,"",IF(AND(A435&lt;&gt;"",E435&lt;&gt;""),"OK","ERRO: faltam "&amp;IF(A435="","CNPJ; ","")&amp;IF(E435="","Novo gerente; ","")))</f>
      </c>
      <c r="K435" s="6">
        <f>IF(COUNTA(A435:F435)=0,"",IF(AND(LEFT(H435,4)&lt;&gt;"ERRO",I435="OK",J435="OK"),"OK","REVISAR"))</f>
      </c>
    </row>
    <row r="436">
      <c r="A436" s="5"/>
      <c r="B436" s="4"/>
      <c r="C436" s="4"/>
      <c r="D436" s="4"/>
      <c r="E436" s="5"/>
      <c r="F436" s="4"/>
      <c r="G436" s="6">
        <f>IF(A436="","",SUBSTITUTE(SUBSTITUTE(SUBSTITUTE(SUBSTITUTE(SUBSTITUTE(SUBSTITUTE(SUBSTITUTE(TRIM(A436),".",""),"/",""),"-","")," ",""),"(",""),")",""),"+",""))</f>
      </c>
      <c r="H436" s="6">
        <f>IF(G436="","",IF(LEN(G436)&lt;&gt;14,"ERRO: "&amp;LEN(G436)&amp;" dígitos",IF(NOT(ISNUMBER(VALUE(G436))),"ERRO: não numérico",IF(AND(VALUE(MID(G436,13,1))=IF(MOD(SUMPRODUCT(--MID(G436,{1,2,3,4,5,6,7,8,9,10,11,12},1),{5,4,3,2,9,8,7,6,5,4,3,2}),11)&lt;2,0,11-MOD(SUMPRODUCT(--MID(G436,{1,2,3,4,5,6,7,8,9,10,11,12},1),{5,4,3,2,9,8,7,6,5,4,3,2}),11)),VALUE(MID(G436,14,1))=IF(MOD(SUMPRODUCT(--MID(G436,{1,2,3,4,5,6,7,8,9,10,11,12,13},1),{6,5,4,3,2,9,8,7,6,5,4,3,2}),11)&lt;2,0,11-MOD(SUMPRODUCT(--MID(G436,{1,2,3,4,5,6,7,8,9,10,11,12,13},1),{6,5,4,3,2,9,8,7,6,5,4,3,2}),11))),"OK","AVISO: dígito verificador (conferir na org)"))))</f>
      </c>
      <c r="I436" s="6">
        <f>IF(G436="","",IF(COUNTIF($G$2:$G$2001,G436)&gt;1,"DUPLICADO","OK"))</f>
      </c>
      <c r="J436" s="6">
        <f>IF(COUNTA(A436:F436)=0,"",IF(AND(A436&lt;&gt;"",E436&lt;&gt;""),"OK","ERRO: faltam "&amp;IF(A436="","CNPJ; ","")&amp;IF(E436="","Novo gerente; ","")))</f>
      </c>
      <c r="K436" s="6">
        <f>IF(COUNTA(A436:F436)=0,"",IF(AND(LEFT(H436,4)&lt;&gt;"ERRO",I436="OK",J436="OK"),"OK","REVISAR"))</f>
      </c>
    </row>
    <row r="437">
      <c r="A437" s="5"/>
      <c r="B437" s="4"/>
      <c r="C437" s="4"/>
      <c r="D437" s="4"/>
      <c r="E437" s="5"/>
      <c r="F437" s="4"/>
      <c r="G437" s="6">
        <f>IF(A437="","",SUBSTITUTE(SUBSTITUTE(SUBSTITUTE(SUBSTITUTE(SUBSTITUTE(SUBSTITUTE(SUBSTITUTE(TRIM(A437),".",""),"/",""),"-","")," ",""),"(",""),")",""),"+",""))</f>
      </c>
      <c r="H437" s="6">
        <f>IF(G437="","",IF(LEN(G437)&lt;&gt;14,"ERRO: "&amp;LEN(G437)&amp;" dígitos",IF(NOT(ISNUMBER(VALUE(G437))),"ERRO: não numérico",IF(AND(VALUE(MID(G437,13,1))=IF(MOD(SUMPRODUCT(--MID(G437,{1,2,3,4,5,6,7,8,9,10,11,12},1),{5,4,3,2,9,8,7,6,5,4,3,2}),11)&lt;2,0,11-MOD(SUMPRODUCT(--MID(G437,{1,2,3,4,5,6,7,8,9,10,11,12},1),{5,4,3,2,9,8,7,6,5,4,3,2}),11)),VALUE(MID(G437,14,1))=IF(MOD(SUMPRODUCT(--MID(G437,{1,2,3,4,5,6,7,8,9,10,11,12,13},1),{6,5,4,3,2,9,8,7,6,5,4,3,2}),11)&lt;2,0,11-MOD(SUMPRODUCT(--MID(G437,{1,2,3,4,5,6,7,8,9,10,11,12,13},1),{6,5,4,3,2,9,8,7,6,5,4,3,2}),11))),"OK","AVISO: dígito verificador (conferir na org)"))))</f>
      </c>
      <c r="I437" s="6">
        <f>IF(G437="","",IF(COUNTIF($G$2:$G$2001,G437)&gt;1,"DUPLICADO","OK"))</f>
      </c>
      <c r="J437" s="6">
        <f>IF(COUNTA(A437:F437)=0,"",IF(AND(A437&lt;&gt;"",E437&lt;&gt;""),"OK","ERRO: faltam "&amp;IF(A437="","CNPJ; ","")&amp;IF(E437="","Novo gerente; ","")))</f>
      </c>
      <c r="K437" s="6">
        <f>IF(COUNTA(A437:F437)=0,"",IF(AND(LEFT(H437,4)&lt;&gt;"ERRO",I437="OK",J437="OK"),"OK","REVISAR"))</f>
      </c>
    </row>
    <row r="438">
      <c r="A438" s="5"/>
      <c r="B438" s="4"/>
      <c r="C438" s="4"/>
      <c r="D438" s="4"/>
      <c r="E438" s="5"/>
      <c r="F438" s="4"/>
      <c r="G438" s="6">
        <f>IF(A438="","",SUBSTITUTE(SUBSTITUTE(SUBSTITUTE(SUBSTITUTE(SUBSTITUTE(SUBSTITUTE(SUBSTITUTE(TRIM(A438),".",""),"/",""),"-","")," ",""),"(",""),")",""),"+",""))</f>
      </c>
      <c r="H438" s="6">
        <f>IF(G438="","",IF(LEN(G438)&lt;&gt;14,"ERRO: "&amp;LEN(G438)&amp;" dígitos",IF(NOT(ISNUMBER(VALUE(G438))),"ERRO: não numérico",IF(AND(VALUE(MID(G438,13,1))=IF(MOD(SUMPRODUCT(--MID(G438,{1,2,3,4,5,6,7,8,9,10,11,12},1),{5,4,3,2,9,8,7,6,5,4,3,2}),11)&lt;2,0,11-MOD(SUMPRODUCT(--MID(G438,{1,2,3,4,5,6,7,8,9,10,11,12},1),{5,4,3,2,9,8,7,6,5,4,3,2}),11)),VALUE(MID(G438,14,1))=IF(MOD(SUMPRODUCT(--MID(G438,{1,2,3,4,5,6,7,8,9,10,11,12,13},1),{6,5,4,3,2,9,8,7,6,5,4,3,2}),11)&lt;2,0,11-MOD(SUMPRODUCT(--MID(G438,{1,2,3,4,5,6,7,8,9,10,11,12,13},1),{6,5,4,3,2,9,8,7,6,5,4,3,2}),11))),"OK","AVISO: dígito verificador (conferir na org)"))))</f>
      </c>
      <c r="I438" s="6">
        <f>IF(G438="","",IF(COUNTIF($G$2:$G$2001,G438)&gt;1,"DUPLICADO","OK"))</f>
      </c>
      <c r="J438" s="6">
        <f>IF(COUNTA(A438:F438)=0,"",IF(AND(A438&lt;&gt;"",E438&lt;&gt;""),"OK","ERRO: faltam "&amp;IF(A438="","CNPJ; ","")&amp;IF(E438="","Novo gerente; ","")))</f>
      </c>
      <c r="K438" s="6">
        <f>IF(COUNTA(A438:F438)=0,"",IF(AND(LEFT(H438,4)&lt;&gt;"ERRO",I438="OK",J438="OK"),"OK","REVISAR"))</f>
      </c>
    </row>
    <row r="439">
      <c r="A439" s="5"/>
      <c r="B439" s="4"/>
      <c r="C439" s="4"/>
      <c r="D439" s="4"/>
      <c r="E439" s="5"/>
      <c r="F439" s="4"/>
      <c r="G439" s="6">
        <f>IF(A439="","",SUBSTITUTE(SUBSTITUTE(SUBSTITUTE(SUBSTITUTE(SUBSTITUTE(SUBSTITUTE(SUBSTITUTE(TRIM(A439),".",""),"/",""),"-","")," ",""),"(",""),")",""),"+",""))</f>
      </c>
      <c r="H439" s="6">
        <f>IF(G439="","",IF(LEN(G439)&lt;&gt;14,"ERRO: "&amp;LEN(G439)&amp;" dígitos",IF(NOT(ISNUMBER(VALUE(G439))),"ERRO: não numérico",IF(AND(VALUE(MID(G439,13,1))=IF(MOD(SUMPRODUCT(--MID(G439,{1,2,3,4,5,6,7,8,9,10,11,12},1),{5,4,3,2,9,8,7,6,5,4,3,2}),11)&lt;2,0,11-MOD(SUMPRODUCT(--MID(G439,{1,2,3,4,5,6,7,8,9,10,11,12},1),{5,4,3,2,9,8,7,6,5,4,3,2}),11)),VALUE(MID(G439,14,1))=IF(MOD(SUMPRODUCT(--MID(G439,{1,2,3,4,5,6,7,8,9,10,11,12,13},1),{6,5,4,3,2,9,8,7,6,5,4,3,2}),11)&lt;2,0,11-MOD(SUMPRODUCT(--MID(G439,{1,2,3,4,5,6,7,8,9,10,11,12,13},1),{6,5,4,3,2,9,8,7,6,5,4,3,2}),11))),"OK","AVISO: dígito verificador (conferir na org)"))))</f>
      </c>
      <c r="I439" s="6">
        <f>IF(G439="","",IF(COUNTIF($G$2:$G$2001,G439)&gt;1,"DUPLICADO","OK"))</f>
      </c>
      <c r="J439" s="6">
        <f>IF(COUNTA(A439:F439)=0,"",IF(AND(A439&lt;&gt;"",E439&lt;&gt;""),"OK","ERRO: faltam "&amp;IF(A439="","CNPJ; ","")&amp;IF(E439="","Novo gerente; ","")))</f>
      </c>
      <c r="K439" s="6">
        <f>IF(COUNTA(A439:F439)=0,"",IF(AND(LEFT(H439,4)&lt;&gt;"ERRO",I439="OK",J439="OK"),"OK","REVISAR"))</f>
      </c>
    </row>
    <row r="440">
      <c r="A440" s="5"/>
      <c r="B440" s="4"/>
      <c r="C440" s="4"/>
      <c r="D440" s="4"/>
      <c r="E440" s="5"/>
      <c r="F440" s="4"/>
      <c r="G440" s="6">
        <f>IF(A440="","",SUBSTITUTE(SUBSTITUTE(SUBSTITUTE(SUBSTITUTE(SUBSTITUTE(SUBSTITUTE(SUBSTITUTE(TRIM(A440),".",""),"/",""),"-","")," ",""),"(",""),")",""),"+",""))</f>
      </c>
      <c r="H440" s="6">
        <f>IF(G440="","",IF(LEN(G440)&lt;&gt;14,"ERRO: "&amp;LEN(G440)&amp;" dígitos",IF(NOT(ISNUMBER(VALUE(G440))),"ERRO: não numérico",IF(AND(VALUE(MID(G440,13,1))=IF(MOD(SUMPRODUCT(--MID(G440,{1,2,3,4,5,6,7,8,9,10,11,12},1),{5,4,3,2,9,8,7,6,5,4,3,2}),11)&lt;2,0,11-MOD(SUMPRODUCT(--MID(G440,{1,2,3,4,5,6,7,8,9,10,11,12},1),{5,4,3,2,9,8,7,6,5,4,3,2}),11)),VALUE(MID(G440,14,1))=IF(MOD(SUMPRODUCT(--MID(G440,{1,2,3,4,5,6,7,8,9,10,11,12,13},1),{6,5,4,3,2,9,8,7,6,5,4,3,2}),11)&lt;2,0,11-MOD(SUMPRODUCT(--MID(G440,{1,2,3,4,5,6,7,8,9,10,11,12,13},1),{6,5,4,3,2,9,8,7,6,5,4,3,2}),11))),"OK","AVISO: dígito verificador (conferir na org)"))))</f>
      </c>
      <c r="I440" s="6">
        <f>IF(G440="","",IF(COUNTIF($G$2:$G$2001,G440)&gt;1,"DUPLICADO","OK"))</f>
      </c>
      <c r="J440" s="6">
        <f>IF(COUNTA(A440:F440)=0,"",IF(AND(A440&lt;&gt;"",E440&lt;&gt;""),"OK","ERRO: faltam "&amp;IF(A440="","CNPJ; ","")&amp;IF(E440="","Novo gerente; ","")))</f>
      </c>
      <c r="K440" s="6">
        <f>IF(COUNTA(A440:F440)=0,"",IF(AND(LEFT(H440,4)&lt;&gt;"ERRO",I440="OK",J440="OK"),"OK","REVISAR"))</f>
      </c>
    </row>
    <row r="441">
      <c r="A441" s="5"/>
      <c r="B441" s="4"/>
      <c r="C441" s="4"/>
      <c r="D441" s="4"/>
      <c r="E441" s="5"/>
      <c r="F441" s="4"/>
      <c r="G441" s="6">
        <f>IF(A441="","",SUBSTITUTE(SUBSTITUTE(SUBSTITUTE(SUBSTITUTE(SUBSTITUTE(SUBSTITUTE(SUBSTITUTE(TRIM(A441),".",""),"/",""),"-","")," ",""),"(",""),")",""),"+",""))</f>
      </c>
      <c r="H441" s="6">
        <f>IF(G441="","",IF(LEN(G441)&lt;&gt;14,"ERRO: "&amp;LEN(G441)&amp;" dígitos",IF(NOT(ISNUMBER(VALUE(G441))),"ERRO: não numérico",IF(AND(VALUE(MID(G441,13,1))=IF(MOD(SUMPRODUCT(--MID(G441,{1,2,3,4,5,6,7,8,9,10,11,12},1),{5,4,3,2,9,8,7,6,5,4,3,2}),11)&lt;2,0,11-MOD(SUMPRODUCT(--MID(G441,{1,2,3,4,5,6,7,8,9,10,11,12},1),{5,4,3,2,9,8,7,6,5,4,3,2}),11)),VALUE(MID(G441,14,1))=IF(MOD(SUMPRODUCT(--MID(G441,{1,2,3,4,5,6,7,8,9,10,11,12,13},1),{6,5,4,3,2,9,8,7,6,5,4,3,2}),11)&lt;2,0,11-MOD(SUMPRODUCT(--MID(G441,{1,2,3,4,5,6,7,8,9,10,11,12,13},1),{6,5,4,3,2,9,8,7,6,5,4,3,2}),11))),"OK","AVISO: dígito verificador (conferir na org)"))))</f>
      </c>
      <c r="I441" s="6">
        <f>IF(G441="","",IF(COUNTIF($G$2:$G$2001,G441)&gt;1,"DUPLICADO","OK"))</f>
      </c>
      <c r="J441" s="6">
        <f>IF(COUNTA(A441:F441)=0,"",IF(AND(A441&lt;&gt;"",E441&lt;&gt;""),"OK","ERRO: faltam "&amp;IF(A441="","CNPJ; ","")&amp;IF(E441="","Novo gerente; ","")))</f>
      </c>
      <c r="K441" s="6">
        <f>IF(COUNTA(A441:F441)=0,"",IF(AND(LEFT(H441,4)&lt;&gt;"ERRO",I441="OK",J441="OK"),"OK","REVISAR"))</f>
      </c>
    </row>
    <row r="442">
      <c r="A442" s="5"/>
      <c r="B442" s="4"/>
      <c r="C442" s="4"/>
      <c r="D442" s="4"/>
      <c r="E442" s="5"/>
      <c r="F442" s="4"/>
      <c r="G442" s="6">
        <f>IF(A442="","",SUBSTITUTE(SUBSTITUTE(SUBSTITUTE(SUBSTITUTE(SUBSTITUTE(SUBSTITUTE(SUBSTITUTE(TRIM(A442),".",""),"/",""),"-","")," ",""),"(",""),")",""),"+",""))</f>
      </c>
      <c r="H442" s="6">
        <f>IF(G442="","",IF(LEN(G442)&lt;&gt;14,"ERRO: "&amp;LEN(G442)&amp;" dígitos",IF(NOT(ISNUMBER(VALUE(G442))),"ERRO: não numérico",IF(AND(VALUE(MID(G442,13,1))=IF(MOD(SUMPRODUCT(--MID(G442,{1,2,3,4,5,6,7,8,9,10,11,12},1),{5,4,3,2,9,8,7,6,5,4,3,2}),11)&lt;2,0,11-MOD(SUMPRODUCT(--MID(G442,{1,2,3,4,5,6,7,8,9,10,11,12},1),{5,4,3,2,9,8,7,6,5,4,3,2}),11)),VALUE(MID(G442,14,1))=IF(MOD(SUMPRODUCT(--MID(G442,{1,2,3,4,5,6,7,8,9,10,11,12,13},1),{6,5,4,3,2,9,8,7,6,5,4,3,2}),11)&lt;2,0,11-MOD(SUMPRODUCT(--MID(G442,{1,2,3,4,5,6,7,8,9,10,11,12,13},1),{6,5,4,3,2,9,8,7,6,5,4,3,2}),11))),"OK","AVISO: dígito verificador (conferir na org)"))))</f>
      </c>
      <c r="I442" s="6">
        <f>IF(G442="","",IF(COUNTIF($G$2:$G$2001,G442)&gt;1,"DUPLICADO","OK"))</f>
      </c>
      <c r="J442" s="6">
        <f>IF(COUNTA(A442:F442)=0,"",IF(AND(A442&lt;&gt;"",E442&lt;&gt;""),"OK","ERRO: faltam "&amp;IF(A442="","CNPJ; ","")&amp;IF(E442="","Novo gerente; ","")))</f>
      </c>
      <c r="K442" s="6">
        <f>IF(COUNTA(A442:F442)=0,"",IF(AND(LEFT(H442,4)&lt;&gt;"ERRO",I442="OK",J442="OK"),"OK","REVISAR"))</f>
      </c>
    </row>
    <row r="443">
      <c r="A443" s="5"/>
      <c r="B443" s="4"/>
      <c r="C443" s="4"/>
      <c r="D443" s="4"/>
      <c r="E443" s="5"/>
      <c r="F443" s="4"/>
      <c r="G443" s="6">
        <f>IF(A443="","",SUBSTITUTE(SUBSTITUTE(SUBSTITUTE(SUBSTITUTE(SUBSTITUTE(SUBSTITUTE(SUBSTITUTE(TRIM(A443),".",""),"/",""),"-","")," ",""),"(",""),")",""),"+",""))</f>
      </c>
      <c r="H443" s="6">
        <f>IF(G443="","",IF(LEN(G443)&lt;&gt;14,"ERRO: "&amp;LEN(G443)&amp;" dígitos",IF(NOT(ISNUMBER(VALUE(G443))),"ERRO: não numérico",IF(AND(VALUE(MID(G443,13,1))=IF(MOD(SUMPRODUCT(--MID(G443,{1,2,3,4,5,6,7,8,9,10,11,12},1),{5,4,3,2,9,8,7,6,5,4,3,2}),11)&lt;2,0,11-MOD(SUMPRODUCT(--MID(G443,{1,2,3,4,5,6,7,8,9,10,11,12},1),{5,4,3,2,9,8,7,6,5,4,3,2}),11)),VALUE(MID(G443,14,1))=IF(MOD(SUMPRODUCT(--MID(G443,{1,2,3,4,5,6,7,8,9,10,11,12,13},1),{6,5,4,3,2,9,8,7,6,5,4,3,2}),11)&lt;2,0,11-MOD(SUMPRODUCT(--MID(G443,{1,2,3,4,5,6,7,8,9,10,11,12,13},1),{6,5,4,3,2,9,8,7,6,5,4,3,2}),11))),"OK","AVISO: dígito verificador (conferir na org)"))))</f>
      </c>
      <c r="I443" s="6">
        <f>IF(G443="","",IF(COUNTIF($G$2:$G$2001,G443)&gt;1,"DUPLICADO","OK"))</f>
      </c>
      <c r="J443" s="6">
        <f>IF(COUNTA(A443:F443)=0,"",IF(AND(A443&lt;&gt;"",E443&lt;&gt;""),"OK","ERRO: faltam "&amp;IF(A443="","CNPJ; ","")&amp;IF(E443="","Novo gerente; ","")))</f>
      </c>
      <c r="K443" s="6">
        <f>IF(COUNTA(A443:F443)=0,"",IF(AND(LEFT(H443,4)&lt;&gt;"ERRO",I443="OK",J443="OK"),"OK","REVISAR"))</f>
      </c>
    </row>
    <row r="444">
      <c r="A444" s="5"/>
      <c r="B444" s="4"/>
      <c r="C444" s="4"/>
      <c r="D444" s="4"/>
      <c r="E444" s="5"/>
      <c r="F444" s="4"/>
      <c r="G444" s="6">
        <f>IF(A444="","",SUBSTITUTE(SUBSTITUTE(SUBSTITUTE(SUBSTITUTE(SUBSTITUTE(SUBSTITUTE(SUBSTITUTE(TRIM(A444),".",""),"/",""),"-","")," ",""),"(",""),")",""),"+",""))</f>
      </c>
      <c r="H444" s="6">
        <f>IF(G444="","",IF(LEN(G444)&lt;&gt;14,"ERRO: "&amp;LEN(G444)&amp;" dígitos",IF(NOT(ISNUMBER(VALUE(G444))),"ERRO: não numérico",IF(AND(VALUE(MID(G444,13,1))=IF(MOD(SUMPRODUCT(--MID(G444,{1,2,3,4,5,6,7,8,9,10,11,12},1),{5,4,3,2,9,8,7,6,5,4,3,2}),11)&lt;2,0,11-MOD(SUMPRODUCT(--MID(G444,{1,2,3,4,5,6,7,8,9,10,11,12},1),{5,4,3,2,9,8,7,6,5,4,3,2}),11)),VALUE(MID(G444,14,1))=IF(MOD(SUMPRODUCT(--MID(G444,{1,2,3,4,5,6,7,8,9,10,11,12,13},1),{6,5,4,3,2,9,8,7,6,5,4,3,2}),11)&lt;2,0,11-MOD(SUMPRODUCT(--MID(G444,{1,2,3,4,5,6,7,8,9,10,11,12,13},1),{6,5,4,3,2,9,8,7,6,5,4,3,2}),11))),"OK","AVISO: dígito verificador (conferir na org)"))))</f>
      </c>
      <c r="I444" s="6">
        <f>IF(G444="","",IF(COUNTIF($G$2:$G$2001,G444)&gt;1,"DUPLICADO","OK"))</f>
      </c>
      <c r="J444" s="6">
        <f>IF(COUNTA(A444:F444)=0,"",IF(AND(A444&lt;&gt;"",E444&lt;&gt;""),"OK","ERRO: faltam "&amp;IF(A444="","CNPJ; ","")&amp;IF(E444="","Novo gerente; ","")))</f>
      </c>
      <c r="K444" s="6">
        <f>IF(COUNTA(A444:F444)=0,"",IF(AND(LEFT(H444,4)&lt;&gt;"ERRO",I444="OK",J444="OK"),"OK","REVISAR"))</f>
      </c>
    </row>
    <row r="445">
      <c r="A445" s="5"/>
      <c r="B445" s="4"/>
      <c r="C445" s="4"/>
      <c r="D445" s="4"/>
      <c r="E445" s="5"/>
      <c r="F445" s="4"/>
      <c r="G445" s="6">
        <f>IF(A445="","",SUBSTITUTE(SUBSTITUTE(SUBSTITUTE(SUBSTITUTE(SUBSTITUTE(SUBSTITUTE(SUBSTITUTE(TRIM(A445),".",""),"/",""),"-","")," ",""),"(",""),")",""),"+",""))</f>
      </c>
      <c r="H445" s="6">
        <f>IF(G445="","",IF(LEN(G445)&lt;&gt;14,"ERRO: "&amp;LEN(G445)&amp;" dígitos",IF(NOT(ISNUMBER(VALUE(G445))),"ERRO: não numérico",IF(AND(VALUE(MID(G445,13,1))=IF(MOD(SUMPRODUCT(--MID(G445,{1,2,3,4,5,6,7,8,9,10,11,12},1),{5,4,3,2,9,8,7,6,5,4,3,2}),11)&lt;2,0,11-MOD(SUMPRODUCT(--MID(G445,{1,2,3,4,5,6,7,8,9,10,11,12},1),{5,4,3,2,9,8,7,6,5,4,3,2}),11)),VALUE(MID(G445,14,1))=IF(MOD(SUMPRODUCT(--MID(G445,{1,2,3,4,5,6,7,8,9,10,11,12,13},1),{6,5,4,3,2,9,8,7,6,5,4,3,2}),11)&lt;2,0,11-MOD(SUMPRODUCT(--MID(G445,{1,2,3,4,5,6,7,8,9,10,11,12,13},1),{6,5,4,3,2,9,8,7,6,5,4,3,2}),11))),"OK","AVISO: dígito verificador (conferir na org)"))))</f>
      </c>
      <c r="I445" s="6">
        <f>IF(G445="","",IF(COUNTIF($G$2:$G$2001,G445)&gt;1,"DUPLICADO","OK"))</f>
      </c>
      <c r="J445" s="6">
        <f>IF(COUNTA(A445:F445)=0,"",IF(AND(A445&lt;&gt;"",E445&lt;&gt;""),"OK","ERRO: faltam "&amp;IF(A445="","CNPJ; ","")&amp;IF(E445="","Novo gerente; ","")))</f>
      </c>
      <c r="K445" s="6">
        <f>IF(COUNTA(A445:F445)=0,"",IF(AND(LEFT(H445,4)&lt;&gt;"ERRO",I445="OK",J445="OK"),"OK","REVISAR"))</f>
      </c>
    </row>
    <row r="446">
      <c r="A446" s="5"/>
      <c r="B446" s="4"/>
      <c r="C446" s="4"/>
      <c r="D446" s="4"/>
      <c r="E446" s="5"/>
      <c r="F446" s="4"/>
      <c r="G446" s="6">
        <f>IF(A446="","",SUBSTITUTE(SUBSTITUTE(SUBSTITUTE(SUBSTITUTE(SUBSTITUTE(SUBSTITUTE(SUBSTITUTE(TRIM(A446),".",""),"/",""),"-","")," ",""),"(",""),")",""),"+",""))</f>
      </c>
      <c r="H446" s="6">
        <f>IF(G446="","",IF(LEN(G446)&lt;&gt;14,"ERRO: "&amp;LEN(G446)&amp;" dígitos",IF(NOT(ISNUMBER(VALUE(G446))),"ERRO: não numérico",IF(AND(VALUE(MID(G446,13,1))=IF(MOD(SUMPRODUCT(--MID(G446,{1,2,3,4,5,6,7,8,9,10,11,12},1),{5,4,3,2,9,8,7,6,5,4,3,2}),11)&lt;2,0,11-MOD(SUMPRODUCT(--MID(G446,{1,2,3,4,5,6,7,8,9,10,11,12},1),{5,4,3,2,9,8,7,6,5,4,3,2}),11)),VALUE(MID(G446,14,1))=IF(MOD(SUMPRODUCT(--MID(G446,{1,2,3,4,5,6,7,8,9,10,11,12,13},1),{6,5,4,3,2,9,8,7,6,5,4,3,2}),11)&lt;2,0,11-MOD(SUMPRODUCT(--MID(G446,{1,2,3,4,5,6,7,8,9,10,11,12,13},1),{6,5,4,3,2,9,8,7,6,5,4,3,2}),11))),"OK","AVISO: dígito verificador (conferir na org)"))))</f>
      </c>
      <c r="I446" s="6">
        <f>IF(G446="","",IF(COUNTIF($G$2:$G$2001,G446)&gt;1,"DUPLICADO","OK"))</f>
      </c>
      <c r="J446" s="6">
        <f>IF(COUNTA(A446:F446)=0,"",IF(AND(A446&lt;&gt;"",E446&lt;&gt;""),"OK","ERRO: faltam "&amp;IF(A446="","CNPJ; ","")&amp;IF(E446="","Novo gerente; ","")))</f>
      </c>
      <c r="K446" s="6">
        <f>IF(COUNTA(A446:F446)=0,"",IF(AND(LEFT(H446,4)&lt;&gt;"ERRO",I446="OK",J446="OK"),"OK","REVISAR"))</f>
      </c>
    </row>
    <row r="447">
      <c r="A447" s="5"/>
      <c r="B447" s="4"/>
      <c r="C447" s="4"/>
      <c r="D447" s="4"/>
      <c r="E447" s="5"/>
      <c r="F447" s="4"/>
      <c r="G447" s="6">
        <f>IF(A447="","",SUBSTITUTE(SUBSTITUTE(SUBSTITUTE(SUBSTITUTE(SUBSTITUTE(SUBSTITUTE(SUBSTITUTE(TRIM(A447),".",""),"/",""),"-","")," ",""),"(",""),")",""),"+",""))</f>
      </c>
      <c r="H447" s="6">
        <f>IF(G447="","",IF(LEN(G447)&lt;&gt;14,"ERRO: "&amp;LEN(G447)&amp;" dígitos",IF(NOT(ISNUMBER(VALUE(G447))),"ERRO: não numérico",IF(AND(VALUE(MID(G447,13,1))=IF(MOD(SUMPRODUCT(--MID(G447,{1,2,3,4,5,6,7,8,9,10,11,12},1),{5,4,3,2,9,8,7,6,5,4,3,2}),11)&lt;2,0,11-MOD(SUMPRODUCT(--MID(G447,{1,2,3,4,5,6,7,8,9,10,11,12},1),{5,4,3,2,9,8,7,6,5,4,3,2}),11)),VALUE(MID(G447,14,1))=IF(MOD(SUMPRODUCT(--MID(G447,{1,2,3,4,5,6,7,8,9,10,11,12,13},1),{6,5,4,3,2,9,8,7,6,5,4,3,2}),11)&lt;2,0,11-MOD(SUMPRODUCT(--MID(G447,{1,2,3,4,5,6,7,8,9,10,11,12,13},1),{6,5,4,3,2,9,8,7,6,5,4,3,2}),11))),"OK","AVISO: dígito verificador (conferir na org)"))))</f>
      </c>
      <c r="I447" s="6">
        <f>IF(G447="","",IF(COUNTIF($G$2:$G$2001,G447)&gt;1,"DUPLICADO","OK"))</f>
      </c>
      <c r="J447" s="6">
        <f>IF(COUNTA(A447:F447)=0,"",IF(AND(A447&lt;&gt;"",E447&lt;&gt;""),"OK","ERRO: faltam "&amp;IF(A447="","CNPJ; ","")&amp;IF(E447="","Novo gerente; ","")))</f>
      </c>
      <c r="K447" s="6">
        <f>IF(COUNTA(A447:F447)=0,"",IF(AND(LEFT(H447,4)&lt;&gt;"ERRO",I447="OK",J447="OK"),"OK","REVISAR"))</f>
      </c>
    </row>
    <row r="448">
      <c r="A448" s="5"/>
      <c r="B448" s="4"/>
      <c r="C448" s="4"/>
      <c r="D448" s="4"/>
      <c r="E448" s="5"/>
      <c r="F448" s="4"/>
      <c r="G448" s="6">
        <f>IF(A448="","",SUBSTITUTE(SUBSTITUTE(SUBSTITUTE(SUBSTITUTE(SUBSTITUTE(SUBSTITUTE(SUBSTITUTE(TRIM(A448),".",""),"/",""),"-","")," ",""),"(",""),")",""),"+",""))</f>
      </c>
      <c r="H448" s="6">
        <f>IF(G448="","",IF(LEN(G448)&lt;&gt;14,"ERRO: "&amp;LEN(G448)&amp;" dígitos",IF(NOT(ISNUMBER(VALUE(G448))),"ERRO: não numérico",IF(AND(VALUE(MID(G448,13,1))=IF(MOD(SUMPRODUCT(--MID(G448,{1,2,3,4,5,6,7,8,9,10,11,12},1),{5,4,3,2,9,8,7,6,5,4,3,2}),11)&lt;2,0,11-MOD(SUMPRODUCT(--MID(G448,{1,2,3,4,5,6,7,8,9,10,11,12},1),{5,4,3,2,9,8,7,6,5,4,3,2}),11)),VALUE(MID(G448,14,1))=IF(MOD(SUMPRODUCT(--MID(G448,{1,2,3,4,5,6,7,8,9,10,11,12,13},1),{6,5,4,3,2,9,8,7,6,5,4,3,2}),11)&lt;2,0,11-MOD(SUMPRODUCT(--MID(G448,{1,2,3,4,5,6,7,8,9,10,11,12,13},1),{6,5,4,3,2,9,8,7,6,5,4,3,2}),11))),"OK","AVISO: dígito verificador (conferir na org)"))))</f>
      </c>
      <c r="I448" s="6">
        <f>IF(G448="","",IF(COUNTIF($G$2:$G$2001,G448)&gt;1,"DUPLICADO","OK"))</f>
      </c>
      <c r="J448" s="6">
        <f>IF(COUNTA(A448:F448)=0,"",IF(AND(A448&lt;&gt;"",E448&lt;&gt;""),"OK","ERRO: faltam "&amp;IF(A448="","CNPJ; ","")&amp;IF(E448="","Novo gerente; ","")))</f>
      </c>
      <c r="K448" s="6">
        <f>IF(COUNTA(A448:F448)=0,"",IF(AND(LEFT(H448,4)&lt;&gt;"ERRO",I448="OK",J448="OK"),"OK","REVISAR"))</f>
      </c>
    </row>
    <row r="449">
      <c r="A449" s="5"/>
      <c r="B449" s="4"/>
      <c r="C449" s="4"/>
      <c r="D449" s="4"/>
      <c r="E449" s="5"/>
      <c r="F449" s="4"/>
      <c r="G449" s="6">
        <f>IF(A449="","",SUBSTITUTE(SUBSTITUTE(SUBSTITUTE(SUBSTITUTE(SUBSTITUTE(SUBSTITUTE(SUBSTITUTE(TRIM(A449),".",""),"/",""),"-","")," ",""),"(",""),")",""),"+",""))</f>
      </c>
      <c r="H449" s="6">
        <f>IF(G449="","",IF(LEN(G449)&lt;&gt;14,"ERRO: "&amp;LEN(G449)&amp;" dígitos",IF(NOT(ISNUMBER(VALUE(G449))),"ERRO: não numérico",IF(AND(VALUE(MID(G449,13,1))=IF(MOD(SUMPRODUCT(--MID(G449,{1,2,3,4,5,6,7,8,9,10,11,12},1),{5,4,3,2,9,8,7,6,5,4,3,2}),11)&lt;2,0,11-MOD(SUMPRODUCT(--MID(G449,{1,2,3,4,5,6,7,8,9,10,11,12},1),{5,4,3,2,9,8,7,6,5,4,3,2}),11)),VALUE(MID(G449,14,1))=IF(MOD(SUMPRODUCT(--MID(G449,{1,2,3,4,5,6,7,8,9,10,11,12,13},1),{6,5,4,3,2,9,8,7,6,5,4,3,2}),11)&lt;2,0,11-MOD(SUMPRODUCT(--MID(G449,{1,2,3,4,5,6,7,8,9,10,11,12,13},1),{6,5,4,3,2,9,8,7,6,5,4,3,2}),11))),"OK","AVISO: dígito verificador (conferir na org)"))))</f>
      </c>
      <c r="I449" s="6">
        <f>IF(G449="","",IF(COUNTIF($G$2:$G$2001,G449)&gt;1,"DUPLICADO","OK"))</f>
      </c>
      <c r="J449" s="6">
        <f>IF(COUNTA(A449:F449)=0,"",IF(AND(A449&lt;&gt;"",E449&lt;&gt;""),"OK","ERRO: faltam "&amp;IF(A449="","CNPJ; ","")&amp;IF(E449="","Novo gerente; ","")))</f>
      </c>
      <c r="K449" s="6">
        <f>IF(COUNTA(A449:F449)=0,"",IF(AND(LEFT(H449,4)&lt;&gt;"ERRO",I449="OK",J449="OK"),"OK","REVISAR"))</f>
      </c>
    </row>
    <row r="450">
      <c r="A450" s="5"/>
      <c r="B450" s="4"/>
      <c r="C450" s="4"/>
      <c r="D450" s="4"/>
      <c r="E450" s="5"/>
      <c r="F450" s="4"/>
      <c r="G450" s="6">
        <f>IF(A450="","",SUBSTITUTE(SUBSTITUTE(SUBSTITUTE(SUBSTITUTE(SUBSTITUTE(SUBSTITUTE(SUBSTITUTE(TRIM(A450),".",""),"/",""),"-","")," ",""),"(",""),")",""),"+",""))</f>
      </c>
      <c r="H450" s="6">
        <f>IF(G450="","",IF(LEN(G450)&lt;&gt;14,"ERRO: "&amp;LEN(G450)&amp;" dígitos",IF(NOT(ISNUMBER(VALUE(G450))),"ERRO: não numérico",IF(AND(VALUE(MID(G450,13,1))=IF(MOD(SUMPRODUCT(--MID(G450,{1,2,3,4,5,6,7,8,9,10,11,12},1),{5,4,3,2,9,8,7,6,5,4,3,2}),11)&lt;2,0,11-MOD(SUMPRODUCT(--MID(G450,{1,2,3,4,5,6,7,8,9,10,11,12},1),{5,4,3,2,9,8,7,6,5,4,3,2}),11)),VALUE(MID(G450,14,1))=IF(MOD(SUMPRODUCT(--MID(G450,{1,2,3,4,5,6,7,8,9,10,11,12,13},1),{6,5,4,3,2,9,8,7,6,5,4,3,2}),11)&lt;2,0,11-MOD(SUMPRODUCT(--MID(G450,{1,2,3,4,5,6,7,8,9,10,11,12,13},1),{6,5,4,3,2,9,8,7,6,5,4,3,2}),11))),"OK","AVISO: dígito verificador (conferir na org)"))))</f>
      </c>
      <c r="I450" s="6">
        <f>IF(G450="","",IF(COUNTIF($G$2:$G$2001,G450)&gt;1,"DUPLICADO","OK"))</f>
      </c>
      <c r="J450" s="6">
        <f>IF(COUNTA(A450:F450)=0,"",IF(AND(A450&lt;&gt;"",E450&lt;&gt;""),"OK","ERRO: faltam "&amp;IF(A450="","CNPJ; ","")&amp;IF(E450="","Novo gerente; ","")))</f>
      </c>
      <c r="K450" s="6">
        <f>IF(COUNTA(A450:F450)=0,"",IF(AND(LEFT(H450,4)&lt;&gt;"ERRO",I450="OK",J450="OK"),"OK","REVISAR"))</f>
      </c>
    </row>
    <row r="451">
      <c r="A451" s="5"/>
      <c r="B451" s="4"/>
      <c r="C451" s="4"/>
      <c r="D451" s="4"/>
      <c r="E451" s="5"/>
      <c r="F451" s="4"/>
      <c r="G451" s="6">
        <f>IF(A451="","",SUBSTITUTE(SUBSTITUTE(SUBSTITUTE(SUBSTITUTE(SUBSTITUTE(SUBSTITUTE(SUBSTITUTE(TRIM(A451),".",""),"/",""),"-","")," ",""),"(",""),")",""),"+",""))</f>
      </c>
      <c r="H451" s="6">
        <f>IF(G451="","",IF(LEN(G451)&lt;&gt;14,"ERRO: "&amp;LEN(G451)&amp;" dígitos",IF(NOT(ISNUMBER(VALUE(G451))),"ERRO: não numérico",IF(AND(VALUE(MID(G451,13,1))=IF(MOD(SUMPRODUCT(--MID(G451,{1,2,3,4,5,6,7,8,9,10,11,12},1),{5,4,3,2,9,8,7,6,5,4,3,2}),11)&lt;2,0,11-MOD(SUMPRODUCT(--MID(G451,{1,2,3,4,5,6,7,8,9,10,11,12},1),{5,4,3,2,9,8,7,6,5,4,3,2}),11)),VALUE(MID(G451,14,1))=IF(MOD(SUMPRODUCT(--MID(G451,{1,2,3,4,5,6,7,8,9,10,11,12,13},1),{6,5,4,3,2,9,8,7,6,5,4,3,2}),11)&lt;2,0,11-MOD(SUMPRODUCT(--MID(G451,{1,2,3,4,5,6,7,8,9,10,11,12,13},1),{6,5,4,3,2,9,8,7,6,5,4,3,2}),11))),"OK","AVISO: dígito verificador (conferir na org)"))))</f>
      </c>
      <c r="I451" s="6">
        <f>IF(G451="","",IF(COUNTIF($G$2:$G$2001,G451)&gt;1,"DUPLICADO","OK"))</f>
      </c>
      <c r="J451" s="6">
        <f>IF(COUNTA(A451:F451)=0,"",IF(AND(A451&lt;&gt;"",E451&lt;&gt;""),"OK","ERRO: faltam "&amp;IF(A451="","CNPJ; ","")&amp;IF(E451="","Novo gerente; ","")))</f>
      </c>
      <c r="K451" s="6">
        <f>IF(COUNTA(A451:F451)=0,"",IF(AND(LEFT(H451,4)&lt;&gt;"ERRO",I451="OK",J451="OK"),"OK","REVISAR"))</f>
      </c>
    </row>
    <row r="452">
      <c r="A452" s="5"/>
      <c r="B452" s="4"/>
      <c r="C452" s="4"/>
      <c r="D452" s="4"/>
      <c r="E452" s="5"/>
      <c r="F452" s="4"/>
      <c r="G452" s="6">
        <f>IF(A452="","",SUBSTITUTE(SUBSTITUTE(SUBSTITUTE(SUBSTITUTE(SUBSTITUTE(SUBSTITUTE(SUBSTITUTE(TRIM(A452),".",""),"/",""),"-","")," ",""),"(",""),")",""),"+",""))</f>
      </c>
      <c r="H452" s="6">
        <f>IF(G452="","",IF(LEN(G452)&lt;&gt;14,"ERRO: "&amp;LEN(G452)&amp;" dígitos",IF(NOT(ISNUMBER(VALUE(G452))),"ERRO: não numérico",IF(AND(VALUE(MID(G452,13,1))=IF(MOD(SUMPRODUCT(--MID(G452,{1,2,3,4,5,6,7,8,9,10,11,12},1),{5,4,3,2,9,8,7,6,5,4,3,2}),11)&lt;2,0,11-MOD(SUMPRODUCT(--MID(G452,{1,2,3,4,5,6,7,8,9,10,11,12},1),{5,4,3,2,9,8,7,6,5,4,3,2}),11)),VALUE(MID(G452,14,1))=IF(MOD(SUMPRODUCT(--MID(G452,{1,2,3,4,5,6,7,8,9,10,11,12,13},1),{6,5,4,3,2,9,8,7,6,5,4,3,2}),11)&lt;2,0,11-MOD(SUMPRODUCT(--MID(G452,{1,2,3,4,5,6,7,8,9,10,11,12,13},1),{6,5,4,3,2,9,8,7,6,5,4,3,2}),11))),"OK","AVISO: dígito verificador (conferir na org)"))))</f>
      </c>
      <c r="I452" s="6">
        <f>IF(G452="","",IF(COUNTIF($G$2:$G$2001,G452)&gt;1,"DUPLICADO","OK"))</f>
      </c>
      <c r="J452" s="6">
        <f>IF(COUNTA(A452:F452)=0,"",IF(AND(A452&lt;&gt;"",E452&lt;&gt;""),"OK","ERRO: faltam "&amp;IF(A452="","CNPJ; ","")&amp;IF(E452="","Novo gerente; ","")))</f>
      </c>
      <c r="K452" s="6">
        <f>IF(COUNTA(A452:F452)=0,"",IF(AND(LEFT(H452,4)&lt;&gt;"ERRO",I452="OK",J452="OK"),"OK","REVISAR"))</f>
      </c>
    </row>
    <row r="453">
      <c r="A453" s="5"/>
      <c r="B453" s="4"/>
      <c r="C453" s="4"/>
      <c r="D453" s="4"/>
      <c r="E453" s="5"/>
      <c r="F453" s="4"/>
      <c r="G453" s="6">
        <f>IF(A453="","",SUBSTITUTE(SUBSTITUTE(SUBSTITUTE(SUBSTITUTE(SUBSTITUTE(SUBSTITUTE(SUBSTITUTE(TRIM(A453),".",""),"/",""),"-","")," ",""),"(",""),")",""),"+",""))</f>
      </c>
      <c r="H453" s="6">
        <f>IF(G453="","",IF(LEN(G453)&lt;&gt;14,"ERRO: "&amp;LEN(G453)&amp;" dígitos",IF(NOT(ISNUMBER(VALUE(G453))),"ERRO: não numérico",IF(AND(VALUE(MID(G453,13,1))=IF(MOD(SUMPRODUCT(--MID(G453,{1,2,3,4,5,6,7,8,9,10,11,12},1),{5,4,3,2,9,8,7,6,5,4,3,2}),11)&lt;2,0,11-MOD(SUMPRODUCT(--MID(G453,{1,2,3,4,5,6,7,8,9,10,11,12},1),{5,4,3,2,9,8,7,6,5,4,3,2}),11)),VALUE(MID(G453,14,1))=IF(MOD(SUMPRODUCT(--MID(G453,{1,2,3,4,5,6,7,8,9,10,11,12,13},1),{6,5,4,3,2,9,8,7,6,5,4,3,2}),11)&lt;2,0,11-MOD(SUMPRODUCT(--MID(G453,{1,2,3,4,5,6,7,8,9,10,11,12,13},1),{6,5,4,3,2,9,8,7,6,5,4,3,2}),11))),"OK","AVISO: dígito verificador (conferir na org)"))))</f>
      </c>
      <c r="I453" s="6">
        <f>IF(G453="","",IF(COUNTIF($G$2:$G$2001,G453)&gt;1,"DUPLICADO","OK"))</f>
      </c>
      <c r="J453" s="6">
        <f>IF(COUNTA(A453:F453)=0,"",IF(AND(A453&lt;&gt;"",E453&lt;&gt;""),"OK","ERRO: faltam "&amp;IF(A453="","CNPJ; ","")&amp;IF(E453="","Novo gerente; ","")))</f>
      </c>
      <c r="K453" s="6">
        <f>IF(COUNTA(A453:F453)=0,"",IF(AND(LEFT(H453,4)&lt;&gt;"ERRO",I453="OK",J453="OK"),"OK","REVISAR"))</f>
      </c>
    </row>
    <row r="454">
      <c r="A454" s="5"/>
      <c r="B454" s="4"/>
      <c r="C454" s="4"/>
      <c r="D454" s="4"/>
      <c r="E454" s="5"/>
      <c r="F454" s="4"/>
      <c r="G454" s="6">
        <f>IF(A454="","",SUBSTITUTE(SUBSTITUTE(SUBSTITUTE(SUBSTITUTE(SUBSTITUTE(SUBSTITUTE(SUBSTITUTE(TRIM(A454),".",""),"/",""),"-","")," ",""),"(",""),")",""),"+",""))</f>
      </c>
      <c r="H454" s="6">
        <f>IF(G454="","",IF(LEN(G454)&lt;&gt;14,"ERRO: "&amp;LEN(G454)&amp;" dígitos",IF(NOT(ISNUMBER(VALUE(G454))),"ERRO: não numérico",IF(AND(VALUE(MID(G454,13,1))=IF(MOD(SUMPRODUCT(--MID(G454,{1,2,3,4,5,6,7,8,9,10,11,12},1),{5,4,3,2,9,8,7,6,5,4,3,2}),11)&lt;2,0,11-MOD(SUMPRODUCT(--MID(G454,{1,2,3,4,5,6,7,8,9,10,11,12},1),{5,4,3,2,9,8,7,6,5,4,3,2}),11)),VALUE(MID(G454,14,1))=IF(MOD(SUMPRODUCT(--MID(G454,{1,2,3,4,5,6,7,8,9,10,11,12,13},1),{6,5,4,3,2,9,8,7,6,5,4,3,2}),11)&lt;2,0,11-MOD(SUMPRODUCT(--MID(G454,{1,2,3,4,5,6,7,8,9,10,11,12,13},1),{6,5,4,3,2,9,8,7,6,5,4,3,2}),11))),"OK","AVISO: dígito verificador (conferir na org)"))))</f>
      </c>
      <c r="I454" s="6">
        <f>IF(G454="","",IF(COUNTIF($G$2:$G$2001,G454)&gt;1,"DUPLICADO","OK"))</f>
      </c>
      <c r="J454" s="6">
        <f>IF(COUNTA(A454:F454)=0,"",IF(AND(A454&lt;&gt;"",E454&lt;&gt;""),"OK","ERRO: faltam "&amp;IF(A454="","CNPJ; ","")&amp;IF(E454="","Novo gerente; ","")))</f>
      </c>
      <c r="K454" s="6">
        <f>IF(COUNTA(A454:F454)=0,"",IF(AND(LEFT(H454,4)&lt;&gt;"ERRO",I454="OK",J454="OK"),"OK","REVISAR"))</f>
      </c>
    </row>
    <row r="455">
      <c r="A455" s="5"/>
      <c r="B455" s="4"/>
      <c r="C455" s="4"/>
      <c r="D455" s="4"/>
      <c r="E455" s="5"/>
      <c r="F455" s="4"/>
      <c r="G455" s="6">
        <f>IF(A455="","",SUBSTITUTE(SUBSTITUTE(SUBSTITUTE(SUBSTITUTE(SUBSTITUTE(SUBSTITUTE(SUBSTITUTE(TRIM(A455),".",""),"/",""),"-","")," ",""),"(",""),")",""),"+",""))</f>
      </c>
      <c r="H455" s="6">
        <f>IF(G455="","",IF(LEN(G455)&lt;&gt;14,"ERRO: "&amp;LEN(G455)&amp;" dígitos",IF(NOT(ISNUMBER(VALUE(G455))),"ERRO: não numérico",IF(AND(VALUE(MID(G455,13,1))=IF(MOD(SUMPRODUCT(--MID(G455,{1,2,3,4,5,6,7,8,9,10,11,12},1),{5,4,3,2,9,8,7,6,5,4,3,2}),11)&lt;2,0,11-MOD(SUMPRODUCT(--MID(G455,{1,2,3,4,5,6,7,8,9,10,11,12},1),{5,4,3,2,9,8,7,6,5,4,3,2}),11)),VALUE(MID(G455,14,1))=IF(MOD(SUMPRODUCT(--MID(G455,{1,2,3,4,5,6,7,8,9,10,11,12,13},1),{6,5,4,3,2,9,8,7,6,5,4,3,2}),11)&lt;2,0,11-MOD(SUMPRODUCT(--MID(G455,{1,2,3,4,5,6,7,8,9,10,11,12,13},1),{6,5,4,3,2,9,8,7,6,5,4,3,2}),11))),"OK","AVISO: dígito verificador (conferir na org)"))))</f>
      </c>
      <c r="I455" s="6">
        <f>IF(G455="","",IF(COUNTIF($G$2:$G$2001,G455)&gt;1,"DUPLICADO","OK"))</f>
      </c>
      <c r="J455" s="6">
        <f>IF(COUNTA(A455:F455)=0,"",IF(AND(A455&lt;&gt;"",E455&lt;&gt;""),"OK","ERRO: faltam "&amp;IF(A455="","CNPJ; ","")&amp;IF(E455="","Novo gerente; ","")))</f>
      </c>
      <c r="K455" s="6">
        <f>IF(COUNTA(A455:F455)=0,"",IF(AND(LEFT(H455,4)&lt;&gt;"ERRO",I455="OK",J455="OK"),"OK","REVISAR"))</f>
      </c>
    </row>
    <row r="456">
      <c r="A456" s="5"/>
      <c r="B456" s="4"/>
      <c r="C456" s="4"/>
      <c r="D456" s="4"/>
      <c r="E456" s="5"/>
      <c r="F456" s="4"/>
      <c r="G456" s="6">
        <f>IF(A456="","",SUBSTITUTE(SUBSTITUTE(SUBSTITUTE(SUBSTITUTE(SUBSTITUTE(SUBSTITUTE(SUBSTITUTE(TRIM(A456),".",""),"/",""),"-","")," ",""),"(",""),")",""),"+",""))</f>
      </c>
      <c r="H456" s="6">
        <f>IF(G456="","",IF(LEN(G456)&lt;&gt;14,"ERRO: "&amp;LEN(G456)&amp;" dígitos",IF(NOT(ISNUMBER(VALUE(G456))),"ERRO: não numérico",IF(AND(VALUE(MID(G456,13,1))=IF(MOD(SUMPRODUCT(--MID(G456,{1,2,3,4,5,6,7,8,9,10,11,12},1),{5,4,3,2,9,8,7,6,5,4,3,2}),11)&lt;2,0,11-MOD(SUMPRODUCT(--MID(G456,{1,2,3,4,5,6,7,8,9,10,11,12},1),{5,4,3,2,9,8,7,6,5,4,3,2}),11)),VALUE(MID(G456,14,1))=IF(MOD(SUMPRODUCT(--MID(G456,{1,2,3,4,5,6,7,8,9,10,11,12,13},1),{6,5,4,3,2,9,8,7,6,5,4,3,2}),11)&lt;2,0,11-MOD(SUMPRODUCT(--MID(G456,{1,2,3,4,5,6,7,8,9,10,11,12,13},1),{6,5,4,3,2,9,8,7,6,5,4,3,2}),11))),"OK","AVISO: dígito verificador (conferir na org)"))))</f>
      </c>
      <c r="I456" s="6">
        <f>IF(G456="","",IF(COUNTIF($G$2:$G$2001,G456)&gt;1,"DUPLICADO","OK"))</f>
      </c>
      <c r="J456" s="6">
        <f>IF(COUNTA(A456:F456)=0,"",IF(AND(A456&lt;&gt;"",E456&lt;&gt;""),"OK","ERRO: faltam "&amp;IF(A456="","CNPJ; ","")&amp;IF(E456="","Novo gerente; ","")))</f>
      </c>
      <c r="K456" s="6">
        <f>IF(COUNTA(A456:F456)=0,"",IF(AND(LEFT(H456,4)&lt;&gt;"ERRO",I456="OK",J456="OK"),"OK","REVISAR"))</f>
      </c>
    </row>
    <row r="457">
      <c r="A457" s="5"/>
      <c r="B457" s="4"/>
      <c r="C457" s="4"/>
      <c r="D457" s="4"/>
      <c r="E457" s="5"/>
      <c r="F457" s="4"/>
      <c r="G457" s="6">
        <f>IF(A457="","",SUBSTITUTE(SUBSTITUTE(SUBSTITUTE(SUBSTITUTE(SUBSTITUTE(SUBSTITUTE(SUBSTITUTE(TRIM(A457),".",""),"/",""),"-","")," ",""),"(",""),")",""),"+",""))</f>
      </c>
      <c r="H457" s="6">
        <f>IF(G457="","",IF(LEN(G457)&lt;&gt;14,"ERRO: "&amp;LEN(G457)&amp;" dígitos",IF(NOT(ISNUMBER(VALUE(G457))),"ERRO: não numérico",IF(AND(VALUE(MID(G457,13,1))=IF(MOD(SUMPRODUCT(--MID(G457,{1,2,3,4,5,6,7,8,9,10,11,12},1),{5,4,3,2,9,8,7,6,5,4,3,2}),11)&lt;2,0,11-MOD(SUMPRODUCT(--MID(G457,{1,2,3,4,5,6,7,8,9,10,11,12},1),{5,4,3,2,9,8,7,6,5,4,3,2}),11)),VALUE(MID(G457,14,1))=IF(MOD(SUMPRODUCT(--MID(G457,{1,2,3,4,5,6,7,8,9,10,11,12,13},1),{6,5,4,3,2,9,8,7,6,5,4,3,2}),11)&lt;2,0,11-MOD(SUMPRODUCT(--MID(G457,{1,2,3,4,5,6,7,8,9,10,11,12,13},1),{6,5,4,3,2,9,8,7,6,5,4,3,2}),11))),"OK","AVISO: dígito verificador (conferir na org)"))))</f>
      </c>
      <c r="I457" s="6">
        <f>IF(G457="","",IF(COUNTIF($G$2:$G$2001,G457)&gt;1,"DUPLICADO","OK"))</f>
      </c>
      <c r="J457" s="6">
        <f>IF(COUNTA(A457:F457)=0,"",IF(AND(A457&lt;&gt;"",E457&lt;&gt;""),"OK","ERRO: faltam "&amp;IF(A457="","CNPJ; ","")&amp;IF(E457="","Novo gerente; ","")))</f>
      </c>
      <c r="K457" s="6">
        <f>IF(COUNTA(A457:F457)=0,"",IF(AND(LEFT(H457,4)&lt;&gt;"ERRO",I457="OK",J457="OK"),"OK","REVISAR"))</f>
      </c>
    </row>
    <row r="458">
      <c r="A458" s="5"/>
      <c r="B458" s="4"/>
      <c r="C458" s="4"/>
      <c r="D458" s="4"/>
      <c r="E458" s="5"/>
      <c r="F458" s="4"/>
      <c r="G458" s="6">
        <f>IF(A458="","",SUBSTITUTE(SUBSTITUTE(SUBSTITUTE(SUBSTITUTE(SUBSTITUTE(SUBSTITUTE(SUBSTITUTE(TRIM(A458),".",""),"/",""),"-","")," ",""),"(",""),")",""),"+",""))</f>
      </c>
      <c r="H458" s="6">
        <f>IF(G458="","",IF(LEN(G458)&lt;&gt;14,"ERRO: "&amp;LEN(G458)&amp;" dígitos",IF(NOT(ISNUMBER(VALUE(G458))),"ERRO: não numérico",IF(AND(VALUE(MID(G458,13,1))=IF(MOD(SUMPRODUCT(--MID(G458,{1,2,3,4,5,6,7,8,9,10,11,12},1),{5,4,3,2,9,8,7,6,5,4,3,2}),11)&lt;2,0,11-MOD(SUMPRODUCT(--MID(G458,{1,2,3,4,5,6,7,8,9,10,11,12},1),{5,4,3,2,9,8,7,6,5,4,3,2}),11)),VALUE(MID(G458,14,1))=IF(MOD(SUMPRODUCT(--MID(G458,{1,2,3,4,5,6,7,8,9,10,11,12,13},1),{6,5,4,3,2,9,8,7,6,5,4,3,2}),11)&lt;2,0,11-MOD(SUMPRODUCT(--MID(G458,{1,2,3,4,5,6,7,8,9,10,11,12,13},1),{6,5,4,3,2,9,8,7,6,5,4,3,2}),11))),"OK","AVISO: dígito verificador (conferir na org)"))))</f>
      </c>
      <c r="I458" s="6">
        <f>IF(G458="","",IF(COUNTIF($G$2:$G$2001,G458)&gt;1,"DUPLICADO","OK"))</f>
      </c>
      <c r="J458" s="6">
        <f>IF(COUNTA(A458:F458)=0,"",IF(AND(A458&lt;&gt;"",E458&lt;&gt;""),"OK","ERRO: faltam "&amp;IF(A458="","CNPJ; ","")&amp;IF(E458="","Novo gerente; ","")))</f>
      </c>
      <c r="K458" s="6">
        <f>IF(COUNTA(A458:F458)=0,"",IF(AND(LEFT(H458,4)&lt;&gt;"ERRO",I458="OK",J458="OK"),"OK","REVISAR"))</f>
      </c>
    </row>
    <row r="459">
      <c r="A459" s="5"/>
      <c r="B459" s="4"/>
      <c r="C459" s="4"/>
      <c r="D459" s="4"/>
      <c r="E459" s="5"/>
      <c r="F459" s="4"/>
      <c r="G459" s="6">
        <f>IF(A459="","",SUBSTITUTE(SUBSTITUTE(SUBSTITUTE(SUBSTITUTE(SUBSTITUTE(SUBSTITUTE(SUBSTITUTE(TRIM(A459),".",""),"/",""),"-","")," ",""),"(",""),")",""),"+",""))</f>
      </c>
      <c r="H459" s="6">
        <f>IF(G459="","",IF(LEN(G459)&lt;&gt;14,"ERRO: "&amp;LEN(G459)&amp;" dígitos",IF(NOT(ISNUMBER(VALUE(G459))),"ERRO: não numérico",IF(AND(VALUE(MID(G459,13,1))=IF(MOD(SUMPRODUCT(--MID(G459,{1,2,3,4,5,6,7,8,9,10,11,12},1),{5,4,3,2,9,8,7,6,5,4,3,2}),11)&lt;2,0,11-MOD(SUMPRODUCT(--MID(G459,{1,2,3,4,5,6,7,8,9,10,11,12},1),{5,4,3,2,9,8,7,6,5,4,3,2}),11)),VALUE(MID(G459,14,1))=IF(MOD(SUMPRODUCT(--MID(G459,{1,2,3,4,5,6,7,8,9,10,11,12,13},1),{6,5,4,3,2,9,8,7,6,5,4,3,2}),11)&lt;2,0,11-MOD(SUMPRODUCT(--MID(G459,{1,2,3,4,5,6,7,8,9,10,11,12,13},1),{6,5,4,3,2,9,8,7,6,5,4,3,2}),11))),"OK","AVISO: dígito verificador (conferir na org)"))))</f>
      </c>
      <c r="I459" s="6">
        <f>IF(G459="","",IF(COUNTIF($G$2:$G$2001,G459)&gt;1,"DUPLICADO","OK"))</f>
      </c>
      <c r="J459" s="6">
        <f>IF(COUNTA(A459:F459)=0,"",IF(AND(A459&lt;&gt;"",E459&lt;&gt;""),"OK","ERRO: faltam "&amp;IF(A459="","CNPJ; ","")&amp;IF(E459="","Novo gerente; ","")))</f>
      </c>
      <c r="K459" s="6">
        <f>IF(COUNTA(A459:F459)=0,"",IF(AND(LEFT(H459,4)&lt;&gt;"ERRO",I459="OK",J459="OK"),"OK","REVISAR"))</f>
      </c>
    </row>
    <row r="460">
      <c r="A460" s="5"/>
      <c r="B460" s="4"/>
      <c r="C460" s="4"/>
      <c r="D460" s="4"/>
      <c r="E460" s="5"/>
      <c r="F460" s="4"/>
      <c r="G460" s="6">
        <f>IF(A460="","",SUBSTITUTE(SUBSTITUTE(SUBSTITUTE(SUBSTITUTE(SUBSTITUTE(SUBSTITUTE(SUBSTITUTE(TRIM(A460),".",""),"/",""),"-","")," ",""),"(",""),")",""),"+",""))</f>
      </c>
      <c r="H460" s="6">
        <f>IF(G460="","",IF(LEN(G460)&lt;&gt;14,"ERRO: "&amp;LEN(G460)&amp;" dígitos",IF(NOT(ISNUMBER(VALUE(G460))),"ERRO: não numérico",IF(AND(VALUE(MID(G460,13,1))=IF(MOD(SUMPRODUCT(--MID(G460,{1,2,3,4,5,6,7,8,9,10,11,12},1),{5,4,3,2,9,8,7,6,5,4,3,2}),11)&lt;2,0,11-MOD(SUMPRODUCT(--MID(G460,{1,2,3,4,5,6,7,8,9,10,11,12},1),{5,4,3,2,9,8,7,6,5,4,3,2}),11)),VALUE(MID(G460,14,1))=IF(MOD(SUMPRODUCT(--MID(G460,{1,2,3,4,5,6,7,8,9,10,11,12,13},1),{6,5,4,3,2,9,8,7,6,5,4,3,2}),11)&lt;2,0,11-MOD(SUMPRODUCT(--MID(G460,{1,2,3,4,5,6,7,8,9,10,11,12,13},1),{6,5,4,3,2,9,8,7,6,5,4,3,2}),11))),"OK","AVISO: dígito verificador (conferir na org)"))))</f>
      </c>
      <c r="I460" s="6">
        <f>IF(G460="","",IF(COUNTIF($G$2:$G$2001,G460)&gt;1,"DUPLICADO","OK"))</f>
      </c>
      <c r="J460" s="6">
        <f>IF(COUNTA(A460:F460)=0,"",IF(AND(A460&lt;&gt;"",E460&lt;&gt;""),"OK","ERRO: faltam "&amp;IF(A460="","CNPJ; ","")&amp;IF(E460="","Novo gerente; ","")))</f>
      </c>
      <c r="K460" s="6">
        <f>IF(COUNTA(A460:F460)=0,"",IF(AND(LEFT(H460,4)&lt;&gt;"ERRO",I460="OK",J460="OK"),"OK","REVISAR"))</f>
      </c>
    </row>
    <row r="461">
      <c r="A461" s="5"/>
      <c r="B461" s="4"/>
      <c r="C461" s="4"/>
      <c r="D461" s="4"/>
      <c r="E461" s="5"/>
      <c r="F461" s="4"/>
      <c r="G461" s="6">
        <f>IF(A461="","",SUBSTITUTE(SUBSTITUTE(SUBSTITUTE(SUBSTITUTE(SUBSTITUTE(SUBSTITUTE(SUBSTITUTE(TRIM(A461),".",""),"/",""),"-","")," ",""),"(",""),")",""),"+",""))</f>
      </c>
      <c r="H461" s="6">
        <f>IF(G461="","",IF(LEN(G461)&lt;&gt;14,"ERRO: "&amp;LEN(G461)&amp;" dígitos",IF(NOT(ISNUMBER(VALUE(G461))),"ERRO: não numérico",IF(AND(VALUE(MID(G461,13,1))=IF(MOD(SUMPRODUCT(--MID(G461,{1,2,3,4,5,6,7,8,9,10,11,12},1),{5,4,3,2,9,8,7,6,5,4,3,2}),11)&lt;2,0,11-MOD(SUMPRODUCT(--MID(G461,{1,2,3,4,5,6,7,8,9,10,11,12},1),{5,4,3,2,9,8,7,6,5,4,3,2}),11)),VALUE(MID(G461,14,1))=IF(MOD(SUMPRODUCT(--MID(G461,{1,2,3,4,5,6,7,8,9,10,11,12,13},1),{6,5,4,3,2,9,8,7,6,5,4,3,2}),11)&lt;2,0,11-MOD(SUMPRODUCT(--MID(G461,{1,2,3,4,5,6,7,8,9,10,11,12,13},1),{6,5,4,3,2,9,8,7,6,5,4,3,2}),11))),"OK","AVISO: dígito verificador (conferir na org)"))))</f>
      </c>
      <c r="I461" s="6">
        <f>IF(G461="","",IF(COUNTIF($G$2:$G$2001,G461)&gt;1,"DUPLICADO","OK"))</f>
      </c>
      <c r="J461" s="6">
        <f>IF(COUNTA(A461:F461)=0,"",IF(AND(A461&lt;&gt;"",E461&lt;&gt;""),"OK","ERRO: faltam "&amp;IF(A461="","CNPJ; ","")&amp;IF(E461="","Novo gerente; ","")))</f>
      </c>
      <c r="K461" s="6">
        <f>IF(COUNTA(A461:F461)=0,"",IF(AND(LEFT(H461,4)&lt;&gt;"ERRO",I461="OK",J461="OK"),"OK","REVISAR"))</f>
      </c>
    </row>
    <row r="462">
      <c r="A462" s="5"/>
      <c r="B462" s="4"/>
      <c r="C462" s="4"/>
      <c r="D462" s="4"/>
      <c r="E462" s="5"/>
      <c r="F462" s="4"/>
      <c r="G462" s="6">
        <f>IF(A462="","",SUBSTITUTE(SUBSTITUTE(SUBSTITUTE(SUBSTITUTE(SUBSTITUTE(SUBSTITUTE(SUBSTITUTE(TRIM(A462),".",""),"/",""),"-","")," ",""),"(",""),")",""),"+",""))</f>
      </c>
      <c r="H462" s="6">
        <f>IF(G462="","",IF(LEN(G462)&lt;&gt;14,"ERRO: "&amp;LEN(G462)&amp;" dígitos",IF(NOT(ISNUMBER(VALUE(G462))),"ERRO: não numérico",IF(AND(VALUE(MID(G462,13,1))=IF(MOD(SUMPRODUCT(--MID(G462,{1,2,3,4,5,6,7,8,9,10,11,12},1),{5,4,3,2,9,8,7,6,5,4,3,2}),11)&lt;2,0,11-MOD(SUMPRODUCT(--MID(G462,{1,2,3,4,5,6,7,8,9,10,11,12},1),{5,4,3,2,9,8,7,6,5,4,3,2}),11)),VALUE(MID(G462,14,1))=IF(MOD(SUMPRODUCT(--MID(G462,{1,2,3,4,5,6,7,8,9,10,11,12,13},1),{6,5,4,3,2,9,8,7,6,5,4,3,2}),11)&lt;2,0,11-MOD(SUMPRODUCT(--MID(G462,{1,2,3,4,5,6,7,8,9,10,11,12,13},1),{6,5,4,3,2,9,8,7,6,5,4,3,2}),11))),"OK","AVISO: dígito verificador (conferir na org)"))))</f>
      </c>
      <c r="I462" s="6">
        <f>IF(G462="","",IF(COUNTIF($G$2:$G$2001,G462)&gt;1,"DUPLICADO","OK"))</f>
      </c>
      <c r="J462" s="6">
        <f>IF(COUNTA(A462:F462)=0,"",IF(AND(A462&lt;&gt;"",E462&lt;&gt;""),"OK","ERRO: faltam "&amp;IF(A462="","CNPJ; ","")&amp;IF(E462="","Novo gerente; ","")))</f>
      </c>
      <c r="K462" s="6">
        <f>IF(COUNTA(A462:F462)=0,"",IF(AND(LEFT(H462,4)&lt;&gt;"ERRO",I462="OK",J462="OK"),"OK","REVISAR"))</f>
      </c>
    </row>
    <row r="463">
      <c r="A463" s="5"/>
      <c r="B463" s="4"/>
      <c r="C463" s="4"/>
      <c r="D463" s="4"/>
      <c r="E463" s="5"/>
      <c r="F463" s="4"/>
      <c r="G463" s="6">
        <f>IF(A463="","",SUBSTITUTE(SUBSTITUTE(SUBSTITUTE(SUBSTITUTE(SUBSTITUTE(SUBSTITUTE(SUBSTITUTE(TRIM(A463),".",""),"/",""),"-","")," ",""),"(",""),")",""),"+",""))</f>
      </c>
      <c r="H463" s="6">
        <f>IF(G463="","",IF(LEN(G463)&lt;&gt;14,"ERRO: "&amp;LEN(G463)&amp;" dígitos",IF(NOT(ISNUMBER(VALUE(G463))),"ERRO: não numérico",IF(AND(VALUE(MID(G463,13,1))=IF(MOD(SUMPRODUCT(--MID(G463,{1,2,3,4,5,6,7,8,9,10,11,12},1),{5,4,3,2,9,8,7,6,5,4,3,2}),11)&lt;2,0,11-MOD(SUMPRODUCT(--MID(G463,{1,2,3,4,5,6,7,8,9,10,11,12},1),{5,4,3,2,9,8,7,6,5,4,3,2}),11)),VALUE(MID(G463,14,1))=IF(MOD(SUMPRODUCT(--MID(G463,{1,2,3,4,5,6,7,8,9,10,11,12,13},1),{6,5,4,3,2,9,8,7,6,5,4,3,2}),11)&lt;2,0,11-MOD(SUMPRODUCT(--MID(G463,{1,2,3,4,5,6,7,8,9,10,11,12,13},1),{6,5,4,3,2,9,8,7,6,5,4,3,2}),11))),"OK","AVISO: dígito verificador (conferir na org)"))))</f>
      </c>
      <c r="I463" s="6">
        <f>IF(G463="","",IF(COUNTIF($G$2:$G$2001,G463)&gt;1,"DUPLICADO","OK"))</f>
      </c>
      <c r="J463" s="6">
        <f>IF(COUNTA(A463:F463)=0,"",IF(AND(A463&lt;&gt;"",E463&lt;&gt;""),"OK","ERRO: faltam "&amp;IF(A463="","CNPJ; ","")&amp;IF(E463="","Novo gerente; ","")))</f>
      </c>
      <c r="K463" s="6">
        <f>IF(COUNTA(A463:F463)=0,"",IF(AND(LEFT(H463,4)&lt;&gt;"ERRO",I463="OK",J463="OK"),"OK","REVISAR"))</f>
      </c>
    </row>
    <row r="464">
      <c r="A464" s="5"/>
      <c r="B464" s="4"/>
      <c r="C464" s="4"/>
      <c r="D464" s="4"/>
      <c r="E464" s="5"/>
      <c r="F464" s="4"/>
      <c r="G464" s="6">
        <f>IF(A464="","",SUBSTITUTE(SUBSTITUTE(SUBSTITUTE(SUBSTITUTE(SUBSTITUTE(SUBSTITUTE(SUBSTITUTE(TRIM(A464),".",""),"/",""),"-","")," ",""),"(",""),")",""),"+",""))</f>
      </c>
      <c r="H464" s="6">
        <f>IF(G464="","",IF(LEN(G464)&lt;&gt;14,"ERRO: "&amp;LEN(G464)&amp;" dígitos",IF(NOT(ISNUMBER(VALUE(G464))),"ERRO: não numérico",IF(AND(VALUE(MID(G464,13,1))=IF(MOD(SUMPRODUCT(--MID(G464,{1,2,3,4,5,6,7,8,9,10,11,12},1),{5,4,3,2,9,8,7,6,5,4,3,2}),11)&lt;2,0,11-MOD(SUMPRODUCT(--MID(G464,{1,2,3,4,5,6,7,8,9,10,11,12},1),{5,4,3,2,9,8,7,6,5,4,3,2}),11)),VALUE(MID(G464,14,1))=IF(MOD(SUMPRODUCT(--MID(G464,{1,2,3,4,5,6,7,8,9,10,11,12,13},1),{6,5,4,3,2,9,8,7,6,5,4,3,2}),11)&lt;2,0,11-MOD(SUMPRODUCT(--MID(G464,{1,2,3,4,5,6,7,8,9,10,11,12,13},1),{6,5,4,3,2,9,8,7,6,5,4,3,2}),11))),"OK","AVISO: dígito verificador (conferir na org)"))))</f>
      </c>
      <c r="I464" s="6">
        <f>IF(G464="","",IF(COUNTIF($G$2:$G$2001,G464)&gt;1,"DUPLICADO","OK"))</f>
      </c>
      <c r="J464" s="6">
        <f>IF(COUNTA(A464:F464)=0,"",IF(AND(A464&lt;&gt;"",E464&lt;&gt;""),"OK","ERRO: faltam "&amp;IF(A464="","CNPJ; ","")&amp;IF(E464="","Novo gerente; ","")))</f>
      </c>
      <c r="K464" s="6">
        <f>IF(COUNTA(A464:F464)=0,"",IF(AND(LEFT(H464,4)&lt;&gt;"ERRO",I464="OK",J464="OK"),"OK","REVISAR"))</f>
      </c>
    </row>
    <row r="465">
      <c r="A465" s="5"/>
      <c r="B465" s="4"/>
      <c r="C465" s="4"/>
      <c r="D465" s="4"/>
      <c r="E465" s="5"/>
      <c r="F465" s="4"/>
      <c r="G465" s="6">
        <f>IF(A465="","",SUBSTITUTE(SUBSTITUTE(SUBSTITUTE(SUBSTITUTE(SUBSTITUTE(SUBSTITUTE(SUBSTITUTE(TRIM(A465),".",""),"/",""),"-","")," ",""),"(",""),")",""),"+",""))</f>
      </c>
      <c r="H465" s="6">
        <f>IF(G465="","",IF(LEN(G465)&lt;&gt;14,"ERRO: "&amp;LEN(G465)&amp;" dígitos",IF(NOT(ISNUMBER(VALUE(G465))),"ERRO: não numérico",IF(AND(VALUE(MID(G465,13,1))=IF(MOD(SUMPRODUCT(--MID(G465,{1,2,3,4,5,6,7,8,9,10,11,12},1),{5,4,3,2,9,8,7,6,5,4,3,2}),11)&lt;2,0,11-MOD(SUMPRODUCT(--MID(G465,{1,2,3,4,5,6,7,8,9,10,11,12},1),{5,4,3,2,9,8,7,6,5,4,3,2}),11)),VALUE(MID(G465,14,1))=IF(MOD(SUMPRODUCT(--MID(G465,{1,2,3,4,5,6,7,8,9,10,11,12,13},1),{6,5,4,3,2,9,8,7,6,5,4,3,2}),11)&lt;2,0,11-MOD(SUMPRODUCT(--MID(G465,{1,2,3,4,5,6,7,8,9,10,11,12,13},1),{6,5,4,3,2,9,8,7,6,5,4,3,2}),11))),"OK","AVISO: dígito verificador (conferir na org)"))))</f>
      </c>
      <c r="I465" s="6">
        <f>IF(G465="","",IF(COUNTIF($G$2:$G$2001,G465)&gt;1,"DUPLICADO","OK"))</f>
      </c>
      <c r="J465" s="6">
        <f>IF(COUNTA(A465:F465)=0,"",IF(AND(A465&lt;&gt;"",E465&lt;&gt;""),"OK","ERRO: faltam "&amp;IF(A465="","CNPJ; ","")&amp;IF(E465="","Novo gerente; ","")))</f>
      </c>
      <c r="K465" s="6">
        <f>IF(COUNTA(A465:F465)=0,"",IF(AND(LEFT(H465,4)&lt;&gt;"ERRO",I465="OK",J465="OK"),"OK","REVISAR"))</f>
      </c>
    </row>
    <row r="466">
      <c r="A466" s="5"/>
      <c r="B466" s="4"/>
      <c r="C466" s="4"/>
      <c r="D466" s="4"/>
      <c r="E466" s="5"/>
      <c r="F466" s="4"/>
      <c r="G466" s="6">
        <f>IF(A466="","",SUBSTITUTE(SUBSTITUTE(SUBSTITUTE(SUBSTITUTE(SUBSTITUTE(SUBSTITUTE(SUBSTITUTE(TRIM(A466),".",""),"/",""),"-","")," ",""),"(",""),")",""),"+",""))</f>
      </c>
      <c r="H466" s="6">
        <f>IF(G466="","",IF(LEN(G466)&lt;&gt;14,"ERRO: "&amp;LEN(G466)&amp;" dígitos",IF(NOT(ISNUMBER(VALUE(G466))),"ERRO: não numérico",IF(AND(VALUE(MID(G466,13,1))=IF(MOD(SUMPRODUCT(--MID(G466,{1,2,3,4,5,6,7,8,9,10,11,12},1),{5,4,3,2,9,8,7,6,5,4,3,2}),11)&lt;2,0,11-MOD(SUMPRODUCT(--MID(G466,{1,2,3,4,5,6,7,8,9,10,11,12},1),{5,4,3,2,9,8,7,6,5,4,3,2}),11)),VALUE(MID(G466,14,1))=IF(MOD(SUMPRODUCT(--MID(G466,{1,2,3,4,5,6,7,8,9,10,11,12,13},1),{6,5,4,3,2,9,8,7,6,5,4,3,2}),11)&lt;2,0,11-MOD(SUMPRODUCT(--MID(G466,{1,2,3,4,5,6,7,8,9,10,11,12,13},1),{6,5,4,3,2,9,8,7,6,5,4,3,2}),11))),"OK","AVISO: dígito verificador (conferir na org)"))))</f>
      </c>
      <c r="I466" s="6">
        <f>IF(G466="","",IF(COUNTIF($G$2:$G$2001,G466)&gt;1,"DUPLICADO","OK"))</f>
      </c>
      <c r="J466" s="6">
        <f>IF(COUNTA(A466:F466)=0,"",IF(AND(A466&lt;&gt;"",E466&lt;&gt;""),"OK","ERRO: faltam "&amp;IF(A466="","CNPJ; ","")&amp;IF(E466="","Novo gerente; ","")))</f>
      </c>
      <c r="K466" s="6">
        <f>IF(COUNTA(A466:F466)=0,"",IF(AND(LEFT(H466,4)&lt;&gt;"ERRO",I466="OK",J466="OK"),"OK","REVISAR"))</f>
      </c>
    </row>
    <row r="467">
      <c r="A467" s="5"/>
      <c r="B467" s="4"/>
      <c r="C467" s="4"/>
      <c r="D467" s="4"/>
      <c r="E467" s="5"/>
      <c r="F467" s="4"/>
      <c r="G467" s="6">
        <f>IF(A467="","",SUBSTITUTE(SUBSTITUTE(SUBSTITUTE(SUBSTITUTE(SUBSTITUTE(SUBSTITUTE(SUBSTITUTE(TRIM(A467),".",""),"/",""),"-","")," ",""),"(",""),")",""),"+",""))</f>
      </c>
      <c r="H467" s="6">
        <f>IF(G467="","",IF(LEN(G467)&lt;&gt;14,"ERRO: "&amp;LEN(G467)&amp;" dígitos",IF(NOT(ISNUMBER(VALUE(G467))),"ERRO: não numérico",IF(AND(VALUE(MID(G467,13,1))=IF(MOD(SUMPRODUCT(--MID(G467,{1,2,3,4,5,6,7,8,9,10,11,12},1),{5,4,3,2,9,8,7,6,5,4,3,2}),11)&lt;2,0,11-MOD(SUMPRODUCT(--MID(G467,{1,2,3,4,5,6,7,8,9,10,11,12},1),{5,4,3,2,9,8,7,6,5,4,3,2}),11)),VALUE(MID(G467,14,1))=IF(MOD(SUMPRODUCT(--MID(G467,{1,2,3,4,5,6,7,8,9,10,11,12,13},1),{6,5,4,3,2,9,8,7,6,5,4,3,2}),11)&lt;2,0,11-MOD(SUMPRODUCT(--MID(G467,{1,2,3,4,5,6,7,8,9,10,11,12,13},1),{6,5,4,3,2,9,8,7,6,5,4,3,2}),11))),"OK","AVISO: dígito verificador (conferir na org)"))))</f>
      </c>
      <c r="I467" s="6">
        <f>IF(G467="","",IF(COUNTIF($G$2:$G$2001,G467)&gt;1,"DUPLICADO","OK"))</f>
      </c>
      <c r="J467" s="6">
        <f>IF(COUNTA(A467:F467)=0,"",IF(AND(A467&lt;&gt;"",E467&lt;&gt;""),"OK","ERRO: faltam "&amp;IF(A467="","CNPJ; ","")&amp;IF(E467="","Novo gerente; ","")))</f>
      </c>
      <c r="K467" s="6">
        <f>IF(COUNTA(A467:F467)=0,"",IF(AND(LEFT(H467,4)&lt;&gt;"ERRO",I467="OK",J467="OK"),"OK","REVISAR"))</f>
      </c>
    </row>
    <row r="468">
      <c r="A468" s="5"/>
      <c r="B468" s="4"/>
      <c r="C468" s="4"/>
      <c r="D468" s="4"/>
      <c r="E468" s="5"/>
      <c r="F468" s="4"/>
      <c r="G468" s="6">
        <f>IF(A468="","",SUBSTITUTE(SUBSTITUTE(SUBSTITUTE(SUBSTITUTE(SUBSTITUTE(SUBSTITUTE(SUBSTITUTE(TRIM(A468),".",""),"/",""),"-","")," ",""),"(",""),")",""),"+",""))</f>
      </c>
      <c r="H468" s="6">
        <f>IF(G468="","",IF(LEN(G468)&lt;&gt;14,"ERRO: "&amp;LEN(G468)&amp;" dígitos",IF(NOT(ISNUMBER(VALUE(G468))),"ERRO: não numérico",IF(AND(VALUE(MID(G468,13,1))=IF(MOD(SUMPRODUCT(--MID(G468,{1,2,3,4,5,6,7,8,9,10,11,12},1),{5,4,3,2,9,8,7,6,5,4,3,2}),11)&lt;2,0,11-MOD(SUMPRODUCT(--MID(G468,{1,2,3,4,5,6,7,8,9,10,11,12},1),{5,4,3,2,9,8,7,6,5,4,3,2}),11)),VALUE(MID(G468,14,1))=IF(MOD(SUMPRODUCT(--MID(G468,{1,2,3,4,5,6,7,8,9,10,11,12,13},1),{6,5,4,3,2,9,8,7,6,5,4,3,2}),11)&lt;2,0,11-MOD(SUMPRODUCT(--MID(G468,{1,2,3,4,5,6,7,8,9,10,11,12,13},1),{6,5,4,3,2,9,8,7,6,5,4,3,2}),11))),"OK","AVISO: dígito verificador (conferir na org)"))))</f>
      </c>
      <c r="I468" s="6">
        <f>IF(G468="","",IF(COUNTIF($G$2:$G$2001,G468)&gt;1,"DUPLICADO","OK"))</f>
      </c>
      <c r="J468" s="6">
        <f>IF(COUNTA(A468:F468)=0,"",IF(AND(A468&lt;&gt;"",E468&lt;&gt;""),"OK","ERRO: faltam "&amp;IF(A468="","CNPJ; ","")&amp;IF(E468="","Novo gerente; ","")))</f>
      </c>
      <c r="K468" s="6">
        <f>IF(COUNTA(A468:F468)=0,"",IF(AND(LEFT(H468,4)&lt;&gt;"ERRO",I468="OK",J468="OK"),"OK","REVISAR"))</f>
      </c>
    </row>
    <row r="469">
      <c r="A469" s="5"/>
      <c r="B469" s="4"/>
      <c r="C469" s="4"/>
      <c r="D469" s="4"/>
      <c r="E469" s="5"/>
      <c r="F469" s="4"/>
      <c r="G469" s="6">
        <f>IF(A469="","",SUBSTITUTE(SUBSTITUTE(SUBSTITUTE(SUBSTITUTE(SUBSTITUTE(SUBSTITUTE(SUBSTITUTE(TRIM(A469),".",""),"/",""),"-","")," ",""),"(",""),")",""),"+",""))</f>
      </c>
      <c r="H469" s="6">
        <f>IF(G469="","",IF(LEN(G469)&lt;&gt;14,"ERRO: "&amp;LEN(G469)&amp;" dígitos",IF(NOT(ISNUMBER(VALUE(G469))),"ERRO: não numérico",IF(AND(VALUE(MID(G469,13,1))=IF(MOD(SUMPRODUCT(--MID(G469,{1,2,3,4,5,6,7,8,9,10,11,12},1),{5,4,3,2,9,8,7,6,5,4,3,2}),11)&lt;2,0,11-MOD(SUMPRODUCT(--MID(G469,{1,2,3,4,5,6,7,8,9,10,11,12},1),{5,4,3,2,9,8,7,6,5,4,3,2}),11)),VALUE(MID(G469,14,1))=IF(MOD(SUMPRODUCT(--MID(G469,{1,2,3,4,5,6,7,8,9,10,11,12,13},1),{6,5,4,3,2,9,8,7,6,5,4,3,2}),11)&lt;2,0,11-MOD(SUMPRODUCT(--MID(G469,{1,2,3,4,5,6,7,8,9,10,11,12,13},1),{6,5,4,3,2,9,8,7,6,5,4,3,2}),11))),"OK","AVISO: dígito verificador (conferir na org)"))))</f>
      </c>
      <c r="I469" s="6">
        <f>IF(G469="","",IF(COUNTIF($G$2:$G$2001,G469)&gt;1,"DUPLICADO","OK"))</f>
      </c>
      <c r="J469" s="6">
        <f>IF(COUNTA(A469:F469)=0,"",IF(AND(A469&lt;&gt;"",E469&lt;&gt;""),"OK","ERRO: faltam "&amp;IF(A469="","CNPJ; ","")&amp;IF(E469="","Novo gerente; ","")))</f>
      </c>
      <c r="K469" s="6">
        <f>IF(COUNTA(A469:F469)=0,"",IF(AND(LEFT(H469,4)&lt;&gt;"ERRO",I469="OK",J469="OK"),"OK","REVISAR"))</f>
      </c>
    </row>
    <row r="470">
      <c r="A470" s="5"/>
      <c r="B470" s="4"/>
      <c r="C470" s="4"/>
      <c r="D470" s="4"/>
      <c r="E470" s="5"/>
      <c r="F470" s="4"/>
      <c r="G470" s="6">
        <f>IF(A470="","",SUBSTITUTE(SUBSTITUTE(SUBSTITUTE(SUBSTITUTE(SUBSTITUTE(SUBSTITUTE(SUBSTITUTE(TRIM(A470),".",""),"/",""),"-","")," ",""),"(",""),")",""),"+",""))</f>
      </c>
      <c r="H470" s="6">
        <f>IF(G470="","",IF(LEN(G470)&lt;&gt;14,"ERRO: "&amp;LEN(G470)&amp;" dígitos",IF(NOT(ISNUMBER(VALUE(G470))),"ERRO: não numérico",IF(AND(VALUE(MID(G470,13,1))=IF(MOD(SUMPRODUCT(--MID(G470,{1,2,3,4,5,6,7,8,9,10,11,12},1),{5,4,3,2,9,8,7,6,5,4,3,2}),11)&lt;2,0,11-MOD(SUMPRODUCT(--MID(G470,{1,2,3,4,5,6,7,8,9,10,11,12},1),{5,4,3,2,9,8,7,6,5,4,3,2}),11)),VALUE(MID(G470,14,1))=IF(MOD(SUMPRODUCT(--MID(G470,{1,2,3,4,5,6,7,8,9,10,11,12,13},1),{6,5,4,3,2,9,8,7,6,5,4,3,2}),11)&lt;2,0,11-MOD(SUMPRODUCT(--MID(G470,{1,2,3,4,5,6,7,8,9,10,11,12,13},1),{6,5,4,3,2,9,8,7,6,5,4,3,2}),11))),"OK","AVISO: dígito verificador (conferir na org)"))))</f>
      </c>
      <c r="I470" s="6">
        <f>IF(G470="","",IF(COUNTIF($G$2:$G$2001,G470)&gt;1,"DUPLICADO","OK"))</f>
      </c>
      <c r="J470" s="6">
        <f>IF(COUNTA(A470:F470)=0,"",IF(AND(A470&lt;&gt;"",E470&lt;&gt;""),"OK","ERRO: faltam "&amp;IF(A470="","CNPJ; ","")&amp;IF(E470="","Novo gerente; ","")))</f>
      </c>
      <c r="K470" s="6">
        <f>IF(COUNTA(A470:F470)=0,"",IF(AND(LEFT(H470,4)&lt;&gt;"ERRO",I470="OK",J470="OK"),"OK","REVISAR"))</f>
      </c>
    </row>
    <row r="471">
      <c r="A471" s="5"/>
      <c r="B471" s="4"/>
      <c r="C471" s="4"/>
      <c r="D471" s="4"/>
      <c r="E471" s="5"/>
      <c r="F471" s="4"/>
      <c r="G471" s="6">
        <f>IF(A471="","",SUBSTITUTE(SUBSTITUTE(SUBSTITUTE(SUBSTITUTE(SUBSTITUTE(SUBSTITUTE(SUBSTITUTE(TRIM(A471),".",""),"/",""),"-","")," ",""),"(",""),")",""),"+",""))</f>
      </c>
      <c r="H471" s="6">
        <f>IF(G471="","",IF(LEN(G471)&lt;&gt;14,"ERRO: "&amp;LEN(G471)&amp;" dígitos",IF(NOT(ISNUMBER(VALUE(G471))),"ERRO: não numérico",IF(AND(VALUE(MID(G471,13,1))=IF(MOD(SUMPRODUCT(--MID(G471,{1,2,3,4,5,6,7,8,9,10,11,12},1),{5,4,3,2,9,8,7,6,5,4,3,2}),11)&lt;2,0,11-MOD(SUMPRODUCT(--MID(G471,{1,2,3,4,5,6,7,8,9,10,11,12},1),{5,4,3,2,9,8,7,6,5,4,3,2}),11)),VALUE(MID(G471,14,1))=IF(MOD(SUMPRODUCT(--MID(G471,{1,2,3,4,5,6,7,8,9,10,11,12,13},1),{6,5,4,3,2,9,8,7,6,5,4,3,2}),11)&lt;2,0,11-MOD(SUMPRODUCT(--MID(G471,{1,2,3,4,5,6,7,8,9,10,11,12,13},1),{6,5,4,3,2,9,8,7,6,5,4,3,2}),11))),"OK","AVISO: dígito verificador (conferir na org)"))))</f>
      </c>
      <c r="I471" s="6">
        <f>IF(G471="","",IF(COUNTIF($G$2:$G$2001,G471)&gt;1,"DUPLICADO","OK"))</f>
      </c>
      <c r="J471" s="6">
        <f>IF(COUNTA(A471:F471)=0,"",IF(AND(A471&lt;&gt;"",E471&lt;&gt;""),"OK","ERRO: faltam "&amp;IF(A471="","CNPJ; ","")&amp;IF(E471="","Novo gerente; ","")))</f>
      </c>
      <c r="K471" s="6">
        <f>IF(COUNTA(A471:F471)=0,"",IF(AND(LEFT(H471,4)&lt;&gt;"ERRO",I471="OK",J471="OK"),"OK","REVISAR"))</f>
      </c>
    </row>
    <row r="472">
      <c r="A472" s="5"/>
      <c r="B472" s="4"/>
      <c r="C472" s="4"/>
      <c r="D472" s="4"/>
      <c r="E472" s="5"/>
      <c r="F472" s="4"/>
      <c r="G472" s="6">
        <f>IF(A472="","",SUBSTITUTE(SUBSTITUTE(SUBSTITUTE(SUBSTITUTE(SUBSTITUTE(SUBSTITUTE(SUBSTITUTE(TRIM(A472),".",""),"/",""),"-","")," ",""),"(",""),")",""),"+",""))</f>
      </c>
      <c r="H472" s="6">
        <f>IF(G472="","",IF(LEN(G472)&lt;&gt;14,"ERRO: "&amp;LEN(G472)&amp;" dígitos",IF(NOT(ISNUMBER(VALUE(G472))),"ERRO: não numérico",IF(AND(VALUE(MID(G472,13,1))=IF(MOD(SUMPRODUCT(--MID(G472,{1,2,3,4,5,6,7,8,9,10,11,12},1),{5,4,3,2,9,8,7,6,5,4,3,2}),11)&lt;2,0,11-MOD(SUMPRODUCT(--MID(G472,{1,2,3,4,5,6,7,8,9,10,11,12},1),{5,4,3,2,9,8,7,6,5,4,3,2}),11)),VALUE(MID(G472,14,1))=IF(MOD(SUMPRODUCT(--MID(G472,{1,2,3,4,5,6,7,8,9,10,11,12,13},1),{6,5,4,3,2,9,8,7,6,5,4,3,2}),11)&lt;2,0,11-MOD(SUMPRODUCT(--MID(G472,{1,2,3,4,5,6,7,8,9,10,11,12,13},1),{6,5,4,3,2,9,8,7,6,5,4,3,2}),11))),"OK","AVISO: dígito verificador (conferir na org)"))))</f>
      </c>
      <c r="I472" s="6">
        <f>IF(G472="","",IF(COUNTIF($G$2:$G$2001,G472)&gt;1,"DUPLICADO","OK"))</f>
      </c>
      <c r="J472" s="6">
        <f>IF(COUNTA(A472:F472)=0,"",IF(AND(A472&lt;&gt;"",E472&lt;&gt;""),"OK","ERRO: faltam "&amp;IF(A472="","CNPJ; ","")&amp;IF(E472="","Novo gerente; ","")))</f>
      </c>
      <c r="K472" s="6">
        <f>IF(COUNTA(A472:F472)=0,"",IF(AND(LEFT(H472,4)&lt;&gt;"ERRO",I472="OK",J472="OK"),"OK","REVISAR"))</f>
      </c>
    </row>
    <row r="473">
      <c r="A473" s="5"/>
      <c r="B473" s="4"/>
      <c r="C473" s="4"/>
      <c r="D473" s="4"/>
      <c r="E473" s="5"/>
      <c r="F473" s="4"/>
      <c r="G473" s="6">
        <f>IF(A473="","",SUBSTITUTE(SUBSTITUTE(SUBSTITUTE(SUBSTITUTE(SUBSTITUTE(SUBSTITUTE(SUBSTITUTE(TRIM(A473),".",""),"/",""),"-","")," ",""),"(",""),")",""),"+",""))</f>
      </c>
      <c r="H473" s="6">
        <f>IF(G473="","",IF(LEN(G473)&lt;&gt;14,"ERRO: "&amp;LEN(G473)&amp;" dígitos",IF(NOT(ISNUMBER(VALUE(G473))),"ERRO: não numérico",IF(AND(VALUE(MID(G473,13,1))=IF(MOD(SUMPRODUCT(--MID(G473,{1,2,3,4,5,6,7,8,9,10,11,12},1),{5,4,3,2,9,8,7,6,5,4,3,2}),11)&lt;2,0,11-MOD(SUMPRODUCT(--MID(G473,{1,2,3,4,5,6,7,8,9,10,11,12},1),{5,4,3,2,9,8,7,6,5,4,3,2}),11)),VALUE(MID(G473,14,1))=IF(MOD(SUMPRODUCT(--MID(G473,{1,2,3,4,5,6,7,8,9,10,11,12,13},1),{6,5,4,3,2,9,8,7,6,5,4,3,2}),11)&lt;2,0,11-MOD(SUMPRODUCT(--MID(G473,{1,2,3,4,5,6,7,8,9,10,11,12,13},1),{6,5,4,3,2,9,8,7,6,5,4,3,2}),11))),"OK","AVISO: dígito verificador (conferir na org)"))))</f>
      </c>
      <c r="I473" s="6">
        <f>IF(G473="","",IF(COUNTIF($G$2:$G$2001,G473)&gt;1,"DUPLICADO","OK"))</f>
      </c>
      <c r="J473" s="6">
        <f>IF(COUNTA(A473:F473)=0,"",IF(AND(A473&lt;&gt;"",E473&lt;&gt;""),"OK","ERRO: faltam "&amp;IF(A473="","CNPJ; ","")&amp;IF(E473="","Novo gerente; ","")))</f>
      </c>
      <c r="K473" s="6">
        <f>IF(COUNTA(A473:F473)=0,"",IF(AND(LEFT(H473,4)&lt;&gt;"ERRO",I473="OK",J473="OK"),"OK","REVISAR"))</f>
      </c>
    </row>
    <row r="474">
      <c r="A474" s="5"/>
      <c r="B474" s="4"/>
      <c r="C474" s="4"/>
      <c r="D474" s="4"/>
      <c r="E474" s="5"/>
      <c r="F474" s="4"/>
      <c r="G474" s="6">
        <f>IF(A474="","",SUBSTITUTE(SUBSTITUTE(SUBSTITUTE(SUBSTITUTE(SUBSTITUTE(SUBSTITUTE(SUBSTITUTE(TRIM(A474),".",""),"/",""),"-","")," ",""),"(",""),")",""),"+",""))</f>
      </c>
      <c r="H474" s="6">
        <f>IF(G474="","",IF(LEN(G474)&lt;&gt;14,"ERRO: "&amp;LEN(G474)&amp;" dígitos",IF(NOT(ISNUMBER(VALUE(G474))),"ERRO: não numérico",IF(AND(VALUE(MID(G474,13,1))=IF(MOD(SUMPRODUCT(--MID(G474,{1,2,3,4,5,6,7,8,9,10,11,12},1),{5,4,3,2,9,8,7,6,5,4,3,2}),11)&lt;2,0,11-MOD(SUMPRODUCT(--MID(G474,{1,2,3,4,5,6,7,8,9,10,11,12},1),{5,4,3,2,9,8,7,6,5,4,3,2}),11)),VALUE(MID(G474,14,1))=IF(MOD(SUMPRODUCT(--MID(G474,{1,2,3,4,5,6,7,8,9,10,11,12,13},1),{6,5,4,3,2,9,8,7,6,5,4,3,2}),11)&lt;2,0,11-MOD(SUMPRODUCT(--MID(G474,{1,2,3,4,5,6,7,8,9,10,11,12,13},1),{6,5,4,3,2,9,8,7,6,5,4,3,2}),11))),"OK","AVISO: dígito verificador (conferir na org)"))))</f>
      </c>
      <c r="I474" s="6">
        <f>IF(G474="","",IF(COUNTIF($G$2:$G$2001,G474)&gt;1,"DUPLICADO","OK"))</f>
      </c>
      <c r="J474" s="6">
        <f>IF(COUNTA(A474:F474)=0,"",IF(AND(A474&lt;&gt;"",E474&lt;&gt;""),"OK","ERRO: faltam "&amp;IF(A474="","CNPJ; ","")&amp;IF(E474="","Novo gerente; ","")))</f>
      </c>
      <c r="K474" s="6">
        <f>IF(COUNTA(A474:F474)=0,"",IF(AND(LEFT(H474,4)&lt;&gt;"ERRO",I474="OK",J474="OK"),"OK","REVISAR"))</f>
      </c>
    </row>
    <row r="475">
      <c r="A475" s="5"/>
      <c r="B475" s="4"/>
      <c r="C475" s="4"/>
      <c r="D475" s="4"/>
      <c r="E475" s="5"/>
      <c r="F475" s="4"/>
      <c r="G475" s="6">
        <f>IF(A475="","",SUBSTITUTE(SUBSTITUTE(SUBSTITUTE(SUBSTITUTE(SUBSTITUTE(SUBSTITUTE(SUBSTITUTE(TRIM(A475),".",""),"/",""),"-","")," ",""),"(",""),")",""),"+",""))</f>
      </c>
      <c r="H475" s="6">
        <f>IF(G475="","",IF(LEN(G475)&lt;&gt;14,"ERRO: "&amp;LEN(G475)&amp;" dígitos",IF(NOT(ISNUMBER(VALUE(G475))),"ERRO: não numérico",IF(AND(VALUE(MID(G475,13,1))=IF(MOD(SUMPRODUCT(--MID(G475,{1,2,3,4,5,6,7,8,9,10,11,12},1),{5,4,3,2,9,8,7,6,5,4,3,2}),11)&lt;2,0,11-MOD(SUMPRODUCT(--MID(G475,{1,2,3,4,5,6,7,8,9,10,11,12},1),{5,4,3,2,9,8,7,6,5,4,3,2}),11)),VALUE(MID(G475,14,1))=IF(MOD(SUMPRODUCT(--MID(G475,{1,2,3,4,5,6,7,8,9,10,11,12,13},1),{6,5,4,3,2,9,8,7,6,5,4,3,2}),11)&lt;2,0,11-MOD(SUMPRODUCT(--MID(G475,{1,2,3,4,5,6,7,8,9,10,11,12,13},1),{6,5,4,3,2,9,8,7,6,5,4,3,2}),11))),"OK","AVISO: dígito verificador (conferir na org)"))))</f>
      </c>
      <c r="I475" s="6">
        <f>IF(G475="","",IF(COUNTIF($G$2:$G$2001,G475)&gt;1,"DUPLICADO","OK"))</f>
      </c>
      <c r="J475" s="6">
        <f>IF(COUNTA(A475:F475)=0,"",IF(AND(A475&lt;&gt;"",E475&lt;&gt;""),"OK","ERRO: faltam "&amp;IF(A475="","CNPJ; ","")&amp;IF(E475="","Novo gerente; ","")))</f>
      </c>
      <c r="K475" s="6">
        <f>IF(COUNTA(A475:F475)=0,"",IF(AND(LEFT(H475,4)&lt;&gt;"ERRO",I475="OK",J475="OK"),"OK","REVISAR"))</f>
      </c>
    </row>
    <row r="476">
      <c r="A476" s="5"/>
      <c r="B476" s="4"/>
      <c r="C476" s="4"/>
      <c r="D476" s="4"/>
      <c r="E476" s="5"/>
      <c r="F476" s="4"/>
      <c r="G476" s="6">
        <f>IF(A476="","",SUBSTITUTE(SUBSTITUTE(SUBSTITUTE(SUBSTITUTE(SUBSTITUTE(SUBSTITUTE(SUBSTITUTE(TRIM(A476),".",""),"/",""),"-","")," ",""),"(",""),")",""),"+",""))</f>
      </c>
      <c r="H476" s="6">
        <f>IF(G476="","",IF(LEN(G476)&lt;&gt;14,"ERRO: "&amp;LEN(G476)&amp;" dígitos",IF(NOT(ISNUMBER(VALUE(G476))),"ERRO: não numérico",IF(AND(VALUE(MID(G476,13,1))=IF(MOD(SUMPRODUCT(--MID(G476,{1,2,3,4,5,6,7,8,9,10,11,12},1),{5,4,3,2,9,8,7,6,5,4,3,2}),11)&lt;2,0,11-MOD(SUMPRODUCT(--MID(G476,{1,2,3,4,5,6,7,8,9,10,11,12},1),{5,4,3,2,9,8,7,6,5,4,3,2}),11)),VALUE(MID(G476,14,1))=IF(MOD(SUMPRODUCT(--MID(G476,{1,2,3,4,5,6,7,8,9,10,11,12,13},1),{6,5,4,3,2,9,8,7,6,5,4,3,2}),11)&lt;2,0,11-MOD(SUMPRODUCT(--MID(G476,{1,2,3,4,5,6,7,8,9,10,11,12,13},1),{6,5,4,3,2,9,8,7,6,5,4,3,2}),11))),"OK","AVISO: dígito verificador (conferir na org)"))))</f>
      </c>
      <c r="I476" s="6">
        <f>IF(G476="","",IF(COUNTIF($G$2:$G$2001,G476)&gt;1,"DUPLICADO","OK"))</f>
      </c>
      <c r="J476" s="6">
        <f>IF(COUNTA(A476:F476)=0,"",IF(AND(A476&lt;&gt;"",E476&lt;&gt;""),"OK","ERRO: faltam "&amp;IF(A476="","CNPJ; ","")&amp;IF(E476="","Novo gerente; ","")))</f>
      </c>
      <c r="K476" s="6">
        <f>IF(COUNTA(A476:F476)=0,"",IF(AND(LEFT(H476,4)&lt;&gt;"ERRO",I476="OK",J476="OK"),"OK","REVISAR"))</f>
      </c>
    </row>
    <row r="477">
      <c r="A477" s="5"/>
      <c r="B477" s="4"/>
      <c r="C477" s="4"/>
      <c r="D477" s="4"/>
      <c r="E477" s="5"/>
      <c r="F477" s="4"/>
      <c r="G477" s="6">
        <f>IF(A477="","",SUBSTITUTE(SUBSTITUTE(SUBSTITUTE(SUBSTITUTE(SUBSTITUTE(SUBSTITUTE(SUBSTITUTE(TRIM(A477),".",""),"/",""),"-","")," ",""),"(",""),")",""),"+",""))</f>
      </c>
      <c r="H477" s="6">
        <f>IF(G477="","",IF(LEN(G477)&lt;&gt;14,"ERRO: "&amp;LEN(G477)&amp;" dígitos",IF(NOT(ISNUMBER(VALUE(G477))),"ERRO: não numérico",IF(AND(VALUE(MID(G477,13,1))=IF(MOD(SUMPRODUCT(--MID(G477,{1,2,3,4,5,6,7,8,9,10,11,12},1),{5,4,3,2,9,8,7,6,5,4,3,2}),11)&lt;2,0,11-MOD(SUMPRODUCT(--MID(G477,{1,2,3,4,5,6,7,8,9,10,11,12},1),{5,4,3,2,9,8,7,6,5,4,3,2}),11)),VALUE(MID(G477,14,1))=IF(MOD(SUMPRODUCT(--MID(G477,{1,2,3,4,5,6,7,8,9,10,11,12,13},1),{6,5,4,3,2,9,8,7,6,5,4,3,2}),11)&lt;2,0,11-MOD(SUMPRODUCT(--MID(G477,{1,2,3,4,5,6,7,8,9,10,11,12,13},1),{6,5,4,3,2,9,8,7,6,5,4,3,2}),11))),"OK","AVISO: dígito verificador (conferir na org)"))))</f>
      </c>
      <c r="I477" s="6">
        <f>IF(G477="","",IF(COUNTIF($G$2:$G$2001,G477)&gt;1,"DUPLICADO","OK"))</f>
      </c>
      <c r="J477" s="6">
        <f>IF(COUNTA(A477:F477)=0,"",IF(AND(A477&lt;&gt;"",E477&lt;&gt;""),"OK","ERRO: faltam "&amp;IF(A477="","CNPJ; ","")&amp;IF(E477="","Novo gerente; ","")))</f>
      </c>
      <c r="K477" s="6">
        <f>IF(COUNTA(A477:F477)=0,"",IF(AND(LEFT(H477,4)&lt;&gt;"ERRO",I477="OK",J477="OK"),"OK","REVISAR"))</f>
      </c>
    </row>
    <row r="478">
      <c r="A478" s="5"/>
      <c r="B478" s="4"/>
      <c r="C478" s="4"/>
      <c r="D478" s="4"/>
      <c r="E478" s="5"/>
      <c r="F478" s="4"/>
      <c r="G478" s="6">
        <f>IF(A478="","",SUBSTITUTE(SUBSTITUTE(SUBSTITUTE(SUBSTITUTE(SUBSTITUTE(SUBSTITUTE(SUBSTITUTE(TRIM(A478),".",""),"/",""),"-","")," ",""),"(",""),")",""),"+",""))</f>
      </c>
      <c r="H478" s="6">
        <f>IF(G478="","",IF(LEN(G478)&lt;&gt;14,"ERRO: "&amp;LEN(G478)&amp;" dígitos",IF(NOT(ISNUMBER(VALUE(G478))),"ERRO: não numérico",IF(AND(VALUE(MID(G478,13,1))=IF(MOD(SUMPRODUCT(--MID(G478,{1,2,3,4,5,6,7,8,9,10,11,12},1),{5,4,3,2,9,8,7,6,5,4,3,2}),11)&lt;2,0,11-MOD(SUMPRODUCT(--MID(G478,{1,2,3,4,5,6,7,8,9,10,11,12},1),{5,4,3,2,9,8,7,6,5,4,3,2}),11)),VALUE(MID(G478,14,1))=IF(MOD(SUMPRODUCT(--MID(G478,{1,2,3,4,5,6,7,8,9,10,11,12,13},1),{6,5,4,3,2,9,8,7,6,5,4,3,2}),11)&lt;2,0,11-MOD(SUMPRODUCT(--MID(G478,{1,2,3,4,5,6,7,8,9,10,11,12,13},1),{6,5,4,3,2,9,8,7,6,5,4,3,2}),11))),"OK","AVISO: dígito verificador (conferir na org)"))))</f>
      </c>
      <c r="I478" s="6">
        <f>IF(G478="","",IF(COUNTIF($G$2:$G$2001,G478)&gt;1,"DUPLICADO","OK"))</f>
      </c>
      <c r="J478" s="6">
        <f>IF(COUNTA(A478:F478)=0,"",IF(AND(A478&lt;&gt;"",E478&lt;&gt;""),"OK","ERRO: faltam "&amp;IF(A478="","CNPJ; ","")&amp;IF(E478="","Novo gerente; ","")))</f>
      </c>
      <c r="K478" s="6">
        <f>IF(COUNTA(A478:F478)=0,"",IF(AND(LEFT(H478,4)&lt;&gt;"ERRO",I478="OK",J478="OK"),"OK","REVISAR"))</f>
      </c>
    </row>
    <row r="479">
      <c r="A479" s="5"/>
      <c r="B479" s="4"/>
      <c r="C479" s="4"/>
      <c r="D479" s="4"/>
      <c r="E479" s="5"/>
      <c r="F479" s="4"/>
      <c r="G479" s="6">
        <f>IF(A479="","",SUBSTITUTE(SUBSTITUTE(SUBSTITUTE(SUBSTITUTE(SUBSTITUTE(SUBSTITUTE(SUBSTITUTE(TRIM(A479),".",""),"/",""),"-","")," ",""),"(",""),")",""),"+",""))</f>
      </c>
      <c r="H479" s="6">
        <f>IF(G479="","",IF(LEN(G479)&lt;&gt;14,"ERRO: "&amp;LEN(G479)&amp;" dígitos",IF(NOT(ISNUMBER(VALUE(G479))),"ERRO: não numérico",IF(AND(VALUE(MID(G479,13,1))=IF(MOD(SUMPRODUCT(--MID(G479,{1,2,3,4,5,6,7,8,9,10,11,12},1),{5,4,3,2,9,8,7,6,5,4,3,2}),11)&lt;2,0,11-MOD(SUMPRODUCT(--MID(G479,{1,2,3,4,5,6,7,8,9,10,11,12},1),{5,4,3,2,9,8,7,6,5,4,3,2}),11)),VALUE(MID(G479,14,1))=IF(MOD(SUMPRODUCT(--MID(G479,{1,2,3,4,5,6,7,8,9,10,11,12,13},1),{6,5,4,3,2,9,8,7,6,5,4,3,2}),11)&lt;2,0,11-MOD(SUMPRODUCT(--MID(G479,{1,2,3,4,5,6,7,8,9,10,11,12,13},1),{6,5,4,3,2,9,8,7,6,5,4,3,2}),11))),"OK","AVISO: dígito verificador (conferir na org)"))))</f>
      </c>
      <c r="I479" s="6">
        <f>IF(G479="","",IF(COUNTIF($G$2:$G$2001,G479)&gt;1,"DUPLICADO","OK"))</f>
      </c>
      <c r="J479" s="6">
        <f>IF(COUNTA(A479:F479)=0,"",IF(AND(A479&lt;&gt;"",E479&lt;&gt;""),"OK","ERRO: faltam "&amp;IF(A479="","CNPJ; ","")&amp;IF(E479="","Novo gerente; ","")))</f>
      </c>
      <c r="K479" s="6">
        <f>IF(COUNTA(A479:F479)=0,"",IF(AND(LEFT(H479,4)&lt;&gt;"ERRO",I479="OK",J479="OK"),"OK","REVISAR"))</f>
      </c>
    </row>
    <row r="480">
      <c r="A480" s="5"/>
      <c r="B480" s="4"/>
      <c r="C480" s="4"/>
      <c r="D480" s="4"/>
      <c r="E480" s="5"/>
      <c r="F480" s="4"/>
      <c r="G480" s="6">
        <f>IF(A480="","",SUBSTITUTE(SUBSTITUTE(SUBSTITUTE(SUBSTITUTE(SUBSTITUTE(SUBSTITUTE(SUBSTITUTE(TRIM(A480),".",""),"/",""),"-","")," ",""),"(",""),")",""),"+",""))</f>
      </c>
      <c r="H480" s="6">
        <f>IF(G480="","",IF(LEN(G480)&lt;&gt;14,"ERRO: "&amp;LEN(G480)&amp;" dígitos",IF(NOT(ISNUMBER(VALUE(G480))),"ERRO: não numérico",IF(AND(VALUE(MID(G480,13,1))=IF(MOD(SUMPRODUCT(--MID(G480,{1,2,3,4,5,6,7,8,9,10,11,12},1),{5,4,3,2,9,8,7,6,5,4,3,2}),11)&lt;2,0,11-MOD(SUMPRODUCT(--MID(G480,{1,2,3,4,5,6,7,8,9,10,11,12},1),{5,4,3,2,9,8,7,6,5,4,3,2}),11)),VALUE(MID(G480,14,1))=IF(MOD(SUMPRODUCT(--MID(G480,{1,2,3,4,5,6,7,8,9,10,11,12,13},1),{6,5,4,3,2,9,8,7,6,5,4,3,2}),11)&lt;2,0,11-MOD(SUMPRODUCT(--MID(G480,{1,2,3,4,5,6,7,8,9,10,11,12,13},1),{6,5,4,3,2,9,8,7,6,5,4,3,2}),11))),"OK","AVISO: dígito verificador (conferir na org)"))))</f>
      </c>
      <c r="I480" s="6">
        <f>IF(G480="","",IF(COUNTIF($G$2:$G$2001,G480)&gt;1,"DUPLICADO","OK"))</f>
      </c>
      <c r="J480" s="6">
        <f>IF(COUNTA(A480:F480)=0,"",IF(AND(A480&lt;&gt;"",E480&lt;&gt;""),"OK","ERRO: faltam "&amp;IF(A480="","CNPJ; ","")&amp;IF(E480="","Novo gerente; ","")))</f>
      </c>
      <c r="K480" s="6">
        <f>IF(COUNTA(A480:F480)=0,"",IF(AND(LEFT(H480,4)&lt;&gt;"ERRO",I480="OK",J480="OK"),"OK","REVISAR"))</f>
      </c>
    </row>
    <row r="481">
      <c r="A481" s="5"/>
      <c r="B481" s="4"/>
      <c r="C481" s="4"/>
      <c r="D481" s="4"/>
      <c r="E481" s="5"/>
      <c r="F481" s="4"/>
      <c r="G481" s="6">
        <f>IF(A481="","",SUBSTITUTE(SUBSTITUTE(SUBSTITUTE(SUBSTITUTE(SUBSTITUTE(SUBSTITUTE(SUBSTITUTE(TRIM(A481),".",""),"/",""),"-","")," ",""),"(",""),")",""),"+",""))</f>
      </c>
      <c r="H481" s="6">
        <f>IF(G481="","",IF(LEN(G481)&lt;&gt;14,"ERRO: "&amp;LEN(G481)&amp;" dígitos",IF(NOT(ISNUMBER(VALUE(G481))),"ERRO: não numérico",IF(AND(VALUE(MID(G481,13,1))=IF(MOD(SUMPRODUCT(--MID(G481,{1,2,3,4,5,6,7,8,9,10,11,12},1),{5,4,3,2,9,8,7,6,5,4,3,2}),11)&lt;2,0,11-MOD(SUMPRODUCT(--MID(G481,{1,2,3,4,5,6,7,8,9,10,11,12},1),{5,4,3,2,9,8,7,6,5,4,3,2}),11)),VALUE(MID(G481,14,1))=IF(MOD(SUMPRODUCT(--MID(G481,{1,2,3,4,5,6,7,8,9,10,11,12,13},1),{6,5,4,3,2,9,8,7,6,5,4,3,2}),11)&lt;2,0,11-MOD(SUMPRODUCT(--MID(G481,{1,2,3,4,5,6,7,8,9,10,11,12,13},1),{6,5,4,3,2,9,8,7,6,5,4,3,2}),11))),"OK","AVISO: dígito verificador (conferir na org)"))))</f>
      </c>
      <c r="I481" s="6">
        <f>IF(G481="","",IF(COUNTIF($G$2:$G$2001,G481)&gt;1,"DUPLICADO","OK"))</f>
      </c>
      <c r="J481" s="6">
        <f>IF(COUNTA(A481:F481)=0,"",IF(AND(A481&lt;&gt;"",E481&lt;&gt;""),"OK","ERRO: faltam "&amp;IF(A481="","CNPJ; ","")&amp;IF(E481="","Novo gerente; ","")))</f>
      </c>
      <c r="K481" s="6">
        <f>IF(COUNTA(A481:F481)=0,"",IF(AND(LEFT(H481,4)&lt;&gt;"ERRO",I481="OK",J481="OK"),"OK","REVISAR"))</f>
      </c>
    </row>
    <row r="482">
      <c r="A482" s="5"/>
      <c r="B482" s="4"/>
      <c r="C482" s="4"/>
      <c r="D482" s="4"/>
      <c r="E482" s="5"/>
      <c r="F482" s="4"/>
      <c r="G482" s="6">
        <f>IF(A482="","",SUBSTITUTE(SUBSTITUTE(SUBSTITUTE(SUBSTITUTE(SUBSTITUTE(SUBSTITUTE(SUBSTITUTE(TRIM(A482),".",""),"/",""),"-","")," ",""),"(",""),")",""),"+",""))</f>
      </c>
      <c r="H482" s="6">
        <f>IF(G482="","",IF(LEN(G482)&lt;&gt;14,"ERRO: "&amp;LEN(G482)&amp;" dígitos",IF(NOT(ISNUMBER(VALUE(G482))),"ERRO: não numérico",IF(AND(VALUE(MID(G482,13,1))=IF(MOD(SUMPRODUCT(--MID(G482,{1,2,3,4,5,6,7,8,9,10,11,12},1),{5,4,3,2,9,8,7,6,5,4,3,2}),11)&lt;2,0,11-MOD(SUMPRODUCT(--MID(G482,{1,2,3,4,5,6,7,8,9,10,11,12},1),{5,4,3,2,9,8,7,6,5,4,3,2}),11)),VALUE(MID(G482,14,1))=IF(MOD(SUMPRODUCT(--MID(G482,{1,2,3,4,5,6,7,8,9,10,11,12,13},1),{6,5,4,3,2,9,8,7,6,5,4,3,2}),11)&lt;2,0,11-MOD(SUMPRODUCT(--MID(G482,{1,2,3,4,5,6,7,8,9,10,11,12,13},1),{6,5,4,3,2,9,8,7,6,5,4,3,2}),11))),"OK","AVISO: dígito verificador (conferir na org)"))))</f>
      </c>
      <c r="I482" s="6">
        <f>IF(G482="","",IF(COUNTIF($G$2:$G$2001,G482)&gt;1,"DUPLICADO","OK"))</f>
      </c>
      <c r="J482" s="6">
        <f>IF(COUNTA(A482:F482)=0,"",IF(AND(A482&lt;&gt;"",E482&lt;&gt;""),"OK","ERRO: faltam "&amp;IF(A482="","CNPJ; ","")&amp;IF(E482="","Novo gerente; ","")))</f>
      </c>
      <c r="K482" s="6">
        <f>IF(COUNTA(A482:F482)=0,"",IF(AND(LEFT(H482,4)&lt;&gt;"ERRO",I482="OK",J482="OK"),"OK","REVISAR"))</f>
      </c>
    </row>
    <row r="483">
      <c r="A483" s="5"/>
      <c r="B483" s="4"/>
      <c r="C483" s="4"/>
      <c r="D483" s="4"/>
      <c r="E483" s="5"/>
      <c r="F483" s="4"/>
      <c r="G483" s="6">
        <f>IF(A483="","",SUBSTITUTE(SUBSTITUTE(SUBSTITUTE(SUBSTITUTE(SUBSTITUTE(SUBSTITUTE(SUBSTITUTE(TRIM(A483),".",""),"/",""),"-","")," ",""),"(",""),")",""),"+",""))</f>
      </c>
      <c r="H483" s="6">
        <f>IF(G483="","",IF(LEN(G483)&lt;&gt;14,"ERRO: "&amp;LEN(G483)&amp;" dígitos",IF(NOT(ISNUMBER(VALUE(G483))),"ERRO: não numérico",IF(AND(VALUE(MID(G483,13,1))=IF(MOD(SUMPRODUCT(--MID(G483,{1,2,3,4,5,6,7,8,9,10,11,12},1),{5,4,3,2,9,8,7,6,5,4,3,2}),11)&lt;2,0,11-MOD(SUMPRODUCT(--MID(G483,{1,2,3,4,5,6,7,8,9,10,11,12},1),{5,4,3,2,9,8,7,6,5,4,3,2}),11)),VALUE(MID(G483,14,1))=IF(MOD(SUMPRODUCT(--MID(G483,{1,2,3,4,5,6,7,8,9,10,11,12,13},1),{6,5,4,3,2,9,8,7,6,5,4,3,2}),11)&lt;2,0,11-MOD(SUMPRODUCT(--MID(G483,{1,2,3,4,5,6,7,8,9,10,11,12,13},1),{6,5,4,3,2,9,8,7,6,5,4,3,2}),11))),"OK","AVISO: dígito verificador (conferir na org)"))))</f>
      </c>
      <c r="I483" s="6">
        <f>IF(G483="","",IF(COUNTIF($G$2:$G$2001,G483)&gt;1,"DUPLICADO","OK"))</f>
      </c>
      <c r="J483" s="6">
        <f>IF(COUNTA(A483:F483)=0,"",IF(AND(A483&lt;&gt;"",E483&lt;&gt;""),"OK","ERRO: faltam "&amp;IF(A483="","CNPJ; ","")&amp;IF(E483="","Novo gerente; ","")))</f>
      </c>
      <c r="K483" s="6">
        <f>IF(COUNTA(A483:F483)=0,"",IF(AND(LEFT(H483,4)&lt;&gt;"ERRO",I483="OK",J483="OK"),"OK","REVISAR"))</f>
      </c>
    </row>
    <row r="484">
      <c r="A484" s="5"/>
      <c r="B484" s="4"/>
      <c r="C484" s="4"/>
      <c r="D484" s="4"/>
      <c r="E484" s="5"/>
      <c r="F484" s="4"/>
      <c r="G484" s="6">
        <f>IF(A484="","",SUBSTITUTE(SUBSTITUTE(SUBSTITUTE(SUBSTITUTE(SUBSTITUTE(SUBSTITUTE(SUBSTITUTE(TRIM(A484),".",""),"/",""),"-","")," ",""),"(",""),")",""),"+",""))</f>
      </c>
      <c r="H484" s="6">
        <f>IF(G484="","",IF(LEN(G484)&lt;&gt;14,"ERRO: "&amp;LEN(G484)&amp;" dígitos",IF(NOT(ISNUMBER(VALUE(G484))),"ERRO: não numérico",IF(AND(VALUE(MID(G484,13,1))=IF(MOD(SUMPRODUCT(--MID(G484,{1,2,3,4,5,6,7,8,9,10,11,12},1),{5,4,3,2,9,8,7,6,5,4,3,2}),11)&lt;2,0,11-MOD(SUMPRODUCT(--MID(G484,{1,2,3,4,5,6,7,8,9,10,11,12},1),{5,4,3,2,9,8,7,6,5,4,3,2}),11)),VALUE(MID(G484,14,1))=IF(MOD(SUMPRODUCT(--MID(G484,{1,2,3,4,5,6,7,8,9,10,11,12,13},1),{6,5,4,3,2,9,8,7,6,5,4,3,2}),11)&lt;2,0,11-MOD(SUMPRODUCT(--MID(G484,{1,2,3,4,5,6,7,8,9,10,11,12,13},1),{6,5,4,3,2,9,8,7,6,5,4,3,2}),11))),"OK","AVISO: dígito verificador (conferir na org)"))))</f>
      </c>
      <c r="I484" s="6">
        <f>IF(G484="","",IF(COUNTIF($G$2:$G$2001,G484)&gt;1,"DUPLICADO","OK"))</f>
      </c>
      <c r="J484" s="6">
        <f>IF(COUNTA(A484:F484)=0,"",IF(AND(A484&lt;&gt;"",E484&lt;&gt;""),"OK","ERRO: faltam "&amp;IF(A484="","CNPJ; ","")&amp;IF(E484="","Novo gerente; ","")))</f>
      </c>
      <c r="K484" s="6">
        <f>IF(COUNTA(A484:F484)=0,"",IF(AND(LEFT(H484,4)&lt;&gt;"ERRO",I484="OK",J484="OK"),"OK","REVISAR"))</f>
      </c>
    </row>
    <row r="485">
      <c r="A485" s="5"/>
      <c r="B485" s="4"/>
      <c r="C485" s="4"/>
      <c r="D485" s="4"/>
      <c r="E485" s="5"/>
      <c r="F485" s="4"/>
      <c r="G485" s="6">
        <f>IF(A485="","",SUBSTITUTE(SUBSTITUTE(SUBSTITUTE(SUBSTITUTE(SUBSTITUTE(SUBSTITUTE(SUBSTITUTE(TRIM(A485),".",""),"/",""),"-","")," ",""),"(",""),")",""),"+",""))</f>
      </c>
      <c r="H485" s="6">
        <f>IF(G485="","",IF(LEN(G485)&lt;&gt;14,"ERRO: "&amp;LEN(G485)&amp;" dígitos",IF(NOT(ISNUMBER(VALUE(G485))),"ERRO: não numérico",IF(AND(VALUE(MID(G485,13,1))=IF(MOD(SUMPRODUCT(--MID(G485,{1,2,3,4,5,6,7,8,9,10,11,12},1),{5,4,3,2,9,8,7,6,5,4,3,2}),11)&lt;2,0,11-MOD(SUMPRODUCT(--MID(G485,{1,2,3,4,5,6,7,8,9,10,11,12},1),{5,4,3,2,9,8,7,6,5,4,3,2}),11)),VALUE(MID(G485,14,1))=IF(MOD(SUMPRODUCT(--MID(G485,{1,2,3,4,5,6,7,8,9,10,11,12,13},1),{6,5,4,3,2,9,8,7,6,5,4,3,2}),11)&lt;2,0,11-MOD(SUMPRODUCT(--MID(G485,{1,2,3,4,5,6,7,8,9,10,11,12,13},1),{6,5,4,3,2,9,8,7,6,5,4,3,2}),11))),"OK","AVISO: dígito verificador (conferir na org)"))))</f>
      </c>
      <c r="I485" s="6">
        <f>IF(G485="","",IF(COUNTIF($G$2:$G$2001,G485)&gt;1,"DUPLICADO","OK"))</f>
      </c>
      <c r="J485" s="6">
        <f>IF(COUNTA(A485:F485)=0,"",IF(AND(A485&lt;&gt;"",E485&lt;&gt;""),"OK","ERRO: faltam "&amp;IF(A485="","CNPJ; ","")&amp;IF(E485="","Novo gerente; ","")))</f>
      </c>
      <c r="K485" s="6">
        <f>IF(COUNTA(A485:F485)=0,"",IF(AND(LEFT(H485,4)&lt;&gt;"ERRO",I485="OK",J485="OK"),"OK","REVISAR"))</f>
      </c>
    </row>
    <row r="486">
      <c r="A486" s="5"/>
      <c r="B486" s="4"/>
      <c r="C486" s="4"/>
      <c r="D486" s="4"/>
      <c r="E486" s="5"/>
      <c r="F486" s="4"/>
      <c r="G486" s="6">
        <f>IF(A486="","",SUBSTITUTE(SUBSTITUTE(SUBSTITUTE(SUBSTITUTE(SUBSTITUTE(SUBSTITUTE(SUBSTITUTE(TRIM(A486),".",""),"/",""),"-","")," ",""),"(",""),")",""),"+",""))</f>
      </c>
      <c r="H486" s="6">
        <f>IF(G486="","",IF(LEN(G486)&lt;&gt;14,"ERRO: "&amp;LEN(G486)&amp;" dígitos",IF(NOT(ISNUMBER(VALUE(G486))),"ERRO: não numérico",IF(AND(VALUE(MID(G486,13,1))=IF(MOD(SUMPRODUCT(--MID(G486,{1,2,3,4,5,6,7,8,9,10,11,12},1),{5,4,3,2,9,8,7,6,5,4,3,2}),11)&lt;2,0,11-MOD(SUMPRODUCT(--MID(G486,{1,2,3,4,5,6,7,8,9,10,11,12},1),{5,4,3,2,9,8,7,6,5,4,3,2}),11)),VALUE(MID(G486,14,1))=IF(MOD(SUMPRODUCT(--MID(G486,{1,2,3,4,5,6,7,8,9,10,11,12,13},1),{6,5,4,3,2,9,8,7,6,5,4,3,2}),11)&lt;2,0,11-MOD(SUMPRODUCT(--MID(G486,{1,2,3,4,5,6,7,8,9,10,11,12,13},1),{6,5,4,3,2,9,8,7,6,5,4,3,2}),11))),"OK","AVISO: dígito verificador (conferir na org)"))))</f>
      </c>
      <c r="I486" s="6">
        <f>IF(G486="","",IF(COUNTIF($G$2:$G$2001,G486)&gt;1,"DUPLICADO","OK"))</f>
      </c>
      <c r="J486" s="6">
        <f>IF(COUNTA(A486:F486)=0,"",IF(AND(A486&lt;&gt;"",E486&lt;&gt;""),"OK","ERRO: faltam "&amp;IF(A486="","CNPJ; ","")&amp;IF(E486="","Novo gerente; ","")))</f>
      </c>
      <c r="K486" s="6">
        <f>IF(COUNTA(A486:F486)=0,"",IF(AND(LEFT(H486,4)&lt;&gt;"ERRO",I486="OK",J486="OK"),"OK","REVISAR"))</f>
      </c>
    </row>
    <row r="487">
      <c r="A487" s="5"/>
      <c r="B487" s="4"/>
      <c r="C487" s="4"/>
      <c r="D487" s="4"/>
      <c r="E487" s="5"/>
      <c r="F487" s="4"/>
      <c r="G487" s="6">
        <f>IF(A487="","",SUBSTITUTE(SUBSTITUTE(SUBSTITUTE(SUBSTITUTE(SUBSTITUTE(SUBSTITUTE(SUBSTITUTE(TRIM(A487),".",""),"/",""),"-","")," ",""),"(",""),")",""),"+",""))</f>
      </c>
      <c r="H487" s="6">
        <f>IF(G487="","",IF(LEN(G487)&lt;&gt;14,"ERRO: "&amp;LEN(G487)&amp;" dígitos",IF(NOT(ISNUMBER(VALUE(G487))),"ERRO: não numérico",IF(AND(VALUE(MID(G487,13,1))=IF(MOD(SUMPRODUCT(--MID(G487,{1,2,3,4,5,6,7,8,9,10,11,12},1),{5,4,3,2,9,8,7,6,5,4,3,2}),11)&lt;2,0,11-MOD(SUMPRODUCT(--MID(G487,{1,2,3,4,5,6,7,8,9,10,11,12},1),{5,4,3,2,9,8,7,6,5,4,3,2}),11)),VALUE(MID(G487,14,1))=IF(MOD(SUMPRODUCT(--MID(G487,{1,2,3,4,5,6,7,8,9,10,11,12,13},1),{6,5,4,3,2,9,8,7,6,5,4,3,2}),11)&lt;2,0,11-MOD(SUMPRODUCT(--MID(G487,{1,2,3,4,5,6,7,8,9,10,11,12,13},1),{6,5,4,3,2,9,8,7,6,5,4,3,2}),11))),"OK","AVISO: dígito verificador (conferir na org)"))))</f>
      </c>
      <c r="I487" s="6">
        <f>IF(G487="","",IF(COUNTIF($G$2:$G$2001,G487)&gt;1,"DUPLICADO","OK"))</f>
      </c>
      <c r="J487" s="6">
        <f>IF(COUNTA(A487:F487)=0,"",IF(AND(A487&lt;&gt;"",E487&lt;&gt;""),"OK","ERRO: faltam "&amp;IF(A487="","CNPJ; ","")&amp;IF(E487="","Novo gerente; ","")))</f>
      </c>
      <c r="K487" s="6">
        <f>IF(COUNTA(A487:F487)=0,"",IF(AND(LEFT(H487,4)&lt;&gt;"ERRO",I487="OK",J487="OK"),"OK","REVISAR"))</f>
      </c>
    </row>
    <row r="488">
      <c r="A488" s="5"/>
      <c r="B488" s="4"/>
      <c r="C488" s="4"/>
      <c r="D488" s="4"/>
      <c r="E488" s="5"/>
      <c r="F488" s="4"/>
      <c r="G488" s="6">
        <f>IF(A488="","",SUBSTITUTE(SUBSTITUTE(SUBSTITUTE(SUBSTITUTE(SUBSTITUTE(SUBSTITUTE(SUBSTITUTE(TRIM(A488),".",""),"/",""),"-","")," ",""),"(",""),")",""),"+",""))</f>
      </c>
      <c r="H488" s="6">
        <f>IF(G488="","",IF(LEN(G488)&lt;&gt;14,"ERRO: "&amp;LEN(G488)&amp;" dígitos",IF(NOT(ISNUMBER(VALUE(G488))),"ERRO: não numérico",IF(AND(VALUE(MID(G488,13,1))=IF(MOD(SUMPRODUCT(--MID(G488,{1,2,3,4,5,6,7,8,9,10,11,12},1),{5,4,3,2,9,8,7,6,5,4,3,2}),11)&lt;2,0,11-MOD(SUMPRODUCT(--MID(G488,{1,2,3,4,5,6,7,8,9,10,11,12},1),{5,4,3,2,9,8,7,6,5,4,3,2}),11)),VALUE(MID(G488,14,1))=IF(MOD(SUMPRODUCT(--MID(G488,{1,2,3,4,5,6,7,8,9,10,11,12,13},1),{6,5,4,3,2,9,8,7,6,5,4,3,2}),11)&lt;2,0,11-MOD(SUMPRODUCT(--MID(G488,{1,2,3,4,5,6,7,8,9,10,11,12,13},1),{6,5,4,3,2,9,8,7,6,5,4,3,2}),11))),"OK","AVISO: dígito verificador (conferir na org)"))))</f>
      </c>
      <c r="I488" s="6">
        <f>IF(G488="","",IF(COUNTIF($G$2:$G$2001,G488)&gt;1,"DUPLICADO","OK"))</f>
      </c>
      <c r="J488" s="6">
        <f>IF(COUNTA(A488:F488)=0,"",IF(AND(A488&lt;&gt;"",E488&lt;&gt;""),"OK","ERRO: faltam "&amp;IF(A488="","CNPJ; ","")&amp;IF(E488="","Novo gerente; ","")))</f>
      </c>
      <c r="K488" s="6">
        <f>IF(COUNTA(A488:F488)=0,"",IF(AND(LEFT(H488,4)&lt;&gt;"ERRO",I488="OK",J488="OK"),"OK","REVISAR"))</f>
      </c>
    </row>
    <row r="489">
      <c r="A489" s="5"/>
      <c r="B489" s="4"/>
      <c r="C489" s="4"/>
      <c r="D489" s="4"/>
      <c r="E489" s="5"/>
      <c r="F489" s="4"/>
      <c r="G489" s="6">
        <f>IF(A489="","",SUBSTITUTE(SUBSTITUTE(SUBSTITUTE(SUBSTITUTE(SUBSTITUTE(SUBSTITUTE(SUBSTITUTE(TRIM(A489),".",""),"/",""),"-","")," ",""),"(",""),")",""),"+",""))</f>
      </c>
      <c r="H489" s="6">
        <f>IF(G489="","",IF(LEN(G489)&lt;&gt;14,"ERRO: "&amp;LEN(G489)&amp;" dígitos",IF(NOT(ISNUMBER(VALUE(G489))),"ERRO: não numérico",IF(AND(VALUE(MID(G489,13,1))=IF(MOD(SUMPRODUCT(--MID(G489,{1,2,3,4,5,6,7,8,9,10,11,12},1),{5,4,3,2,9,8,7,6,5,4,3,2}),11)&lt;2,0,11-MOD(SUMPRODUCT(--MID(G489,{1,2,3,4,5,6,7,8,9,10,11,12},1),{5,4,3,2,9,8,7,6,5,4,3,2}),11)),VALUE(MID(G489,14,1))=IF(MOD(SUMPRODUCT(--MID(G489,{1,2,3,4,5,6,7,8,9,10,11,12,13},1),{6,5,4,3,2,9,8,7,6,5,4,3,2}),11)&lt;2,0,11-MOD(SUMPRODUCT(--MID(G489,{1,2,3,4,5,6,7,8,9,10,11,12,13},1),{6,5,4,3,2,9,8,7,6,5,4,3,2}),11))),"OK","AVISO: dígito verificador (conferir na org)"))))</f>
      </c>
      <c r="I489" s="6">
        <f>IF(G489="","",IF(COUNTIF($G$2:$G$2001,G489)&gt;1,"DUPLICADO","OK"))</f>
      </c>
      <c r="J489" s="6">
        <f>IF(COUNTA(A489:F489)=0,"",IF(AND(A489&lt;&gt;"",E489&lt;&gt;""),"OK","ERRO: faltam "&amp;IF(A489="","CNPJ; ","")&amp;IF(E489="","Novo gerente; ","")))</f>
      </c>
      <c r="K489" s="6">
        <f>IF(COUNTA(A489:F489)=0,"",IF(AND(LEFT(H489,4)&lt;&gt;"ERRO",I489="OK",J489="OK"),"OK","REVISAR"))</f>
      </c>
    </row>
    <row r="490">
      <c r="A490" s="5"/>
      <c r="B490" s="4"/>
      <c r="C490" s="4"/>
      <c r="D490" s="4"/>
      <c r="E490" s="5"/>
      <c r="F490" s="4"/>
      <c r="G490" s="6">
        <f>IF(A490="","",SUBSTITUTE(SUBSTITUTE(SUBSTITUTE(SUBSTITUTE(SUBSTITUTE(SUBSTITUTE(SUBSTITUTE(TRIM(A490),".",""),"/",""),"-","")," ",""),"(",""),")",""),"+",""))</f>
      </c>
      <c r="H490" s="6">
        <f>IF(G490="","",IF(LEN(G490)&lt;&gt;14,"ERRO: "&amp;LEN(G490)&amp;" dígitos",IF(NOT(ISNUMBER(VALUE(G490))),"ERRO: não numérico",IF(AND(VALUE(MID(G490,13,1))=IF(MOD(SUMPRODUCT(--MID(G490,{1,2,3,4,5,6,7,8,9,10,11,12},1),{5,4,3,2,9,8,7,6,5,4,3,2}),11)&lt;2,0,11-MOD(SUMPRODUCT(--MID(G490,{1,2,3,4,5,6,7,8,9,10,11,12},1),{5,4,3,2,9,8,7,6,5,4,3,2}),11)),VALUE(MID(G490,14,1))=IF(MOD(SUMPRODUCT(--MID(G490,{1,2,3,4,5,6,7,8,9,10,11,12,13},1),{6,5,4,3,2,9,8,7,6,5,4,3,2}),11)&lt;2,0,11-MOD(SUMPRODUCT(--MID(G490,{1,2,3,4,5,6,7,8,9,10,11,12,13},1),{6,5,4,3,2,9,8,7,6,5,4,3,2}),11))),"OK","AVISO: dígito verificador (conferir na org)"))))</f>
      </c>
      <c r="I490" s="6">
        <f>IF(G490="","",IF(COUNTIF($G$2:$G$2001,G490)&gt;1,"DUPLICADO","OK"))</f>
      </c>
      <c r="J490" s="6">
        <f>IF(COUNTA(A490:F490)=0,"",IF(AND(A490&lt;&gt;"",E490&lt;&gt;""),"OK","ERRO: faltam "&amp;IF(A490="","CNPJ; ","")&amp;IF(E490="","Novo gerente; ","")))</f>
      </c>
      <c r="K490" s="6">
        <f>IF(COUNTA(A490:F490)=0,"",IF(AND(LEFT(H490,4)&lt;&gt;"ERRO",I490="OK",J490="OK"),"OK","REVISAR"))</f>
      </c>
    </row>
    <row r="491">
      <c r="A491" s="5"/>
      <c r="B491" s="4"/>
      <c r="C491" s="4"/>
      <c r="D491" s="4"/>
      <c r="E491" s="5"/>
      <c r="F491" s="4"/>
      <c r="G491" s="6">
        <f>IF(A491="","",SUBSTITUTE(SUBSTITUTE(SUBSTITUTE(SUBSTITUTE(SUBSTITUTE(SUBSTITUTE(SUBSTITUTE(TRIM(A491),".",""),"/",""),"-","")," ",""),"(",""),")",""),"+",""))</f>
      </c>
      <c r="H491" s="6">
        <f>IF(G491="","",IF(LEN(G491)&lt;&gt;14,"ERRO: "&amp;LEN(G491)&amp;" dígitos",IF(NOT(ISNUMBER(VALUE(G491))),"ERRO: não numérico",IF(AND(VALUE(MID(G491,13,1))=IF(MOD(SUMPRODUCT(--MID(G491,{1,2,3,4,5,6,7,8,9,10,11,12},1),{5,4,3,2,9,8,7,6,5,4,3,2}),11)&lt;2,0,11-MOD(SUMPRODUCT(--MID(G491,{1,2,3,4,5,6,7,8,9,10,11,12},1),{5,4,3,2,9,8,7,6,5,4,3,2}),11)),VALUE(MID(G491,14,1))=IF(MOD(SUMPRODUCT(--MID(G491,{1,2,3,4,5,6,7,8,9,10,11,12,13},1),{6,5,4,3,2,9,8,7,6,5,4,3,2}),11)&lt;2,0,11-MOD(SUMPRODUCT(--MID(G491,{1,2,3,4,5,6,7,8,9,10,11,12,13},1),{6,5,4,3,2,9,8,7,6,5,4,3,2}),11))),"OK","AVISO: dígito verificador (conferir na org)"))))</f>
      </c>
      <c r="I491" s="6">
        <f>IF(G491="","",IF(COUNTIF($G$2:$G$2001,G491)&gt;1,"DUPLICADO","OK"))</f>
      </c>
      <c r="J491" s="6">
        <f>IF(COUNTA(A491:F491)=0,"",IF(AND(A491&lt;&gt;"",E491&lt;&gt;""),"OK","ERRO: faltam "&amp;IF(A491="","CNPJ; ","")&amp;IF(E491="","Novo gerente; ","")))</f>
      </c>
      <c r="K491" s="6">
        <f>IF(COUNTA(A491:F491)=0,"",IF(AND(LEFT(H491,4)&lt;&gt;"ERRO",I491="OK",J491="OK"),"OK","REVISAR"))</f>
      </c>
    </row>
    <row r="492">
      <c r="A492" s="5"/>
      <c r="B492" s="4"/>
      <c r="C492" s="4"/>
      <c r="D492" s="4"/>
      <c r="E492" s="5"/>
      <c r="F492" s="4"/>
      <c r="G492" s="6">
        <f>IF(A492="","",SUBSTITUTE(SUBSTITUTE(SUBSTITUTE(SUBSTITUTE(SUBSTITUTE(SUBSTITUTE(SUBSTITUTE(TRIM(A492),".",""),"/",""),"-","")," ",""),"(",""),")",""),"+",""))</f>
      </c>
      <c r="H492" s="6">
        <f>IF(G492="","",IF(LEN(G492)&lt;&gt;14,"ERRO: "&amp;LEN(G492)&amp;" dígitos",IF(NOT(ISNUMBER(VALUE(G492))),"ERRO: não numérico",IF(AND(VALUE(MID(G492,13,1))=IF(MOD(SUMPRODUCT(--MID(G492,{1,2,3,4,5,6,7,8,9,10,11,12},1),{5,4,3,2,9,8,7,6,5,4,3,2}),11)&lt;2,0,11-MOD(SUMPRODUCT(--MID(G492,{1,2,3,4,5,6,7,8,9,10,11,12},1),{5,4,3,2,9,8,7,6,5,4,3,2}),11)),VALUE(MID(G492,14,1))=IF(MOD(SUMPRODUCT(--MID(G492,{1,2,3,4,5,6,7,8,9,10,11,12,13},1),{6,5,4,3,2,9,8,7,6,5,4,3,2}),11)&lt;2,0,11-MOD(SUMPRODUCT(--MID(G492,{1,2,3,4,5,6,7,8,9,10,11,12,13},1),{6,5,4,3,2,9,8,7,6,5,4,3,2}),11))),"OK","AVISO: dígito verificador (conferir na org)"))))</f>
      </c>
      <c r="I492" s="6">
        <f>IF(G492="","",IF(COUNTIF($G$2:$G$2001,G492)&gt;1,"DUPLICADO","OK"))</f>
      </c>
      <c r="J492" s="6">
        <f>IF(COUNTA(A492:F492)=0,"",IF(AND(A492&lt;&gt;"",E492&lt;&gt;""),"OK","ERRO: faltam "&amp;IF(A492="","CNPJ; ","")&amp;IF(E492="","Novo gerente; ","")))</f>
      </c>
      <c r="K492" s="6">
        <f>IF(COUNTA(A492:F492)=0,"",IF(AND(LEFT(H492,4)&lt;&gt;"ERRO",I492="OK",J492="OK"),"OK","REVISAR"))</f>
      </c>
    </row>
    <row r="493">
      <c r="A493" s="5"/>
      <c r="B493" s="4"/>
      <c r="C493" s="4"/>
      <c r="D493" s="4"/>
      <c r="E493" s="5"/>
      <c r="F493" s="4"/>
      <c r="G493" s="6">
        <f>IF(A493="","",SUBSTITUTE(SUBSTITUTE(SUBSTITUTE(SUBSTITUTE(SUBSTITUTE(SUBSTITUTE(SUBSTITUTE(TRIM(A493),".",""),"/",""),"-","")," ",""),"(",""),")",""),"+",""))</f>
      </c>
      <c r="H493" s="6">
        <f>IF(G493="","",IF(LEN(G493)&lt;&gt;14,"ERRO: "&amp;LEN(G493)&amp;" dígitos",IF(NOT(ISNUMBER(VALUE(G493))),"ERRO: não numérico",IF(AND(VALUE(MID(G493,13,1))=IF(MOD(SUMPRODUCT(--MID(G493,{1,2,3,4,5,6,7,8,9,10,11,12},1),{5,4,3,2,9,8,7,6,5,4,3,2}),11)&lt;2,0,11-MOD(SUMPRODUCT(--MID(G493,{1,2,3,4,5,6,7,8,9,10,11,12},1),{5,4,3,2,9,8,7,6,5,4,3,2}),11)),VALUE(MID(G493,14,1))=IF(MOD(SUMPRODUCT(--MID(G493,{1,2,3,4,5,6,7,8,9,10,11,12,13},1),{6,5,4,3,2,9,8,7,6,5,4,3,2}),11)&lt;2,0,11-MOD(SUMPRODUCT(--MID(G493,{1,2,3,4,5,6,7,8,9,10,11,12,13},1),{6,5,4,3,2,9,8,7,6,5,4,3,2}),11))),"OK","AVISO: dígito verificador (conferir na org)"))))</f>
      </c>
      <c r="I493" s="6">
        <f>IF(G493="","",IF(COUNTIF($G$2:$G$2001,G493)&gt;1,"DUPLICADO","OK"))</f>
      </c>
      <c r="J493" s="6">
        <f>IF(COUNTA(A493:F493)=0,"",IF(AND(A493&lt;&gt;"",E493&lt;&gt;""),"OK","ERRO: faltam "&amp;IF(A493="","CNPJ; ","")&amp;IF(E493="","Novo gerente; ","")))</f>
      </c>
      <c r="K493" s="6">
        <f>IF(COUNTA(A493:F493)=0,"",IF(AND(LEFT(H493,4)&lt;&gt;"ERRO",I493="OK",J493="OK"),"OK","REVISAR"))</f>
      </c>
    </row>
    <row r="494">
      <c r="A494" s="5"/>
      <c r="B494" s="4"/>
      <c r="C494" s="4"/>
      <c r="D494" s="4"/>
      <c r="E494" s="5"/>
      <c r="F494" s="4"/>
      <c r="G494" s="6">
        <f>IF(A494="","",SUBSTITUTE(SUBSTITUTE(SUBSTITUTE(SUBSTITUTE(SUBSTITUTE(SUBSTITUTE(SUBSTITUTE(TRIM(A494),".",""),"/",""),"-","")," ",""),"(",""),")",""),"+",""))</f>
      </c>
      <c r="H494" s="6">
        <f>IF(G494="","",IF(LEN(G494)&lt;&gt;14,"ERRO: "&amp;LEN(G494)&amp;" dígitos",IF(NOT(ISNUMBER(VALUE(G494))),"ERRO: não numérico",IF(AND(VALUE(MID(G494,13,1))=IF(MOD(SUMPRODUCT(--MID(G494,{1,2,3,4,5,6,7,8,9,10,11,12},1),{5,4,3,2,9,8,7,6,5,4,3,2}),11)&lt;2,0,11-MOD(SUMPRODUCT(--MID(G494,{1,2,3,4,5,6,7,8,9,10,11,12},1),{5,4,3,2,9,8,7,6,5,4,3,2}),11)),VALUE(MID(G494,14,1))=IF(MOD(SUMPRODUCT(--MID(G494,{1,2,3,4,5,6,7,8,9,10,11,12,13},1),{6,5,4,3,2,9,8,7,6,5,4,3,2}),11)&lt;2,0,11-MOD(SUMPRODUCT(--MID(G494,{1,2,3,4,5,6,7,8,9,10,11,12,13},1),{6,5,4,3,2,9,8,7,6,5,4,3,2}),11))),"OK","AVISO: dígito verificador (conferir na org)"))))</f>
      </c>
      <c r="I494" s="6">
        <f>IF(G494="","",IF(COUNTIF($G$2:$G$2001,G494)&gt;1,"DUPLICADO","OK"))</f>
      </c>
      <c r="J494" s="6">
        <f>IF(COUNTA(A494:F494)=0,"",IF(AND(A494&lt;&gt;"",E494&lt;&gt;""),"OK","ERRO: faltam "&amp;IF(A494="","CNPJ; ","")&amp;IF(E494="","Novo gerente; ","")))</f>
      </c>
      <c r="K494" s="6">
        <f>IF(COUNTA(A494:F494)=0,"",IF(AND(LEFT(H494,4)&lt;&gt;"ERRO",I494="OK",J494="OK"),"OK","REVISAR"))</f>
      </c>
    </row>
    <row r="495">
      <c r="A495" s="5"/>
      <c r="B495" s="4"/>
      <c r="C495" s="4"/>
      <c r="D495" s="4"/>
      <c r="E495" s="5"/>
      <c r="F495" s="4"/>
      <c r="G495" s="6">
        <f>IF(A495="","",SUBSTITUTE(SUBSTITUTE(SUBSTITUTE(SUBSTITUTE(SUBSTITUTE(SUBSTITUTE(SUBSTITUTE(TRIM(A495),".",""),"/",""),"-","")," ",""),"(",""),")",""),"+",""))</f>
      </c>
      <c r="H495" s="6">
        <f>IF(G495="","",IF(LEN(G495)&lt;&gt;14,"ERRO: "&amp;LEN(G495)&amp;" dígitos",IF(NOT(ISNUMBER(VALUE(G495))),"ERRO: não numérico",IF(AND(VALUE(MID(G495,13,1))=IF(MOD(SUMPRODUCT(--MID(G495,{1,2,3,4,5,6,7,8,9,10,11,12},1),{5,4,3,2,9,8,7,6,5,4,3,2}),11)&lt;2,0,11-MOD(SUMPRODUCT(--MID(G495,{1,2,3,4,5,6,7,8,9,10,11,12},1),{5,4,3,2,9,8,7,6,5,4,3,2}),11)),VALUE(MID(G495,14,1))=IF(MOD(SUMPRODUCT(--MID(G495,{1,2,3,4,5,6,7,8,9,10,11,12,13},1),{6,5,4,3,2,9,8,7,6,5,4,3,2}),11)&lt;2,0,11-MOD(SUMPRODUCT(--MID(G495,{1,2,3,4,5,6,7,8,9,10,11,12,13},1),{6,5,4,3,2,9,8,7,6,5,4,3,2}),11))),"OK","AVISO: dígito verificador (conferir na org)"))))</f>
      </c>
      <c r="I495" s="6">
        <f>IF(G495="","",IF(COUNTIF($G$2:$G$2001,G495)&gt;1,"DUPLICADO","OK"))</f>
      </c>
      <c r="J495" s="6">
        <f>IF(COUNTA(A495:F495)=0,"",IF(AND(A495&lt;&gt;"",E495&lt;&gt;""),"OK","ERRO: faltam "&amp;IF(A495="","CNPJ; ","")&amp;IF(E495="","Novo gerente; ","")))</f>
      </c>
      <c r="K495" s="6">
        <f>IF(COUNTA(A495:F495)=0,"",IF(AND(LEFT(H495,4)&lt;&gt;"ERRO",I495="OK",J495="OK"),"OK","REVISAR"))</f>
      </c>
    </row>
    <row r="496">
      <c r="A496" s="5"/>
      <c r="B496" s="4"/>
      <c r="C496" s="4"/>
      <c r="D496" s="4"/>
      <c r="E496" s="5"/>
      <c r="F496" s="4"/>
      <c r="G496" s="6">
        <f>IF(A496="","",SUBSTITUTE(SUBSTITUTE(SUBSTITUTE(SUBSTITUTE(SUBSTITUTE(SUBSTITUTE(SUBSTITUTE(TRIM(A496),".",""),"/",""),"-","")," ",""),"(",""),")",""),"+",""))</f>
      </c>
      <c r="H496" s="6">
        <f>IF(G496="","",IF(LEN(G496)&lt;&gt;14,"ERRO: "&amp;LEN(G496)&amp;" dígitos",IF(NOT(ISNUMBER(VALUE(G496))),"ERRO: não numérico",IF(AND(VALUE(MID(G496,13,1))=IF(MOD(SUMPRODUCT(--MID(G496,{1,2,3,4,5,6,7,8,9,10,11,12},1),{5,4,3,2,9,8,7,6,5,4,3,2}),11)&lt;2,0,11-MOD(SUMPRODUCT(--MID(G496,{1,2,3,4,5,6,7,8,9,10,11,12},1),{5,4,3,2,9,8,7,6,5,4,3,2}),11)),VALUE(MID(G496,14,1))=IF(MOD(SUMPRODUCT(--MID(G496,{1,2,3,4,5,6,7,8,9,10,11,12,13},1),{6,5,4,3,2,9,8,7,6,5,4,3,2}),11)&lt;2,0,11-MOD(SUMPRODUCT(--MID(G496,{1,2,3,4,5,6,7,8,9,10,11,12,13},1),{6,5,4,3,2,9,8,7,6,5,4,3,2}),11))),"OK","AVISO: dígito verificador (conferir na org)"))))</f>
      </c>
      <c r="I496" s="6">
        <f>IF(G496="","",IF(COUNTIF($G$2:$G$2001,G496)&gt;1,"DUPLICADO","OK"))</f>
      </c>
      <c r="J496" s="6">
        <f>IF(COUNTA(A496:F496)=0,"",IF(AND(A496&lt;&gt;"",E496&lt;&gt;""),"OK","ERRO: faltam "&amp;IF(A496="","CNPJ; ","")&amp;IF(E496="","Novo gerente; ","")))</f>
      </c>
      <c r="K496" s="6">
        <f>IF(COUNTA(A496:F496)=0,"",IF(AND(LEFT(H496,4)&lt;&gt;"ERRO",I496="OK",J496="OK"),"OK","REVISAR"))</f>
      </c>
    </row>
    <row r="497">
      <c r="A497" s="5"/>
      <c r="B497" s="4"/>
      <c r="C497" s="4"/>
      <c r="D497" s="4"/>
      <c r="E497" s="5"/>
      <c r="F497" s="4"/>
      <c r="G497" s="6">
        <f>IF(A497="","",SUBSTITUTE(SUBSTITUTE(SUBSTITUTE(SUBSTITUTE(SUBSTITUTE(SUBSTITUTE(SUBSTITUTE(TRIM(A497),".",""),"/",""),"-","")," ",""),"(",""),")",""),"+",""))</f>
      </c>
      <c r="H497" s="6">
        <f>IF(G497="","",IF(LEN(G497)&lt;&gt;14,"ERRO: "&amp;LEN(G497)&amp;" dígitos",IF(NOT(ISNUMBER(VALUE(G497))),"ERRO: não numérico",IF(AND(VALUE(MID(G497,13,1))=IF(MOD(SUMPRODUCT(--MID(G497,{1,2,3,4,5,6,7,8,9,10,11,12},1),{5,4,3,2,9,8,7,6,5,4,3,2}),11)&lt;2,0,11-MOD(SUMPRODUCT(--MID(G497,{1,2,3,4,5,6,7,8,9,10,11,12},1),{5,4,3,2,9,8,7,6,5,4,3,2}),11)),VALUE(MID(G497,14,1))=IF(MOD(SUMPRODUCT(--MID(G497,{1,2,3,4,5,6,7,8,9,10,11,12,13},1),{6,5,4,3,2,9,8,7,6,5,4,3,2}),11)&lt;2,0,11-MOD(SUMPRODUCT(--MID(G497,{1,2,3,4,5,6,7,8,9,10,11,12,13},1),{6,5,4,3,2,9,8,7,6,5,4,3,2}),11))),"OK","AVISO: dígito verificador (conferir na org)"))))</f>
      </c>
      <c r="I497" s="6">
        <f>IF(G497="","",IF(COUNTIF($G$2:$G$2001,G497)&gt;1,"DUPLICADO","OK"))</f>
      </c>
      <c r="J497" s="6">
        <f>IF(COUNTA(A497:F497)=0,"",IF(AND(A497&lt;&gt;"",E497&lt;&gt;""),"OK","ERRO: faltam "&amp;IF(A497="","CNPJ; ","")&amp;IF(E497="","Novo gerente; ","")))</f>
      </c>
      <c r="K497" s="6">
        <f>IF(COUNTA(A497:F497)=0,"",IF(AND(LEFT(H497,4)&lt;&gt;"ERRO",I497="OK",J497="OK"),"OK","REVISAR"))</f>
      </c>
    </row>
    <row r="498">
      <c r="A498" s="5"/>
      <c r="B498" s="4"/>
      <c r="C498" s="4"/>
      <c r="D498" s="4"/>
      <c r="E498" s="5"/>
      <c r="F498" s="4"/>
      <c r="G498" s="6">
        <f>IF(A498="","",SUBSTITUTE(SUBSTITUTE(SUBSTITUTE(SUBSTITUTE(SUBSTITUTE(SUBSTITUTE(SUBSTITUTE(TRIM(A498),".",""),"/",""),"-","")," ",""),"(",""),")",""),"+",""))</f>
      </c>
      <c r="H498" s="6">
        <f>IF(G498="","",IF(LEN(G498)&lt;&gt;14,"ERRO: "&amp;LEN(G498)&amp;" dígitos",IF(NOT(ISNUMBER(VALUE(G498))),"ERRO: não numérico",IF(AND(VALUE(MID(G498,13,1))=IF(MOD(SUMPRODUCT(--MID(G498,{1,2,3,4,5,6,7,8,9,10,11,12},1),{5,4,3,2,9,8,7,6,5,4,3,2}),11)&lt;2,0,11-MOD(SUMPRODUCT(--MID(G498,{1,2,3,4,5,6,7,8,9,10,11,12},1),{5,4,3,2,9,8,7,6,5,4,3,2}),11)),VALUE(MID(G498,14,1))=IF(MOD(SUMPRODUCT(--MID(G498,{1,2,3,4,5,6,7,8,9,10,11,12,13},1),{6,5,4,3,2,9,8,7,6,5,4,3,2}),11)&lt;2,0,11-MOD(SUMPRODUCT(--MID(G498,{1,2,3,4,5,6,7,8,9,10,11,12,13},1),{6,5,4,3,2,9,8,7,6,5,4,3,2}),11))),"OK","AVISO: dígito verificador (conferir na org)"))))</f>
      </c>
      <c r="I498" s="6">
        <f>IF(G498="","",IF(COUNTIF($G$2:$G$2001,G498)&gt;1,"DUPLICADO","OK"))</f>
      </c>
      <c r="J498" s="6">
        <f>IF(COUNTA(A498:F498)=0,"",IF(AND(A498&lt;&gt;"",E498&lt;&gt;""),"OK","ERRO: faltam "&amp;IF(A498="","CNPJ; ","")&amp;IF(E498="","Novo gerente; ","")))</f>
      </c>
      <c r="K498" s="6">
        <f>IF(COUNTA(A498:F498)=0,"",IF(AND(LEFT(H498,4)&lt;&gt;"ERRO",I498="OK",J498="OK"),"OK","REVISAR"))</f>
      </c>
    </row>
    <row r="499">
      <c r="A499" s="5"/>
      <c r="B499" s="4"/>
      <c r="C499" s="4"/>
      <c r="D499" s="4"/>
      <c r="E499" s="5"/>
      <c r="F499" s="4"/>
      <c r="G499" s="6">
        <f>IF(A499="","",SUBSTITUTE(SUBSTITUTE(SUBSTITUTE(SUBSTITUTE(SUBSTITUTE(SUBSTITUTE(SUBSTITUTE(TRIM(A499),".",""),"/",""),"-","")," ",""),"(",""),")",""),"+",""))</f>
      </c>
      <c r="H499" s="6">
        <f>IF(G499="","",IF(LEN(G499)&lt;&gt;14,"ERRO: "&amp;LEN(G499)&amp;" dígitos",IF(NOT(ISNUMBER(VALUE(G499))),"ERRO: não numérico",IF(AND(VALUE(MID(G499,13,1))=IF(MOD(SUMPRODUCT(--MID(G499,{1,2,3,4,5,6,7,8,9,10,11,12},1),{5,4,3,2,9,8,7,6,5,4,3,2}),11)&lt;2,0,11-MOD(SUMPRODUCT(--MID(G499,{1,2,3,4,5,6,7,8,9,10,11,12},1),{5,4,3,2,9,8,7,6,5,4,3,2}),11)),VALUE(MID(G499,14,1))=IF(MOD(SUMPRODUCT(--MID(G499,{1,2,3,4,5,6,7,8,9,10,11,12,13},1),{6,5,4,3,2,9,8,7,6,5,4,3,2}),11)&lt;2,0,11-MOD(SUMPRODUCT(--MID(G499,{1,2,3,4,5,6,7,8,9,10,11,12,13},1),{6,5,4,3,2,9,8,7,6,5,4,3,2}),11))),"OK","AVISO: dígito verificador (conferir na org)"))))</f>
      </c>
      <c r="I499" s="6">
        <f>IF(G499="","",IF(COUNTIF($G$2:$G$2001,G499)&gt;1,"DUPLICADO","OK"))</f>
      </c>
      <c r="J499" s="6">
        <f>IF(COUNTA(A499:F499)=0,"",IF(AND(A499&lt;&gt;"",E499&lt;&gt;""),"OK","ERRO: faltam "&amp;IF(A499="","CNPJ; ","")&amp;IF(E499="","Novo gerente; ","")))</f>
      </c>
      <c r="K499" s="6">
        <f>IF(COUNTA(A499:F499)=0,"",IF(AND(LEFT(H499,4)&lt;&gt;"ERRO",I499="OK",J499="OK"),"OK","REVISAR"))</f>
      </c>
    </row>
    <row r="500">
      <c r="A500" s="5"/>
      <c r="B500" s="4"/>
      <c r="C500" s="4"/>
      <c r="D500" s="4"/>
      <c r="E500" s="5"/>
      <c r="F500" s="4"/>
      <c r="G500" s="6">
        <f>IF(A500="","",SUBSTITUTE(SUBSTITUTE(SUBSTITUTE(SUBSTITUTE(SUBSTITUTE(SUBSTITUTE(SUBSTITUTE(TRIM(A500),".",""),"/",""),"-","")," ",""),"(",""),")",""),"+",""))</f>
      </c>
      <c r="H500" s="6">
        <f>IF(G500="","",IF(LEN(G500)&lt;&gt;14,"ERRO: "&amp;LEN(G500)&amp;" dígitos",IF(NOT(ISNUMBER(VALUE(G500))),"ERRO: não numérico",IF(AND(VALUE(MID(G500,13,1))=IF(MOD(SUMPRODUCT(--MID(G500,{1,2,3,4,5,6,7,8,9,10,11,12},1),{5,4,3,2,9,8,7,6,5,4,3,2}),11)&lt;2,0,11-MOD(SUMPRODUCT(--MID(G500,{1,2,3,4,5,6,7,8,9,10,11,12},1),{5,4,3,2,9,8,7,6,5,4,3,2}),11)),VALUE(MID(G500,14,1))=IF(MOD(SUMPRODUCT(--MID(G500,{1,2,3,4,5,6,7,8,9,10,11,12,13},1),{6,5,4,3,2,9,8,7,6,5,4,3,2}),11)&lt;2,0,11-MOD(SUMPRODUCT(--MID(G500,{1,2,3,4,5,6,7,8,9,10,11,12,13},1),{6,5,4,3,2,9,8,7,6,5,4,3,2}),11))),"OK","AVISO: dígito verificador (conferir na org)"))))</f>
      </c>
      <c r="I500" s="6">
        <f>IF(G500="","",IF(COUNTIF($G$2:$G$2001,G500)&gt;1,"DUPLICADO","OK"))</f>
      </c>
      <c r="J500" s="6">
        <f>IF(COUNTA(A500:F500)=0,"",IF(AND(A500&lt;&gt;"",E500&lt;&gt;""),"OK","ERRO: faltam "&amp;IF(A500="","CNPJ; ","")&amp;IF(E500="","Novo gerente; ","")))</f>
      </c>
      <c r="K500" s="6">
        <f>IF(COUNTA(A500:F500)=0,"",IF(AND(LEFT(H500,4)&lt;&gt;"ERRO",I500="OK",J500="OK"),"OK","REVISAR"))</f>
      </c>
    </row>
    <row r="501">
      <c r="A501" s="5"/>
      <c r="B501" s="4"/>
      <c r="C501" s="4"/>
      <c r="D501" s="4"/>
      <c r="E501" s="5"/>
      <c r="F501" s="4"/>
      <c r="G501" s="6">
        <f>IF(A501="","",SUBSTITUTE(SUBSTITUTE(SUBSTITUTE(SUBSTITUTE(SUBSTITUTE(SUBSTITUTE(SUBSTITUTE(TRIM(A501),".",""),"/",""),"-","")," ",""),"(",""),")",""),"+",""))</f>
      </c>
      <c r="H501" s="6">
        <f>IF(G501="","",IF(LEN(G501)&lt;&gt;14,"ERRO: "&amp;LEN(G501)&amp;" dígitos",IF(NOT(ISNUMBER(VALUE(G501))),"ERRO: não numérico",IF(AND(VALUE(MID(G501,13,1))=IF(MOD(SUMPRODUCT(--MID(G501,{1,2,3,4,5,6,7,8,9,10,11,12},1),{5,4,3,2,9,8,7,6,5,4,3,2}),11)&lt;2,0,11-MOD(SUMPRODUCT(--MID(G501,{1,2,3,4,5,6,7,8,9,10,11,12},1),{5,4,3,2,9,8,7,6,5,4,3,2}),11)),VALUE(MID(G501,14,1))=IF(MOD(SUMPRODUCT(--MID(G501,{1,2,3,4,5,6,7,8,9,10,11,12,13},1),{6,5,4,3,2,9,8,7,6,5,4,3,2}),11)&lt;2,0,11-MOD(SUMPRODUCT(--MID(G501,{1,2,3,4,5,6,7,8,9,10,11,12,13},1),{6,5,4,3,2,9,8,7,6,5,4,3,2}),11))),"OK","AVISO: dígito verificador (conferir na org)"))))</f>
      </c>
      <c r="I501" s="6">
        <f>IF(G501="","",IF(COUNTIF($G$2:$G$2001,G501)&gt;1,"DUPLICADO","OK"))</f>
      </c>
      <c r="J501" s="6">
        <f>IF(COUNTA(A501:F501)=0,"",IF(AND(A501&lt;&gt;"",E501&lt;&gt;""),"OK","ERRO: faltam "&amp;IF(A501="","CNPJ; ","")&amp;IF(E501="","Novo gerente; ","")))</f>
      </c>
      <c r="K501" s="6">
        <f>IF(COUNTA(A501:F501)=0,"",IF(AND(LEFT(H501,4)&lt;&gt;"ERRO",I501="OK",J501="OK"),"OK","REVISAR"))</f>
      </c>
    </row>
    <row r="502">
      <c r="A502" s="5"/>
      <c r="B502" s="4"/>
      <c r="C502" s="4"/>
      <c r="D502" s="4"/>
      <c r="E502" s="5"/>
      <c r="F502" s="4"/>
      <c r="G502" s="6">
        <f>IF(A502="","",SUBSTITUTE(SUBSTITUTE(SUBSTITUTE(SUBSTITUTE(SUBSTITUTE(SUBSTITUTE(SUBSTITUTE(TRIM(A502),".",""),"/",""),"-","")," ",""),"(",""),")",""),"+",""))</f>
      </c>
      <c r="H502" s="6">
        <f>IF(G502="","",IF(LEN(G502)&lt;&gt;14,"ERRO: "&amp;LEN(G502)&amp;" dígitos",IF(NOT(ISNUMBER(VALUE(G502))),"ERRO: não numérico",IF(AND(VALUE(MID(G502,13,1))=IF(MOD(SUMPRODUCT(--MID(G502,{1,2,3,4,5,6,7,8,9,10,11,12},1),{5,4,3,2,9,8,7,6,5,4,3,2}),11)&lt;2,0,11-MOD(SUMPRODUCT(--MID(G502,{1,2,3,4,5,6,7,8,9,10,11,12},1),{5,4,3,2,9,8,7,6,5,4,3,2}),11)),VALUE(MID(G502,14,1))=IF(MOD(SUMPRODUCT(--MID(G502,{1,2,3,4,5,6,7,8,9,10,11,12,13},1),{6,5,4,3,2,9,8,7,6,5,4,3,2}),11)&lt;2,0,11-MOD(SUMPRODUCT(--MID(G502,{1,2,3,4,5,6,7,8,9,10,11,12,13},1),{6,5,4,3,2,9,8,7,6,5,4,3,2}),11))),"OK","AVISO: dígito verificador (conferir na org)"))))</f>
      </c>
      <c r="I502" s="6">
        <f>IF(G502="","",IF(COUNTIF($G$2:$G$2001,G502)&gt;1,"DUPLICADO","OK"))</f>
      </c>
      <c r="J502" s="6">
        <f>IF(COUNTA(A502:F502)=0,"",IF(AND(A502&lt;&gt;"",E502&lt;&gt;""),"OK","ERRO: faltam "&amp;IF(A502="","CNPJ; ","")&amp;IF(E502="","Novo gerente; ","")))</f>
      </c>
      <c r="K502" s="6">
        <f>IF(COUNTA(A502:F502)=0,"",IF(AND(LEFT(H502,4)&lt;&gt;"ERRO",I502="OK",J502="OK"),"OK","REVISAR"))</f>
      </c>
    </row>
    <row r="503">
      <c r="A503" s="5"/>
      <c r="B503" s="4"/>
      <c r="C503" s="4"/>
      <c r="D503" s="4"/>
      <c r="E503" s="5"/>
      <c r="F503" s="4"/>
      <c r="G503" s="6">
        <f>IF(A503="","",SUBSTITUTE(SUBSTITUTE(SUBSTITUTE(SUBSTITUTE(SUBSTITUTE(SUBSTITUTE(SUBSTITUTE(TRIM(A503),".",""),"/",""),"-","")," ",""),"(",""),")",""),"+",""))</f>
      </c>
      <c r="H503" s="6">
        <f>IF(G503="","",IF(LEN(G503)&lt;&gt;14,"ERRO: "&amp;LEN(G503)&amp;" dígitos",IF(NOT(ISNUMBER(VALUE(G503))),"ERRO: não numérico",IF(AND(VALUE(MID(G503,13,1))=IF(MOD(SUMPRODUCT(--MID(G503,{1,2,3,4,5,6,7,8,9,10,11,12},1),{5,4,3,2,9,8,7,6,5,4,3,2}),11)&lt;2,0,11-MOD(SUMPRODUCT(--MID(G503,{1,2,3,4,5,6,7,8,9,10,11,12},1),{5,4,3,2,9,8,7,6,5,4,3,2}),11)),VALUE(MID(G503,14,1))=IF(MOD(SUMPRODUCT(--MID(G503,{1,2,3,4,5,6,7,8,9,10,11,12,13},1),{6,5,4,3,2,9,8,7,6,5,4,3,2}),11)&lt;2,0,11-MOD(SUMPRODUCT(--MID(G503,{1,2,3,4,5,6,7,8,9,10,11,12,13},1),{6,5,4,3,2,9,8,7,6,5,4,3,2}),11))),"OK","AVISO: dígito verificador (conferir na org)"))))</f>
      </c>
      <c r="I503" s="6">
        <f>IF(G503="","",IF(COUNTIF($G$2:$G$2001,G503)&gt;1,"DUPLICADO","OK"))</f>
      </c>
      <c r="J503" s="6">
        <f>IF(COUNTA(A503:F503)=0,"",IF(AND(A503&lt;&gt;"",E503&lt;&gt;""),"OK","ERRO: faltam "&amp;IF(A503="","CNPJ; ","")&amp;IF(E503="","Novo gerente; ","")))</f>
      </c>
      <c r="K503" s="6">
        <f>IF(COUNTA(A503:F503)=0,"",IF(AND(LEFT(H503,4)&lt;&gt;"ERRO",I503="OK",J503="OK"),"OK","REVISAR"))</f>
      </c>
    </row>
    <row r="504">
      <c r="A504" s="5"/>
      <c r="B504" s="4"/>
      <c r="C504" s="4"/>
      <c r="D504" s="4"/>
      <c r="E504" s="5"/>
      <c r="F504" s="4"/>
      <c r="G504" s="6">
        <f>IF(A504="","",SUBSTITUTE(SUBSTITUTE(SUBSTITUTE(SUBSTITUTE(SUBSTITUTE(SUBSTITUTE(SUBSTITUTE(TRIM(A504),".",""),"/",""),"-","")," ",""),"(",""),")",""),"+",""))</f>
      </c>
      <c r="H504" s="6">
        <f>IF(G504="","",IF(LEN(G504)&lt;&gt;14,"ERRO: "&amp;LEN(G504)&amp;" dígitos",IF(NOT(ISNUMBER(VALUE(G504))),"ERRO: não numérico",IF(AND(VALUE(MID(G504,13,1))=IF(MOD(SUMPRODUCT(--MID(G504,{1,2,3,4,5,6,7,8,9,10,11,12},1),{5,4,3,2,9,8,7,6,5,4,3,2}),11)&lt;2,0,11-MOD(SUMPRODUCT(--MID(G504,{1,2,3,4,5,6,7,8,9,10,11,12},1),{5,4,3,2,9,8,7,6,5,4,3,2}),11)),VALUE(MID(G504,14,1))=IF(MOD(SUMPRODUCT(--MID(G504,{1,2,3,4,5,6,7,8,9,10,11,12,13},1),{6,5,4,3,2,9,8,7,6,5,4,3,2}),11)&lt;2,0,11-MOD(SUMPRODUCT(--MID(G504,{1,2,3,4,5,6,7,8,9,10,11,12,13},1),{6,5,4,3,2,9,8,7,6,5,4,3,2}),11))),"OK","AVISO: dígito verificador (conferir na org)"))))</f>
      </c>
      <c r="I504" s="6">
        <f>IF(G504="","",IF(COUNTIF($G$2:$G$2001,G504)&gt;1,"DUPLICADO","OK"))</f>
      </c>
      <c r="J504" s="6">
        <f>IF(COUNTA(A504:F504)=0,"",IF(AND(A504&lt;&gt;"",E504&lt;&gt;""),"OK","ERRO: faltam "&amp;IF(A504="","CNPJ; ","")&amp;IF(E504="","Novo gerente; ","")))</f>
      </c>
      <c r="K504" s="6">
        <f>IF(COUNTA(A504:F504)=0,"",IF(AND(LEFT(H504,4)&lt;&gt;"ERRO",I504="OK",J504="OK"),"OK","REVISAR"))</f>
      </c>
    </row>
    <row r="505">
      <c r="A505" s="5"/>
      <c r="B505" s="4"/>
      <c r="C505" s="4"/>
      <c r="D505" s="4"/>
      <c r="E505" s="5"/>
      <c r="F505" s="4"/>
      <c r="G505" s="6">
        <f>IF(A505="","",SUBSTITUTE(SUBSTITUTE(SUBSTITUTE(SUBSTITUTE(SUBSTITUTE(SUBSTITUTE(SUBSTITUTE(TRIM(A505),".",""),"/",""),"-","")," ",""),"(",""),")",""),"+",""))</f>
      </c>
      <c r="H505" s="6">
        <f>IF(G505="","",IF(LEN(G505)&lt;&gt;14,"ERRO: "&amp;LEN(G505)&amp;" dígitos",IF(NOT(ISNUMBER(VALUE(G505))),"ERRO: não numérico",IF(AND(VALUE(MID(G505,13,1))=IF(MOD(SUMPRODUCT(--MID(G505,{1,2,3,4,5,6,7,8,9,10,11,12},1),{5,4,3,2,9,8,7,6,5,4,3,2}),11)&lt;2,0,11-MOD(SUMPRODUCT(--MID(G505,{1,2,3,4,5,6,7,8,9,10,11,12},1),{5,4,3,2,9,8,7,6,5,4,3,2}),11)),VALUE(MID(G505,14,1))=IF(MOD(SUMPRODUCT(--MID(G505,{1,2,3,4,5,6,7,8,9,10,11,12,13},1),{6,5,4,3,2,9,8,7,6,5,4,3,2}),11)&lt;2,0,11-MOD(SUMPRODUCT(--MID(G505,{1,2,3,4,5,6,7,8,9,10,11,12,13},1),{6,5,4,3,2,9,8,7,6,5,4,3,2}),11))),"OK","AVISO: dígito verificador (conferir na org)"))))</f>
      </c>
      <c r="I505" s="6">
        <f>IF(G505="","",IF(COUNTIF($G$2:$G$2001,G505)&gt;1,"DUPLICADO","OK"))</f>
      </c>
      <c r="J505" s="6">
        <f>IF(COUNTA(A505:F505)=0,"",IF(AND(A505&lt;&gt;"",E505&lt;&gt;""),"OK","ERRO: faltam "&amp;IF(A505="","CNPJ; ","")&amp;IF(E505="","Novo gerente; ","")))</f>
      </c>
      <c r="K505" s="6">
        <f>IF(COUNTA(A505:F505)=0,"",IF(AND(LEFT(H505,4)&lt;&gt;"ERRO",I505="OK",J505="OK"),"OK","REVISAR"))</f>
      </c>
    </row>
    <row r="506">
      <c r="A506" s="5"/>
      <c r="B506" s="4"/>
      <c r="C506" s="4"/>
      <c r="D506" s="4"/>
      <c r="E506" s="5"/>
      <c r="F506" s="4"/>
      <c r="G506" s="6">
        <f>IF(A506="","",SUBSTITUTE(SUBSTITUTE(SUBSTITUTE(SUBSTITUTE(SUBSTITUTE(SUBSTITUTE(SUBSTITUTE(TRIM(A506),".",""),"/",""),"-","")," ",""),"(",""),")",""),"+",""))</f>
      </c>
      <c r="H506" s="6">
        <f>IF(G506="","",IF(LEN(G506)&lt;&gt;14,"ERRO: "&amp;LEN(G506)&amp;" dígitos",IF(NOT(ISNUMBER(VALUE(G506))),"ERRO: não numérico",IF(AND(VALUE(MID(G506,13,1))=IF(MOD(SUMPRODUCT(--MID(G506,{1,2,3,4,5,6,7,8,9,10,11,12},1),{5,4,3,2,9,8,7,6,5,4,3,2}),11)&lt;2,0,11-MOD(SUMPRODUCT(--MID(G506,{1,2,3,4,5,6,7,8,9,10,11,12},1),{5,4,3,2,9,8,7,6,5,4,3,2}),11)),VALUE(MID(G506,14,1))=IF(MOD(SUMPRODUCT(--MID(G506,{1,2,3,4,5,6,7,8,9,10,11,12,13},1),{6,5,4,3,2,9,8,7,6,5,4,3,2}),11)&lt;2,0,11-MOD(SUMPRODUCT(--MID(G506,{1,2,3,4,5,6,7,8,9,10,11,12,13},1),{6,5,4,3,2,9,8,7,6,5,4,3,2}),11))),"OK","AVISO: dígito verificador (conferir na org)"))))</f>
      </c>
      <c r="I506" s="6">
        <f>IF(G506="","",IF(COUNTIF($G$2:$G$2001,G506)&gt;1,"DUPLICADO","OK"))</f>
      </c>
      <c r="J506" s="6">
        <f>IF(COUNTA(A506:F506)=0,"",IF(AND(A506&lt;&gt;"",E506&lt;&gt;""),"OK","ERRO: faltam "&amp;IF(A506="","CNPJ; ","")&amp;IF(E506="","Novo gerente; ","")))</f>
      </c>
      <c r="K506" s="6">
        <f>IF(COUNTA(A506:F506)=0,"",IF(AND(LEFT(H506,4)&lt;&gt;"ERRO",I506="OK",J506="OK"),"OK","REVISAR"))</f>
      </c>
    </row>
    <row r="507">
      <c r="A507" s="5"/>
      <c r="B507" s="4"/>
      <c r="C507" s="4"/>
      <c r="D507" s="4"/>
      <c r="E507" s="5"/>
      <c r="F507" s="4"/>
      <c r="G507" s="6">
        <f>IF(A507="","",SUBSTITUTE(SUBSTITUTE(SUBSTITUTE(SUBSTITUTE(SUBSTITUTE(SUBSTITUTE(SUBSTITUTE(TRIM(A507),".",""),"/",""),"-","")," ",""),"(",""),")",""),"+",""))</f>
      </c>
      <c r="H507" s="6">
        <f>IF(G507="","",IF(LEN(G507)&lt;&gt;14,"ERRO: "&amp;LEN(G507)&amp;" dígitos",IF(NOT(ISNUMBER(VALUE(G507))),"ERRO: não numérico",IF(AND(VALUE(MID(G507,13,1))=IF(MOD(SUMPRODUCT(--MID(G507,{1,2,3,4,5,6,7,8,9,10,11,12},1),{5,4,3,2,9,8,7,6,5,4,3,2}),11)&lt;2,0,11-MOD(SUMPRODUCT(--MID(G507,{1,2,3,4,5,6,7,8,9,10,11,12},1),{5,4,3,2,9,8,7,6,5,4,3,2}),11)),VALUE(MID(G507,14,1))=IF(MOD(SUMPRODUCT(--MID(G507,{1,2,3,4,5,6,7,8,9,10,11,12,13},1),{6,5,4,3,2,9,8,7,6,5,4,3,2}),11)&lt;2,0,11-MOD(SUMPRODUCT(--MID(G507,{1,2,3,4,5,6,7,8,9,10,11,12,13},1),{6,5,4,3,2,9,8,7,6,5,4,3,2}),11))),"OK","AVISO: dígito verificador (conferir na org)"))))</f>
      </c>
      <c r="I507" s="6">
        <f>IF(G507="","",IF(COUNTIF($G$2:$G$2001,G507)&gt;1,"DUPLICADO","OK"))</f>
      </c>
      <c r="J507" s="6">
        <f>IF(COUNTA(A507:F507)=0,"",IF(AND(A507&lt;&gt;"",E507&lt;&gt;""),"OK","ERRO: faltam "&amp;IF(A507="","CNPJ; ","")&amp;IF(E507="","Novo gerente; ","")))</f>
      </c>
      <c r="K507" s="6">
        <f>IF(COUNTA(A507:F507)=0,"",IF(AND(LEFT(H507,4)&lt;&gt;"ERRO",I507="OK",J507="OK"),"OK","REVISAR"))</f>
      </c>
    </row>
    <row r="508">
      <c r="A508" s="5"/>
      <c r="B508" s="4"/>
      <c r="C508" s="4"/>
      <c r="D508" s="4"/>
      <c r="E508" s="5"/>
      <c r="F508" s="4"/>
      <c r="G508" s="6">
        <f>IF(A508="","",SUBSTITUTE(SUBSTITUTE(SUBSTITUTE(SUBSTITUTE(SUBSTITUTE(SUBSTITUTE(SUBSTITUTE(TRIM(A508),".",""),"/",""),"-","")," ",""),"(",""),")",""),"+",""))</f>
      </c>
      <c r="H508" s="6">
        <f>IF(G508="","",IF(LEN(G508)&lt;&gt;14,"ERRO: "&amp;LEN(G508)&amp;" dígitos",IF(NOT(ISNUMBER(VALUE(G508))),"ERRO: não numérico",IF(AND(VALUE(MID(G508,13,1))=IF(MOD(SUMPRODUCT(--MID(G508,{1,2,3,4,5,6,7,8,9,10,11,12},1),{5,4,3,2,9,8,7,6,5,4,3,2}),11)&lt;2,0,11-MOD(SUMPRODUCT(--MID(G508,{1,2,3,4,5,6,7,8,9,10,11,12},1),{5,4,3,2,9,8,7,6,5,4,3,2}),11)),VALUE(MID(G508,14,1))=IF(MOD(SUMPRODUCT(--MID(G508,{1,2,3,4,5,6,7,8,9,10,11,12,13},1),{6,5,4,3,2,9,8,7,6,5,4,3,2}),11)&lt;2,0,11-MOD(SUMPRODUCT(--MID(G508,{1,2,3,4,5,6,7,8,9,10,11,12,13},1),{6,5,4,3,2,9,8,7,6,5,4,3,2}),11))),"OK","AVISO: dígito verificador (conferir na org)"))))</f>
      </c>
      <c r="I508" s="6">
        <f>IF(G508="","",IF(COUNTIF($G$2:$G$2001,G508)&gt;1,"DUPLICADO","OK"))</f>
      </c>
      <c r="J508" s="6">
        <f>IF(COUNTA(A508:F508)=0,"",IF(AND(A508&lt;&gt;"",E508&lt;&gt;""),"OK","ERRO: faltam "&amp;IF(A508="","CNPJ; ","")&amp;IF(E508="","Novo gerente; ","")))</f>
      </c>
      <c r="K508" s="6">
        <f>IF(COUNTA(A508:F508)=0,"",IF(AND(LEFT(H508,4)&lt;&gt;"ERRO",I508="OK",J508="OK"),"OK","REVISAR"))</f>
      </c>
    </row>
    <row r="509">
      <c r="A509" s="5"/>
      <c r="B509" s="4"/>
      <c r="C509" s="4"/>
      <c r="D509" s="4"/>
      <c r="E509" s="5"/>
      <c r="F509" s="4"/>
      <c r="G509" s="6">
        <f>IF(A509="","",SUBSTITUTE(SUBSTITUTE(SUBSTITUTE(SUBSTITUTE(SUBSTITUTE(SUBSTITUTE(SUBSTITUTE(TRIM(A509),".",""),"/",""),"-","")," ",""),"(",""),")",""),"+",""))</f>
      </c>
      <c r="H509" s="6">
        <f>IF(G509="","",IF(LEN(G509)&lt;&gt;14,"ERRO: "&amp;LEN(G509)&amp;" dígitos",IF(NOT(ISNUMBER(VALUE(G509))),"ERRO: não numérico",IF(AND(VALUE(MID(G509,13,1))=IF(MOD(SUMPRODUCT(--MID(G509,{1,2,3,4,5,6,7,8,9,10,11,12},1),{5,4,3,2,9,8,7,6,5,4,3,2}),11)&lt;2,0,11-MOD(SUMPRODUCT(--MID(G509,{1,2,3,4,5,6,7,8,9,10,11,12},1),{5,4,3,2,9,8,7,6,5,4,3,2}),11)),VALUE(MID(G509,14,1))=IF(MOD(SUMPRODUCT(--MID(G509,{1,2,3,4,5,6,7,8,9,10,11,12,13},1),{6,5,4,3,2,9,8,7,6,5,4,3,2}),11)&lt;2,0,11-MOD(SUMPRODUCT(--MID(G509,{1,2,3,4,5,6,7,8,9,10,11,12,13},1),{6,5,4,3,2,9,8,7,6,5,4,3,2}),11))),"OK","AVISO: dígito verificador (conferir na org)"))))</f>
      </c>
      <c r="I509" s="6">
        <f>IF(G509="","",IF(COUNTIF($G$2:$G$2001,G509)&gt;1,"DUPLICADO","OK"))</f>
      </c>
      <c r="J509" s="6">
        <f>IF(COUNTA(A509:F509)=0,"",IF(AND(A509&lt;&gt;"",E509&lt;&gt;""),"OK","ERRO: faltam "&amp;IF(A509="","CNPJ; ","")&amp;IF(E509="","Novo gerente; ","")))</f>
      </c>
      <c r="K509" s="6">
        <f>IF(COUNTA(A509:F509)=0,"",IF(AND(LEFT(H509,4)&lt;&gt;"ERRO",I509="OK",J509="OK"),"OK","REVISAR"))</f>
      </c>
    </row>
    <row r="510">
      <c r="A510" s="5"/>
      <c r="B510" s="4"/>
      <c r="C510" s="4"/>
      <c r="D510" s="4"/>
      <c r="E510" s="5"/>
      <c r="F510" s="4"/>
      <c r="G510" s="6">
        <f>IF(A510="","",SUBSTITUTE(SUBSTITUTE(SUBSTITUTE(SUBSTITUTE(SUBSTITUTE(SUBSTITUTE(SUBSTITUTE(TRIM(A510),".",""),"/",""),"-","")," ",""),"(",""),")",""),"+",""))</f>
      </c>
      <c r="H510" s="6">
        <f>IF(G510="","",IF(LEN(G510)&lt;&gt;14,"ERRO: "&amp;LEN(G510)&amp;" dígitos",IF(NOT(ISNUMBER(VALUE(G510))),"ERRO: não numérico",IF(AND(VALUE(MID(G510,13,1))=IF(MOD(SUMPRODUCT(--MID(G510,{1,2,3,4,5,6,7,8,9,10,11,12},1),{5,4,3,2,9,8,7,6,5,4,3,2}),11)&lt;2,0,11-MOD(SUMPRODUCT(--MID(G510,{1,2,3,4,5,6,7,8,9,10,11,12},1),{5,4,3,2,9,8,7,6,5,4,3,2}),11)),VALUE(MID(G510,14,1))=IF(MOD(SUMPRODUCT(--MID(G510,{1,2,3,4,5,6,7,8,9,10,11,12,13},1),{6,5,4,3,2,9,8,7,6,5,4,3,2}),11)&lt;2,0,11-MOD(SUMPRODUCT(--MID(G510,{1,2,3,4,5,6,7,8,9,10,11,12,13},1),{6,5,4,3,2,9,8,7,6,5,4,3,2}),11))),"OK","AVISO: dígito verificador (conferir na org)"))))</f>
      </c>
      <c r="I510" s="6">
        <f>IF(G510="","",IF(COUNTIF($G$2:$G$2001,G510)&gt;1,"DUPLICADO","OK"))</f>
      </c>
      <c r="J510" s="6">
        <f>IF(COUNTA(A510:F510)=0,"",IF(AND(A510&lt;&gt;"",E510&lt;&gt;""),"OK","ERRO: faltam "&amp;IF(A510="","CNPJ; ","")&amp;IF(E510="","Novo gerente; ","")))</f>
      </c>
      <c r="K510" s="6">
        <f>IF(COUNTA(A510:F510)=0,"",IF(AND(LEFT(H510,4)&lt;&gt;"ERRO",I510="OK",J510="OK"),"OK","REVISAR"))</f>
      </c>
    </row>
    <row r="511">
      <c r="A511" s="5"/>
      <c r="B511" s="4"/>
      <c r="C511" s="4"/>
      <c r="D511" s="4"/>
      <c r="E511" s="5"/>
      <c r="F511" s="4"/>
      <c r="G511" s="6">
        <f>IF(A511="","",SUBSTITUTE(SUBSTITUTE(SUBSTITUTE(SUBSTITUTE(SUBSTITUTE(SUBSTITUTE(SUBSTITUTE(TRIM(A511),".",""),"/",""),"-","")," ",""),"(",""),")",""),"+",""))</f>
      </c>
      <c r="H511" s="6">
        <f>IF(G511="","",IF(LEN(G511)&lt;&gt;14,"ERRO: "&amp;LEN(G511)&amp;" dígitos",IF(NOT(ISNUMBER(VALUE(G511))),"ERRO: não numérico",IF(AND(VALUE(MID(G511,13,1))=IF(MOD(SUMPRODUCT(--MID(G511,{1,2,3,4,5,6,7,8,9,10,11,12},1),{5,4,3,2,9,8,7,6,5,4,3,2}),11)&lt;2,0,11-MOD(SUMPRODUCT(--MID(G511,{1,2,3,4,5,6,7,8,9,10,11,12},1),{5,4,3,2,9,8,7,6,5,4,3,2}),11)),VALUE(MID(G511,14,1))=IF(MOD(SUMPRODUCT(--MID(G511,{1,2,3,4,5,6,7,8,9,10,11,12,13},1),{6,5,4,3,2,9,8,7,6,5,4,3,2}),11)&lt;2,0,11-MOD(SUMPRODUCT(--MID(G511,{1,2,3,4,5,6,7,8,9,10,11,12,13},1),{6,5,4,3,2,9,8,7,6,5,4,3,2}),11))),"OK","AVISO: dígito verificador (conferir na org)"))))</f>
      </c>
      <c r="I511" s="6">
        <f>IF(G511="","",IF(COUNTIF($G$2:$G$2001,G511)&gt;1,"DUPLICADO","OK"))</f>
      </c>
      <c r="J511" s="6">
        <f>IF(COUNTA(A511:F511)=0,"",IF(AND(A511&lt;&gt;"",E511&lt;&gt;""),"OK","ERRO: faltam "&amp;IF(A511="","CNPJ; ","")&amp;IF(E511="","Novo gerente; ","")))</f>
      </c>
      <c r="K511" s="6">
        <f>IF(COUNTA(A511:F511)=0,"",IF(AND(LEFT(H511,4)&lt;&gt;"ERRO",I511="OK",J511="OK"),"OK","REVISAR"))</f>
      </c>
    </row>
    <row r="512">
      <c r="A512" s="5"/>
      <c r="B512" s="4"/>
      <c r="C512" s="4"/>
      <c r="D512" s="4"/>
      <c r="E512" s="5"/>
      <c r="F512" s="4"/>
      <c r="G512" s="6">
        <f>IF(A512="","",SUBSTITUTE(SUBSTITUTE(SUBSTITUTE(SUBSTITUTE(SUBSTITUTE(SUBSTITUTE(SUBSTITUTE(TRIM(A512),".",""),"/",""),"-","")," ",""),"(",""),")",""),"+",""))</f>
      </c>
      <c r="H512" s="6">
        <f>IF(G512="","",IF(LEN(G512)&lt;&gt;14,"ERRO: "&amp;LEN(G512)&amp;" dígitos",IF(NOT(ISNUMBER(VALUE(G512))),"ERRO: não numérico",IF(AND(VALUE(MID(G512,13,1))=IF(MOD(SUMPRODUCT(--MID(G512,{1,2,3,4,5,6,7,8,9,10,11,12},1),{5,4,3,2,9,8,7,6,5,4,3,2}),11)&lt;2,0,11-MOD(SUMPRODUCT(--MID(G512,{1,2,3,4,5,6,7,8,9,10,11,12},1),{5,4,3,2,9,8,7,6,5,4,3,2}),11)),VALUE(MID(G512,14,1))=IF(MOD(SUMPRODUCT(--MID(G512,{1,2,3,4,5,6,7,8,9,10,11,12,13},1),{6,5,4,3,2,9,8,7,6,5,4,3,2}),11)&lt;2,0,11-MOD(SUMPRODUCT(--MID(G512,{1,2,3,4,5,6,7,8,9,10,11,12,13},1),{6,5,4,3,2,9,8,7,6,5,4,3,2}),11))),"OK","AVISO: dígito verificador (conferir na org)"))))</f>
      </c>
      <c r="I512" s="6">
        <f>IF(G512="","",IF(COUNTIF($G$2:$G$2001,G512)&gt;1,"DUPLICADO","OK"))</f>
      </c>
      <c r="J512" s="6">
        <f>IF(COUNTA(A512:F512)=0,"",IF(AND(A512&lt;&gt;"",E512&lt;&gt;""),"OK","ERRO: faltam "&amp;IF(A512="","CNPJ; ","")&amp;IF(E512="","Novo gerente; ","")))</f>
      </c>
      <c r="K512" s="6">
        <f>IF(COUNTA(A512:F512)=0,"",IF(AND(LEFT(H512,4)&lt;&gt;"ERRO",I512="OK",J512="OK"),"OK","REVISAR"))</f>
      </c>
    </row>
    <row r="513">
      <c r="A513" s="5"/>
      <c r="B513" s="4"/>
      <c r="C513" s="4"/>
      <c r="D513" s="4"/>
      <c r="E513" s="5"/>
      <c r="F513" s="4"/>
      <c r="G513" s="6">
        <f>IF(A513="","",SUBSTITUTE(SUBSTITUTE(SUBSTITUTE(SUBSTITUTE(SUBSTITUTE(SUBSTITUTE(SUBSTITUTE(TRIM(A513),".",""),"/",""),"-","")," ",""),"(",""),")",""),"+",""))</f>
      </c>
      <c r="H513" s="6">
        <f>IF(G513="","",IF(LEN(G513)&lt;&gt;14,"ERRO: "&amp;LEN(G513)&amp;" dígitos",IF(NOT(ISNUMBER(VALUE(G513))),"ERRO: não numérico",IF(AND(VALUE(MID(G513,13,1))=IF(MOD(SUMPRODUCT(--MID(G513,{1,2,3,4,5,6,7,8,9,10,11,12},1),{5,4,3,2,9,8,7,6,5,4,3,2}),11)&lt;2,0,11-MOD(SUMPRODUCT(--MID(G513,{1,2,3,4,5,6,7,8,9,10,11,12},1),{5,4,3,2,9,8,7,6,5,4,3,2}),11)),VALUE(MID(G513,14,1))=IF(MOD(SUMPRODUCT(--MID(G513,{1,2,3,4,5,6,7,8,9,10,11,12,13},1),{6,5,4,3,2,9,8,7,6,5,4,3,2}),11)&lt;2,0,11-MOD(SUMPRODUCT(--MID(G513,{1,2,3,4,5,6,7,8,9,10,11,12,13},1),{6,5,4,3,2,9,8,7,6,5,4,3,2}),11))),"OK","AVISO: dígito verificador (conferir na org)"))))</f>
      </c>
      <c r="I513" s="6">
        <f>IF(G513="","",IF(COUNTIF($G$2:$G$2001,G513)&gt;1,"DUPLICADO","OK"))</f>
      </c>
      <c r="J513" s="6">
        <f>IF(COUNTA(A513:F513)=0,"",IF(AND(A513&lt;&gt;"",E513&lt;&gt;""),"OK","ERRO: faltam "&amp;IF(A513="","CNPJ; ","")&amp;IF(E513="","Novo gerente; ","")))</f>
      </c>
      <c r="K513" s="6">
        <f>IF(COUNTA(A513:F513)=0,"",IF(AND(LEFT(H513,4)&lt;&gt;"ERRO",I513="OK",J513="OK"),"OK","REVISAR"))</f>
      </c>
    </row>
    <row r="514">
      <c r="A514" s="5"/>
      <c r="B514" s="4"/>
      <c r="C514" s="4"/>
      <c r="D514" s="4"/>
      <c r="E514" s="5"/>
      <c r="F514" s="4"/>
      <c r="G514" s="6">
        <f>IF(A514="","",SUBSTITUTE(SUBSTITUTE(SUBSTITUTE(SUBSTITUTE(SUBSTITUTE(SUBSTITUTE(SUBSTITUTE(TRIM(A514),".",""),"/",""),"-","")," ",""),"(",""),")",""),"+",""))</f>
      </c>
      <c r="H514" s="6">
        <f>IF(G514="","",IF(LEN(G514)&lt;&gt;14,"ERRO: "&amp;LEN(G514)&amp;" dígitos",IF(NOT(ISNUMBER(VALUE(G514))),"ERRO: não numérico",IF(AND(VALUE(MID(G514,13,1))=IF(MOD(SUMPRODUCT(--MID(G514,{1,2,3,4,5,6,7,8,9,10,11,12},1),{5,4,3,2,9,8,7,6,5,4,3,2}),11)&lt;2,0,11-MOD(SUMPRODUCT(--MID(G514,{1,2,3,4,5,6,7,8,9,10,11,12},1),{5,4,3,2,9,8,7,6,5,4,3,2}),11)),VALUE(MID(G514,14,1))=IF(MOD(SUMPRODUCT(--MID(G514,{1,2,3,4,5,6,7,8,9,10,11,12,13},1),{6,5,4,3,2,9,8,7,6,5,4,3,2}),11)&lt;2,0,11-MOD(SUMPRODUCT(--MID(G514,{1,2,3,4,5,6,7,8,9,10,11,12,13},1),{6,5,4,3,2,9,8,7,6,5,4,3,2}),11))),"OK","AVISO: dígito verificador (conferir na org)"))))</f>
      </c>
      <c r="I514" s="6">
        <f>IF(G514="","",IF(COUNTIF($G$2:$G$2001,G514)&gt;1,"DUPLICADO","OK"))</f>
      </c>
      <c r="J514" s="6">
        <f>IF(COUNTA(A514:F514)=0,"",IF(AND(A514&lt;&gt;"",E514&lt;&gt;""),"OK","ERRO: faltam "&amp;IF(A514="","CNPJ; ","")&amp;IF(E514="","Novo gerente; ","")))</f>
      </c>
      <c r="K514" s="6">
        <f>IF(COUNTA(A514:F514)=0,"",IF(AND(LEFT(H514,4)&lt;&gt;"ERRO",I514="OK",J514="OK"),"OK","REVISAR"))</f>
      </c>
    </row>
    <row r="515">
      <c r="A515" s="5"/>
      <c r="B515" s="4"/>
      <c r="C515" s="4"/>
      <c r="D515" s="4"/>
      <c r="E515" s="5"/>
      <c r="F515" s="4"/>
      <c r="G515" s="6">
        <f>IF(A515="","",SUBSTITUTE(SUBSTITUTE(SUBSTITUTE(SUBSTITUTE(SUBSTITUTE(SUBSTITUTE(SUBSTITUTE(TRIM(A515),".",""),"/",""),"-","")," ",""),"(",""),")",""),"+",""))</f>
      </c>
      <c r="H515" s="6">
        <f>IF(G515="","",IF(LEN(G515)&lt;&gt;14,"ERRO: "&amp;LEN(G515)&amp;" dígitos",IF(NOT(ISNUMBER(VALUE(G515))),"ERRO: não numérico",IF(AND(VALUE(MID(G515,13,1))=IF(MOD(SUMPRODUCT(--MID(G515,{1,2,3,4,5,6,7,8,9,10,11,12},1),{5,4,3,2,9,8,7,6,5,4,3,2}),11)&lt;2,0,11-MOD(SUMPRODUCT(--MID(G515,{1,2,3,4,5,6,7,8,9,10,11,12},1),{5,4,3,2,9,8,7,6,5,4,3,2}),11)),VALUE(MID(G515,14,1))=IF(MOD(SUMPRODUCT(--MID(G515,{1,2,3,4,5,6,7,8,9,10,11,12,13},1),{6,5,4,3,2,9,8,7,6,5,4,3,2}),11)&lt;2,0,11-MOD(SUMPRODUCT(--MID(G515,{1,2,3,4,5,6,7,8,9,10,11,12,13},1),{6,5,4,3,2,9,8,7,6,5,4,3,2}),11))),"OK","AVISO: dígito verificador (conferir na org)"))))</f>
      </c>
      <c r="I515" s="6">
        <f>IF(G515="","",IF(COUNTIF($G$2:$G$2001,G515)&gt;1,"DUPLICADO","OK"))</f>
      </c>
      <c r="J515" s="6">
        <f>IF(COUNTA(A515:F515)=0,"",IF(AND(A515&lt;&gt;"",E515&lt;&gt;""),"OK","ERRO: faltam "&amp;IF(A515="","CNPJ; ","")&amp;IF(E515="","Novo gerente; ","")))</f>
      </c>
      <c r="K515" s="6">
        <f>IF(COUNTA(A515:F515)=0,"",IF(AND(LEFT(H515,4)&lt;&gt;"ERRO",I515="OK",J515="OK"),"OK","REVISAR"))</f>
      </c>
    </row>
    <row r="516">
      <c r="A516" s="5"/>
      <c r="B516" s="4"/>
      <c r="C516" s="4"/>
      <c r="D516" s="4"/>
      <c r="E516" s="5"/>
      <c r="F516" s="4"/>
      <c r="G516" s="6">
        <f>IF(A516="","",SUBSTITUTE(SUBSTITUTE(SUBSTITUTE(SUBSTITUTE(SUBSTITUTE(SUBSTITUTE(SUBSTITUTE(TRIM(A516),".",""),"/",""),"-","")," ",""),"(",""),")",""),"+",""))</f>
      </c>
      <c r="H516" s="6">
        <f>IF(G516="","",IF(LEN(G516)&lt;&gt;14,"ERRO: "&amp;LEN(G516)&amp;" dígitos",IF(NOT(ISNUMBER(VALUE(G516))),"ERRO: não numérico",IF(AND(VALUE(MID(G516,13,1))=IF(MOD(SUMPRODUCT(--MID(G516,{1,2,3,4,5,6,7,8,9,10,11,12},1),{5,4,3,2,9,8,7,6,5,4,3,2}),11)&lt;2,0,11-MOD(SUMPRODUCT(--MID(G516,{1,2,3,4,5,6,7,8,9,10,11,12},1),{5,4,3,2,9,8,7,6,5,4,3,2}),11)),VALUE(MID(G516,14,1))=IF(MOD(SUMPRODUCT(--MID(G516,{1,2,3,4,5,6,7,8,9,10,11,12,13},1),{6,5,4,3,2,9,8,7,6,5,4,3,2}),11)&lt;2,0,11-MOD(SUMPRODUCT(--MID(G516,{1,2,3,4,5,6,7,8,9,10,11,12,13},1),{6,5,4,3,2,9,8,7,6,5,4,3,2}),11))),"OK","AVISO: dígito verificador (conferir na org)"))))</f>
      </c>
      <c r="I516" s="6">
        <f>IF(G516="","",IF(COUNTIF($G$2:$G$2001,G516)&gt;1,"DUPLICADO","OK"))</f>
      </c>
      <c r="J516" s="6">
        <f>IF(COUNTA(A516:F516)=0,"",IF(AND(A516&lt;&gt;"",E516&lt;&gt;""),"OK","ERRO: faltam "&amp;IF(A516="","CNPJ; ","")&amp;IF(E516="","Novo gerente; ","")))</f>
      </c>
      <c r="K516" s="6">
        <f>IF(COUNTA(A516:F516)=0,"",IF(AND(LEFT(H516,4)&lt;&gt;"ERRO",I516="OK",J516="OK"),"OK","REVISAR"))</f>
      </c>
    </row>
    <row r="517">
      <c r="A517" s="5"/>
      <c r="B517" s="4"/>
      <c r="C517" s="4"/>
      <c r="D517" s="4"/>
      <c r="E517" s="5"/>
      <c r="F517" s="4"/>
      <c r="G517" s="6">
        <f>IF(A517="","",SUBSTITUTE(SUBSTITUTE(SUBSTITUTE(SUBSTITUTE(SUBSTITUTE(SUBSTITUTE(SUBSTITUTE(TRIM(A517),".",""),"/",""),"-","")," ",""),"(",""),")",""),"+",""))</f>
      </c>
      <c r="H517" s="6">
        <f>IF(G517="","",IF(LEN(G517)&lt;&gt;14,"ERRO: "&amp;LEN(G517)&amp;" dígitos",IF(NOT(ISNUMBER(VALUE(G517))),"ERRO: não numérico",IF(AND(VALUE(MID(G517,13,1))=IF(MOD(SUMPRODUCT(--MID(G517,{1,2,3,4,5,6,7,8,9,10,11,12},1),{5,4,3,2,9,8,7,6,5,4,3,2}),11)&lt;2,0,11-MOD(SUMPRODUCT(--MID(G517,{1,2,3,4,5,6,7,8,9,10,11,12},1),{5,4,3,2,9,8,7,6,5,4,3,2}),11)),VALUE(MID(G517,14,1))=IF(MOD(SUMPRODUCT(--MID(G517,{1,2,3,4,5,6,7,8,9,10,11,12,13},1),{6,5,4,3,2,9,8,7,6,5,4,3,2}),11)&lt;2,0,11-MOD(SUMPRODUCT(--MID(G517,{1,2,3,4,5,6,7,8,9,10,11,12,13},1),{6,5,4,3,2,9,8,7,6,5,4,3,2}),11))),"OK","AVISO: dígito verificador (conferir na org)"))))</f>
      </c>
      <c r="I517" s="6">
        <f>IF(G517="","",IF(COUNTIF($G$2:$G$2001,G517)&gt;1,"DUPLICADO","OK"))</f>
      </c>
      <c r="J517" s="6">
        <f>IF(COUNTA(A517:F517)=0,"",IF(AND(A517&lt;&gt;"",E517&lt;&gt;""),"OK","ERRO: faltam "&amp;IF(A517="","CNPJ; ","")&amp;IF(E517="","Novo gerente; ","")))</f>
      </c>
      <c r="K517" s="6">
        <f>IF(COUNTA(A517:F517)=0,"",IF(AND(LEFT(H517,4)&lt;&gt;"ERRO",I517="OK",J517="OK"),"OK","REVISAR"))</f>
      </c>
    </row>
    <row r="518">
      <c r="A518" s="5"/>
      <c r="B518" s="4"/>
      <c r="C518" s="4"/>
      <c r="D518" s="4"/>
      <c r="E518" s="5"/>
      <c r="F518" s="4"/>
      <c r="G518" s="6">
        <f>IF(A518="","",SUBSTITUTE(SUBSTITUTE(SUBSTITUTE(SUBSTITUTE(SUBSTITUTE(SUBSTITUTE(SUBSTITUTE(TRIM(A518),".",""),"/",""),"-","")," ",""),"(",""),")",""),"+",""))</f>
      </c>
      <c r="H518" s="6">
        <f>IF(G518="","",IF(LEN(G518)&lt;&gt;14,"ERRO: "&amp;LEN(G518)&amp;" dígitos",IF(NOT(ISNUMBER(VALUE(G518))),"ERRO: não numérico",IF(AND(VALUE(MID(G518,13,1))=IF(MOD(SUMPRODUCT(--MID(G518,{1,2,3,4,5,6,7,8,9,10,11,12},1),{5,4,3,2,9,8,7,6,5,4,3,2}),11)&lt;2,0,11-MOD(SUMPRODUCT(--MID(G518,{1,2,3,4,5,6,7,8,9,10,11,12},1),{5,4,3,2,9,8,7,6,5,4,3,2}),11)),VALUE(MID(G518,14,1))=IF(MOD(SUMPRODUCT(--MID(G518,{1,2,3,4,5,6,7,8,9,10,11,12,13},1),{6,5,4,3,2,9,8,7,6,5,4,3,2}),11)&lt;2,0,11-MOD(SUMPRODUCT(--MID(G518,{1,2,3,4,5,6,7,8,9,10,11,12,13},1),{6,5,4,3,2,9,8,7,6,5,4,3,2}),11))),"OK","AVISO: dígito verificador (conferir na org)"))))</f>
      </c>
      <c r="I518" s="6">
        <f>IF(G518="","",IF(COUNTIF($G$2:$G$2001,G518)&gt;1,"DUPLICADO","OK"))</f>
      </c>
      <c r="J518" s="6">
        <f>IF(COUNTA(A518:F518)=0,"",IF(AND(A518&lt;&gt;"",E518&lt;&gt;""),"OK","ERRO: faltam "&amp;IF(A518="","CNPJ; ","")&amp;IF(E518="","Novo gerente; ","")))</f>
      </c>
      <c r="K518" s="6">
        <f>IF(COUNTA(A518:F518)=0,"",IF(AND(LEFT(H518,4)&lt;&gt;"ERRO",I518="OK",J518="OK"),"OK","REVISAR"))</f>
      </c>
    </row>
    <row r="519">
      <c r="A519" s="5"/>
      <c r="B519" s="4"/>
      <c r="C519" s="4"/>
      <c r="D519" s="4"/>
      <c r="E519" s="5"/>
      <c r="F519" s="4"/>
      <c r="G519" s="6">
        <f>IF(A519="","",SUBSTITUTE(SUBSTITUTE(SUBSTITUTE(SUBSTITUTE(SUBSTITUTE(SUBSTITUTE(SUBSTITUTE(TRIM(A519),".",""),"/",""),"-","")," ",""),"(",""),")",""),"+",""))</f>
      </c>
      <c r="H519" s="6">
        <f>IF(G519="","",IF(LEN(G519)&lt;&gt;14,"ERRO: "&amp;LEN(G519)&amp;" dígitos",IF(NOT(ISNUMBER(VALUE(G519))),"ERRO: não numérico",IF(AND(VALUE(MID(G519,13,1))=IF(MOD(SUMPRODUCT(--MID(G519,{1,2,3,4,5,6,7,8,9,10,11,12},1),{5,4,3,2,9,8,7,6,5,4,3,2}),11)&lt;2,0,11-MOD(SUMPRODUCT(--MID(G519,{1,2,3,4,5,6,7,8,9,10,11,12},1),{5,4,3,2,9,8,7,6,5,4,3,2}),11)),VALUE(MID(G519,14,1))=IF(MOD(SUMPRODUCT(--MID(G519,{1,2,3,4,5,6,7,8,9,10,11,12,13},1),{6,5,4,3,2,9,8,7,6,5,4,3,2}),11)&lt;2,0,11-MOD(SUMPRODUCT(--MID(G519,{1,2,3,4,5,6,7,8,9,10,11,12,13},1),{6,5,4,3,2,9,8,7,6,5,4,3,2}),11))),"OK","AVISO: dígito verificador (conferir na org)"))))</f>
      </c>
      <c r="I519" s="6">
        <f>IF(G519="","",IF(COUNTIF($G$2:$G$2001,G519)&gt;1,"DUPLICADO","OK"))</f>
      </c>
      <c r="J519" s="6">
        <f>IF(COUNTA(A519:F519)=0,"",IF(AND(A519&lt;&gt;"",E519&lt;&gt;""),"OK","ERRO: faltam "&amp;IF(A519="","CNPJ; ","")&amp;IF(E519="","Novo gerente; ","")))</f>
      </c>
      <c r="K519" s="6">
        <f>IF(COUNTA(A519:F519)=0,"",IF(AND(LEFT(H519,4)&lt;&gt;"ERRO",I519="OK",J519="OK"),"OK","REVISAR"))</f>
      </c>
    </row>
    <row r="520">
      <c r="A520" s="5"/>
      <c r="B520" s="4"/>
      <c r="C520" s="4"/>
      <c r="D520" s="4"/>
      <c r="E520" s="5"/>
      <c r="F520" s="4"/>
      <c r="G520" s="6">
        <f>IF(A520="","",SUBSTITUTE(SUBSTITUTE(SUBSTITUTE(SUBSTITUTE(SUBSTITUTE(SUBSTITUTE(SUBSTITUTE(TRIM(A520),".",""),"/",""),"-","")," ",""),"(",""),")",""),"+",""))</f>
      </c>
      <c r="H520" s="6">
        <f>IF(G520="","",IF(LEN(G520)&lt;&gt;14,"ERRO: "&amp;LEN(G520)&amp;" dígitos",IF(NOT(ISNUMBER(VALUE(G520))),"ERRO: não numérico",IF(AND(VALUE(MID(G520,13,1))=IF(MOD(SUMPRODUCT(--MID(G520,{1,2,3,4,5,6,7,8,9,10,11,12},1),{5,4,3,2,9,8,7,6,5,4,3,2}),11)&lt;2,0,11-MOD(SUMPRODUCT(--MID(G520,{1,2,3,4,5,6,7,8,9,10,11,12},1),{5,4,3,2,9,8,7,6,5,4,3,2}),11)),VALUE(MID(G520,14,1))=IF(MOD(SUMPRODUCT(--MID(G520,{1,2,3,4,5,6,7,8,9,10,11,12,13},1),{6,5,4,3,2,9,8,7,6,5,4,3,2}),11)&lt;2,0,11-MOD(SUMPRODUCT(--MID(G520,{1,2,3,4,5,6,7,8,9,10,11,12,13},1),{6,5,4,3,2,9,8,7,6,5,4,3,2}),11))),"OK","AVISO: dígito verificador (conferir na org)"))))</f>
      </c>
      <c r="I520" s="6">
        <f>IF(G520="","",IF(COUNTIF($G$2:$G$2001,G520)&gt;1,"DUPLICADO","OK"))</f>
      </c>
      <c r="J520" s="6">
        <f>IF(COUNTA(A520:F520)=0,"",IF(AND(A520&lt;&gt;"",E520&lt;&gt;""),"OK","ERRO: faltam "&amp;IF(A520="","CNPJ; ","")&amp;IF(E520="","Novo gerente; ","")))</f>
      </c>
      <c r="K520" s="6">
        <f>IF(COUNTA(A520:F520)=0,"",IF(AND(LEFT(H520,4)&lt;&gt;"ERRO",I520="OK",J520="OK"),"OK","REVISAR"))</f>
      </c>
    </row>
    <row r="521">
      <c r="A521" s="5"/>
      <c r="B521" s="4"/>
      <c r="C521" s="4"/>
      <c r="D521" s="4"/>
      <c r="E521" s="5"/>
      <c r="F521" s="4"/>
      <c r="G521" s="6">
        <f>IF(A521="","",SUBSTITUTE(SUBSTITUTE(SUBSTITUTE(SUBSTITUTE(SUBSTITUTE(SUBSTITUTE(SUBSTITUTE(TRIM(A521),".",""),"/",""),"-","")," ",""),"(",""),")",""),"+",""))</f>
      </c>
      <c r="H521" s="6">
        <f>IF(G521="","",IF(LEN(G521)&lt;&gt;14,"ERRO: "&amp;LEN(G521)&amp;" dígitos",IF(NOT(ISNUMBER(VALUE(G521))),"ERRO: não numérico",IF(AND(VALUE(MID(G521,13,1))=IF(MOD(SUMPRODUCT(--MID(G521,{1,2,3,4,5,6,7,8,9,10,11,12},1),{5,4,3,2,9,8,7,6,5,4,3,2}),11)&lt;2,0,11-MOD(SUMPRODUCT(--MID(G521,{1,2,3,4,5,6,7,8,9,10,11,12},1),{5,4,3,2,9,8,7,6,5,4,3,2}),11)),VALUE(MID(G521,14,1))=IF(MOD(SUMPRODUCT(--MID(G521,{1,2,3,4,5,6,7,8,9,10,11,12,13},1),{6,5,4,3,2,9,8,7,6,5,4,3,2}),11)&lt;2,0,11-MOD(SUMPRODUCT(--MID(G521,{1,2,3,4,5,6,7,8,9,10,11,12,13},1),{6,5,4,3,2,9,8,7,6,5,4,3,2}),11))),"OK","AVISO: dígito verificador (conferir na org)"))))</f>
      </c>
      <c r="I521" s="6">
        <f>IF(G521="","",IF(COUNTIF($G$2:$G$2001,G521)&gt;1,"DUPLICADO","OK"))</f>
      </c>
      <c r="J521" s="6">
        <f>IF(COUNTA(A521:F521)=0,"",IF(AND(A521&lt;&gt;"",E521&lt;&gt;""),"OK","ERRO: faltam "&amp;IF(A521="","CNPJ; ","")&amp;IF(E521="","Novo gerente; ","")))</f>
      </c>
      <c r="K521" s="6">
        <f>IF(COUNTA(A521:F521)=0,"",IF(AND(LEFT(H521,4)&lt;&gt;"ERRO",I521="OK",J521="OK"),"OK","REVISAR"))</f>
      </c>
    </row>
    <row r="522">
      <c r="A522" s="5"/>
      <c r="B522" s="4"/>
      <c r="C522" s="4"/>
      <c r="D522" s="4"/>
      <c r="E522" s="5"/>
      <c r="F522" s="4"/>
      <c r="G522" s="6">
        <f>IF(A522="","",SUBSTITUTE(SUBSTITUTE(SUBSTITUTE(SUBSTITUTE(SUBSTITUTE(SUBSTITUTE(SUBSTITUTE(TRIM(A522),".",""),"/",""),"-","")," ",""),"(",""),")",""),"+",""))</f>
      </c>
      <c r="H522" s="6">
        <f>IF(G522="","",IF(LEN(G522)&lt;&gt;14,"ERRO: "&amp;LEN(G522)&amp;" dígitos",IF(NOT(ISNUMBER(VALUE(G522))),"ERRO: não numérico",IF(AND(VALUE(MID(G522,13,1))=IF(MOD(SUMPRODUCT(--MID(G522,{1,2,3,4,5,6,7,8,9,10,11,12},1),{5,4,3,2,9,8,7,6,5,4,3,2}),11)&lt;2,0,11-MOD(SUMPRODUCT(--MID(G522,{1,2,3,4,5,6,7,8,9,10,11,12},1),{5,4,3,2,9,8,7,6,5,4,3,2}),11)),VALUE(MID(G522,14,1))=IF(MOD(SUMPRODUCT(--MID(G522,{1,2,3,4,5,6,7,8,9,10,11,12,13},1),{6,5,4,3,2,9,8,7,6,5,4,3,2}),11)&lt;2,0,11-MOD(SUMPRODUCT(--MID(G522,{1,2,3,4,5,6,7,8,9,10,11,12,13},1),{6,5,4,3,2,9,8,7,6,5,4,3,2}),11))),"OK","AVISO: dígito verificador (conferir na org)"))))</f>
      </c>
      <c r="I522" s="6">
        <f>IF(G522="","",IF(COUNTIF($G$2:$G$2001,G522)&gt;1,"DUPLICADO","OK"))</f>
      </c>
      <c r="J522" s="6">
        <f>IF(COUNTA(A522:F522)=0,"",IF(AND(A522&lt;&gt;"",E522&lt;&gt;""),"OK","ERRO: faltam "&amp;IF(A522="","CNPJ; ","")&amp;IF(E522="","Novo gerente; ","")))</f>
      </c>
      <c r="K522" s="6">
        <f>IF(COUNTA(A522:F522)=0,"",IF(AND(LEFT(H522,4)&lt;&gt;"ERRO",I522="OK",J522="OK"),"OK","REVISAR"))</f>
      </c>
    </row>
    <row r="523">
      <c r="A523" s="5"/>
      <c r="B523" s="4"/>
      <c r="C523" s="4"/>
      <c r="D523" s="4"/>
      <c r="E523" s="5"/>
      <c r="F523" s="4"/>
      <c r="G523" s="6">
        <f>IF(A523="","",SUBSTITUTE(SUBSTITUTE(SUBSTITUTE(SUBSTITUTE(SUBSTITUTE(SUBSTITUTE(SUBSTITUTE(TRIM(A523),".",""),"/",""),"-","")," ",""),"(",""),")",""),"+",""))</f>
      </c>
      <c r="H523" s="6">
        <f>IF(G523="","",IF(LEN(G523)&lt;&gt;14,"ERRO: "&amp;LEN(G523)&amp;" dígitos",IF(NOT(ISNUMBER(VALUE(G523))),"ERRO: não numérico",IF(AND(VALUE(MID(G523,13,1))=IF(MOD(SUMPRODUCT(--MID(G523,{1,2,3,4,5,6,7,8,9,10,11,12},1),{5,4,3,2,9,8,7,6,5,4,3,2}),11)&lt;2,0,11-MOD(SUMPRODUCT(--MID(G523,{1,2,3,4,5,6,7,8,9,10,11,12},1),{5,4,3,2,9,8,7,6,5,4,3,2}),11)),VALUE(MID(G523,14,1))=IF(MOD(SUMPRODUCT(--MID(G523,{1,2,3,4,5,6,7,8,9,10,11,12,13},1),{6,5,4,3,2,9,8,7,6,5,4,3,2}),11)&lt;2,0,11-MOD(SUMPRODUCT(--MID(G523,{1,2,3,4,5,6,7,8,9,10,11,12,13},1),{6,5,4,3,2,9,8,7,6,5,4,3,2}),11))),"OK","AVISO: dígito verificador (conferir na org)"))))</f>
      </c>
      <c r="I523" s="6">
        <f>IF(G523="","",IF(COUNTIF($G$2:$G$2001,G523)&gt;1,"DUPLICADO","OK"))</f>
      </c>
      <c r="J523" s="6">
        <f>IF(COUNTA(A523:F523)=0,"",IF(AND(A523&lt;&gt;"",E523&lt;&gt;""),"OK","ERRO: faltam "&amp;IF(A523="","CNPJ; ","")&amp;IF(E523="","Novo gerente; ","")))</f>
      </c>
      <c r="K523" s="6">
        <f>IF(COUNTA(A523:F523)=0,"",IF(AND(LEFT(H523,4)&lt;&gt;"ERRO",I523="OK",J523="OK"),"OK","REVISAR"))</f>
      </c>
    </row>
    <row r="524">
      <c r="A524" s="5"/>
      <c r="B524" s="4"/>
      <c r="C524" s="4"/>
      <c r="D524" s="4"/>
      <c r="E524" s="5"/>
      <c r="F524" s="4"/>
      <c r="G524" s="6">
        <f>IF(A524="","",SUBSTITUTE(SUBSTITUTE(SUBSTITUTE(SUBSTITUTE(SUBSTITUTE(SUBSTITUTE(SUBSTITUTE(TRIM(A524),".",""),"/",""),"-","")," ",""),"(",""),")",""),"+",""))</f>
      </c>
      <c r="H524" s="6">
        <f>IF(G524="","",IF(LEN(G524)&lt;&gt;14,"ERRO: "&amp;LEN(G524)&amp;" dígitos",IF(NOT(ISNUMBER(VALUE(G524))),"ERRO: não numérico",IF(AND(VALUE(MID(G524,13,1))=IF(MOD(SUMPRODUCT(--MID(G524,{1,2,3,4,5,6,7,8,9,10,11,12},1),{5,4,3,2,9,8,7,6,5,4,3,2}),11)&lt;2,0,11-MOD(SUMPRODUCT(--MID(G524,{1,2,3,4,5,6,7,8,9,10,11,12},1),{5,4,3,2,9,8,7,6,5,4,3,2}),11)),VALUE(MID(G524,14,1))=IF(MOD(SUMPRODUCT(--MID(G524,{1,2,3,4,5,6,7,8,9,10,11,12,13},1),{6,5,4,3,2,9,8,7,6,5,4,3,2}),11)&lt;2,0,11-MOD(SUMPRODUCT(--MID(G524,{1,2,3,4,5,6,7,8,9,10,11,12,13},1),{6,5,4,3,2,9,8,7,6,5,4,3,2}),11))),"OK","AVISO: dígito verificador (conferir na org)"))))</f>
      </c>
      <c r="I524" s="6">
        <f>IF(G524="","",IF(COUNTIF($G$2:$G$2001,G524)&gt;1,"DUPLICADO","OK"))</f>
      </c>
      <c r="J524" s="6">
        <f>IF(COUNTA(A524:F524)=0,"",IF(AND(A524&lt;&gt;"",E524&lt;&gt;""),"OK","ERRO: faltam "&amp;IF(A524="","CNPJ; ","")&amp;IF(E524="","Novo gerente; ","")))</f>
      </c>
      <c r="K524" s="6">
        <f>IF(COUNTA(A524:F524)=0,"",IF(AND(LEFT(H524,4)&lt;&gt;"ERRO",I524="OK",J524="OK"),"OK","REVISAR"))</f>
      </c>
    </row>
    <row r="525">
      <c r="A525" s="5"/>
      <c r="B525" s="4"/>
      <c r="C525" s="4"/>
      <c r="D525" s="4"/>
      <c r="E525" s="5"/>
      <c r="F525" s="4"/>
      <c r="G525" s="6">
        <f>IF(A525="","",SUBSTITUTE(SUBSTITUTE(SUBSTITUTE(SUBSTITUTE(SUBSTITUTE(SUBSTITUTE(SUBSTITUTE(TRIM(A525),".",""),"/",""),"-","")," ",""),"(",""),")",""),"+",""))</f>
      </c>
      <c r="H525" s="6">
        <f>IF(G525="","",IF(LEN(G525)&lt;&gt;14,"ERRO: "&amp;LEN(G525)&amp;" dígitos",IF(NOT(ISNUMBER(VALUE(G525))),"ERRO: não numérico",IF(AND(VALUE(MID(G525,13,1))=IF(MOD(SUMPRODUCT(--MID(G525,{1,2,3,4,5,6,7,8,9,10,11,12},1),{5,4,3,2,9,8,7,6,5,4,3,2}),11)&lt;2,0,11-MOD(SUMPRODUCT(--MID(G525,{1,2,3,4,5,6,7,8,9,10,11,12},1),{5,4,3,2,9,8,7,6,5,4,3,2}),11)),VALUE(MID(G525,14,1))=IF(MOD(SUMPRODUCT(--MID(G525,{1,2,3,4,5,6,7,8,9,10,11,12,13},1),{6,5,4,3,2,9,8,7,6,5,4,3,2}),11)&lt;2,0,11-MOD(SUMPRODUCT(--MID(G525,{1,2,3,4,5,6,7,8,9,10,11,12,13},1),{6,5,4,3,2,9,8,7,6,5,4,3,2}),11))),"OK","AVISO: dígito verificador (conferir na org)"))))</f>
      </c>
      <c r="I525" s="6">
        <f>IF(G525="","",IF(COUNTIF($G$2:$G$2001,G525)&gt;1,"DUPLICADO","OK"))</f>
      </c>
      <c r="J525" s="6">
        <f>IF(COUNTA(A525:F525)=0,"",IF(AND(A525&lt;&gt;"",E525&lt;&gt;""),"OK","ERRO: faltam "&amp;IF(A525="","CNPJ; ","")&amp;IF(E525="","Novo gerente; ","")))</f>
      </c>
      <c r="K525" s="6">
        <f>IF(COUNTA(A525:F525)=0,"",IF(AND(LEFT(H525,4)&lt;&gt;"ERRO",I525="OK",J525="OK"),"OK","REVISAR"))</f>
      </c>
    </row>
    <row r="526">
      <c r="A526" s="5"/>
      <c r="B526" s="4"/>
      <c r="C526" s="4"/>
      <c r="D526" s="4"/>
      <c r="E526" s="5"/>
      <c r="F526" s="4"/>
      <c r="G526" s="6">
        <f>IF(A526="","",SUBSTITUTE(SUBSTITUTE(SUBSTITUTE(SUBSTITUTE(SUBSTITUTE(SUBSTITUTE(SUBSTITUTE(TRIM(A526),".",""),"/",""),"-","")," ",""),"(",""),")",""),"+",""))</f>
      </c>
      <c r="H526" s="6">
        <f>IF(G526="","",IF(LEN(G526)&lt;&gt;14,"ERRO: "&amp;LEN(G526)&amp;" dígitos",IF(NOT(ISNUMBER(VALUE(G526))),"ERRO: não numérico",IF(AND(VALUE(MID(G526,13,1))=IF(MOD(SUMPRODUCT(--MID(G526,{1,2,3,4,5,6,7,8,9,10,11,12},1),{5,4,3,2,9,8,7,6,5,4,3,2}),11)&lt;2,0,11-MOD(SUMPRODUCT(--MID(G526,{1,2,3,4,5,6,7,8,9,10,11,12},1),{5,4,3,2,9,8,7,6,5,4,3,2}),11)),VALUE(MID(G526,14,1))=IF(MOD(SUMPRODUCT(--MID(G526,{1,2,3,4,5,6,7,8,9,10,11,12,13},1),{6,5,4,3,2,9,8,7,6,5,4,3,2}),11)&lt;2,0,11-MOD(SUMPRODUCT(--MID(G526,{1,2,3,4,5,6,7,8,9,10,11,12,13},1),{6,5,4,3,2,9,8,7,6,5,4,3,2}),11))),"OK","AVISO: dígito verificador (conferir na org)"))))</f>
      </c>
      <c r="I526" s="6">
        <f>IF(G526="","",IF(COUNTIF($G$2:$G$2001,G526)&gt;1,"DUPLICADO","OK"))</f>
      </c>
      <c r="J526" s="6">
        <f>IF(COUNTA(A526:F526)=0,"",IF(AND(A526&lt;&gt;"",E526&lt;&gt;""),"OK","ERRO: faltam "&amp;IF(A526="","CNPJ; ","")&amp;IF(E526="","Novo gerente; ","")))</f>
      </c>
      <c r="K526" s="6">
        <f>IF(COUNTA(A526:F526)=0,"",IF(AND(LEFT(H526,4)&lt;&gt;"ERRO",I526="OK",J526="OK"),"OK","REVISAR"))</f>
      </c>
    </row>
    <row r="527">
      <c r="A527" s="5"/>
      <c r="B527" s="4"/>
      <c r="C527" s="4"/>
      <c r="D527" s="4"/>
      <c r="E527" s="5"/>
      <c r="F527" s="4"/>
      <c r="G527" s="6">
        <f>IF(A527="","",SUBSTITUTE(SUBSTITUTE(SUBSTITUTE(SUBSTITUTE(SUBSTITUTE(SUBSTITUTE(SUBSTITUTE(TRIM(A527),".",""),"/",""),"-","")," ",""),"(",""),")",""),"+",""))</f>
      </c>
      <c r="H527" s="6">
        <f>IF(G527="","",IF(LEN(G527)&lt;&gt;14,"ERRO: "&amp;LEN(G527)&amp;" dígitos",IF(NOT(ISNUMBER(VALUE(G527))),"ERRO: não numérico",IF(AND(VALUE(MID(G527,13,1))=IF(MOD(SUMPRODUCT(--MID(G527,{1,2,3,4,5,6,7,8,9,10,11,12},1),{5,4,3,2,9,8,7,6,5,4,3,2}),11)&lt;2,0,11-MOD(SUMPRODUCT(--MID(G527,{1,2,3,4,5,6,7,8,9,10,11,12},1),{5,4,3,2,9,8,7,6,5,4,3,2}),11)),VALUE(MID(G527,14,1))=IF(MOD(SUMPRODUCT(--MID(G527,{1,2,3,4,5,6,7,8,9,10,11,12,13},1),{6,5,4,3,2,9,8,7,6,5,4,3,2}),11)&lt;2,0,11-MOD(SUMPRODUCT(--MID(G527,{1,2,3,4,5,6,7,8,9,10,11,12,13},1),{6,5,4,3,2,9,8,7,6,5,4,3,2}),11))),"OK","AVISO: dígito verificador (conferir na org)"))))</f>
      </c>
      <c r="I527" s="6">
        <f>IF(G527="","",IF(COUNTIF($G$2:$G$2001,G527)&gt;1,"DUPLICADO","OK"))</f>
      </c>
      <c r="J527" s="6">
        <f>IF(COUNTA(A527:F527)=0,"",IF(AND(A527&lt;&gt;"",E527&lt;&gt;""),"OK","ERRO: faltam "&amp;IF(A527="","CNPJ; ","")&amp;IF(E527="","Novo gerente; ","")))</f>
      </c>
      <c r="K527" s="6">
        <f>IF(COUNTA(A527:F527)=0,"",IF(AND(LEFT(H527,4)&lt;&gt;"ERRO",I527="OK",J527="OK"),"OK","REVISAR"))</f>
      </c>
    </row>
    <row r="528">
      <c r="A528" s="5"/>
      <c r="B528" s="4"/>
      <c r="C528" s="4"/>
      <c r="D528" s="4"/>
      <c r="E528" s="5"/>
      <c r="F528" s="4"/>
      <c r="G528" s="6">
        <f>IF(A528="","",SUBSTITUTE(SUBSTITUTE(SUBSTITUTE(SUBSTITUTE(SUBSTITUTE(SUBSTITUTE(SUBSTITUTE(TRIM(A528),".",""),"/",""),"-","")," ",""),"(",""),")",""),"+",""))</f>
      </c>
      <c r="H528" s="6">
        <f>IF(G528="","",IF(LEN(G528)&lt;&gt;14,"ERRO: "&amp;LEN(G528)&amp;" dígitos",IF(NOT(ISNUMBER(VALUE(G528))),"ERRO: não numérico",IF(AND(VALUE(MID(G528,13,1))=IF(MOD(SUMPRODUCT(--MID(G528,{1,2,3,4,5,6,7,8,9,10,11,12},1),{5,4,3,2,9,8,7,6,5,4,3,2}),11)&lt;2,0,11-MOD(SUMPRODUCT(--MID(G528,{1,2,3,4,5,6,7,8,9,10,11,12},1),{5,4,3,2,9,8,7,6,5,4,3,2}),11)),VALUE(MID(G528,14,1))=IF(MOD(SUMPRODUCT(--MID(G528,{1,2,3,4,5,6,7,8,9,10,11,12,13},1),{6,5,4,3,2,9,8,7,6,5,4,3,2}),11)&lt;2,0,11-MOD(SUMPRODUCT(--MID(G528,{1,2,3,4,5,6,7,8,9,10,11,12,13},1),{6,5,4,3,2,9,8,7,6,5,4,3,2}),11))),"OK","AVISO: dígito verificador (conferir na org)"))))</f>
      </c>
      <c r="I528" s="6">
        <f>IF(G528="","",IF(COUNTIF($G$2:$G$2001,G528)&gt;1,"DUPLICADO","OK"))</f>
      </c>
      <c r="J528" s="6">
        <f>IF(COUNTA(A528:F528)=0,"",IF(AND(A528&lt;&gt;"",E528&lt;&gt;""),"OK","ERRO: faltam "&amp;IF(A528="","CNPJ; ","")&amp;IF(E528="","Novo gerente; ","")))</f>
      </c>
      <c r="K528" s="6">
        <f>IF(COUNTA(A528:F528)=0,"",IF(AND(LEFT(H528,4)&lt;&gt;"ERRO",I528="OK",J528="OK"),"OK","REVISAR"))</f>
      </c>
    </row>
    <row r="529">
      <c r="A529" s="5"/>
      <c r="B529" s="4"/>
      <c r="C529" s="4"/>
      <c r="D529" s="4"/>
      <c r="E529" s="5"/>
      <c r="F529" s="4"/>
      <c r="G529" s="6">
        <f>IF(A529="","",SUBSTITUTE(SUBSTITUTE(SUBSTITUTE(SUBSTITUTE(SUBSTITUTE(SUBSTITUTE(SUBSTITUTE(TRIM(A529),".",""),"/",""),"-","")," ",""),"(",""),")",""),"+",""))</f>
      </c>
      <c r="H529" s="6">
        <f>IF(G529="","",IF(LEN(G529)&lt;&gt;14,"ERRO: "&amp;LEN(G529)&amp;" dígitos",IF(NOT(ISNUMBER(VALUE(G529))),"ERRO: não numérico",IF(AND(VALUE(MID(G529,13,1))=IF(MOD(SUMPRODUCT(--MID(G529,{1,2,3,4,5,6,7,8,9,10,11,12},1),{5,4,3,2,9,8,7,6,5,4,3,2}),11)&lt;2,0,11-MOD(SUMPRODUCT(--MID(G529,{1,2,3,4,5,6,7,8,9,10,11,12},1),{5,4,3,2,9,8,7,6,5,4,3,2}),11)),VALUE(MID(G529,14,1))=IF(MOD(SUMPRODUCT(--MID(G529,{1,2,3,4,5,6,7,8,9,10,11,12,13},1),{6,5,4,3,2,9,8,7,6,5,4,3,2}),11)&lt;2,0,11-MOD(SUMPRODUCT(--MID(G529,{1,2,3,4,5,6,7,8,9,10,11,12,13},1),{6,5,4,3,2,9,8,7,6,5,4,3,2}),11))),"OK","AVISO: dígito verificador (conferir na org)"))))</f>
      </c>
      <c r="I529" s="6">
        <f>IF(G529="","",IF(COUNTIF($G$2:$G$2001,G529)&gt;1,"DUPLICADO","OK"))</f>
      </c>
      <c r="J529" s="6">
        <f>IF(COUNTA(A529:F529)=0,"",IF(AND(A529&lt;&gt;"",E529&lt;&gt;""),"OK","ERRO: faltam "&amp;IF(A529="","CNPJ; ","")&amp;IF(E529="","Novo gerente; ","")))</f>
      </c>
      <c r="K529" s="6">
        <f>IF(COUNTA(A529:F529)=0,"",IF(AND(LEFT(H529,4)&lt;&gt;"ERRO",I529="OK",J529="OK"),"OK","REVISAR"))</f>
      </c>
    </row>
    <row r="530">
      <c r="A530" s="5"/>
      <c r="B530" s="4"/>
      <c r="C530" s="4"/>
      <c r="D530" s="4"/>
      <c r="E530" s="5"/>
      <c r="F530" s="4"/>
      <c r="G530" s="6">
        <f>IF(A530="","",SUBSTITUTE(SUBSTITUTE(SUBSTITUTE(SUBSTITUTE(SUBSTITUTE(SUBSTITUTE(SUBSTITUTE(TRIM(A530),".",""),"/",""),"-","")," ",""),"(",""),")",""),"+",""))</f>
      </c>
      <c r="H530" s="6">
        <f>IF(G530="","",IF(LEN(G530)&lt;&gt;14,"ERRO: "&amp;LEN(G530)&amp;" dígitos",IF(NOT(ISNUMBER(VALUE(G530))),"ERRO: não numérico",IF(AND(VALUE(MID(G530,13,1))=IF(MOD(SUMPRODUCT(--MID(G530,{1,2,3,4,5,6,7,8,9,10,11,12},1),{5,4,3,2,9,8,7,6,5,4,3,2}),11)&lt;2,0,11-MOD(SUMPRODUCT(--MID(G530,{1,2,3,4,5,6,7,8,9,10,11,12},1),{5,4,3,2,9,8,7,6,5,4,3,2}),11)),VALUE(MID(G530,14,1))=IF(MOD(SUMPRODUCT(--MID(G530,{1,2,3,4,5,6,7,8,9,10,11,12,13},1),{6,5,4,3,2,9,8,7,6,5,4,3,2}),11)&lt;2,0,11-MOD(SUMPRODUCT(--MID(G530,{1,2,3,4,5,6,7,8,9,10,11,12,13},1),{6,5,4,3,2,9,8,7,6,5,4,3,2}),11))),"OK","AVISO: dígito verificador (conferir na org)"))))</f>
      </c>
      <c r="I530" s="6">
        <f>IF(G530="","",IF(COUNTIF($G$2:$G$2001,G530)&gt;1,"DUPLICADO","OK"))</f>
      </c>
      <c r="J530" s="6">
        <f>IF(COUNTA(A530:F530)=0,"",IF(AND(A530&lt;&gt;"",E530&lt;&gt;""),"OK","ERRO: faltam "&amp;IF(A530="","CNPJ; ","")&amp;IF(E530="","Novo gerente; ","")))</f>
      </c>
      <c r="K530" s="6">
        <f>IF(COUNTA(A530:F530)=0,"",IF(AND(LEFT(H530,4)&lt;&gt;"ERRO",I530="OK",J530="OK"),"OK","REVISAR"))</f>
      </c>
    </row>
    <row r="531">
      <c r="A531" s="5"/>
      <c r="B531" s="4"/>
      <c r="C531" s="4"/>
      <c r="D531" s="4"/>
      <c r="E531" s="5"/>
      <c r="F531" s="4"/>
      <c r="G531" s="6">
        <f>IF(A531="","",SUBSTITUTE(SUBSTITUTE(SUBSTITUTE(SUBSTITUTE(SUBSTITUTE(SUBSTITUTE(SUBSTITUTE(TRIM(A531),".",""),"/",""),"-","")," ",""),"(",""),")",""),"+",""))</f>
      </c>
      <c r="H531" s="6">
        <f>IF(G531="","",IF(LEN(G531)&lt;&gt;14,"ERRO: "&amp;LEN(G531)&amp;" dígitos",IF(NOT(ISNUMBER(VALUE(G531))),"ERRO: não numérico",IF(AND(VALUE(MID(G531,13,1))=IF(MOD(SUMPRODUCT(--MID(G531,{1,2,3,4,5,6,7,8,9,10,11,12},1),{5,4,3,2,9,8,7,6,5,4,3,2}),11)&lt;2,0,11-MOD(SUMPRODUCT(--MID(G531,{1,2,3,4,5,6,7,8,9,10,11,12},1),{5,4,3,2,9,8,7,6,5,4,3,2}),11)),VALUE(MID(G531,14,1))=IF(MOD(SUMPRODUCT(--MID(G531,{1,2,3,4,5,6,7,8,9,10,11,12,13},1),{6,5,4,3,2,9,8,7,6,5,4,3,2}),11)&lt;2,0,11-MOD(SUMPRODUCT(--MID(G531,{1,2,3,4,5,6,7,8,9,10,11,12,13},1),{6,5,4,3,2,9,8,7,6,5,4,3,2}),11))),"OK","AVISO: dígito verificador (conferir na org)"))))</f>
      </c>
      <c r="I531" s="6">
        <f>IF(G531="","",IF(COUNTIF($G$2:$G$2001,G531)&gt;1,"DUPLICADO","OK"))</f>
      </c>
      <c r="J531" s="6">
        <f>IF(COUNTA(A531:F531)=0,"",IF(AND(A531&lt;&gt;"",E531&lt;&gt;""),"OK","ERRO: faltam "&amp;IF(A531="","CNPJ; ","")&amp;IF(E531="","Novo gerente; ","")))</f>
      </c>
      <c r="K531" s="6">
        <f>IF(COUNTA(A531:F531)=0,"",IF(AND(LEFT(H531,4)&lt;&gt;"ERRO",I531="OK",J531="OK"),"OK","REVISAR"))</f>
      </c>
    </row>
    <row r="532">
      <c r="A532" s="5"/>
      <c r="B532" s="4"/>
      <c r="C532" s="4"/>
      <c r="D532" s="4"/>
      <c r="E532" s="5"/>
      <c r="F532" s="4"/>
      <c r="G532" s="6">
        <f>IF(A532="","",SUBSTITUTE(SUBSTITUTE(SUBSTITUTE(SUBSTITUTE(SUBSTITUTE(SUBSTITUTE(SUBSTITUTE(TRIM(A532),".",""),"/",""),"-","")," ",""),"(",""),")",""),"+",""))</f>
      </c>
      <c r="H532" s="6">
        <f>IF(G532="","",IF(LEN(G532)&lt;&gt;14,"ERRO: "&amp;LEN(G532)&amp;" dígitos",IF(NOT(ISNUMBER(VALUE(G532))),"ERRO: não numérico",IF(AND(VALUE(MID(G532,13,1))=IF(MOD(SUMPRODUCT(--MID(G532,{1,2,3,4,5,6,7,8,9,10,11,12},1),{5,4,3,2,9,8,7,6,5,4,3,2}),11)&lt;2,0,11-MOD(SUMPRODUCT(--MID(G532,{1,2,3,4,5,6,7,8,9,10,11,12},1),{5,4,3,2,9,8,7,6,5,4,3,2}),11)),VALUE(MID(G532,14,1))=IF(MOD(SUMPRODUCT(--MID(G532,{1,2,3,4,5,6,7,8,9,10,11,12,13},1),{6,5,4,3,2,9,8,7,6,5,4,3,2}),11)&lt;2,0,11-MOD(SUMPRODUCT(--MID(G532,{1,2,3,4,5,6,7,8,9,10,11,12,13},1),{6,5,4,3,2,9,8,7,6,5,4,3,2}),11))),"OK","AVISO: dígito verificador (conferir na org)"))))</f>
      </c>
      <c r="I532" s="6">
        <f>IF(G532="","",IF(COUNTIF($G$2:$G$2001,G532)&gt;1,"DUPLICADO","OK"))</f>
      </c>
      <c r="J532" s="6">
        <f>IF(COUNTA(A532:F532)=0,"",IF(AND(A532&lt;&gt;"",E532&lt;&gt;""),"OK","ERRO: faltam "&amp;IF(A532="","CNPJ; ","")&amp;IF(E532="","Novo gerente; ","")))</f>
      </c>
      <c r="K532" s="6">
        <f>IF(COUNTA(A532:F532)=0,"",IF(AND(LEFT(H532,4)&lt;&gt;"ERRO",I532="OK",J532="OK"),"OK","REVISAR"))</f>
      </c>
    </row>
    <row r="533">
      <c r="A533" s="5"/>
      <c r="B533" s="4"/>
      <c r="C533" s="4"/>
      <c r="D533" s="4"/>
      <c r="E533" s="5"/>
      <c r="F533" s="4"/>
      <c r="G533" s="6">
        <f>IF(A533="","",SUBSTITUTE(SUBSTITUTE(SUBSTITUTE(SUBSTITUTE(SUBSTITUTE(SUBSTITUTE(SUBSTITUTE(TRIM(A533),".",""),"/",""),"-","")," ",""),"(",""),")",""),"+",""))</f>
      </c>
      <c r="H533" s="6">
        <f>IF(G533="","",IF(LEN(G533)&lt;&gt;14,"ERRO: "&amp;LEN(G533)&amp;" dígitos",IF(NOT(ISNUMBER(VALUE(G533))),"ERRO: não numérico",IF(AND(VALUE(MID(G533,13,1))=IF(MOD(SUMPRODUCT(--MID(G533,{1,2,3,4,5,6,7,8,9,10,11,12},1),{5,4,3,2,9,8,7,6,5,4,3,2}),11)&lt;2,0,11-MOD(SUMPRODUCT(--MID(G533,{1,2,3,4,5,6,7,8,9,10,11,12},1),{5,4,3,2,9,8,7,6,5,4,3,2}),11)),VALUE(MID(G533,14,1))=IF(MOD(SUMPRODUCT(--MID(G533,{1,2,3,4,5,6,7,8,9,10,11,12,13},1),{6,5,4,3,2,9,8,7,6,5,4,3,2}),11)&lt;2,0,11-MOD(SUMPRODUCT(--MID(G533,{1,2,3,4,5,6,7,8,9,10,11,12,13},1),{6,5,4,3,2,9,8,7,6,5,4,3,2}),11))),"OK","AVISO: dígito verificador (conferir na org)"))))</f>
      </c>
      <c r="I533" s="6">
        <f>IF(G533="","",IF(COUNTIF($G$2:$G$2001,G533)&gt;1,"DUPLICADO","OK"))</f>
      </c>
      <c r="J533" s="6">
        <f>IF(COUNTA(A533:F533)=0,"",IF(AND(A533&lt;&gt;"",E533&lt;&gt;""),"OK","ERRO: faltam "&amp;IF(A533="","CNPJ; ","")&amp;IF(E533="","Novo gerente; ","")))</f>
      </c>
      <c r="K533" s="6">
        <f>IF(COUNTA(A533:F533)=0,"",IF(AND(LEFT(H533,4)&lt;&gt;"ERRO",I533="OK",J533="OK"),"OK","REVISAR"))</f>
      </c>
    </row>
    <row r="534">
      <c r="A534" s="5"/>
      <c r="B534" s="4"/>
      <c r="C534" s="4"/>
      <c r="D534" s="4"/>
      <c r="E534" s="5"/>
      <c r="F534" s="4"/>
      <c r="G534" s="6">
        <f>IF(A534="","",SUBSTITUTE(SUBSTITUTE(SUBSTITUTE(SUBSTITUTE(SUBSTITUTE(SUBSTITUTE(SUBSTITUTE(TRIM(A534),".",""),"/",""),"-","")," ",""),"(",""),")",""),"+",""))</f>
      </c>
      <c r="H534" s="6">
        <f>IF(G534="","",IF(LEN(G534)&lt;&gt;14,"ERRO: "&amp;LEN(G534)&amp;" dígitos",IF(NOT(ISNUMBER(VALUE(G534))),"ERRO: não numérico",IF(AND(VALUE(MID(G534,13,1))=IF(MOD(SUMPRODUCT(--MID(G534,{1,2,3,4,5,6,7,8,9,10,11,12},1),{5,4,3,2,9,8,7,6,5,4,3,2}),11)&lt;2,0,11-MOD(SUMPRODUCT(--MID(G534,{1,2,3,4,5,6,7,8,9,10,11,12},1),{5,4,3,2,9,8,7,6,5,4,3,2}),11)),VALUE(MID(G534,14,1))=IF(MOD(SUMPRODUCT(--MID(G534,{1,2,3,4,5,6,7,8,9,10,11,12,13},1),{6,5,4,3,2,9,8,7,6,5,4,3,2}),11)&lt;2,0,11-MOD(SUMPRODUCT(--MID(G534,{1,2,3,4,5,6,7,8,9,10,11,12,13},1),{6,5,4,3,2,9,8,7,6,5,4,3,2}),11))),"OK","AVISO: dígito verificador (conferir na org)"))))</f>
      </c>
      <c r="I534" s="6">
        <f>IF(G534="","",IF(COUNTIF($G$2:$G$2001,G534)&gt;1,"DUPLICADO","OK"))</f>
      </c>
      <c r="J534" s="6">
        <f>IF(COUNTA(A534:F534)=0,"",IF(AND(A534&lt;&gt;"",E534&lt;&gt;""),"OK","ERRO: faltam "&amp;IF(A534="","CNPJ; ","")&amp;IF(E534="","Novo gerente; ","")))</f>
      </c>
      <c r="K534" s="6">
        <f>IF(COUNTA(A534:F534)=0,"",IF(AND(LEFT(H534,4)&lt;&gt;"ERRO",I534="OK",J534="OK"),"OK","REVISAR"))</f>
      </c>
    </row>
    <row r="535">
      <c r="A535" s="5"/>
      <c r="B535" s="4"/>
      <c r="C535" s="4"/>
      <c r="D535" s="4"/>
      <c r="E535" s="5"/>
      <c r="F535" s="4"/>
      <c r="G535" s="6">
        <f>IF(A535="","",SUBSTITUTE(SUBSTITUTE(SUBSTITUTE(SUBSTITUTE(SUBSTITUTE(SUBSTITUTE(SUBSTITUTE(TRIM(A535),".",""),"/",""),"-","")," ",""),"(",""),")",""),"+",""))</f>
      </c>
      <c r="H535" s="6">
        <f>IF(G535="","",IF(LEN(G535)&lt;&gt;14,"ERRO: "&amp;LEN(G535)&amp;" dígitos",IF(NOT(ISNUMBER(VALUE(G535))),"ERRO: não numérico",IF(AND(VALUE(MID(G535,13,1))=IF(MOD(SUMPRODUCT(--MID(G535,{1,2,3,4,5,6,7,8,9,10,11,12},1),{5,4,3,2,9,8,7,6,5,4,3,2}),11)&lt;2,0,11-MOD(SUMPRODUCT(--MID(G535,{1,2,3,4,5,6,7,8,9,10,11,12},1),{5,4,3,2,9,8,7,6,5,4,3,2}),11)),VALUE(MID(G535,14,1))=IF(MOD(SUMPRODUCT(--MID(G535,{1,2,3,4,5,6,7,8,9,10,11,12,13},1),{6,5,4,3,2,9,8,7,6,5,4,3,2}),11)&lt;2,0,11-MOD(SUMPRODUCT(--MID(G535,{1,2,3,4,5,6,7,8,9,10,11,12,13},1),{6,5,4,3,2,9,8,7,6,5,4,3,2}),11))),"OK","AVISO: dígito verificador (conferir na org)"))))</f>
      </c>
      <c r="I535" s="6">
        <f>IF(G535="","",IF(COUNTIF($G$2:$G$2001,G535)&gt;1,"DUPLICADO","OK"))</f>
      </c>
      <c r="J535" s="6">
        <f>IF(COUNTA(A535:F535)=0,"",IF(AND(A535&lt;&gt;"",E535&lt;&gt;""),"OK","ERRO: faltam "&amp;IF(A535="","CNPJ; ","")&amp;IF(E535="","Novo gerente; ","")))</f>
      </c>
      <c r="K535" s="6">
        <f>IF(COUNTA(A535:F535)=0,"",IF(AND(LEFT(H535,4)&lt;&gt;"ERRO",I535="OK",J535="OK"),"OK","REVISAR"))</f>
      </c>
    </row>
    <row r="536">
      <c r="A536" s="5"/>
      <c r="B536" s="4"/>
      <c r="C536" s="4"/>
      <c r="D536" s="4"/>
      <c r="E536" s="5"/>
      <c r="F536" s="4"/>
      <c r="G536" s="6">
        <f>IF(A536="","",SUBSTITUTE(SUBSTITUTE(SUBSTITUTE(SUBSTITUTE(SUBSTITUTE(SUBSTITUTE(SUBSTITUTE(TRIM(A536),".",""),"/",""),"-","")," ",""),"(",""),")",""),"+",""))</f>
      </c>
      <c r="H536" s="6">
        <f>IF(G536="","",IF(LEN(G536)&lt;&gt;14,"ERRO: "&amp;LEN(G536)&amp;" dígitos",IF(NOT(ISNUMBER(VALUE(G536))),"ERRO: não numérico",IF(AND(VALUE(MID(G536,13,1))=IF(MOD(SUMPRODUCT(--MID(G536,{1,2,3,4,5,6,7,8,9,10,11,12},1),{5,4,3,2,9,8,7,6,5,4,3,2}),11)&lt;2,0,11-MOD(SUMPRODUCT(--MID(G536,{1,2,3,4,5,6,7,8,9,10,11,12},1),{5,4,3,2,9,8,7,6,5,4,3,2}),11)),VALUE(MID(G536,14,1))=IF(MOD(SUMPRODUCT(--MID(G536,{1,2,3,4,5,6,7,8,9,10,11,12,13},1),{6,5,4,3,2,9,8,7,6,5,4,3,2}),11)&lt;2,0,11-MOD(SUMPRODUCT(--MID(G536,{1,2,3,4,5,6,7,8,9,10,11,12,13},1),{6,5,4,3,2,9,8,7,6,5,4,3,2}),11))),"OK","AVISO: dígito verificador (conferir na org)"))))</f>
      </c>
      <c r="I536" s="6">
        <f>IF(G536="","",IF(COUNTIF($G$2:$G$2001,G536)&gt;1,"DUPLICADO","OK"))</f>
      </c>
      <c r="J536" s="6">
        <f>IF(COUNTA(A536:F536)=0,"",IF(AND(A536&lt;&gt;"",E536&lt;&gt;""),"OK","ERRO: faltam "&amp;IF(A536="","CNPJ; ","")&amp;IF(E536="","Novo gerente; ","")))</f>
      </c>
      <c r="K536" s="6">
        <f>IF(COUNTA(A536:F536)=0,"",IF(AND(LEFT(H536,4)&lt;&gt;"ERRO",I536="OK",J536="OK"),"OK","REVISAR"))</f>
      </c>
    </row>
    <row r="537">
      <c r="A537" s="5"/>
      <c r="B537" s="4"/>
      <c r="C537" s="4"/>
      <c r="D537" s="4"/>
      <c r="E537" s="5"/>
      <c r="F537" s="4"/>
      <c r="G537" s="6">
        <f>IF(A537="","",SUBSTITUTE(SUBSTITUTE(SUBSTITUTE(SUBSTITUTE(SUBSTITUTE(SUBSTITUTE(SUBSTITUTE(TRIM(A537),".",""),"/",""),"-","")," ",""),"(",""),")",""),"+",""))</f>
      </c>
      <c r="H537" s="6">
        <f>IF(G537="","",IF(LEN(G537)&lt;&gt;14,"ERRO: "&amp;LEN(G537)&amp;" dígitos",IF(NOT(ISNUMBER(VALUE(G537))),"ERRO: não numérico",IF(AND(VALUE(MID(G537,13,1))=IF(MOD(SUMPRODUCT(--MID(G537,{1,2,3,4,5,6,7,8,9,10,11,12},1),{5,4,3,2,9,8,7,6,5,4,3,2}),11)&lt;2,0,11-MOD(SUMPRODUCT(--MID(G537,{1,2,3,4,5,6,7,8,9,10,11,12},1),{5,4,3,2,9,8,7,6,5,4,3,2}),11)),VALUE(MID(G537,14,1))=IF(MOD(SUMPRODUCT(--MID(G537,{1,2,3,4,5,6,7,8,9,10,11,12,13},1),{6,5,4,3,2,9,8,7,6,5,4,3,2}),11)&lt;2,0,11-MOD(SUMPRODUCT(--MID(G537,{1,2,3,4,5,6,7,8,9,10,11,12,13},1),{6,5,4,3,2,9,8,7,6,5,4,3,2}),11))),"OK","AVISO: dígito verificador (conferir na org)"))))</f>
      </c>
      <c r="I537" s="6">
        <f>IF(G537="","",IF(COUNTIF($G$2:$G$2001,G537)&gt;1,"DUPLICADO","OK"))</f>
      </c>
      <c r="J537" s="6">
        <f>IF(COUNTA(A537:F537)=0,"",IF(AND(A537&lt;&gt;"",E537&lt;&gt;""),"OK","ERRO: faltam "&amp;IF(A537="","CNPJ; ","")&amp;IF(E537="","Novo gerente; ","")))</f>
      </c>
      <c r="K537" s="6">
        <f>IF(COUNTA(A537:F537)=0,"",IF(AND(LEFT(H537,4)&lt;&gt;"ERRO",I537="OK",J537="OK"),"OK","REVISAR"))</f>
      </c>
    </row>
    <row r="538">
      <c r="A538" s="5"/>
      <c r="B538" s="4"/>
      <c r="C538" s="4"/>
      <c r="D538" s="4"/>
      <c r="E538" s="5"/>
      <c r="F538" s="4"/>
      <c r="G538" s="6">
        <f>IF(A538="","",SUBSTITUTE(SUBSTITUTE(SUBSTITUTE(SUBSTITUTE(SUBSTITUTE(SUBSTITUTE(SUBSTITUTE(TRIM(A538),".",""),"/",""),"-","")," ",""),"(",""),")",""),"+",""))</f>
      </c>
      <c r="H538" s="6">
        <f>IF(G538="","",IF(LEN(G538)&lt;&gt;14,"ERRO: "&amp;LEN(G538)&amp;" dígitos",IF(NOT(ISNUMBER(VALUE(G538))),"ERRO: não numérico",IF(AND(VALUE(MID(G538,13,1))=IF(MOD(SUMPRODUCT(--MID(G538,{1,2,3,4,5,6,7,8,9,10,11,12},1),{5,4,3,2,9,8,7,6,5,4,3,2}),11)&lt;2,0,11-MOD(SUMPRODUCT(--MID(G538,{1,2,3,4,5,6,7,8,9,10,11,12},1),{5,4,3,2,9,8,7,6,5,4,3,2}),11)),VALUE(MID(G538,14,1))=IF(MOD(SUMPRODUCT(--MID(G538,{1,2,3,4,5,6,7,8,9,10,11,12,13},1),{6,5,4,3,2,9,8,7,6,5,4,3,2}),11)&lt;2,0,11-MOD(SUMPRODUCT(--MID(G538,{1,2,3,4,5,6,7,8,9,10,11,12,13},1),{6,5,4,3,2,9,8,7,6,5,4,3,2}),11))),"OK","AVISO: dígito verificador (conferir na org)"))))</f>
      </c>
      <c r="I538" s="6">
        <f>IF(G538="","",IF(COUNTIF($G$2:$G$2001,G538)&gt;1,"DUPLICADO","OK"))</f>
      </c>
      <c r="J538" s="6">
        <f>IF(COUNTA(A538:F538)=0,"",IF(AND(A538&lt;&gt;"",E538&lt;&gt;""),"OK","ERRO: faltam "&amp;IF(A538="","CNPJ; ","")&amp;IF(E538="","Novo gerente; ","")))</f>
      </c>
      <c r="K538" s="6">
        <f>IF(COUNTA(A538:F538)=0,"",IF(AND(LEFT(H538,4)&lt;&gt;"ERRO",I538="OK",J538="OK"),"OK","REVISAR"))</f>
      </c>
    </row>
    <row r="539">
      <c r="A539" s="5"/>
      <c r="B539" s="4"/>
      <c r="C539" s="4"/>
      <c r="D539" s="4"/>
      <c r="E539" s="5"/>
      <c r="F539" s="4"/>
      <c r="G539" s="6">
        <f>IF(A539="","",SUBSTITUTE(SUBSTITUTE(SUBSTITUTE(SUBSTITUTE(SUBSTITUTE(SUBSTITUTE(SUBSTITUTE(TRIM(A539),".",""),"/",""),"-","")," ",""),"(",""),")",""),"+",""))</f>
      </c>
      <c r="H539" s="6">
        <f>IF(G539="","",IF(LEN(G539)&lt;&gt;14,"ERRO: "&amp;LEN(G539)&amp;" dígitos",IF(NOT(ISNUMBER(VALUE(G539))),"ERRO: não numérico",IF(AND(VALUE(MID(G539,13,1))=IF(MOD(SUMPRODUCT(--MID(G539,{1,2,3,4,5,6,7,8,9,10,11,12},1),{5,4,3,2,9,8,7,6,5,4,3,2}),11)&lt;2,0,11-MOD(SUMPRODUCT(--MID(G539,{1,2,3,4,5,6,7,8,9,10,11,12},1),{5,4,3,2,9,8,7,6,5,4,3,2}),11)),VALUE(MID(G539,14,1))=IF(MOD(SUMPRODUCT(--MID(G539,{1,2,3,4,5,6,7,8,9,10,11,12,13},1),{6,5,4,3,2,9,8,7,6,5,4,3,2}),11)&lt;2,0,11-MOD(SUMPRODUCT(--MID(G539,{1,2,3,4,5,6,7,8,9,10,11,12,13},1),{6,5,4,3,2,9,8,7,6,5,4,3,2}),11))),"OK","AVISO: dígito verificador (conferir na org)"))))</f>
      </c>
      <c r="I539" s="6">
        <f>IF(G539="","",IF(COUNTIF($G$2:$G$2001,G539)&gt;1,"DUPLICADO","OK"))</f>
      </c>
      <c r="J539" s="6">
        <f>IF(COUNTA(A539:F539)=0,"",IF(AND(A539&lt;&gt;"",E539&lt;&gt;""),"OK","ERRO: faltam "&amp;IF(A539="","CNPJ; ","")&amp;IF(E539="","Novo gerente; ","")))</f>
      </c>
      <c r="K539" s="6">
        <f>IF(COUNTA(A539:F539)=0,"",IF(AND(LEFT(H539,4)&lt;&gt;"ERRO",I539="OK",J539="OK"),"OK","REVISAR"))</f>
      </c>
    </row>
    <row r="540">
      <c r="A540" s="5"/>
      <c r="B540" s="4"/>
      <c r="C540" s="4"/>
      <c r="D540" s="4"/>
      <c r="E540" s="5"/>
      <c r="F540" s="4"/>
      <c r="G540" s="6">
        <f>IF(A540="","",SUBSTITUTE(SUBSTITUTE(SUBSTITUTE(SUBSTITUTE(SUBSTITUTE(SUBSTITUTE(SUBSTITUTE(TRIM(A540),".",""),"/",""),"-","")," ",""),"(",""),")",""),"+",""))</f>
      </c>
      <c r="H540" s="6">
        <f>IF(G540="","",IF(LEN(G540)&lt;&gt;14,"ERRO: "&amp;LEN(G540)&amp;" dígitos",IF(NOT(ISNUMBER(VALUE(G540))),"ERRO: não numérico",IF(AND(VALUE(MID(G540,13,1))=IF(MOD(SUMPRODUCT(--MID(G540,{1,2,3,4,5,6,7,8,9,10,11,12},1),{5,4,3,2,9,8,7,6,5,4,3,2}),11)&lt;2,0,11-MOD(SUMPRODUCT(--MID(G540,{1,2,3,4,5,6,7,8,9,10,11,12},1),{5,4,3,2,9,8,7,6,5,4,3,2}),11)),VALUE(MID(G540,14,1))=IF(MOD(SUMPRODUCT(--MID(G540,{1,2,3,4,5,6,7,8,9,10,11,12,13},1),{6,5,4,3,2,9,8,7,6,5,4,3,2}),11)&lt;2,0,11-MOD(SUMPRODUCT(--MID(G540,{1,2,3,4,5,6,7,8,9,10,11,12,13},1),{6,5,4,3,2,9,8,7,6,5,4,3,2}),11))),"OK","AVISO: dígito verificador (conferir na org)"))))</f>
      </c>
      <c r="I540" s="6">
        <f>IF(G540="","",IF(COUNTIF($G$2:$G$2001,G540)&gt;1,"DUPLICADO","OK"))</f>
      </c>
      <c r="J540" s="6">
        <f>IF(COUNTA(A540:F540)=0,"",IF(AND(A540&lt;&gt;"",E540&lt;&gt;""),"OK","ERRO: faltam "&amp;IF(A540="","CNPJ; ","")&amp;IF(E540="","Novo gerente; ","")))</f>
      </c>
      <c r="K540" s="6">
        <f>IF(COUNTA(A540:F540)=0,"",IF(AND(LEFT(H540,4)&lt;&gt;"ERRO",I540="OK",J540="OK"),"OK","REVISAR"))</f>
      </c>
    </row>
    <row r="541">
      <c r="A541" s="5"/>
      <c r="B541" s="4"/>
      <c r="C541" s="4"/>
      <c r="D541" s="4"/>
      <c r="E541" s="5"/>
      <c r="F541" s="4"/>
      <c r="G541" s="6">
        <f>IF(A541="","",SUBSTITUTE(SUBSTITUTE(SUBSTITUTE(SUBSTITUTE(SUBSTITUTE(SUBSTITUTE(SUBSTITUTE(TRIM(A541),".",""),"/",""),"-","")," ",""),"(",""),")",""),"+",""))</f>
      </c>
      <c r="H541" s="6">
        <f>IF(G541="","",IF(LEN(G541)&lt;&gt;14,"ERRO: "&amp;LEN(G541)&amp;" dígitos",IF(NOT(ISNUMBER(VALUE(G541))),"ERRO: não numérico",IF(AND(VALUE(MID(G541,13,1))=IF(MOD(SUMPRODUCT(--MID(G541,{1,2,3,4,5,6,7,8,9,10,11,12},1),{5,4,3,2,9,8,7,6,5,4,3,2}),11)&lt;2,0,11-MOD(SUMPRODUCT(--MID(G541,{1,2,3,4,5,6,7,8,9,10,11,12},1),{5,4,3,2,9,8,7,6,5,4,3,2}),11)),VALUE(MID(G541,14,1))=IF(MOD(SUMPRODUCT(--MID(G541,{1,2,3,4,5,6,7,8,9,10,11,12,13},1),{6,5,4,3,2,9,8,7,6,5,4,3,2}),11)&lt;2,0,11-MOD(SUMPRODUCT(--MID(G541,{1,2,3,4,5,6,7,8,9,10,11,12,13},1),{6,5,4,3,2,9,8,7,6,5,4,3,2}),11))),"OK","AVISO: dígito verificador (conferir na org)"))))</f>
      </c>
      <c r="I541" s="6">
        <f>IF(G541="","",IF(COUNTIF($G$2:$G$2001,G541)&gt;1,"DUPLICADO","OK"))</f>
      </c>
      <c r="J541" s="6">
        <f>IF(COUNTA(A541:F541)=0,"",IF(AND(A541&lt;&gt;"",E541&lt;&gt;""),"OK","ERRO: faltam "&amp;IF(A541="","CNPJ; ","")&amp;IF(E541="","Novo gerente; ","")))</f>
      </c>
      <c r="K541" s="6">
        <f>IF(COUNTA(A541:F541)=0,"",IF(AND(LEFT(H541,4)&lt;&gt;"ERRO",I541="OK",J541="OK"),"OK","REVISAR"))</f>
      </c>
    </row>
    <row r="542">
      <c r="A542" s="5"/>
      <c r="B542" s="4"/>
      <c r="C542" s="4"/>
      <c r="D542" s="4"/>
      <c r="E542" s="5"/>
      <c r="F542" s="4"/>
      <c r="G542" s="6">
        <f>IF(A542="","",SUBSTITUTE(SUBSTITUTE(SUBSTITUTE(SUBSTITUTE(SUBSTITUTE(SUBSTITUTE(SUBSTITUTE(TRIM(A542),".",""),"/",""),"-","")," ",""),"(",""),")",""),"+",""))</f>
      </c>
      <c r="H542" s="6">
        <f>IF(G542="","",IF(LEN(G542)&lt;&gt;14,"ERRO: "&amp;LEN(G542)&amp;" dígitos",IF(NOT(ISNUMBER(VALUE(G542))),"ERRO: não numérico",IF(AND(VALUE(MID(G542,13,1))=IF(MOD(SUMPRODUCT(--MID(G542,{1,2,3,4,5,6,7,8,9,10,11,12},1),{5,4,3,2,9,8,7,6,5,4,3,2}),11)&lt;2,0,11-MOD(SUMPRODUCT(--MID(G542,{1,2,3,4,5,6,7,8,9,10,11,12},1),{5,4,3,2,9,8,7,6,5,4,3,2}),11)),VALUE(MID(G542,14,1))=IF(MOD(SUMPRODUCT(--MID(G542,{1,2,3,4,5,6,7,8,9,10,11,12,13},1),{6,5,4,3,2,9,8,7,6,5,4,3,2}),11)&lt;2,0,11-MOD(SUMPRODUCT(--MID(G542,{1,2,3,4,5,6,7,8,9,10,11,12,13},1),{6,5,4,3,2,9,8,7,6,5,4,3,2}),11))),"OK","AVISO: dígito verificador (conferir na org)"))))</f>
      </c>
      <c r="I542" s="6">
        <f>IF(G542="","",IF(COUNTIF($G$2:$G$2001,G542)&gt;1,"DUPLICADO","OK"))</f>
      </c>
      <c r="J542" s="6">
        <f>IF(COUNTA(A542:F542)=0,"",IF(AND(A542&lt;&gt;"",E542&lt;&gt;""),"OK","ERRO: faltam "&amp;IF(A542="","CNPJ; ","")&amp;IF(E542="","Novo gerente; ","")))</f>
      </c>
      <c r="K542" s="6">
        <f>IF(COUNTA(A542:F542)=0,"",IF(AND(LEFT(H542,4)&lt;&gt;"ERRO",I542="OK",J542="OK"),"OK","REVISAR"))</f>
      </c>
    </row>
    <row r="543">
      <c r="A543" s="5"/>
      <c r="B543" s="4"/>
      <c r="C543" s="4"/>
      <c r="D543" s="4"/>
      <c r="E543" s="5"/>
      <c r="F543" s="4"/>
      <c r="G543" s="6">
        <f>IF(A543="","",SUBSTITUTE(SUBSTITUTE(SUBSTITUTE(SUBSTITUTE(SUBSTITUTE(SUBSTITUTE(SUBSTITUTE(TRIM(A543),".",""),"/",""),"-","")," ",""),"(",""),")",""),"+",""))</f>
      </c>
      <c r="H543" s="6">
        <f>IF(G543="","",IF(LEN(G543)&lt;&gt;14,"ERRO: "&amp;LEN(G543)&amp;" dígitos",IF(NOT(ISNUMBER(VALUE(G543))),"ERRO: não numérico",IF(AND(VALUE(MID(G543,13,1))=IF(MOD(SUMPRODUCT(--MID(G543,{1,2,3,4,5,6,7,8,9,10,11,12},1),{5,4,3,2,9,8,7,6,5,4,3,2}),11)&lt;2,0,11-MOD(SUMPRODUCT(--MID(G543,{1,2,3,4,5,6,7,8,9,10,11,12},1),{5,4,3,2,9,8,7,6,5,4,3,2}),11)),VALUE(MID(G543,14,1))=IF(MOD(SUMPRODUCT(--MID(G543,{1,2,3,4,5,6,7,8,9,10,11,12,13},1),{6,5,4,3,2,9,8,7,6,5,4,3,2}),11)&lt;2,0,11-MOD(SUMPRODUCT(--MID(G543,{1,2,3,4,5,6,7,8,9,10,11,12,13},1),{6,5,4,3,2,9,8,7,6,5,4,3,2}),11))),"OK","AVISO: dígito verificador (conferir na org)"))))</f>
      </c>
      <c r="I543" s="6">
        <f>IF(G543="","",IF(COUNTIF($G$2:$G$2001,G543)&gt;1,"DUPLICADO","OK"))</f>
      </c>
      <c r="J543" s="6">
        <f>IF(COUNTA(A543:F543)=0,"",IF(AND(A543&lt;&gt;"",E543&lt;&gt;""),"OK","ERRO: faltam "&amp;IF(A543="","CNPJ; ","")&amp;IF(E543="","Novo gerente; ","")))</f>
      </c>
      <c r="K543" s="6">
        <f>IF(COUNTA(A543:F543)=0,"",IF(AND(LEFT(H543,4)&lt;&gt;"ERRO",I543="OK",J543="OK"),"OK","REVISAR"))</f>
      </c>
    </row>
    <row r="544">
      <c r="A544" s="5"/>
      <c r="B544" s="4"/>
      <c r="C544" s="4"/>
      <c r="D544" s="4"/>
      <c r="E544" s="5"/>
      <c r="F544" s="4"/>
      <c r="G544" s="6">
        <f>IF(A544="","",SUBSTITUTE(SUBSTITUTE(SUBSTITUTE(SUBSTITUTE(SUBSTITUTE(SUBSTITUTE(SUBSTITUTE(TRIM(A544),".",""),"/",""),"-","")," ",""),"(",""),")",""),"+",""))</f>
      </c>
      <c r="H544" s="6">
        <f>IF(G544="","",IF(LEN(G544)&lt;&gt;14,"ERRO: "&amp;LEN(G544)&amp;" dígitos",IF(NOT(ISNUMBER(VALUE(G544))),"ERRO: não numérico",IF(AND(VALUE(MID(G544,13,1))=IF(MOD(SUMPRODUCT(--MID(G544,{1,2,3,4,5,6,7,8,9,10,11,12},1),{5,4,3,2,9,8,7,6,5,4,3,2}),11)&lt;2,0,11-MOD(SUMPRODUCT(--MID(G544,{1,2,3,4,5,6,7,8,9,10,11,12},1),{5,4,3,2,9,8,7,6,5,4,3,2}),11)),VALUE(MID(G544,14,1))=IF(MOD(SUMPRODUCT(--MID(G544,{1,2,3,4,5,6,7,8,9,10,11,12,13},1),{6,5,4,3,2,9,8,7,6,5,4,3,2}),11)&lt;2,0,11-MOD(SUMPRODUCT(--MID(G544,{1,2,3,4,5,6,7,8,9,10,11,12,13},1),{6,5,4,3,2,9,8,7,6,5,4,3,2}),11))),"OK","AVISO: dígito verificador (conferir na org)"))))</f>
      </c>
      <c r="I544" s="6">
        <f>IF(G544="","",IF(COUNTIF($G$2:$G$2001,G544)&gt;1,"DUPLICADO","OK"))</f>
      </c>
      <c r="J544" s="6">
        <f>IF(COUNTA(A544:F544)=0,"",IF(AND(A544&lt;&gt;"",E544&lt;&gt;""),"OK","ERRO: faltam "&amp;IF(A544="","CNPJ; ","")&amp;IF(E544="","Novo gerente; ","")))</f>
      </c>
      <c r="K544" s="6">
        <f>IF(COUNTA(A544:F544)=0,"",IF(AND(LEFT(H544,4)&lt;&gt;"ERRO",I544="OK",J544="OK"),"OK","REVISAR"))</f>
      </c>
    </row>
    <row r="545">
      <c r="A545" s="5"/>
      <c r="B545" s="4"/>
      <c r="C545" s="4"/>
      <c r="D545" s="4"/>
      <c r="E545" s="5"/>
      <c r="F545" s="4"/>
      <c r="G545" s="6">
        <f>IF(A545="","",SUBSTITUTE(SUBSTITUTE(SUBSTITUTE(SUBSTITUTE(SUBSTITUTE(SUBSTITUTE(SUBSTITUTE(TRIM(A545),".",""),"/",""),"-","")," ",""),"(",""),")",""),"+",""))</f>
      </c>
      <c r="H545" s="6">
        <f>IF(G545="","",IF(LEN(G545)&lt;&gt;14,"ERRO: "&amp;LEN(G545)&amp;" dígitos",IF(NOT(ISNUMBER(VALUE(G545))),"ERRO: não numérico",IF(AND(VALUE(MID(G545,13,1))=IF(MOD(SUMPRODUCT(--MID(G545,{1,2,3,4,5,6,7,8,9,10,11,12},1),{5,4,3,2,9,8,7,6,5,4,3,2}),11)&lt;2,0,11-MOD(SUMPRODUCT(--MID(G545,{1,2,3,4,5,6,7,8,9,10,11,12},1),{5,4,3,2,9,8,7,6,5,4,3,2}),11)),VALUE(MID(G545,14,1))=IF(MOD(SUMPRODUCT(--MID(G545,{1,2,3,4,5,6,7,8,9,10,11,12,13},1),{6,5,4,3,2,9,8,7,6,5,4,3,2}),11)&lt;2,0,11-MOD(SUMPRODUCT(--MID(G545,{1,2,3,4,5,6,7,8,9,10,11,12,13},1),{6,5,4,3,2,9,8,7,6,5,4,3,2}),11))),"OK","AVISO: dígito verificador (conferir na org)"))))</f>
      </c>
      <c r="I545" s="6">
        <f>IF(G545="","",IF(COUNTIF($G$2:$G$2001,G545)&gt;1,"DUPLICADO","OK"))</f>
      </c>
      <c r="J545" s="6">
        <f>IF(COUNTA(A545:F545)=0,"",IF(AND(A545&lt;&gt;"",E545&lt;&gt;""),"OK","ERRO: faltam "&amp;IF(A545="","CNPJ; ","")&amp;IF(E545="","Novo gerente; ","")))</f>
      </c>
      <c r="K545" s="6">
        <f>IF(COUNTA(A545:F545)=0,"",IF(AND(LEFT(H545,4)&lt;&gt;"ERRO",I545="OK",J545="OK"),"OK","REVISAR"))</f>
      </c>
    </row>
    <row r="546">
      <c r="A546" s="5"/>
      <c r="B546" s="4"/>
      <c r="C546" s="4"/>
      <c r="D546" s="4"/>
      <c r="E546" s="5"/>
      <c r="F546" s="4"/>
      <c r="G546" s="6">
        <f>IF(A546="","",SUBSTITUTE(SUBSTITUTE(SUBSTITUTE(SUBSTITUTE(SUBSTITUTE(SUBSTITUTE(SUBSTITUTE(TRIM(A546),".",""),"/",""),"-","")," ",""),"(",""),")",""),"+",""))</f>
      </c>
      <c r="H546" s="6">
        <f>IF(G546="","",IF(LEN(G546)&lt;&gt;14,"ERRO: "&amp;LEN(G546)&amp;" dígitos",IF(NOT(ISNUMBER(VALUE(G546))),"ERRO: não numérico",IF(AND(VALUE(MID(G546,13,1))=IF(MOD(SUMPRODUCT(--MID(G546,{1,2,3,4,5,6,7,8,9,10,11,12},1),{5,4,3,2,9,8,7,6,5,4,3,2}),11)&lt;2,0,11-MOD(SUMPRODUCT(--MID(G546,{1,2,3,4,5,6,7,8,9,10,11,12},1),{5,4,3,2,9,8,7,6,5,4,3,2}),11)),VALUE(MID(G546,14,1))=IF(MOD(SUMPRODUCT(--MID(G546,{1,2,3,4,5,6,7,8,9,10,11,12,13},1),{6,5,4,3,2,9,8,7,6,5,4,3,2}),11)&lt;2,0,11-MOD(SUMPRODUCT(--MID(G546,{1,2,3,4,5,6,7,8,9,10,11,12,13},1),{6,5,4,3,2,9,8,7,6,5,4,3,2}),11))),"OK","AVISO: dígito verificador (conferir na org)"))))</f>
      </c>
      <c r="I546" s="6">
        <f>IF(G546="","",IF(COUNTIF($G$2:$G$2001,G546)&gt;1,"DUPLICADO","OK"))</f>
      </c>
      <c r="J546" s="6">
        <f>IF(COUNTA(A546:F546)=0,"",IF(AND(A546&lt;&gt;"",E546&lt;&gt;""),"OK","ERRO: faltam "&amp;IF(A546="","CNPJ; ","")&amp;IF(E546="","Novo gerente; ","")))</f>
      </c>
      <c r="K546" s="6">
        <f>IF(COUNTA(A546:F546)=0,"",IF(AND(LEFT(H546,4)&lt;&gt;"ERRO",I546="OK",J546="OK"),"OK","REVISAR"))</f>
      </c>
    </row>
    <row r="547">
      <c r="A547" s="5"/>
      <c r="B547" s="4"/>
      <c r="C547" s="4"/>
      <c r="D547" s="4"/>
      <c r="E547" s="5"/>
      <c r="F547" s="4"/>
      <c r="G547" s="6">
        <f>IF(A547="","",SUBSTITUTE(SUBSTITUTE(SUBSTITUTE(SUBSTITUTE(SUBSTITUTE(SUBSTITUTE(SUBSTITUTE(TRIM(A547),".",""),"/",""),"-","")," ",""),"(",""),")",""),"+",""))</f>
      </c>
      <c r="H547" s="6">
        <f>IF(G547="","",IF(LEN(G547)&lt;&gt;14,"ERRO: "&amp;LEN(G547)&amp;" dígitos",IF(NOT(ISNUMBER(VALUE(G547))),"ERRO: não numérico",IF(AND(VALUE(MID(G547,13,1))=IF(MOD(SUMPRODUCT(--MID(G547,{1,2,3,4,5,6,7,8,9,10,11,12},1),{5,4,3,2,9,8,7,6,5,4,3,2}),11)&lt;2,0,11-MOD(SUMPRODUCT(--MID(G547,{1,2,3,4,5,6,7,8,9,10,11,12},1),{5,4,3,2,9,8,7,6,5,4,3,2}),11)),VALUE(MID(G547,14,1))=IF(MOD(SUMPRODUCT(--MID(G547,{1,2,3,4,5,6,7,8,9,10,11,12,13},1),{6,5,4,3,2,9,8,7,6,5,4,3,2}),11)&lt;2,0,11-MOD(SUMPRODUCT(--MID(G547,{1,2,3,4,5,6,7,8,9,10,11,12,13},1),{6,5,4,3,2,9,8,7,6,5,4,3,2}),11))),"OK","AVISO: dígito verificador (conferir na org)"))))</f>
      </c>
      <c r="I547" s="6">
        <f>IF(G547="","",IF(COUNTIF($G$2:$G$2001,G547)&gt;1,"DUPLICADO","OK"))</f>
      </c>
      <c r="J547" s="6">
        <f>IF(COUNTA(A547:F547)=0,"",IF(AND(A547&lt;&gt;"",E547&lt;&gt;""),"OK","ERRO: faltam "&amp;IF(A547="","CNPJ; ","")&amp;IF(E547="","Novo gerente; ","")))</f>
      </c>
      <c r="K547" s="6">
        <f>IF(COUNTA(A547:F547)=0,"",IF(AND(LEFT(H547,4)&lt;&gt;"ERRO",I547="OK",J547="OK"),"OK","REVISAR"))</f>
      </c>
    </row>
    <row r="548">
      <c r="A548" s="5"/>
      <c r="B548" s="4"/>
      <c r="C548" s="4"/>
      <c r="D548" s="4"/>
      <c r="E548" s="5"/>
      <c r="F548" s="4"/>
      <c r="G548" s="6">
        <f>IF(A548="","",SUBSTITUTE(SUBSTITUTE(SUBSTITUTE(SUBSTITUTE(SUBSTITUTE(SUBSTITUTE(SUBSTITUTE(TRIM(A548),".",""),"/",""),"-","")," ",""),"(",""),")",""),"+",""))</f>
      </c>
      <c r="H548" s="6">
        <f>IF(G548="","",IF(LEN(G548)&lt;&gt;14,"ERRO: "&amp;LEN(G548)&amp;" dígitos",IF(NOT(ISNUMBER(VALUE(G548))),"ERRO: não numérico",IF(AND(VALUE(MID(G548,13,1))=IF(MOD(SUMPRODUCT(--MID(G548,{1,2,3,4,5,6,7,8,9,10,11,12},1),{5,4,3,2,9,8,7,6,5,4,3,2}),11)&lt;2,0,11-MOD(SUMPRODUCT(--MID(G548,{1,2,3,4,5,6,7,8,9,10,11,12},1),{5,4,3,2,9,8,7,6,5,4,3,2}),11)),VALUE(MID(G548,14,1))=IF(MOD(SUMPRODUCT(--MID(G548,{1,2,3,4,5,6,7,8,9,10,11,12,13},1),{6,5,4,3,2,9,8,7,6,5,4,3,2}),11)&lt;2,0,11-MOD(SUMPRODUCT(--MID(G548,{1,2,3,4,5,6,7,8,9,10,11,12,13},1),{6,5,4,3,2,9,8,7,6,5,4,3,2}),11))),"OK","AVISO: dígito verificador (conferir na org)"))))</f>
      </c>
      <c r="I548" s="6">
        <f>IF(G548="","",IF(COUNTIF($G$2:$G$2001,G548)&gt;1,"DUPLICADO","OK"))</f>
      </c>
      <c r="J548" s="6">
        <f>IF(COUNTA(A548:F548)=0,"",IF(AND(A548&lt;&gt;"",E548&lt;&gt;""),"OK","ERRO: faltam "&amp;IF(A548="","CNPJ; ","")&amp;IF(E548="","Novo gerente; ","")))</f>
      </c>
      <c r="K548" s="6">
        <f>IF(COUNTA(A548:F548)=0,"",IF(AND(LEFT(H548,4)&lt;&gt;"ERRO",I548="OK",J548="OK"),"OK","REVISAR"))</f>
      </c>
    </row>
    <row r="549">
      <c r="A549" s="5"/>
      <c r="B549" s="4"/>
      <c r="C549" s="4"/>
      <c r="D549" s="4"/>
      <c r="E549" s="5"/>
      <c r="F549" s="4"/>
      <c r="G549" s="6">
        <f>IF(A549="","",SUBSTITUTE(SUBSTITUTE(SUBSTITUTE(SUBSTITUTE(SUBSTITUTE(SUBSTITUTE(SUBSTITUTE(TRIM(A549),".",""),"/",""),"-","")," ",""),"(",""),")",""),"+",""))</f>
      </c>
      <c r="H549" s="6">
        <f>IF(G549="","",IF(LEN(G549)&lt;&gt;14,"ERRO: "&amp;LEN(G549)&amp;" dígitos",IF(NOT(ISNUMBER(VALUE(G549))),"ERRO: não numérico",IF(AND(VALUE(MID(G549,13,1))=IF(MOD(SUMPRODUCT(--MID(G549,{1,2,3,4,5,6,7,8,9,10,11,12},1),{5,4,3,2,9,8,7,6,5,4,3,2}),11)&lt;2,0,11-MOD(SUMPRODUCT(--MID(G549,{1,2,3,4,5,6,7,8,9,10,11,12},1),{5,4,3,2,9,8,7,6,5,4,3,2}),11)),VALUE(MID(G549,14,1))=IF(MOD(SUMPRODUCT(--MID(G549,{1,2,3,4,5,6,7,8,9,10,11,12,13},1),{6,5,4,3,2,9,8,7,6,5,4,3,2}),11)&lt;2,0,11-MOD(SUMPRODUCT(--MID(G549,{1,2,3,4,5,6,7,8,9,10,11,12,13},1),{6,5,4,3,2,9,8,7,6,5,4,3,2}),11))),"OK","AVISO: dígito verificador (conferir na org)"))))</f>
      </c>
      <c r="I549" s="6">
        <f>IF(G549="","",IF(COUNTIF($G$2:$G$2001,G549)&gt;1,"DUPLICADO","OK"))</f>
      </c>
      <c r="J549" s="6">
        <f>IF(COUNTA(A549:F549)=0,"",IF(AND(A549&lt;&gt;"",E549&lt;&gt;""),"OK","ERRO: faltam "&amp;IF(A549="","CNPJ; ","")&amp;IF(E549="","Novo gerente; ","")))</f>
      </c>
      <c r="K549" s="6">
        <f>IF(COUNTA(A549:F549)=0,"",IF(AND(LEFT(H549,4)&lt;&gt;"ERRO",I549="OK",J549="OK"),"OK","REVISAR"))</f>
      </c>
    </row>
    <row r="550">
      <c r="A550" s="5"/>
      <c r="B550" s="4"/>
      <c r="C550" s="4"/>
      <c r="D550" s="4"/>
      <c r="E550" s="5"/>
      <c r="F550" s="4"/>
      <c r="G550" s="6">
        <f>IF(A550="","",SUBSTITUTE(SUBSTITUTE(SUBSTITUTE(SUBSTITUTE(SUBSTITUTE(SUBSTITUTE(SUBSTITUTE(TRIM(A550),".",""),"/",""),"-","")," ",""),"(",""),")",""),"+",""))</f>
      </c>
      <c r="H550" s="6">
        <f>IF(G550="","",IF(LEN(G550)&lt;&gt;14,"ERRO: "&amp;LEN(G550)&amp;" dígitos",IF(NOT(ISNUMBER(VALUE(G550))),"ERRO: não numérico",IF(AND(VALUE(MID(G550,13,1))=IF(MOD(SUMPRODUCT(--MID(G550,{1,2,3,4,5,6,7,8,9,10,11,12},1),{5,4,3,2,9,8,7,6,5,4,3,2}),11)&lt;2,0,11-MOD(SUMPRODUCT(--MID(G550,{1,2,3,4,5,6,7,8,9,10,11,12},1),{5,4,3,2,9,8,7,6,5,4,3,2}),11)),VALUE(MID(G550,14,1))=IF(MOD(SUMPRODUCT(--MID(G550,{1,2,3,4,5,6,7,8,9,10,11,12,13},1),{6,5,4,3,2,9,8,7,6,5,4,3,2}),11)&lt;2,0,11-MOD(SUMPRODUCT(--MID(G550,{1,2,3,4,5,6,7,8,9,10,11,12,13},1),{6,5,4,3,2,9,8,7,6,5,4,3,2}),11))),"OK","AVISO: dígito verificador (conferir na org)"))))</f>
      </c>
      <c r="I550" s="6">
        <f>IF(G550="","",IF(COUNTIF($G$2:$G$2001,G550)&gt;1,"DUPLICADO","OK"))</f>
      </c>
      <c r="J550" s="6">
        <f>IF(COUNTA(A550:F550)=0,"",IF(AND(A550&lt;&gt;"",E550&lt;&gt;""),"OK","ERRO: faltam "&amp;IF(A550="","CNPJ; ","")&amp;IF(E550="","Novo gerente; ","")))</f>
      </c>
      <c r="K550" s="6">
        <f>IF(COUNTA(A550:F550)=0,"",IF(AND(LEFT(H550,4)&lt;&gt;"ERRO",I550="OK",J550="OK"),"OK","REVISAR"))</f>
      </c>
    </row>
    <row r="551">
      <c r="A551" s="5"/>
      <c r="B551" s="4"/>
      <c r="C551" s="4"/>
      <c r="D551" s="4"/>
      <c r="E551" s="5"/>
      <c r="F551" s="4"/>
      <c r="G551" s="6">
        <f>IF(A551="","",SUBSTITUTE(SUBSTITUTE(SUBSTITUTE(SUBSTITUTE(SUBSTITUTE(SUBSTITUTE(SUBSTITUTE(TRIM(A551),".",""),"/",""),"-","")," ",""),"(",""),")",""),"+",""))</f>
      </c>
      <c r="H551" s="6">
        <f>IF(G551="","",IF(LEN(G551)&lt;&gt;14,"ERRO: "&amp;LEN(G551)&amp;" dígitos",IF(NOT(ISNUMBER(VALUE(G551))),"ERRO: não numérico",IF(AND(VALUE(MID(G551,13,1))=IF(MOD(SUMPRODUCT(--MID(G551,{1,2,3,4,5,6,7,8,9,10,11,12},1),{5,4,3,2,9,8,7,6,5,4,3,2}),11)&lt;2,0,11-MOD(SUMPRODUCT(--MID(G551,{1,2,3,4,5,6,7,8,9,10,11,12},1),{5,4,3,2,9,8,7,6,5,4,3,2}),11)),VALUE(MID(G551,14,1))=IF(MOD(SUMPRODUCT(--MID(G551,{1,2,3,4,5,6,7,8,9,10,11,12,13},1),{6,5,4,3,2,9,8,7,6,5,4,3,2}),11)&lt;2,0,11-MOD(SUMPRODUCT(--MID(G551,{1,2,3,4,5,6,7,8,9,10,11,12,13},1),{6,5,4,3,2,9,8,7,6,5,4,3,2}),11))),"OK","AVISO: dígito verificador (conferir na org)"))))</f>
      </c>
      <c r="I551" s="6">
        <f>IF(G551="","",IF(COUNTIF($G$2:$G$2001,G551)&gt;1,"DUPLICADO","OK"))</f>
      </c>
      <c r="J551" s="6">
        <f>IF(COUNTA(A551:F551)=0,"",IF(AND(A551&lt;&gt;"",E551&lt;&gt;""),"OK","ERRO: faltam "&amp;IF(A551="","CNPJ; ","")&amp;IF(E551="","Novo gerente; ","")))</f>
      </c>
      <c r="K551" s="6">
        <f>IF(COUNTA(A551:F551)=0,"",IF(AND(LEFT(H551,4)&lt;&gt;"ERRO",I551="OK",J551="OK"),"OK","REVISAR"))</f>
      </c>
    </row>
    <row r="552">
      <c r="A552" s="5"/>
      <c r="B552" s="4"/>
      <c r="C552" s="4"/>
      <c r="D552" s="4"/>
      <c r="E552" s="5"/>
      <c r="F552" s="4"/>
      <c r="G552" s="6">
        <f>IF(A552="","",SUBSTITUTE(SUBSTITUTE(SUBSTITUTE(SUBSTITUTE(SUBSTITUTE(SUBSTITUTE(SUBSTITUTE(TRIM(A552),".",""),"/",""),"-","")," ",""),"(",""),")",""),"+",""))</f>
      </c>
      <c r="H552" s="6">
        <f>IF(G552="","",IF(LEN(G552)&lt;&gt;14,"ERRO: "&amp;LEN(G552)&amp;" dígitos",IF(NOT(ISNUMBER(VALUE(G552))),"ERRO: não numérico",IF(AND(VALUE(MID(G552,13,1))=IF(MOD(SUMPRODUCT(--MID(G552,{1,2,3,4,5,6,7,8,9,10,11,12},1),{5,4,3,2,9,8,7,6,5,4,3,2}),11)&lt;2,0,11-MOD(SUMPRODUCT(--MID(G552,{1,2,3,4,5,6,7,8,9,10,11,12},1),{5,4,3,2,9,8,7,6,5,4,3,2}),11)),VALUE(MID(G552,14,1))=IF(MOD(SUMPRODUCT(--MID(G552,{1,2,3,4,5,6,7,8,9,10,11,12,13},1),{6,5,4,3,2,9,8,7,6,5,4,3,2}),11)&lt;2,0,11-MOD(SUMPRODUCT(--MID(G552,{1,2,3,4,5,6,7,8,9,10,11,12,13},1),{6,5,4,3,2,9,8,7,6,5,4,3,2}),11))),"OK","AVISO: dígito verificador (conferir na org)"))))</f>
      </c>
      <c r="I552" s="6">
        <f>IF(G552="","",IF(COUNTIF($G$2:$G$2001,G552)&gt;1,"DUPLICADO","OK"))</f>
      </c>
      <c r="J552" s="6">
        <f>IF(COUNTA(A552:F552)=0,"",IF(AND(A552&lt;&gt;"",E552&lt;&gt;""),"OK","ERRO: faltam "&amp;IF(A552="","CNPJ; ","")&amp;IF(E552="","Novo gerente; ","")))</f>
      </c>
      <c r="K552" s="6">
        <f>IF(COUNTA(A552:F552)=0,"",IF(AND(LEFT(H552,4)&lt;&gt;"ERRO",I552="OK",J552="OK"),"OK","REVISAR"))</f>
      </c>
    </row>
    <row r="553">
      <c r="A553" s="5"/>
      <c r="B553" s="4"/>
      <c r="C553" s="4"/>
      <c r="D553" s="4"/>
      <c r="E553" s="5"/>
      <c r="F553" s="4"/>
      <c r="G553" s="6">
        <f>IF(A553="","",SUBSTITUTE(SUBSTITUTE(SUBSTITUTE(SUBSTITUTE(SUBSTITUTE(SUBSTITUTE(SUBSTITUTE(TRIM(A553),".",""),"/",""),"-","")," ",""),"(",""),")",""),"+",""))</f>
      </c>
      <c r="H553" s="6">
        <f>IF(G553="","",IF(LEN(G553)&lt;&gt;14,"ERRO: "&amp;LEN(G553)&amp;" dígitos",IF(NOT(ISNUMBER(VALUE(G553))),"ERRO: não numérico",IF(AND(VALUE(MID(G553,13,1))=IF(MOD(SUMPRODUCT(--MID(G553,{1,2,3,4,5,6,7,8,9,10,11,12},1),{5,4,3,2,9,8,7,6,5,4,3,2}),11)&lt;2,0,11-MOD(SUMPRODUCT(--MID(G553,{1,2,3,4,5,6,7,8,9,10,11,12},1),{5,4,3,2,9,8,7,6,5,4,3,2}),11)),VALUE(MID(G553,14,1))=IF(MOD(SUMPRODUCT(--MID(G553,{1,2,3,4,5,6,7,8,9,10,11,12,13},1),{6,5,4,3,2,9,8,7,6,5,4,3,2}),11)&lt;2,0,11-MOD(SUMPRODUCT(--MID(G553,{1,2,3,4,5,6,7,8,9,10,11,12,13},1),{6,5,4,3,2,9,8,7,6,5,4,3,2}),11))),"OK","AVISO: dígito verificador (conferir na org)"))))</f>
      </c>
      <c r="I553" s="6">
        <f>IF(G553="","",IF(COUNTIF($G$2:$G$2001,G553)&gt;1,"DUPLICADO","OK"))</f>
      </c>
      <c r="J553" s="6">
        <f>IF(COUNTA(A553:F553)=0,"",IF(AND(A553&lt;&gt;"",E553&lt;&gt;""),"OK","ERRO: faltam "&amp;IF(A553="","CNPJ; ","")&amp;IF(E553="","Novo gerente; ","")))</f>
      </c>
      <c r="K553" s="6">
        <f>IF(COUNTA(A553:F553)=0,"",IF(AND(LEFT(H553,4)&lt;&gt;"ERRO",I553="OK",J553="OK"),"OK","REVISAR"))</f>
      </c>
    </row>
    <row r="554">
      <c r="A554" s="5"/>
      <c r="B554" s="4"/>
      <c r="C554" s="4"/>
      <c r="D554" s="4"/>
      <c r="E554" s="5"/>
      <c r="F554" s="4"/>
      <c r="G554" s="6">
        <f>IF(A554="","",SUBSTITUTE(SUBSTITUTE(SUBSTITUTE(SUBSTITUTE(SUBSTITUTE(SUBSTITUTE(SUBSTITUTE(TRIM(A554),".",""),"/",""),"-","")," ",""),"(",""),")",""),"+",""))</f>
      </c>
      <c r="H554" s="6">
        <f>IF(G554="","",IF(LEN(G554)&lt;&gt;14,"ERRO: "&amp;LEN(G554)&amp;" dígitos",IF(NOT(ISNUMBER(VALUE(G554))),"ERRO: não numérico",IF(AND(VALUE(MID(G554,13,1))=IF(MOD(SUMPRODUCT(--MID(G554,{1,2,3,4,5,6,7,8,9,10,11,12},1),{5,4,3,2,9,8,7,6,5,4,3,2}),11)&lt;2,0,11-MOD(SUMPRODUCT(--MID(G554,{1,2,3,4,5,6,7,8,9,10,11,12},1),{5,4,3,2,9,8,7,6,5,4,3,2}),11)),VALUE(MID(G554,14,1))=IF(MOD(SUMPRODUCT(--MID(G554,{1,2,3,4,5,6,7,8,9,10,11,12,13},1),{6,5,4,3,2,9,8,7,6,5,4,3,2}),11)&lt;2,0,11-MOD(SUMPRODUCT(--MID(G554,{1,2,3,4,5,6,7,8,9,10,11,12,13},1),{6,5,4,3,2,9,8,7,6,5,4,3,2}),11))),"OK","AVISO: dígito verificador (conferir na org)"))))</f>
      </c>
      <c r="I554" s="6">
        <f>IF(G554="","",IF(COUNTIF($G$2:$G$2001,G554)&gt;1,"DUPLICADO","OK"))</f>
      </c>
      <c r="J554" s="6">
        <f>IF(COUNTA(A554:F554)=0,"",IF(AND(A554&lt;&gt;"",E554&lt;&gt;""),"OK","ERRO: faltam "&amp;IF(A554="","CNPJ; ","")&amp;IF(E554="","Novo gerente; ","")))</f>
      </c>
      <c r="K554" s="6">
        <f>IF(COUNTA(A554:F554)=0,"",IF(AND(LEFT(H554,4)&lt;&gt;"ERRO",I554="OK",J554="OK"),"OK","REVISAR"))</f>
      </c>
    </row>
    <row r="555">
      <c r="A555" s="5"/>
      <c r="B555" s="4"/>
      <c r="C555" s="4"/>
      <c r="D555" s="4"/>
      <c r="E555" s="5"/>
      <c r="F555" s="4"/>
      <c r="G555" s="6">
        <f>IF(A555="","",SUBSTITUTE(SUBSTITUTE(SUBSTITUTE(SUBSTITUTE(SUBSTITUTE(SUBSTITUTE(SUBSTITUTE(TRIM(A555),".",""),"/",""),"-","")," ",""),"(",""),")",""),"+",""))</f>
      </c>
      <c r="H555" s="6">
        <f>IF(G555="","",IF(LEN(G555)&lt;&gt;14,"ERRO: "&amp;LEN(G555)&amp;" dígitos",IF(NOT(ISNUMBER(VALUE(G555))),"ERRO: não numérico",IF(AND(VALUE(MID(G555,13,1))=IF(MOD(SUMPRODUCT(--MID(G555,{1,2,3,4,5,6,7,8,9,10,11,12},1),{5,4,3,2,9,8,7,6,5,4,3,2}),11)&lt;2,0,11-MOD(SUMPRODUCT(--MID(G555,{1,2,3,4,5,6,7,8,9,10,11,12},1),{5,4,3,2,9,8,7,6,5,4,3,2}),11)),VALUE(MID(G555,14,1))=IF(MOD(SUMPRODUCT(--MID(G555,{1,2,3,4,5,6,7,8,9,10,11,12,13},1),{6,5,4,3,2,9,8,7,6,5,4,3,2}),11)&lt;2,0,11-MOD(SUMPRODUCT(--MID(G555,{1,2,3,4,5,6,7,8,9,10,11,12,13},1),{6,5,4,3,2,9,8,7,6,5,4,3,2}),11))),"OK","AVISO: dígito verificador (conferir na org)"))))</f>
      </c>
      <c r="I555" s="6">
        <f>IF(G555="","",IF(COUNTIF($G$2:$G$2001,G555)&gt;1,"DUPLICADO","OK"))</f>
      </c>
      <c r="J555" s="6">
        <f>IF(COUNTA(A555:F555)=0,"",IF(AND(A555&lt;&gt;"",E555&lt;&gt;""),"OK","ERRO: faltam "&amp;IF(A555="","CNPJ; ","")&amp;IF(E555="","Novo gerente; ","")))</f>
      </c>
      <c r="K555" s="6">
        <f>IF(COUNTA(A555:F555)=0,"",IF(AND(LEFT(H555,4)&lt;&gt;"ERRO",I555="OK",J555="OK"),"OK","REVISAR"))</f>
      </c>
    </row>
    <row r="556">
      <c r="A556" s="5"/>
      <c r="B556" s="4"/>
      <c r="C556" s="4"/>
      <c r="D556" s="4"/>
      <c r="E556" s="5"/>
      <c r="F556" s="4"/>
      <c r="G556" s="6">
        <f>IF(A556="","",SUBSTITUTE(SUBSTITUTE(SUBSTITUTE(SUBSTITUTE(SUBSTITUTE(SUBSTITUTE(SUBSTITUTE(TRIM(A556),".",""),"/",""),"-","")," ",""),"(",""),")",""),"+",""))</f>
      </c>
      <c r="H556" s="6">
        <f>IF(G556="","",IF(LEN(G556)&lt;&gt;14,"ERRO: "&amp;LEN(G556)&amp;" dígitos",IF(NOT(ISNUMBER(VALUE(G556))),"ERRO: não numérico",IF(AND(VALUE(MID(G556,13,1))=IF(MOD(SUMPRODUCT(--MID(G556,{1,2,3,4,5,6,7,8,9,10,11,12},1),{5,4,3,2,9,8,7,6,5,4,3,2}),11)&lt;2,0,11-MOD(SUMPRODUCT(--MID(G556,{1,2,3,4,5,6,7,8,9,10,11,12},1),{5,4,3,2,9,8,7,6,5,4,3,2}),11)),VALUE(MID(G556,14,1))=IF(MOD(SUMPRODUCT(--MID(G556,{1,2,3,4,5,6,7,8,9,10,11,12,13},1),{6,5,4,3,2,9,8,7,6,5,4,3,2}),11)&lt;2,0,11-MOD(SUMPRODUCT(--MID(G556,{1,2,3,4,5,6,7,8,9,10,11,12,13},1),{6,5,4,3,2,9,8,7,6,5,4,3,2}),11))),"OK","AVISO: dígito verificador (conferir na org)"))))</f>
      </c>
      <c r="I556" s="6">
        <f>IF(G556="","",IF(COUNTIF($G$2:$G$2001,G556)&gt;1,"DUPLICADO","OK"))</f>
      </c>
      <c r="J556" s="6">
        <f>IF(COUNTA(A556:F556)=0,"",IF(AND(A556&lt;&gt;"",E556&lt;&gt;""),"OK","ERRO: faltam "&amp;IF(A556="","CNPJ; ","")&amp;IF(E556="","Novo gerente; ","")))</f>
      </c>
      <c r="K556" s="6">
        <f>IF(COUNTA(A556:F556)=0,"",IF(AND(LEFT(H556,4)&lt;&gt;"ERRO",I556="OK",J556="OK"),"OK","REVISAR"))</f>
      </c>
    </row>
    <row r="557">
      <c r="A557" s="5"/>
      <c r="B557" s="4"/>
      <c r="C557" s="4"/>
      <c r="D557" s="4"/>
      <c r="E557" s="5"/>
      <c r="F557" s="4"/>
      <c r="G557" s="6">
        <f>IF(A557="","",SUBSTITUTE(SUBSTITUTE(SUBSTITUTE(SUBSTITUTE(SUBSTITUTE(SUBSTITUTE(SUBSTITUTE(TRIM(A557),".",""),"/",""),"-","")," ",""),"(",""),")",""),"+",""))</f>
      </c>
      <c r="H557" s="6">
        <f>IF(G557="","",IF(LEN(G557)&lt;&gt;14,"ERRO: "&amp;LEN(G557)&amp;" dígitos",IF(NOT(ISNUMBER(VALUE(G557))),"ERRO: não numérico",IF(AND(VALUE(MID(G557,13,1))=IF(MOD(SUMPRODUCT(--MID(G557,{1,2,3,4,5,6,7,8,9,10,11,12},1),{5,4,3,2,9,8,7,6,5,4,3,2}),11)&lt;2,0,11-MOD(SUMPRODUCT(--MID(G557,{1,2,3,4,5,6,7,8,9,10,11,12},1),{5,4,3,2,9,8,7,6,5,4,3,2}),11)),VALUE(MID(G557,14,1))=IF(MOD(SUMPRODUCT(--MID(G557,{1,2,3,4,5,6,7,8,9,10,11,12,13},1),{6,5,4,3,2,9,8,7,6,5,4,3,2}),11)&lt;2,0,11-MOD(SUMPRODUCT(--MID(G557,{1,2,3,4,5,6,7,8,9,10,11,12,13},1),{6,5,4,3,2,9,8,7,6,5,4,3,2}),11))),"OK","AVISO: dígito verificador (conferir na org)"))))</f>
      </c>
      <c r="I557" s="6">
        <f>IF(G557="","",IF(COUNTIF($G$2:$G$2001,G557)&gt;1,"DUPLICADO","OK"))</f>
      </c>
      <c r="J557" s="6">
        <f>IF(COUNTA(A557:F557)=0,"",IF(AND(A557&lt;&gt;"",E557&lt;&gt;""),"OK","ERRO: faltam "&amp;IF(A557="","CNPJ; ","")&amp;IF(E557="","Novo gerente; ","")))</f>
      </c>
      <c r="K557" s="6">
        <f>IF(COUNTA(A557:F557)=0,"",IF(AND(LEFT(H557,4)&lt;&gt;"ERRO",I557="OK",J557="OK"),"OK","REVISAR"))</f>
      </c>
    </row>
    <row r="558">
      <c r="A558" s="5"/>
      <c r="B558" s="4"/>
      <c r="C558" s="4"/>
      <c r="D558" s="4"/>
      <c r="E558" s="5"/>
      <c r="F558" s="4"/>
      <c r="G558" s="6">
        <f>IF(A558="","",SUBSTITUTE(SUBSTITUTE(SUBSTITUTE(SUBSTITUTE(SUBSTITUTE(SUBSTITUTE(SUBSTITUTE(TRIM(A558),".",""),"/",""),"-","")," ",""),"(",""),")",""),"+",""))</f>
      </c>
      <c r="H558" s="6">
        <f>IF(G558="","",IF(LEN(G558)&lt;&gt;14,"ERRO: "&amp;LEN(G558)&amp;" dígitos",IF(NOT(ISNUMBER(VALUE(G558))),"ERRO: não numérico",IF(AND(VALUE(MID(G558,13,1))=IF(MOD(SUMPRODUCT(--MID(G558,{1,2,3,4,5,6,7,8,9,10,11,12},1),{5,4,3,2,9,8,7,6,5,4,3,2}),11)&lt;2,0,11-MOD(SUMPRODUCT(--MID(G558,{1,2,3,4,5,6,7,8,9,10,11,12},1),{5,4,3,2,9,8,7,6,5,4,3,2}),11)),VALUE(MID(G558,14,1))=IF(MOD(SUMPRODUCT(--MID(G558,{1,2,3,4,5,6,7,8,9,10,11,12,13},1),{6,5,4,3,2,9,8,7,6,5,4,3,2}),11)&lt;2,0,11-MOD(SUMPRODUCT(--MID(G558,{1,2,3,4,5,6,7,8,9,10,11,12,13},1),{6,5,4,3,2,9,8,7,6,5,4,3,2}),11))),"OK","AVISO: dígito verificador (conferir na org)"))))</f>
      </c>
      <c r="I558" s="6">
        <f>IF(G558="","",IF(COUNTIF($G$2:$G$2001,G558)&gt;1,"DUPLICADO","OK"))</f>
      </c>
      <c r="J558" s="6">
        <f>IF(COUNTA(A558:F558)=0,"",IF(AND(A558&lt;&gt;"",E558&lt;&gt;""),"OK","ERRO: faltam "&amp;IF(A558="","CNPJ; ","")&amp;IF(E558="","Novo gerente; ","")))</f>
      </c>
      <c r="K558" s="6">
        <f>IF(COUNTA(A558:F558)=0,"",IF(AND(LEFT(H558,4)&lt;&gt;"ERRO",I558="OK",J558="OK"),"OK","REVISAR"))</f>
      </c>
    </row>
    <row r="559">
      <c r="A559" s="5"/>
      <c r="B559" s="4"/>
      <c r="C559" s="4"/>
      <c r="D559" s="4"/>
      <c r="E559" s="5"/>
      <c r="F559" s="4"/>
      <c r="G559" s="6">
        <f>IF(A559="","",SUBSTITUTE(SUBSTITUTE(SUBSTITUTE(SUBSTITUTE(SUBSTITUTE(SUBSTITUTE(SUBSTITUTE(TRIM(A559),".",""),"/",""),"-","")," ",""),"(",""),")",""),"+",""))</f>
      </c>
      <c r="H559" s="6">
        <f>IF(G559="","",IF(LEN(G559)&lt;&gt;14,"ERRO: "&amp;LEN(G559)&amp;" dígitos",IF(NOT(ISNUMBER(VALUE(G559))),"ERRO: não numérico",IF(AND(VALUE(MID(G559,13,1))=IF(MOD(SUMPRODUCT(--MID(G559,{1,2,3,4,5,6,7,8,9,10,11,12},1),{5,4,3,2,9,8,7,6,5,4,3,2}),11)&lt;2,0,11-MOD(SUMPRODUCT(--MID(G559,{1,2,3,4,5,6,7,8,9,10,11,12},1),{5,4,3,2,9,8,7,6,5,4,3,2}),11)),VALUE(MID(G559,14,1))=IF(MOD(SUMPRODUCT(--MID(G559,{1,2,3,4,5,6,7,8,9,10,11,12,13},1),{6,5,4,3,2,9,8,7,6,5,4,3,2}),11)&lt;2,0,11-MOD(SUMPRODUCT(--MID(G559,{1,2,3,4,5,6,7,8,9,10,11,12,13},1),{6,5,4,3,2,9,8,7,6,5,4,3,2}),11))),"OK","AVISO: dígito verificador (conferir na org)"))))</f>
      </c>
      <c r="I559" s="6">
        <f>IF(G559="","",IF(COUNTIF($G$2:$G$2001,G559)&gt;1,"DUPLICADO","OK"))</f>
      </c>
      <c r="J559" s="6">
        <f>IF(COUNTA(A559:F559)=0,"",IF(AND(A559&lt;&gt;"",E559&lt;&gt;""),"OK","ERRO: faltam "&amp;IF(A559="","CNPJ; ","")&amp;IF(E559="","Novo gerente; ","")))</f>
      </c>
      <c r="K559" s="6">
        <f>IF(COUNTA(A559:F559)=0,"",IF(AND(LEFT(H559,4)&lt;&gt;"ERRO",I559="OK",J559="OK"),"OK","REVISAR"))</f>
      </c>
    </row>
    <row r="560">
      <c r="A560" s="5"/>
      <c r="B560" s="4"/>
      <c r="C560" s="4"/>
      <c r="D560" s="4"/>
      <c r="E560" s="5"/>
      <c r="F560" s="4"/>
      <c r="G560" s="6">
        <f>IF(A560="","",SUBSTITUTE(SUBSTITUTE(SUBSTITUTE(SUBSTITUTE(SUBSTITUTE(SUBSTITUTE(SUBSTITUTE(TRIM(A560),".",""),"/",""),"-","")," ",""),"(",""),")",""),"+",""))</f>
      </c>
      <c r="H560" s="6">
        <f>IF(G560="","",IF(LEN(G560)&lt;&gt;14,"ERRO: "&amp;LEN(G560)&amp;" dígitos",IF(NOT(ISNUMBER(VALUE(G560))),"ERRO: não numérico",IF(AND(VALUE(MID(G560,13,1))=IF(MOD(SUMPRODUCT(--MID(G560,{1,2,3,4,5,6,7,8,9,10,11,12},1),{5,4,3,2,9,8,7,6,5,4,3,2}),11)&lt;2,0,11-MOD(SUMPRODUCT(--MID(G560,{1,2,3,4,5,6,7,8,9,10,11,12},1),{5,4,3,2,9,8,7,6,5,4,3,2}),11)),VALUE(MID(G560,14,1))=IF(MOD(SUMPRODUCT(--MID(G560,{1,2,3,4,5,6,7,8,9,10,11,12,13},1),{6,5,4,3,2,9,8,7,6,5,4,3,2}),11)&lt;2,0,11-MOD(SUMPRODUCT(--MID(G560,{1,2,3,4,5,6,7,8,9,10,11,12,13},1),{6,5,4,3,2,9,8,7,6,5,4,3,2}),11))),"OK","AVISO: dígito verificador (conferir na org)"))))</f>
      </c>
      <c r="I560" s="6">
        <f>IF(G560="","",IF(COUNTIF($G$2:$G$2001,G560)&gt;1,"DUPLICADO","OK"))</f>
      </c>
      <c r="J560" s="6">
        <f>IF(COUNTA(A560:F560)=0,"",IF(AND(A560&lt;&gt;"",E560&lt;&gt;""),"OK","ERRO: faltam "&amp;IF(A560="","CNPJ; ","")&amp;IF(E560="","Novo gerente; ","")))</f>
      </c>
      <c r="K560" s="6">
        <f>IF(COUNTA(A560:F560)=0,"",IF(AND(LEFT(H560,4)&lt;&gt;"ERRO",I560="OK",J560="OK"),"OK","REVISAR"))</f>
      </c>
    </row>
    <row r="561">
      <c r="A561" s="5"/>
      <c r="B561" s="4"/>
      <c r="C561" s="4"/>
      <c r="D561" s="4"/>
      <c r="E561" s="5"/>
      <c r="F561" s="4"/>
      <c r="G561" s="6">
        <f>IF(A561="","",SUBSTITUTE(SUBSTITUTE(SUBSTITUTE(SUBSTITUTE(SUBSTITUTE(SUBSTITUTE(SUBSTITUTE(TRIM(A561),".",""),"/",""),"-","")," ",""),"(",""),")",""),"+",""))</f>
      </c>
      <c r="H561" s="6">
        <f>IF(G561="","",IF(LEN(G561)&lt;&gt;14,"ERRO: "&amp;LEN(G561)&amp;" dígitos",IF(NOT(ISNUMBER(VALUE(G561))),"ERRO: não numérico",IF(AND(VALUE(MID(G561,13,1))=IF(MOD(SUMPRODUCT(--MID(G561,{1,2,3,4,5,6,7,8,9,10,11,12},1),{5,4,3,2,9,8,7,6,5,4,3,2}),11)&lt;2,0,11-MOD(SUMPRODUCT(--MID(G561,{1,2,3,4,5,6,7,8,9,10,11,12},1),{5,4,3,2,9,8,7,6,5,4,3,2}),11)),VALUE(MID(G561,14,1))=IF(MOD(SUMPRODUCT(--MID(G561,{1,2,3,4,5,6,7,8,9,10,11,12,13},1),{6,5,4,3,2,9,8,7,6,5,4,3,2}),11)&lt;2,0,11-MOD(SUMPRODUCT(--MID(G561,{1,2,3,4,5,6,7,8,9,10,11,12,13},1),{6,5,4,3,2,9,8,7,6,5,4,3,2}),11))),"OK","AVISO: dígito verificador (conferir na org)"))))</f>
      </c>
      <c r="I561" s="6">
        <f>IF(G561="","",IF(COUNTIF($G$2:$G$2001,G561)&gt;1,"DUPLICADO","OK"))</f>
      </c>
      <c r="J561" s="6">
        <f>IF(COUNTA(A561:F561)=0,"",IF(AND(A561&lt;&gt;"",E561&lt;&gt;""),"OK","ERRO: faltam "&amp;IF(A561="","CNPJ; ","")&amp;IF(E561="","Novo gerente; ","")))</f>
      </c>
      <c r="K561" s="6">
        <f>IF(COUNTA(A561:F561)=0,"",IF(AND(LEFT(H561,4)&lt;&gt;"ERRO",I561="OK",J561="OK"),"OK","REVISAR"))</f>
      </c>
    </row>
    <row r="562">
      <c r="A562" s="5"/>
      <c r="B562" s="4"/>
      <c r="C562" s="4"/>
      <c r="D562" s="4"/>
      <c r="E562" s="5"/>
      <c r="F562" s="4"/>
      <c r="G562" s="6">
        <f>IF(A562="","",SUBSTITUTE(SUBSTITUTE(SUBSTITUTE(SUBSTITUTE(SUBSTITUTE(SUBSTITUTE(SUBSTITUTE(TRIM(A562),".",""),"/",""),"-","")," ",""),"(",""),")",""),"+",""))</f>
      </c>
      <c r="H562" s="6">
        <f>IF(G562="","",IF(LEN(G562)&lt;&gt;14,"ERRO: "&amp;LEN(G562)&amp;" dígitos",IF(NOT(ISNUMBER(VALUE(G562))),"ERRO: não numérico",IF(AND(VALUE(MID(G562,13,1))=IF(MOD(SUMPRODUCT(--MID(G562,{1,2,3,4,5,6,7,8,9,10,11,12},1),{5,4,3,2,9,8,7,6,5,4,3,2}),11)&lt;2,0,11-MOD(SUMPRODUCT(--MID(G562,{1,2,3,4,5,6,7,8,9,10,11,12},1),{5,4,3,2,9,8,7,6,5,4,3,2}),11)),VALUE(MID(G562,14,1))=IF(MOD(SUMPRODUCT(--MID(G562,{1,2,3,4,5,6,7,8,9,10,11,12,13},1),{6,5,4,3,2,9,8,7,6,5,4,3,2}),11)&lt;2,0,11-MOD(SUMPRODUCT(--MID(G562,{1,2,3,4,5,6,7,8,9,10,11,12,13},1),{6,5,4,3,2,9,8,7,6,5,4,3,2}),11))),"OK","AVISO: dígito verificador (conferir na org)"))))</f>
      </c>
      <c r="I562" s="6">
        <f>IF(G562="","",IF(COUNTIF($G$2:$G$2001,G562)&gt;1,"DUPLICADO","OK"))</f>
      </c>
      <c r="J562" s="6">
        <f>IF(COUNTA(A562:F562)=0,"",IF(AND(A562&lt;&gt;"",E562&lt;&gt;""),"OK","ERRO: faltam "&amp;IF(A562="","CNPJ; ","")&amp;IF(E562="","Novo gerente; ","")))</f>
      </c>
      <c r="K562" s="6">
        <f>IF(COUNTA(A562:F562)=0,"",IF(AND(LEFT(H562,4)&lt;&gt;"ERRO",I562="OK",J562="OK"),"OK","REVISAR"))</f>
      </c>
    </row>
    <row r="563">
      <c r="A563" s="5"/>
      <c r="B563" s="4"/>
      <c r="C563" s="4"/>
      <c r="D563" s="4"/>
      <c r="E563" s="5"/>
      <c r="F563" s="4"/>
      <c r="G563" s="6">
        <f>IF(A563="","",SUBSTITUTE(SUBSTITUTE(SUBSTITUTE(SUBSTITUTE(SUBSTITUTE(SUBSTITUTE(SUBSTITUTE(TRIM(A563),".",""),"/",""),"-","")," ",""),"(",""),")",""),"+",""))</f>
      </c>
      <c r="H563" s="6">
        <f>IF(G563="","",IF(LEN(G563)&lt;&gt;14,"ERRO: "&amp;LEN(G563)&amp;" dígitos",IF(NOT(ISNUMBER(VALUE(G563))),"ERRO: não numérico",IF(AND(VALUE(MID(G563,13,1))=IF(MOD(SUMPRODUCT(--MID(G563,{1,2,3,4,5,6,7,8,9,10,11,12},1),{5,4,3,2,9,8,7,6,5,4,3,2}),11)&lt;2,0,11-MOD(SUMPRODUCT(--MID(G563,{1,2,3,4,5,6,7,8,9,10,11,12},1),{5,4,3,2,9,8,7,6,5,4,3,2}),11)),VALUE(MID(G563,14,1))=IF(MOD(SUMPRODUCT(--MID(G563,{1,2,3,4,5,6,7,8,9,10,11,12,13},1),{6,5,4,3,2,9,8,7,6,5,4,3,2}),11)&lt;2,0,11-MOD(SUMPRODUCT(--MID(G563,{1,2,3,4,5,6,7,8,9,10,11,12,13},1),{6,5,4,3,2,9,8,7,6,5,4,3,2}),11))),"OK","AVISO: dígito verificador (conferir na org)"))))</f>
      </c>
      <c r="I563" s="6">
        <f>IF(G563="","",IF(COUNTIF($G$2:$G$2001,G563)&gt;1,"DUPLICADO","OK"))</f>
      </c>
      <c r="J563" s="6">
        <f>IF(COUNTA(A563:F563)=0,"",IF(AND(A563&lt;&gt;"",E563&lt;&gt;""),"OK","ERRO: faltam "&amp;IF(A563="","CNPJ; ","")&amp;IF(E563="","Novo gerente; ","")))</f>
      </c>
      <c r="K563" s="6">
        <f>IF(COUNTA(A563:F563)=0,"",IF(AND(LEFT(H563,4)&lt;&gt;"ERRO",I563="OK",J563="OK"),"OK","REVISAR"))</f>
      </c>
    </row>
    <row r="564">
      <c r="A564" s="5"/>
      <c r="B564" s="4"/>
      <c r="C564" s="4"/>
      <c r="D564" s="4"/>
      <c r="E564" s="5"/>
      <c r="F564" s="4"/>
      <c r="G564" s="6">
        <f>IF(A564="","",SUBSTITUTE(SUBSTITUTE(SUBSTITUTE(SUBSTITUTE(SUBSTITUTE(SUBSTITUTE(SUBSTITUTE(TRIM(A564),".",""),"/",""),"-","")," ",""),"(",""),")",""),"+",""))</f>
      </c>
      <c r="H564" s="6">
        <f>IF(G564="","",IF(LEN(G564)&lt;&gt;14,"ERRO: "&amp;LEN(G564)&amp;" dígitos",IF(NOT(ISNUMBER(VALUE(G564))),"ERRO: não numérico",IF(AND(VALUE(MID(G564,13,1))=IF(MOD(SUMPRODUCT(--MID(G564,{1,2,3,4,5,6,7,8,9,10,11,12},1),{5,4,3,2,9,8,7,6,5,4,3,2}),11)&lt;2,0,11-MOD(SUMPRODUCT(--MID(G564,{1,2,3,4,5,6,7,8,9,10,11,12},1),{5,4,3,2,9,8,7,6,5,4,3,2}),11)),VALUE(MID(G564,14,1))=IF(MOD(SUMPRODUCT(--MID(G564,{1,2,3,4,5,6,7,8,9,10,11,12,13},1),{6,5,4,3,2,9,8,7,6,5,4,3,2}),11)&lt;2,0,11-MOD(SUMPRODUCT(--MID(G564,{1,2,3,4,5,6,7,8,9,10,11,12,13},1),{6,5,4,3,2,9,8,7,6,5,4,3,2}),11))),"OK","AVISO: dígito verificador (conferir na org)"))))</f>
      </c>
      <c r="I564" s="6">
        <f>IF(G564="","",IF(COUNTIF($G$2:$G$2001,G564)&gt;1,"DUPLICADO","OK"))</f>
      </c>
      <c r="J564" s="6">
        <f>IF(COUNTA(A564:F564)=0,"",IF(AND(A564&lt;&gt;"",E564&lt;&gt;""),"OK","ERRO: faltam "&amp;IF(A564="","CNPJ; ","")&amp;IF(E564="","Novo gerente; ","")))</f>
      </c>
      <c r="K564" s="6">
        <f>IF(COUNTA(A564:F564)=0,"",IF(AND(LEFT(H564,4)&lt;&gt;"ERRO",I564="OK",J564="OK"),"OK","REVISAR"))</f>
      </c>
    </row>
    <row r="565">
      <c r="A565" s="5"/>
      <c r="B565" s="4"/>
      <c r="C565" s="4"/>
      <c r="D565" s="4"/>
      <c r="E565" s="5"/>
      <c r="F565" s="4"/>
      <c r="G565" s="6">
        <f>IF(A565="","",SUBSTITUTE(SUBSTITUTE(SUBSTITUTE(SUBSTITUTE(SUBSTITUTE(SUBSTITUTE(SUBSTITUTE(TRIM(A565),".",""),"/",""),"-","")," ",""),"(",""),")",""),"+",""))</f>
      </c>
      <c r="H565" s="6">
        <f>IF(G565="","",IF(LEN(G565)&lt;&gt;14,"ERRO: "&amp;LEN(G565)&amp;" dígitos",IF(NOT(ISNUMBER(VALUE(G565))),"ERRO: não numérico",IF(AND(VALUE(MID(G565,13,1))=IF(MOD(SUMPRODUCT(--MID(G565,{1,2,3,4,5,6,7,8,9,10,11,12},1),{5,4,3,2,9,8,7,6,5,4,3,2}),11)&lt;2,0,11-MOD(SUMPRODUCT(--MID(G565,{1,2,3,4,5,6,7,8,9,10,11,12},1),{5,4,3,2,9,8,7,6,5,4,3,2}),11)),VALUE(MID(G565,14,1))=IF(MOD(SUMPRODUCT(--MID(G565,{1,2,3,4,5,6,7,8,9,10,11,12,13},1),{6,5,4,3,2,9,8,7,6,5,4,3,2}),11)&lt;2,0,11-MOD(SUMPRODUCT(--MID(G565,{1,2,3,4,5,6,7,8,9,10,11,12,13},1),{6,5,4,3,2,9,8,7,6,5,4,3,2}),11))),"OK","AVISO: dígito verificador (conferir na org)"))))</f>
      </c>
      <c r="I565" s="6">
        <f>IF(G565="","",IF(COUNTIF($G$2:$G$2001,G565)&gt;1,"DUPLICADO","OK"))</f>
      </c>
      <c r="J565" s="6">
        <f>IF(COUNTA(A565:F565)=0,"",IF(AND(A565&lt;&gt;"",E565&lt;&gt;""),"OK","ERRO: faltam "&amp;IF(A565="","CNPJ; ","")&amp;IF(E565="","Novo gerente; ","")))</f>
      </c>
      <c r="K565" s="6">
        <f>IF(COUNTA(A565:F565)=0,"",IF(AND(LEFT(H565,4)&lt;&gt;"ERRO",I565="OK",J565="OK"),"OK","REVISAR"))</f>
      </c>
    </row>
    <row r="566">
      <c r="A566" s="5"/>
      <c r="B566" s="4"/>
      <c r="C566" s="4"/>
      <c r="D566" s="4"/>
      <c r="E566" s="5"/>
      <c r="F566" s="4"/>
      <c r="G566" s="6">
        <f>IF(A566="","",SUBSTITUTE(SUBSTITUTE(SUBSTITUTE(SUBSTITUTE(SUBSTITUTE(SUBSTITUTE(SUBSTITUTE(TRIM(A566),".",""),"/",""),"-","")," ",""),"(",""),")",""),"+",""))</f>
      </c>
      <c r="H566" s="6">
        <f>IF(G566="","",IF(LEN(G566)&lt;&gt;14,"ERRO: "&amp;LEN(G566)&amp;" dígitos",IF(NOT(ISNUMBER(VALUE(G566))),"ERRO: não numérico",IF(AND(VALUE(MID(G566,13,1))=IF(MOD(SUMPRODUCT(--MID(G566,{1,2,3,4,5,6,7,8,9,10,11,12},1),{5,4,3,2,9,8,7,6,5,4,3,2}),11)&lt;2,0,11-MOD(SUMPRODUCT(--MID(G566,{1,2,3,4,5,6,7,8,9,10,11,12},1),{5,4,3,2,9,8,7,6,5,4,3,2}),11)),VALUE(MID(G566,14,1))=IF(MOD(SUMPRODUCT(--MID(G566,{1,2,3,4,5,6,7,8,9,10,11,12,13},1),{6,5,4,3,2,9,8,7,6,5,4,3,2}),11)&lt;2,0,11-MOD(SUMPRODUCT(--MID(G566,{1,2,3,4,5,6,7,8,9,10,11,12,13},1),{6,5,4,3,2,9,8,7,6,5,4,3,2}),11))),"OK","AVISO: dígito verificador (conferir na org)"))))</f>
      </c>
      <c r="I566" s="6">
        <f>IF(G566="","",IF(COUNTIF($G$2:$G$2001,G566)&gt;1,"DUPLICADO","OK"))</f>
      </c>
      <c r="J566" s="6">
        <f>IF(COUNTA(A566:F566)=0,"",IF(AND(A566&lt;&gt;"",E566&lt;&gt;""),"OK","ERRO: faltam "&amp;IF(A566="","CNPJ; ","")&amp;IF(E566="","Novo gerente; ","")))</f>
      </c>
      <c r="K566" s="6">
        <f>IF(COUNTA(A566:F566)=0,"",IF(AND(LEFT(H566,4)&lt;&gt;"ERRO",I566="OK",J566="OK"),"OK","REVISAR"))</f>
      </c>
    </row>
    <row r="567">
      <c r="A567" s="5"/>
      <c r="B567" s="4"/>
      <c r="C567" s="4"/>
      <c r="D567" s="4"/>
      <c r="E567" s="5"/>
      <c r="F567" s="4"/>
      <c r="G567" s="6">
        <f>IF(A567="","",SUBSTITUTE(SUBSTITUTE(SUBSTITUTE(SUBSTITUTE(SUBSTITUTE(SUBSTITUTE(SUBSTITUTE(TRIM(A567),".",""),"/",""),"-","")," ",""),"(",""),")",""),"+",""))</f>
      </c>
      <c r="H567" s="6">
        <f>IF(G567="","",IF(LEN(G567)&lt;&gt;14,"ERRO: "&amp;LEN(G567)&amp;" dígitos",IF(NOT(ISNUMBER(VALUE(G567))),"ERRO: não numérico",IF(AND(VALUE(MID(G567,13,1))=IF(MOD(SUMPRODUCT(--MID(G567,{1,2,3,4,5,6,7,8,9,10,11,12},1),{5,4,3,2,9,8,7,6,5,4,3,2}),11)&lt;2,0,11-MOD(SUMPRODUCT(--MID(G567,{1,2,3,4,5,6,7,8,9,10,11,12},1),{5,4,3,2,9,8,7,6,5,4,3,2}),11)),VALUE(MID(G567,14,1))=IF(MOD(SUMPRODUCT(--MID(G567,{1,2,3,4,5,6,7,8,9,10,11,12,13},1),{6,5,4,3,2,9,8,7,6,5,4,3,2}),11)&lt;2,0,11-MOD(SUMPRODUCT(--MID(G567,{1,2,3,4,5,6,7,8,9,10,11,12,13},1),{6,5,4,3,2,9,8,7,6,5,4,3,2}),11))),"OK","AVISO: dígito verificador (conferir na org)"))))</f>
      </c>
      <c r="I567" s="6">
        <f>IF(G567="","",IF(COUNTIF($G$2:$G$2001,G567)&gt;1,"DUPLICADO","OK"))</f>
      </c>
      <c r="J567" s="6">
        <f>IF(COUNTA(A567:F567)=0,"",IF(AND(A567&lt;&gt;"",E567&lt;&gt;""),"OK","ERRO: faltam "&amp;IF(A567="","CNPJ; ","")&amp;IF(E567="","Novo gerente; ","")))</f>
      </c>
      <c r="K567" s="6">
        <f>IF(COUNTA(A567:F567)=0,"",IF(AND(LEFT(H567,4)&lt;&gt;"ERRO",I567="OK",J567="OK"),"OK","REVISAR"))</f>
      </c>
    </row>
    <row r="568">
      <c r="A568" s="5"/>
      <c r="B568" s="4"/>
      <c r="C568" s="4"/>
      <c r="D568" s="4"/>
      <c r="E568" s="5"/>
      <c r="F568" s="4"/>
      <c r="G568" s="6">
        <f>IF(A568="","",SUBSTITUTE(SUBSTITUTE(SUBSTITUTE(SUBSTITUTE(SUBSTITUTE(SUBSTITUTE(SUBSTITUTE(TRIM(A568),".",""),"/",""),"-","")," ",""),"(",""),")",""),"+",""))</f>
      </c>
      <c r="H568" s="6">
        <f>IF(G568="","",IF(LEN(G568)&lt;&gt;14,"ERRO: "&amp;LEN(G568)&amp;" dígitos",IF(NOT(ISNUMBER(VALUE(G568))),"ERRO: não numérico",IF(AND(VALUE(MID(G568,13,1))=IF(MOD(SUMPRODUCT(--MID(G568,{1,2,3,4,5,6,7,8,9,10,11,12},1),{5,4,3,2,9,8,7,6,5,4,3,2}),11)&lt;2,0,11-MOD(SUMPRODUCT(--MID(G568,{1,2,3,4,5,6,7,8,9,10,11,12},1),{5,4,3,2,9,8,7,6,5,4,3,2}),11)),VALUE(MID(G568,14,1))=IF(MOD(SUMPRODUCT(--MID(G568,{1,2,3,4,5,6,7,8,9,10,11,12,13},1),{6,5,4,3,2,9,8,7,6,5,4,3,2}),11)&lt;2,0,11-MOD(SUMPRODUCT(--MID(G568,{1,2,3,4,5,6,7,8,9,10,11,12,13},1),{6,5,4,3,2,9,8,7,6,5,4,3,2}),11))),"OK","AVISO: dígito verificador (conferir na org)"))))</f>
      </c>
      <c r="I568" s="6">
        <f>IF(G568="","",IF(COUNTIF($G$2:$G$2001,G568)&gt;1,"DUPLICADO","OK"))</f>
      </c>
      <c r="J568" s="6">
        <f>IF(COUNTA(A568:F568)=0,"",IF(AND(A568&lt;&gt;"",E568&lt;&gt;""),"OK","ERRO: faltam "&amp;IF(A568="","CNPJ; ","")&amp;IF(E568="","Novo gerente; ","")))</f>
      </c>
      <c r="K568" s="6">
        <f>IF(COUNTA(A568:F568)=0,"",IF(AND(LEFT(H568,4)&lt;&gt;"ERRO",I568="OK",J568="OK"),"OK","REVISAR"))</f>
      </c>
    </row>
    <row r="569">
      <c r="A569" s="5"/>
      <c r="B569" s="4"/>
      <c r="C569" s="4"/>
      <c r="D569" s="4"/>
      <c r="E569" s="5"/>
      <c r="F569" s="4"/>
      <c r="G569" s="6">
        <f>IF(A569="","",SUBSTITUTE(SUBSTITUTE(SUBSTITUTE(SUBSTITUTE(SUBSTITUTE(SUBSTITUTE(SUBSTITUTE(TRIM(A569),".",""),"/",""),"-","")," ",""),"(",""),")",""),"+",""))</f>
      </c>
      <c r="H569" s="6">
        <f>IF(G569="","",IF(LEN(G569)&lt;&gt;14,"ERRO: "&amp;LEN(G569)&amp;" dígitos",IF(NOT(ISNUMBER(VALUE(G569))),"ERRO: não numérico",IF(AND(VALUE(MID(G569,13,1))=IF(MOD(SUMPRODUCT(--MID(G569,{1,2,3,4,5,6,7,8,9,10,11,12},1),{5,4,3,2,9,8,7,6,5,4,3,2}),11)&lt;2,0,11-MOD(SUMPRODUCT(--MID(G569,{1,2,3,4,5,6,7,8,9,10,11,12},1),{5,4,3,2,9,8,7,6,5,4,3,2}),11)),VALUE(MID(G569,14,1))=IF(MOD(SUMPRODUCT(--MID(G569,{1,2,3,4,5,6,7,8,9,10,11,12,13},1),{6,5,4,3,2,9,8,7,6,5,4,3,2}),11)&lt;2,0,11-MOD(SUMPRODUCT(--MID(G569,{1,2,3,4,5,6,7,8,9,10,11,12,13},1),{6,5,4,3,2,9,8,7,6,5,4,3,2}),11))),"OK","AVISO: dígito verificador (conferir na org)"))))</f>
      </c>
      <c r="I569" s="6">
        <f>IF(G569="","",IF(COUNTIF($G$2:$G$2001,G569)&gt;1,"DUPLICADO","OK"))</f>
      </c>
      <c r="J569" s="6">
        <f>IF(COUNTA(A569:F569)=0,"",IF(AND(A569&lt;&gt;"",E569&lt;&gt;""),"OK","ERRO: faltam "&amp;IF(A569="","CNPJ; ","")&amp;IF(E569="","Novo gerente; ","")))</f>
      </c>
      <c r="K569" s="6">
        <f>IF(COUNTA(A569:F569)=0,"",IF(AND(LEFT(H569,4)&lt;&gt;"ERRO",I569="OK",J569="OK"),"OK","REVISAR"))</f>
      </c>
    </row>
    <row r="570">
      <c r="A570" s="5"/>
      <c r="B570" s="4"/>
      <c r="C570" s="4"/>
      <c r="D570" s="4"/>
      <c r="E570" s="5"/>
      <c r="F570" s="4"/>
      <c r="G570" s="6">
        <f>IF(A570="","",SUBSTITUTE(SUBSTITUTE(SUBSTITUTE(SUBSTITUTE(SUBSTITUTE(SUBSTITUTE(SUBSTITUTE(TRIM(A570),".",""),"/",""),"-","")," ",""),"(",""),")",""),"+",""))</f>
      </c>
      <c r="H570" s="6">
        <f>IF(G570="","",IF(LEN(G570)&lt;&gt;14,"ERRO: "&amp;LEN(G570)&amp;" dígitos",IF(NOT(ISNUMBER(VALUE(G570))),"ERRO: não numérico",IF(AND(VALUE(MID(G570,13,1))=IF(MOD(SUMPRODUCT(--MID(G570,{1,2,3,4,5,6,7,8,9,10,11,12},1),{5,4,3,2,9,8,7,6,5,4,3,2}),11)&lt;2,0,11-MOD(SUMPRODUCT(--MID(G570,{1,2,3,4,5,6,7,8,9,10,11,12},1),{5,4,3,2,9,8,7,6,5,4,3,2}),11)),VALUE(MID(G570,14,1))=IF(MOD(SUMPRODUCT(--MID(G570,{1,2,3,4,5,6,7,8,9,10,11,12,13},1),{6,5,4,3,2,9,8,7,6,5,4,3,2}),11)&lt;2,0,11-MOD(SUMPRODUCT(--MID(G570,{1,2,3,4,5,6,7,8,9,10,11,12,13},1),{6,5,4,3,2,9,8,7,6,5,4,3,2}),11))),"OK","AVISO: dígito verificador (conferir na org)"))))</f>
      </c>
      <c r="I570" s="6">
        <f>IF(G570="","",IF(COUNTIF($G$2:$G$2001,G570)&gt;1,"DUPLICADO","OK"))</f>
      </c>
      <c r="J570" s="6">
        <f>IF(COUNTA(A570:F570)=0,"",IF(AND(A570&lt;&gt;"",E570&lt;&gt;""),"OK","ERRO: faltam "&amp;IF(A570="","CNPJ; ","")&amp;IF(E570="","Novo gerente; ","")))</f>
      </c>
      <c r="K570" s="6">
        <f>IF(COUNTA(A570:F570)=0,"",IF(AND(LEFT(H570,4)&lt;&gt;"ERRO",I570="OK",J570="OK"),"OK","REVISAR"))</f>
      </c>
    </row>
    <row r="571">
      <c r="A571" s="5"/>
      <c r="B571" s="4"/>
      <c r="C571" s="4"/>
      <c r="D571" s="4"/>
      <c r="E571" s="5"/>
      <c r="F571" s="4"/>
      <c r="G571" s="6">
        <f>IF(A571="","",SUBSTITUTE(SUBSTITUTE(SUBSTITUTE(SUBSTITUTE(SUBSTITUTE(SUBSTITUTE(SUBSTITUTE(TRIM(A571),".",""),"/",""),"-","")," ",""),"(",""),")",""),"+",""))</f>
      </c>
      <c r="H571" s="6">
        <f>IF(G571="","",IF(LEN(G571)&lt;&gt;14,"ERRO: "&amp;LEN(G571)&amp;" dígitos",IF(NOT(ISNUMBER(VALUE(G571))),"ERRO: não numérico",IF(AND(VALUE(MID(G571,13,1))=IF(MOD(SUMPRODUCT(--MID(G571,{1,2,3,4,5,6,7,8,9,10,11,12},1),{5,4,3,2,9,8,7,6,5,4,3,2}),11)&lt;2,0,11-MOD(SUMPRODUCT(--MID(G571,{1,2,3,4,5,6,7,8,9,10,11,12},1),{5,4,3,2,9,8,7,6,5,4,3,2}),11)),VALUE(MID(G571,14,1))=IF(MOD(SUMPRODUCT(--MID(G571,{1,2,3,4,5,6,7,8,9,10,11,12,13},1),{6,5,4,3,2,9,8,7,6,5,4,3,2}),11)&lt;2,0,11-MOD(SUMPRODUCT(--MID(G571,{1,2,3,4,5,6,7,8,9,10,11,12,13},1),{6,5,4,3,2,9,8,7,6,5,4,3,2}),11))),"OK","AVISO: dígito verificador (conferir na org)"))))</f>
      </c>
      <c r="I571" s="6">
        <f>IF(G571="","",IF(COUNTIF($G$2:$G$2001,G571)&gt;1,"DUPLICADO","OK"))</f>
      </c>
      <c r="J571" s="6">
        <f>IF(COUNTA(A571:F571)=0,"",IF(AND(A571&lt;&gt;"",E571&lt;&gt;""),"OK","ERRO: faltam "&amp;IF(A571="","CNPJ; ","")&amp;IF(E571="","Novo gerente; ","")))</f>
      </c>
      <c r="K571" s="6">
        <f>IF(COUNTA(A571:F571)=0,"",IF(AND(LEFT(H571,4)&lt;&gt;"ERRO",I571="OK",J571="OK"),"OK","REVISAR"))</f>
      </c>
    </row>
    <row r="572">
      <c r="A572" s="5"/>
      <c r="B572" s="4"/>
      <c r="C572" s="4"/>
      <c r="D572" s="4"/>
      <c r="E572" s="5"/>
      <c r="F572" s="4"/>
      <c r="G572" s="6">
        <f>IF(A572="","",SUBSTITUTE(SUBSTITUTE(SUBSTITUTE(SUBSTITUTE(SUBSTITUTE(SUBSTITUTE(SUBSTITUTE(TRIM(A572),".",""),"/",""),"-","")," ",""),"(",""),")",""),"+",""))</f>
      </c>
      <c r="H572" s="6">
        <f>IF(G572="","",IF(LEN(G572)&lt;&gt;14,"ERRO: "&amp;LEN(G572)&amp;" dígitos",IF(NOT(ISNUMBER(VALUE(G572))),"ERRO: não numérico",IF(AND(VALUE(MID(G572,13,1))=IF(MOD(SUMPRODUCT(--MID(G572,{1,2,3,4,5,6,7,8,9,10,11,12},1),{5,4,3,2,9,8,7,6,5,4,3,2}),11)&lt;2,0,11-MOD(SUMPRODUCT(--MID(G572,{1,2,3,4,5,6,7,8,9,10,11,12},1),{5,4,3,2,9,8,7,6,5,4,3,2}),11)),VALUE(MID(G572,14,1))=IF(MOD(SUMPRODUCT(--MID(G572,{1,2,3,4,5,6,7,8,9,10,11,12,13},1),{6,5,4,3,2,9,8,7,6,5,4,3,2}),11)&lt;2,0,11-MOD(SUMPRODUCT(--MID(G572,{1,2,3,4,5,6,7,8,9,10,11,12,13},1),{6,5,4,3,2,9,8,7,6,5,4,3,2}),11))),"OK","AVISO: dígito verificador (conferir na org)"))))</f>
      </c>
      <c r="I572" s="6">
        <f>IF(G572="","",IF(COUNTIF($G$2:$G$2001,G572)&gt;1,"DUPLICADO","OK"))</f>
      </c>
      <c r="J572" s="6">
        <f>IF(COUNTA(A572:F572)=0,"",IF(AND(A572&lt;&gt;"",E572&lt;&gt;""),"OK","ERRO: faltam "&amp;IF(A572="","CNPJ; ","")&amp;IF(E572="","Novo gerente; ","")))</f>
      </c>
      <c r="K572" s="6">
        <f>IF(COUNTA(A572:F572)=0,"",IF(AND(LEFT(H572,4)&lt;&gt;"ERRO",I572="OK",J572="OK"),"OK","REVISAR"))</f>
      </c>
    </row>
    <row r="573">
      <c r="A573" s="5"/>
      <c r="B573" s="4"/>
      <c r="C573" s="4"/>
      <c r="D573" s="4"/>
      <c r="E573" s="5"/>
      <c r="F573" s="4"/>
      <c r="G573" s="6">
        <f>IF(A573="","",SUBSTITUTE(SUBSTITUTE(SUBSTITUTE(SUBSTITUTE(SUBSTITUTE(SUBSTITUTE(SUBSTITUTE(TRIM(A573),".",""),"/",""),"-","")," ",""),"(",""),")",""),"+",""))</f>
      </c>
      <c r="H573" s="6">
        <f>IF(G573="","",IF(LEN(G573)&lt;&gt;14,"ERRO: "&amp;LEN(G573)&amp;" dígitos",IF(NOT(ISNUMBER(VALUE(G573))),"ERRO: não numérico",IF(AND(VALUE(MID(G573,13,1))=IF(MOD(SUMPRODUCT(--MID(G573,{1,2,3,4,5,6,7,8,9,10,11,12},1),{5,4,3,2,9,8,7,6,5,4,3,2}),11)&lt;2,0,11-MOD(SUMPRODUCT(--MID(G573,{1,2,3,4,5,6,7,8,9,10,11,12},1),{5,4,3,2,9,8,7,6,5,4,3,2}),11)),VALUE(MID(G573,14,1))=IF(MOD(SUMPRODUCT(--MID(G573,{1,2,3,4,5,6,7,8,9,10,11,12,13},1),{6,5,4,3,2,9,8,7,6,5,4,3,2}),11)&lt;2,0,11-MOD(SUMPRODUCT(--MID(G573,{1,2,3,4,5,6,7,8,9,10,11,12,13},1),{6,5,4,3,2,9,8,7,6,5,4,3,2}),11))),"OK","AVISO: dígito verificador (conferir na org)"))))</f>
      </c>
      <c r="I573" s="6">
        <f>IF(G573="","",IF(COUNTIF($G$2:$G$2001,G573)&gt;1,"DUPLICADO","OK"))</f>
      </c>
      <c r="J573" s="6">
        <f>IF(COUNTA(A573:F573)=0,"",IF(AND(A573&lt;&gt;"",E573&lt;&gt;""),"OK","ERRO: faltam "&amp;IF(A573="","CNPJ; ","")&amp;IF(E573="","Novo gerente; ","")))</f>
      </c>
      <c r="K573" s="6">
        <f>IF(COUNTA(A573:F573)=0,"",IF(AND(LEFT(H573,4)&lt;&gt;"ERRO",I573="OK",J573="OK"),"OK","REVISAR"))</f>
      </c>
    </row>
    <row r="574">
      <c r="A574" s="5"/>
      <c r="B574" s="4"/>
      <c r="C574" s="4"/>
      <c r="D574" s="4"/>
      <c r="E574" s="5"/>
      <c r="F574" s="4"/>
      <c r="G574" s="6">
        <f>IF(A574="","",SUBSTITUTE(SUBSTITUTE(SUBSTITUTE(SUBSTITUTE(SUBSTITUTE(SUBSTITUTE(SUBSTITUTE(TRIM(A574),".",""),"/",""),"-","")," ",""),"(",""),")",""),"+",""))</f>
      </c>
      <c r="H574" s="6">
        <f>IF(G574="","",IF(LEN(G574)&lt;&gt;14,"ERRO: "&amp;LEN(G574)&amp;" dígitos",IF(NOT(ISNUMBER(VALUE(G574))),"ERRO: não numérico",IF(AND(VALUE(MID(G574,13,1))=IF(MOD(SUMPRODUCT(--MID(G574,{1,2,3,4,5,6,7,8,9,10,11,12},1),{5,4,3,2,9,8,7,6,5,4,3,2}),11)&lt;2,0,11-MOD(SUMPRODUCT(--MID(G574,{1,2,3,4,5,6,7,8,9,10,11,12},1),{5,4,3,2,9,8,7,6,5,4,3,2}),11)),VALUE(MID(G574,14,1))=IF(MOD(SUMPRODUCT(--MID(G574,{1,2,3,4,5,6,7,8,9,10,11,12,13},1),{6,5,4,3,2,9,8,7,6,5,4,3,2}),11)&lt;2,0,11-MOD(SUMPRODUCT(--MID(G574,{1,2,3,4,5,6,7,8,9,10,11,12,13},1),{6,5,4,3,2,9,8,7,6,5,4,3,2}),11))),"OK","AVISO: dígito verificador (conferir na org)"))))</f>
      </c>
      <c r="I574" s="6">
        <f>IF(G574="","",IF(COUNTIF($G$2:$G$2001,G574)&gt;1,"DUPLICADO","OK"))</f>
      </c>
      <c r="J574" s="6">
        <f>IF(COUNTA(A574:F574)=0,"",IF(AND(A574&lt;&gt;"",E574&lt;&gt;""),"OK","ERRO: faltam "&amp;IF(A574="","CNPJ; ","")&amp;IF(E574="","Novo gerente; ","")))</f>
      </c>
      <c r="K574" s="6">
        <f>IF(COUNTA(A574:F574)=0,"",IF(AND(LEFT(H574,4)&lt;&gt;"ERRO",I574="OK",J574="OK"),"OK","REVISAR"))</f>
      </c>
    </row>
    <row r="575">
      <c r="A575" s="5"/>
      <c r="B575" s="4"/>
      <c r="C575" s="4"/>
      <c r="D575" s="4"/>
      <c r="E575" s="5"/>
      <c r="F575" s="4"/>
      <c r="G575" s="6">
        <f>IF(A575="","",SUBSTITUTE(SUBSTITUTE(SUBSTITUTE(SUBSTITUTE(SUBSTITUTE(SUBSTITUTE(SUBSTITUTE(TRIM(A575),".",""),"/",""),"-","")," ",""),"(",""),")",""),"+",""))</f>
      </c>
      <c r="H575" s="6">
        <f>IF(G575="","",IF(LEN(G575)&lt;&gt;14,"ERRO: "&amp;LEN(G575)&amp;" dígitos",IF(NOT(ISNUMBER(VALUE(G575))),"ERRO: não numérico",IF(AND(VALUE(MID(G575,13,1))=IF(MOD(SUMPRODUCT(--MID(G575,{1,2,3,4,5,6,7,8,9,10,11,12},1),{5,4,3,2,9,8,7,6,5,4,3,2}),11)&lt;2,0,11-MOD(SUMPRODUCT(--MID(G575,{1,2,3,4,5,6,7,8,9,10,11,12},1),{5,4,3,2,9,8,7,6,5,4,3,2}),11)),VALUE(MID(G575,14,1))=IF(MOD(SUMPRODUCT(--MID(G575,{1,2,3,4,5,6,7,8,9,10,11,12,13},1),{6,5,4,3,2,9,8,7,6,5,4,3,2}),11)&lt;2,0,11-MOD(SUMPRODUCT(--MID(G575,{1,2,3,4,5,6,7,8,9,10,11,12,13},1),{6,5,4,3,2,9,8,7,6,5,4,3,2}),11))),"OK","AVISO: dígito verificador (conferir na org)"))))</f>
      </c>
      <c r="I575" s="6">
        <f>IF(G575="","",IF(COUNTIF($G$2:$G$2001,G575)&gt;1,"DUPLICADO","OK"))</f>
      </c>
      <c r="J575" s="6">
        <f>IF(COUNTA(A575:F575)=0,"",IF(AND(A575&lt;&gt;"",E575&lt;&gt;""),"OK","ERRO: faltam "&amp;IF(A575="","CNPJ; ","")&amp;IF(E575="","Novo gerente; ","")))</f>
      </c>
      <c r="K575" s="6">
        <f>IF(COUNTA(A575:F575)=0,"",IF(AND(LEFT(H575,4)&lt;&gt;"ERRO",I575="OK",J575="OK"),"OK","REVISAR"))</f>
      </c>
    </row>
    <row r="576">
      <c r="A576" s="5"/>
      <c r="B576" s="4"/>
      <c r="C576" s="4"/>
      <c r="D576" s="4"/>
      <c r="E576" s="5"/>
      <c r="F576" s="4"/>
      <c r="G576" s="6">
        <f>IF(A576="","",SUBSTITUTE(SUBSTITUTE(SUBSTITUTE(SUBSTITUTE(SUBSTITUTE(SUBSTITUTE(SUBSTITUTE(TRIM(A576),".",""),"/",""),"-","")," ",""),"(",""),")",""),"+",""))</f>
      </c>
      <c r="H576" s="6">
        <f>IF(G576="","",IF(LEN(G576)&lt;&gt;14,"ERRO: "&amp;LEN(G576)&amp;" dígitos",IF(NOT(ISNUMBER(VALUE(G576))),"ERRO: não numérico",IF(AND(VALUE(MID(G576,13,1))=IF(MOD(SUMPRODUCT(--MID(G576,{1,2,3,4,5,6,7,8,9,10,11,12},1),{5,4,3,2,9,8,7,6,5,4,3,2}),11)&lt;2,0,11-MOD(SUMPRODUCT(--MID(G576,{1,2,3,4,5,6,7,8,9,10,11,12},1),{5,4,3,2,9,8,7,6,5,4,3,2}),11)),VALUE(MID(G576,14,1))=IF(MOD(SUMPRODUCT(--MID(G576,{1,2,3,4,5,6,7,8,9,10,11,12,13},1),{6,5,4,3,2,9,8,7,6,5,4,3,2}),11)&lt;2,0,11-MOD(SUMPRODUCT(--MID(G576,{1,2,3,4,5,6,7,8,9,10,11,12,13},1),{6,5,4,3,2,9,8,7,6,5,4,3,2}),11))),"OK","AVISO: dígito verificador (conferir na org)"))))</f>
      </c>
      <c r="I576" s="6">
        <f>IF(G576="","",IF(COUNTIF($G$2:$G$2001,G576)&gt;1,"DUPLICADO","OK"))</f>
      </c>
      <c r="J576" s="6">
        <f>IF(COUNTA(A576:F576)=0,"",IF(AND(A576&lt;&gt;"",E576&lt;&gt;""),"OK","ERRO: faltam "&amp;IF(A576="","CNPJ; ","")&amp;IF(E576="","Novo gerente; ","")))</f>
      </c>
      <c r="K576" s="6">
        <f>IF(COUNTA(A576:F576)=0,"",IF(AND(LEFT(H576,4)&lt;&gt;"ERRO",I576="OK",J576="OK"),"OK","REVISAR"))</f>
      </c>
    </row>
    <row r="577">
      <c r="A577" s="5"/>
      <c r="B577" s="4"/>
      <c r="C577" s="4"/>
      <c r="D577" s="4"/>
      <c r="E577" s="5"/>
      <c r="F577" s="4"/>
      <c r="G577" s="6">
        <f>IF(A577="","",SUBSTITUTE(SUBSTITUTE(SUBSTITUTE(SUBSTITUTE(SUBSTITUTE(SUBSTITUTE(SUBSTITUTE(TRIM(A577),".",""),"/",""),"-","")," ",""),"(",""),")",""),"+",""))</f>
      </c>
      <c r="H577" s="6">
        <f>IF(G577="","",IF(LEN(G577)&lt;&gt;14,"ERRO: "&amp;LEN(G577)&amp;" dígitos",IF(NOT(ISNUMBER(VALUE(G577))),"ERRO: não numérico",IF(AND(VALUE(MID(G577,13,1))=IF(MOD(SUMPRODUCT(--MID(G577,{1,2,3,4,5,6,7,8,9,10,11,12},1),{5,4,3,2,9,8,7,6,5,4,3,2}),11)&lt;2,0,11-MOD(SUMPRODUCT(--MID(G577,{1,2,3,4,5,6,7,8,9,10,11,12},1),{5,4,3,2,9,8,7,6,5,4,3,2}),11)),VALUE(MID(G577,14,1))=IF(MOD(SUMPRODUCT(--MID(G577,{1,2,3,4,5,6,7,8,9,10,11,12,13},1),{6,5,4,3,2,9,8,7,6,5,4,3,2}),11)&lt;2,0,11-MOD(SUMPRODUCT(--MID(G577,{1,2,3,4,5,6,7,8,9,10,11,12,13},1),{6,5,4,3,2,9,8,7,6,5,4,3,2}),11))),"OK","AVISO: dígito verificador (conferir na org)"))))</f>
      </c>
      <c r="I577" s="6">
        <f>IF(G577="","",IF(COUNTIF($G$2:$G$2001,G577)&gt;1,"DUPLICADO","OK"))</f>
      </c>
      <c r="J577" s="6">
        <f>IF(COUNTA(A577:F577)=0,"",IF(AND(A577&lt;&gt;"",E577&lt;&gt;""),"OK","ERRO: faltam "&amp;IF(A577="","CNPJ; ","")&amp;IF(E577="","Novo gerente; ","")))</f>
      </c>
      <c r="K577" s="6">
        <f>IF(COUNTA(A577:F577)=0,"",IF(AND(LEFT(H577,4)&lt;&gt;"ERRO",I577="OK",J577="OK"),"OK","REVISAR"))</f>
      </c>
    </row>
    <row r="578">
      <c r="A578" s="5"/>
      <c r="B578" s="4"/>
      <c r="C578" s="4"/>
      <c r="D578" s="4"/>
      <c r="E578" s="5"/>
      <c r="F578" s="4"/>
      <c r="G578" s="6">
        <f>IF(A578="","",SUBSTITUTE(SUBSTITUTE(SUBSTITUTE(SUBSTITUTE(SUBSTITUTE(SUBSTITUTE(SUBSTITUTE(TRIM(A578),".",""),"/",""),"-","")," ",""),"(",""),")",""),"+",""))</f>
      </c>
      <c r="H578" s="6">
        <f>IF(G578="","",IF(LEN(G578)&lt;&gt;14,"ERRO: "&amp;LEN(G578)&amp;" dígitos",IF(NOT(ISNUMBER(VALUE(G578))),"ERRO: não numérico",IF(AND(VALUE(MID(G578,13,1))=IF(MOD(SUMPRODUCT(--MID(G578,{1,2,3,4,5,6,7,8,9,10,11,12},1),{5,4,3,2,9,8,7,6,5,4,3,2}),11)&lt;2,0,11-MOD(SUMPRODUCT(--MID(G578,{1,2,3,4,5,6,7,8,9,10,11,12},1),{5,4,3,2,9,8,7,6,5,4,3,2}),11)),VALUE(MID(G578,14,1))=IF(MOD(SUMPRODUCT(--MID(G578,{1,2,3,4,5,6,7,8,9,10,11,12,13},1),{6,5,4,3,2,9,8,7,6,5,4,3,2}),11)&lt;2,0,11-MOD(SUMPRODUCT(--MID(G578,{1,2,3,4,5,6,7,8,9,10,11,12,13},1),{6,5,4,3,2,9,8,7,6,5,4,3,2}),11))),"OK","AVISO: dígito verificador (conferir na org)"))))</f>
      </c>
      <c r="I578" s="6">
        <f>IF(G578="","",IF(COUNTIF($G$2:$G$2001,G578)&gt;1,"DUPLICADO","OK"))</f>
      </c>
      <c r="J578" s="6">
        <f>IF(COUNTA(A578:F578)=0,"",IF(AND(A578&lt;&gt;"",E578&lt;&gt;""),"OK","ERRO: faltam "&amp;IF(A578="","CNPJ; ","")&amp;IF(E578="","Novo gerente; ","")))</f>
      </c>
      <c r="K578" s="6">
        <f>IF(COUNTA(A578:F578)=0,"",IF(AND(LEFT(H578,4)&lt;&gt;"ERRO",I578="OK",J578="OK"),"OK","REVISAR"))</f>
      </c>
    </row>
    <row r="579">
      <c r="A579" s="5"/>
      <c r="B579" s="4"/>
      <c r="C579" s="4"/>
      <c r="D579" s="4"/>
      <c r="E579" s="5"/>
      <c r="F579" s="4"/>
      <c r="G579" s="6">
        <f>IF(A579="","",SUBSTITUTE(SUBSTITUTE(SUBSTITUTE(SUBSTITUTE(SUBSTITUTE(SUBSTITUTE(SUBSTITUTE(TRIM(A579),".",""),"/",""),"-","")," ",""),"(",""),")",""),"+",""))</f>
      </c>
      <c r="H579" s="6">
        <f>IF(G579="","",IF(LEN(G579)&lt;&gt;14,"ERRO: "&amp;LEN(G579)&amp;" dígitos",IF(NOT(ISNUMBER(VALUE(G579))),"ERRO: não numérico",IF(AND(VALUE(MID(G579,13,1))=IF(MOD(SUMPRODUCT(--MID(G579,{1,2,3,4,5,6,7,8,9,10,11,12},1),{5,4,3,2,9,8,7,6,5,4,3,2}),11)&lt;2,0,11-MOD(SUMPRODUCT(--MID(G579,{1,2,3,4,5,6,7,8,9,10,11,12},1),{5,4,3,2,9,8,7,6,5,4,3,2}),11)),VALUE(MID(G579,14,1))=IF(MOD(SUMPRODUCT(--MID(G579,{1,2,3,4,5,6,7,8,9,10,11,12,13},1),{6,5,4,3,2,9,8,7,6,5,4,3,2}),11)&lt;2,0,11-MOD(SUMPRODUCT(--MID(G579,{1,2,3,4,5,6,7,8,9,10,11,12,13},1),{6,5,4,3,2,9,8,7,6,5,4,3,2}),11))),"OK","AVISO: dígito verificador (conferir na org)"))))</f>
      </c>
      <c r="I579" s="6">
        <f>IF(G579="","",IF(COUNTIF($G$2:$G$2001,G579)&gt;1,"DUPLICADO","OK"))</f>
      </c>
      <c r="J579" s="6">
        <f>IF(COUNTA(A579:F579)=0,"",IF(AND(A579&lt;&gt;"",E579&lt;&gt;""),"OK","ERRO: faltam "&amp;IF(A579="","CNPJ; ","")&amp;IF(E579="","Novo gerente; ","")))</f>
      </c>
      <c r="K579" s="6">
        <f>IF(COUNTA(A579:F579)=0,"",IF(AND(LEFT(H579,4)&lt;&gt;"ERRO",I579="OK",J579="OK"),"OK","REVISAR"))</f>
      </c>
    </row>
    <row r="580">
      <c r="A580" s="5"/>
      <c r="B580" s="4"/>
      <c r="C580" s="4"/>
      <c r="D580" s="4"/>
      <c r="E580" s="5"/>
      <c r="F580" s="4"/>
      <c r="G580" s="6">
        <f>IF(A580="","",SUBSTITUTE(SUBSTITUTE(SUBSTITUTE(SUBSTITUTE(SUBSTITUTE(SUBSTITUTE(SUBSTITUTE(TRIM(A580),".",""),"/",""),"-","")," ",""),"(",""),")",""),"+",""))</f>
      </c>
      <c r="H580" s="6">
        <f>IF(G580="","",IF(LEN(G580)&lt;&gt;14,"ERRO: "&amp;LEN(G580)&amp;" dígitos",IF(NOT(ISNUMBER(VALUE(G580))),"ERRO: não numérico",IF(AND(VALUE(MID(G580,13,1))=IF(MOD(SUMPRODUCT(--MID(G580,{1,2,3,4,5,6,7,8,9,10,11,12},1),{5,4,3,2,9,8,7,6,5,4,3,2}),11)&lt;2,0,11-MOD(SUMPRODUCT(--MID(G580,{1,2,3,4,5,6,7,8,9,10,11,12},1),{5,4,3,2,9,8,7,6,5,4,3,2}),11)),VALUE(MID(G580,14,1))=IF(MOD(SUMPRODUCT(--MID(G580,{1,2,3,4,5,6,7,8,9,10,11,12,13},1),{6,5,4,3,2,9,8,7,6,5,4,3,2}),11)&lt;2,0,11-MOD(SUMPRODUCT(--MID(G580,{1,2,3,4,5,6,7,8,9,10,11,12,13},1),{6,5,4,3,2,9,8,7,6,5,4,3,2}),11))),"OK","AVISO: dígito verificador (conferir na org)"))))</f>
      </c>
      <c r="I580" s="6">
        <f>IF(G580="","",IF(COUNTIF($G$2:$G$2001,G580)&gt;1,"DUPLICADO","OK"))</f>
      </c>
      <c r="J580" s="6">
        <f>IF(COUNTA(A580:F580)=0,"",IF(AND(A580&lt;&gt;"",E580&lt;&gt;""),"OK","ERRO: faltam "&amp;IF(A580="","CNPJ; ","")&amp;IF(E580="","Novo gerente; ","")))</f>
      </c>
      <c r="K580" s="6">
        <f>IF(COUNTA(A580:F580)=0,"",IF(AND(LEFT(H580,4)&lt;&gt;"ERRO",I580="OK",J580="OK"),"OK","REVISAR"))</f>
      </c>
    </row>
    <row r="581">
      <c r="A581" s="5"/>
      <c r="B581" s="4"/>
      <c r="C581" s="4"/>
      <c r="D581" s="4"/>
      <c r="E581" s="5"/>
      <c r="F581" s="4"/>
      <c r="G581" s="6">
        <f>IF(A581="","",SUBSTITUTE(SUBSTITUTE(SUBSTITUTE(SUBSTITUTE(SUBSTITUTE(SUBSTITUTE(SUBSTITUTE(TRIM(A581),".",""),"/",""),"-","")," ",""),"(",""),")",""),"+",""))</f>
      </c>
      <c r="H581" s="6">
        <f>IF(G581="","",IF(LEN(G581)&lt;&gt;14,"ERRO: "&amp;LEN(G581)&amp;" dígitos",IF(NOT(ISNUMBER(VALUE(G581))),"ERRO: não numérico",IF(AND(VALUE(MID(G581,13,1))=IF(MOD(SUMPRODUCT(--MID(G581,{1,2,3,4,5,6,7,8,9,10,11,12},1),{5,4,3,2,9,8,7,6,5,4,3,2}),11)&lt;2,0,11-MOD(SUMPRODUCT(--MID(G581,{1,2,3,4,5,6,7,8,9,10,11,12},1),{5,4,3,2,9,8,7,6,5,4,3,2}),11)),VALUE(MID(G581,14,1))=IF(MOD(SUMPRODUCT(--MID(G581,{1,2,3,4,5,6,7,8,9,10,11,12,13},1),{6,5,4,3,2,9,8,7,6,5,4,3,2}),11)&lt;2,0,11-MOD(SUMPRODUCT(--MID(G581,{1,2,3,4,5,6,7,8,9,10,11,12,13},1),{6,5,4,3,2,9,8,7,6,5,4,3,2}),11))),"OK","AVISO: dígito verificador (conferir na org)"))))</f>
      </c>
      <c r="I581" s="6">
        <f>IF(G581="","",IF(COUNTIF($G$2:$G$2001,G581)&gt;1,"DUPLICADO","OK"))</f>
      </c>
      <c r="J581" s="6">
        <f>IF(COUNTA(A581:F581)=0,"",IF(AND(A581&lt;&gt;"",E581&lt;&gt;""),"OK","ERRO: faltam "&amp;IF(A581="","CNPJ; ","")&amp;IF(E581="","Novo gerente; ","")))</f>
      </c>
      <c r="K581" s="6">
        <f>IF(COUNTA(A581:F581)=0,"",IF(AND(LEFT(H581,4)&lt;&gt;"ERRO",I581="OK",J581="OK"),"OK","REVISAR"))</f>
      </c>
    </row>
    <row r="582">
      <c r="A582" s="5"/>
      <c r="B582" s="4"/>
      <c r="C582" s="4"/>
      <c r="D582" s="4"/>
      <c r="E582" s="5"/>
      <c r="F582" s="4"/>
      <c r="G582" s="6">
        <f>IF(A582="","",SUBSTITUTE(SUBSTITUTE(SUBSTITUTE(SUBSTITUTE(SUBSTITUTE(SUBSTITUTE(SUBSTITUTE(TRIM(A582),".",""),"/",""),"-","")," ",""),"(",""),")",""),"+",""))</f>
      </c>
      <c r="H582" s="6">
        <f>IF(G582="","",IF(LEN(G582)&lt;&gt;14,"ERRO: "&amp;LEN(G582)&amp;" dígitos",IF(NOT(ISNUMBER(VALUE(G582))),"ERRO: não numérico",IF(AND(VALUE(MID(G582,13,1))=IF(MOD(SUMPRODUCT(--MID(G582,{1,2,3,4,5,6,7,8,9,10,11,12},1),{5,4,3,2,9,8,7,6,5,4,3,2}),11)&lt;2,0,11-MOD(SUMPRODUCT(--MID(G582,{1,2,3,4,5,6,7,8,9,10,11,12},1),{5,4,3,2,9,8,7,6,5,4,3,2}),11)),VALUE(MID(G582,14,1))=IF(MOD(SUMPRODUCT(--MID(G582,{1,2,3,4,5,6,7,8,9,10,11,12,13},1),{6,5,4,3,2,9,8,7,6,5,4,3,2}),11)&lt;2,0,11-MOD(SUMPRODUCT(--MID(G582,{1,2,3,4,5,6,7,8,9,10,11,12,13},1),{6,5,4,3,2,9,8,7,6,5,4,3,2}),11))),"OK","AVISO: dígito verificador (conferir na org)"))))</f>
      </c>
      <c r="I582" s="6">
        <f>IF(G582="","",IF(COUNTIF($G$2:$G$2001,G582)&gt;1,"DUPLICADO","OK"))</f>
      </c>
      <c r="J582" s="6">
        <f>IF(COUNTA(A582:F582)=0,"",IF(AND(A582&lt;&gt;"",E582&lt;&gt;""),"OK","ERRO: faltam "&amp;IF(A582="","CNPJ; ","")&amp;IF(E582="","Novo gerente; ","")))</f>
      </c>
      <c r="K582" s="6">
        <f>IF(COUNTA(A582:F582)=0,"",IF(AND(LEFT(H582,4)&lt;&gt;"ERRO",I582="OK",J582="OK"),"OK","REVISAR"))</f>
      </c>
    </row>
    <row r="583">
      <c r="A583" s="5"/>
      <c r="B583" s="4"/>
      <c r="C583" s="4"/>
      <c r="D583" s="4"/>
      <c r="E583" s="5"/>
      <c r="F583" s="4"/>
      <c r="G583" s="6">
        <f>IF(A583="","",SUBSTITUTE(SUBSTITUTE(SUBSTITUTE(SUBSTITUTE(SUBSTITUTE(SUBSTITUTE(SUBSTITUTE(TRIM(A583),".",""),"/",""),"-","")," ",""),"(",""),")",""),"+",""))</f>
      </c>
      <c r="H583" s="6">
        <f>IF(G583="","",IF(LEN(G583)&lt;&gt;14,"ERRO: "&amp;LEN(G583)&amp;" dígitos",IF(NOT(ISNUMBER(VALUE(G583))),"ERRO: não numérico",IF(AND(VALUE(MID(G583,13,1))=IF(MOD(SUMPRODUCT(--MID(G583,{1,2,3,4,5,6,7,8,9,10,11,12},1),{5,4,3,2,9,8,7,6,5,4,3,2}),11)&lt;2,0,11-MOD(SUMPRODUCT(--MID(G583,{1,2,3,4,5,6,7,8,9,10,11,12},1),{5,4,3,2,9,8,7,6,5,4,3,2}),11)),VALUE(MID(G583,14,1))=IF(MOD(SUMPRODUCT(--MID(G583,{1,2,3,4,5,6,7,8,9,10,11,12,13},1),{6,5,4,3,2,9,8,7,6,5,4,3,2}),11)&lt;2,0,11-MOD(SUMPRODUCT(--MID(G583,{1,2,3,4,5,6,7,8,9,10,11,12,13},1),{6,5,4,3,2,9,8,7,6,5,4,3,2}),11))),"OK","AVISO: dígito verificador (conferir na org)"))))</f>
      </c>
      <c r="I583" s="6">
        <f>IF(G583="","",IF(COUNTIF($G$2:$G$2001,G583)&gt;1,"DUPLICADO","OK"))</f>
      </c>
      <c r="J583" s="6">
        <f>IF(COUNTA(A583:F583)=0,"",IF(AND(A583&lt;&gt;"",E583&lt;&gt;""),"OK","ERRO: faltam "&amp;IF(A583="","CNPJ; ","")&amp;IF(E583="","Novo gerente; ","")))</f>
      </c>
      <c r="K583" s="6">
        <f>IF(COUNTA(A583:F583)=0,"",IF(AND(LEFT(H583,4)&lt;&gt;"ERRO",I583="OK",J583="OK"),"OK","REVISAR"))</f>
      </c>
    </row>
    <row r="584">
      <c r="A584" s="5"/>
      <c r="B584" s="4"/>
      <c r="C584" s="4"/>
      <c r="D584" s="4"/>
      <c r="E584" s="5"/>
      <c r="F584" s="4"/>
      <c r="G584" s="6">
        <f>IF(A584="","",SUBSTITUTE(SUBSTITUTE(SUBSTITUTE(SUBSTITUTE(SUBSTITUTE(SUBSTITUTE(SUBSTITUTE(TRIM(A584),".",""),"/",""),"-","")," ",""),"(",""),")",""),"+",""))</f>
      </c>
      <c r="H584" s="6">
        <f>IF(G584="","",IF(LEN(G584)&lt;&gt;14,"ERRO: "&amp;LEN(G584)&amp;" dígitos",IF(NOT(ISNUMBER(VALUE(G584))),"ERRO: não numérico",IF(AND(VALUE(MID(G584,13,1))=IF(MOD(SUMPRODUCT(--MID(G584,{1,2,3,4,5,6,7,8,9,10,11,12},1),{5,4,3,2,9,8,7,6,5,4,3,2}),11)&lt;2,0,11-MOD(SUMPRODUCT(--MID(G584,{1,2,3,4,5,6,7,8,9,10,11,12},1),{5,4,3,2,9,8,7,6,5,4,3,2}),11)),VALUE(MID(G584,14,1))=IF(MOD(SUMPRODUCT(--MID(G584,{1,2,3,4,5,6,7,8,9,10,11,12,13},1),{6,5,4,3,2,9,8,7,6,5,4,3,2}),11)&lt;2,0,11-MOD(SUMPRODUCT(--MID(G584,{1,2,3,4,5,6,7,8,9,10,11,12,13},1),{6,5,4,3,2,9,8,7,6,5,4,3,2}),11))),"OK","AVISO: dígito verificador (conferir na org)"))))</f>
      </c>
      <c r="I584" s="6">
        <f>IF(G584="","",IF(COUNTIF($G$2:$G$2001,G584)&gt;1,"DUPLICADO","OK"))</f>
      </c>
      <c r="J584" s="6">
        <f>IF(COUNTA(A584:F584)=0,"",IF(AND(A584&lt;&gt;"",E584&lt;&gt;""),"OK","ERRO: faltam "&amp;IF(A584="","CNPJ; ","")&amp;IF(E584="","Novo gerente; ","")))</f>
      </c>
      <c r="K584" s="6">
        <f>IF(COUNTA(A584:F584)=0,"",IF(AND(LEFT(H584,4)&lt;&gt;"ERRO",I584="OK",J584="OK"),"OK","REVISAR"))</f>
      </c>
    </row>
    <row r="585">
      <c r="A585" s="5"/>
      <c r="B585" s="4"/>
      <c r="C585" s="4"/>
      <c r="D585" s="4"/>
      <c r="E585" s="5"/>
      <c r="F585" s="4"/>
      <c r="G585" s="6">
        <f>IF(A585="","",SUBSTITUTE(SUBSTITUTE(SUBSTITUTE(SUBSTITUTE(SUBSTITUTE(SUBSTITUTE(SUBSTITUTE(TRIM(A585),".",""),"/",""),"-","")," ",""),"(",""),")",""),"+",""))</f>
      </c>
      <c r="H585" s="6">
        <f>IF(G585="","",IF(LEN(G585)&lt;&gt;14,"ERRO: "&amp;LEN(G585)&amp;" dígitos",IF(NOT(ISNUMBER(VALUE(G585))),"ERRO: não numérico",IF(AND(VALUE(MID(G585,13,1))=IF(MOD(SUMPRODUCT(--MID(G585,{1,2,3,4,5,6,7,8,9,10,11,12},1),{5,4,3,2,9,8,7,6,5,4,3,2}),11)&lt;2,0,11-MOD(SUMPRODUCT(--MID(G585,{1,2,3,4,5,6,7,8,9,10,11,12},1),{5,4,3,2,9,8,7,6,5,4,3,2}),11)),VALUE(MID(G585,14,1))=IF(MOD(SUMPRODUCT(--MID(G585,{1,2,3,4,5,6,7,8,9,10,11,12,13},1),{6,5,4,3,2,9,8,7,6,5,4,3,2}),11)&lt;2,0,11-MOD(SUMPRODUCT(--MID(G585,{1,2,3,4,5,6,7,8,9,10,11,12,13},1),{6,5,4,3,2,9,8,7,6,5,4,3,2}),11))),"OK","AVISO: dígito verificador (conferir na org)"))))</f>
      </c>
      <c r="I585" s="6">
        <f>IF(G585="","",IF(COUNTIF($G$2:$G$2001,G585)&gt;1,"DUPLICADO","OK"))</f>
      </c>
      <c r="J585" s="6">
        <f>IF(COUNTA(A585:F585)=0,"",IF(AND(A585&lt;&gt;"",E585&lt;&gt;""),"OK","ERRO: faltam "&amp;IF(A585="","CNPJ; ","")&amp;IF(E585="","Novo gerente; ","")))</f>
      </c>
      <c r="K585" s="6">
        <f>IF(COUNTA(A585:F585)=0,"",IF(AND(LEFT(H585,4)&lt;&gt;"ERRO",I585="OK",J585="OK"),"OK","REVISAR"))</f>
      </c>
    </row>
    <row r="586">
      <c r="A586" s="5"/>
      <c r="B586" s="4"/>
      <c r="C586" s="4"/>
      <c r="D586" s="4"/>
      <c r="E586" s="5"/>
      <c r="F586" s="4"/>
      <c r="G586" s="6">
        <f>IF(A586="","",SUBSTITUTE(SUBSTITUTE(SUBSTITUTE(SUBSTITUTE(SUBSTITUTE(SUBSTITUTE(SUBSTITUTE(TRIM(A586),".",""),"/",""),"-","")," ",""),"(",""),")",""),"+",""))</f>
      </c>
      <c r="H586" s="6">
        <f>IF(G586="","",IF(LEN(G586)&lt;&gt;14,"ERRO: "&amp;LEN(G586)&amp;" dígitos",IF(NOT(ISNUMBER(VALUE(G586))),"ERRO: não numérico",IF(AND(VALUE(MID(G586,13,1))=IF(MOD(SUMPRODUCT(--MID(G586,{1,2,3,4,5,6,7,8,9,10,11,12},1),{5,4,3,2,9,8,7,6,5,4,3,2}),11)&lt;2,0,11-MOD(SUMPRODUCT(--MID(G586,{1,2,3,4,5,6,7,8,9,10,11,12},1),{5,4,3,2,9,8,7,6,5,4,3,2}),11)),VALUE(MID(G586,14,1))=IF(MOD(SUMPRODUCT(--MID(G586,{1,2,3,4,5,6,7,8,9,10,11,12,13},1),{6,5,4,3,2,9,8,7,6,5,4,3,2}),11)&lt;2,0,11-MOD(SUMPRODUCT(--MID(G586,{1,2,3,4,5,6,7,8,9,10,11,12,13},1),{6,5,4,3,2,9,8,7,6,5,4,3,2}),11))),"OK","AVISO: dígito verificador (conferir na org)"))))</f>
      </c>
      <c r="I586" s="6">
        <f>IF(G586="","",IF(COUNTIF($G$2:$G$2001,G586)&gt;1,"DUPLICADO","OK"))</f>
      </c>
      <c r="J586" s="6">
        <f>IF(COUNTA(A586:F586)=0,"",IF(AND(A586&lt;&gt;"",E586&lt;&gt;""),"OK","ERRO: faltam "&amp;IF(A586="","CNPJ; ","")&amp;IF(E586="","Novo gerente; ","")))</f>
      </c>
      <c r="K586" s="6">
        <f>IF(COUNTA(A586:F586)=0,"",IF(AND(LEFT(H586,4)&lt;&gt;"ERRO",I586="OK",J586="OK"),"OK","REVISAR"))</f>
      </c>
    </row>
    <row r="587">
      <c r="A587" s="5"/>
      <c r="B587" s="4"/>
      <c r="C587" s="4"/>
      <c r="D587" s="4"/>
      <c r="E587" s="5"/>
      <c r="F587" s="4"/>
      <c r="G587" s="6">
        <f>IF(A587="","",SUBSTITUTE(SUBSTITUTE(SUBSTITUTE(SUBSTITUTE(SUBSTITUTE(SUBSTITUTE(SUBSTITUTE(TRIM(A587),".",""),"/",""),"-","")," ",""),"(",""),")",""),"+",""))</f>
      </c>
      <c r="H587" s="6">
        <f>IF(G587="","",IF(LEN(G587)&lt;&gt;14,"ERRO: "&amp;LEN(G587)&amp;" dígitos",IF(NOT(ISNUMBER(VALUE(G587))),"ERRO: não numérico",IF(AND(VALUE(MID(G587,13,1))=IF(MOD(SUMPRODUCT(--MID(G587,{1,2,3,4,5,6,7,8,9,10,11,12},1),{5,4,3,2,9,8,7,6,5,4,3,2}),11)&lt;2,0,11-MOD(SUMPRODUCT(--MID(G587,{1,2,3,4,5,6,7,8,9,10,11,12},1),{5,4,3,2,9,8,7,6,5,4,3,2}),11)),VALUE(MID(G587,14,1))=IF(MOD(SUMPRODUCT(--MID(G587,{1,2,3,4,5,6,7,8,9,10,11,12,13},1),{6,5,4,3,2,9,8,7,6,5,4,3,2}),11)&lt;2,0,11-MOD(SUMPRODUCT(--MID(G587,{1,2,3,4,5,6,7,8,9,10,11,12,13},1),{6,5,4,3,2,9,8,7,6,5,4,3,2}),11))),"OK","AVISO: dígito verificador (conferir na org)"))))</f>
      </c>
      <c r="I587" s="6">
        <f>IF(G587="","",IF(COUNTIF($G$2:$G$2001,G587)&gt;1,"DUPLICADO","OK"))</f>
      </c>
      <c r="J587" s="6">
        <f>IF(COUNTA(A587:F587)=0,"",IF(AND(A587&lt;&gt;"",E587&lt;&gt;""),"OK","ERRO: faltam "&amp;IF(A587="","CNPJ; ","")&amp;IF(E587="","Novo gerente; ","")))</f>
      </c>
      <c r="K587" s="6">
        <f>IF(COUNTA(A587:F587)=0,"",IF(AND(LEFT(H587,4)&lt;&gt;"ERRO",I587="OK",J587="OK"),"OK","REVISAR"))</f>
      </c>
    </row>
    <row r="588">
      <c r="A588" s="5"/>
      <c r="B588" s="4"/>
      <c r="C588" s="4"/>
      <c r="D588" s="4"/>
      <c r="E588" s="5"/>
      <c r="F588" s="4"/>
      <c r="G588" s="6">
        <f>IF(A588="","",SUBSTITUTE(SUBSTITUTE(SUBSTITUTE(SUBSTITUTE(SUBSTITUTE(SUBSTITUTE(SUBSTITUTE(TRIM(A588),".",""),"/",""),"-","")," ",""),"(",""),")",""),"+",""))</f>
      </c>
      <c r="H588" s="6">
        <f>IF(G588="","",IF(LEN(G588)&lt;&gt;14,"ERRO: "&amp;LEN(G588)&amp;" dígitos",IF(NOT(ISNUMBER(VALUE(G588))),"ERRO: não numérico",IF(AND(VALUE(MID(G588,13,1))=IF(MOD(SUMPRODUCT(--MID(G588,{1,2,3,4,5,6,7,8,9,10,11,12},1),{5,4,3,2,9,8,7,6,5,4,3,2}),11)&lt;2,0,11-MOD(SUMPRODUCT(--MID(G588,{1,2,3,4,5,6,7,8,9,10,11,12},1),{5,4,3,2,9,8,7,6,5,4,3,2}),11)),VALUE(MID(G588,14,1))=IF(MOD(SUMPRODUCT(--MID(G588,{1,2,3,4,5,6,7,8,9,10,11,12,13},1),{6,5,4,3,2,9,8,7,6,5,4,3,2}),11)&lt;2,0,11-MOD(SUMPRODUCT(--MID(G588,{1,2,3,4,5,6,7,8,9,10,11,12,13},1),{6,5,4,3,2,9,8,7,6,5,4,3,2}),11))),"OK","AVISO: dígito verificador (conferir na org)"))))</f>
      </c>
      <c r="I588" s="6">
        <f>IF(G588="","",IF(COUNTIF($G$2:$G$2001,G588)&gt;1,"DUPLICADO","OK"))</f>
      </c>
      <c r="J588" s="6">
        <f>IF(COUNTA(A588:F588)=0,"",IF(AND(A588&lt;&gt;"",E588&lt;&gt;""),"OK","ERRO: faltam "&amp;IF(A588="","CNPJ; ","")&amp;IF(E588="","Novo gerente; ","")))</f>
      </c>
      <c r="K588" s="6">
        <f>IF(COUNTA(A588:F588)=0,"",IF(AND(LEFT(H588,4)&lt;&gt;"ERRO",I588="OK",J588="OK"),"OK","REVISAR"))</f>
      </c>
    </row>
    <row r="589">
      <c r="A589" s="5"/>
      <c r="B589" s="4"/>
      <c r="C589" s="4"/>
      <c r="D589" s="4"/>
      <c r="E589" s="5"/>
      <c r="F589" s="4"/>
      <c r="G589" s="6">
        <f>IF(A589="","",SUBSTITUTE(SUBSTITUTE(SUBSTITUTE(SUBSTITUTE(SUBSTITUTE(SUBSTITUTE(SUBSTITUTE(TRIM(A589),".",""),"/",""),"-","")," ",""),"(",""),")",""),"+",""))</f>
      </c>
      <c r="H589" s="6">
        <f>IF(G589="","",IF(LEN(G589)&lt;&gt;14,"ERRO: "&amp;LEN(G589)&amp;" dígitos",IF(NOT(ISNUMBER(VALUE(G589))),"ERRO: não numérico",IF(AND(VALUE(MID(G589,13,1))=IF(MOD(SUMPRODUCT(--MID(G589,{1,2,3,4,5,6,7,8,9,10,11,12},1),{5,4,3,2,9,8,7,6,5,4,3,2}),11)&lt;2,0,11-MOD(SUMPRODUCT(--MID(G589,{1,2,3,4,5,6,7,8,9,10,11,12},1),{5,4,3,2,9,8,7,6,5,4,3,2}),11)),VALUE(MID(G589,14,1))=IF(MOD(SUMPRODUCT(--MID(G589,{1,2,3,4,5,6,7,8,9,10,11,12,13},1),{6,5,4,3,2,9,8,7,6,5,4,3,2}),11)&lt;2,0,11-MOD(SUMPRODUCT(--MID(G589,{1,2,3,4,5,6,7,8,9,10,11,12,13},1),{6,5,4,3,2,9,8,7,6,5,4,3,2}),11))),"OK","AVISO: dígito verificador (conferir na org)"))))</f>
      </c>
      <c r="I589" s="6">
        <f>IF(G589="","",IF(COUNTIF($G$2:$G$2001,G589)&gt;1,"DUPLICADO","OK"))</f>
      </c>
      <c r="J589" s="6">
        <f>IF(COUNTA(A589:F589)=0,"",IF(AND(A589&lt;&gt;"",E589&lt;&gt;""),"OK","ERRO: faltam "&amp;IF(A589="","CNPJ; ","")&amp;IF(E589="","Novo gerente; ","")))</f>
      </c>
      <c r="K589" s="6">
        <f>IF(COUNTA(A589:F589)=0,"",IF(AND(LEFT(H589,4)&lt;&gt;"ERRO",I589="OK",J589="OK"),"OK","REVISAR"))</f>
      </c>
    </row>
    <row r="590">
      <c r="A590" s="5"/>
      <c r="B590" s="4"/>
      <c r="C590" s="4"/>
      <c r="D590" s="4"/>
      <c r="E590" s="5"/>
      <c r="F590" s="4"/>
      <c r="G590" s="6">
        <f>IF(A590="","",SUBSTITUTE(SUBSTITUTE(SUBSTITUTE(SUBSTITUTE(SUBSTITUTE(SUBSTITUTE(SUBSTITUTE(TRIM(A590),".",""),"/",""),"-","")," ",""),"(",""),")",""),"+",""))</f>
      </c>
      <c r="H590" s="6">
        <f>IF(G590="","",IF(LEN(G590)&lt;&gt;14,"ERRO: "&amp;LEN(G590)&amp;" dígitos",IF(NOT(ISNUMBER(VALUE(G590))),"ERRO: não numérico",IF(AND(VALUE(MID(G590,13,1))=IF(MOD(SUMPRODUCT(--MID(G590,{1,2,3,4,5,6,7,8,9,10,11,12},1),{5,4,3,2,9,8,7,6,5,4,3,2}),11)&lt;2,0,11-MOD(SUMPRODUCT(--MID(G590,{1,2,3,4,5,6,7,8,9,10,11,12},1),{5,4,3,2,9,8,7,6,5,4,3,2}),11)),VALUE(MID(G590,14,1))=IF(MOD(SUMPRODUCT(--MID(G590,{1,2,3,4,5,6,7,8,9,10,11,12,13},1),{6,5,4,3,2,9,8,7,6,5,4,3,2}),11)&lt;2,0,11-MOD(SUMPRODUCT(--MID(G590,{1,2,3,4,5,6,7,8,9,10,11,12,13},1),{6,5,4,3,2,9,8,7,6,5,4,3,2}),11))),"OK","AVISO: dígito verificador (conferir na org)"))))</f>
      </c>
      <c r="I590" s="6">
        <f>IF(G590="","",IF(COUNTIF($G$2:$G$2001,G590)&gt;1,"DUPLICADO","OK"))</f>
      </c>
      <c r="J590" s="6">
        <f>IF(COUNTA(A590:F590)=0,"",IF(AND(A590&lt;&gt;"",E590&lt;&gt;""),"OK","ERRO: faltam "&amp;IF(A590="","CNPJ; ","")&amp;IF(E590="","Novo gerente; ","")))</f>
      </c>
      <c r="K590" s="6">
        <f>IF(COUNTA(A590:F590)=0,"",IF(AND(LEFT(H590,4)&lt;&gt;"ERRO",I590="OK",J590="OK"),"OK","REVISAR"))</f>
      </c>
    </row>
    <row r="591">
      <c r="A591" s="5"/>
      <c r="B591" s="4"/>
      <c r="C591" s="4"/>
      <c r="D591" s="4"/>
      <c r="E591" s="5"/>
      <c r="F591" s="4"/>
      <c r="G591" s="6">
        <f>IF(A591="","",SUBSTITUTE(SUBSTITUTE(SUBSTITUTE(SUBSTITUTE(SUBSTITUTE(SUBSTITUTE(SUBSTITUTE(TRIM(A591),".",""),"/",""),"-","")," ",""),"(",""),")",""),"+",""))</f>
      </c>
      <c r="H591" s="6">
        <f>IF(G591="","",IF(LEN(G591)&lt;&gt;14,"ERRO: "&amp;LEN(G591)&amp;" dígitos",IF(NOT(ISNUMBER(VALUE(G591))),"ERRO: não numérico",IF(AND(VALUE(MID(G591,13,1))=IF(MOD(SUMPRODUCT(--MID(G591,{1,2,3,4,5,6,7,8,9,10,11,12},1),{5,4,3,2,9,8,7,6,5,4,3,2}),11)&lt;2,0,11-MOD(SUMPRODUCT(--MID(G591,{1,2,3,4,5,6,7,8,9,10,11,12},1),{5,4,3,2,9,8,7,6,5,4,3,2}),11)),VALUE(MID(G591,14,1))=IF(MOD(SUMPRODUCT(--MID(G591,{1,2,3,4,5,6,7,8,9,10,11,12,13},1),{6,5,4,3,2,9,8,7,6,5,4,3,2}),11)&lt;2,0,11-MOD(SUMPRODUCT(--MID(G591,{1,2,3,4,5,6,7,8,9,10,11,12,13},1),{6,5,4,3,2,9,8,7,6,5,4,3,2}),11))),"OK","AVISO: dígito verificador (conferir na org)"))))</f>
      </c>
      <c r="I591" s="6">
        <f>IF(G591="","",IF(COUNTIF($G$2:$G$2001,G591)&gt;1,"DUPLICADO","OK"))</f>
      </c>
      <c r="J591" s="6">
        <f>IF(COUNTA(A591:F591)=0,"",IF(AND(A591&lt;&gt;"",E591&lt;&gt;""),"OK","ERRO: faltam "&amp;IF(A591="","CNPJ; ","")&amp;IF(E591="","Novo gerente; ","")))</f>
      </c>
      <c r="K591" s="6">
        <f>IF(COUNTA(A591:F591)=0,"",IF(AND(LEFT(H591,4)&lt;&gt;"ERRO",I591="OK",J591="OK"),"OK","REVISAR"))</f>
      </c>
    </row>
    <row r="592">
      <c r="A592" s="5"/>
      <c r="B592" s="4"/>
      <c r="C592" s="4"/>
      <c r="D592" s="4"/>
      <c r="E592" s="5"/>
      <c r="F592" s="4"/>
      <c r="G592" s="6">
        <f>IF(A592="","",SUBSTITUTE(SUBSTITUTE(SUBSTITUTE(SUBSTITUTE(SUBSTITUTE(SUBSTITUTE(SUBSTITUTE(TRIM(A592),".",""),"/",""),"-","")," ",""),"(",""),")",""),"+",""))</f>
      </c>
      <c r="H592" s="6">
        <f>IF(G592="","",IF(LEN(G592)&lt;&gt;14,"ERRO: "&amp;LEN(G592)&amp;" dígitos",IF(NOT(ISNUMBER(VALUE(G592))),"ERRO: não numérico",IF(AND(VALUE(MID(G592,13,1))=IF(MOD(SUMPRODUCT(--MID(G592,{1,2,3,4,5,6,7,8,9,10,11,12},1),{5,4,3,2,9,8,7,6,5,4,3,2}),11)&lt;2,0,11-MOD(SUMPRODUCT(--MID(G592,{1,2,3,4,5,6,7,8,9,10,11,12},1),{5,4,3,2,9,8,7,6,5,4,3,2}),11)),VALUE(MID(G592,14,1))=IF(MOD(SUMPRODUCT(--MID(G592,{1,2,3,4,5,6,7,8,9,10,11,12,13},1),{6,5,4,3,2,9,8,7,6,5,4,3,2}),11)&lt;2,0,11-MOD(SUMPRODUCT(--MID(G592,{1,2,3,4,5,6,7,8,9,10,11,12,13},1),{6,5,4,3,2,9,8,7,6,5,4,3,2}),11))),"OK","AVISO: dígito verificador (conferir na org)"))))</f>
      </c>
      <c r="I592" s="6">
        <f>IF(G592="","",IF(COUNTIF($G$2:$G$2001,G592)&gt;1,"DUPLICADO","OK"))</f>
      </c>
      <c r="J592" s="6">
        <f>IF(COUNTA(A592:F592)=0,"",IF(AND(A592&lt;&gt;"",E592&lt;&gt;""),"OK","ERRO: faltam "&amp;IF(A592="","CNPJ; ","")&amp;IF(E592="","Novo gerente; ","")))</f>
      </c>
      <c r="K592" s="6">
        <f>IF(COUNTA(A592:F592)=0,"",IF(AND(LEFT(H592,4)&lt;&gt;"ERRO",I592="OK",J592="OK"),"OK","REVISAR"))</f>
      </c>
    </row>
    <row r="593">
      <c r="A593" s="5"/>
      <c r="B593" s="4"/>
      <c r="C593" s="4"/>
      <c r="D593" s="4"/>
      <c r="E593" s="5"/>
      <c r="F593" s="4"/>
      <c r="G593" s="6">
        <f>IF(A593="","",SUBSTITUTE(SUBSTITUTE(SUBSTITUTE(SUBSTITUTE(SUBSTITUTE(SUBSTITUTE(SUBSTITUTE(TRIM(A593),".",""),"/",""),"-","")," ",""),"(",""),")",""),"+",""))</f>
      </c>
      <c r="H593" s="6">
        <f>IF(G593="","",IF(LEN(G593)&lt;&gt;14,"ERRO: "&amp;LEN(G593)&amp;" dígitos",IF(NOT(ISNUMBER(VALUE(G593))),"ERRO: não numérico",IF(AND(VALUE(MID(G593,13,1))=IF(MOD(SUMPRODUCT(--MID(G593,{1,2,3,4,5,6,7,8,9,10,11,12},1),{5,4,3,2,9,8,7,6,5,4,3,2}),11)&lt;2,0,11-MOD(SUMPRODUCT(--MID(G593,{1,2,3,4,5,6,7,8,9,10,11,12},1),{5,4,3,2,9,8,7,6,5,4,3,2}),11)),VALUE(MID(G593,14,1))=IF(MOD(SUMPRODUCT(--MID(G593,{1,2,3,4,5,6,7,8,9,10,11,12,13},1),{6,5,4,3,2,9,8,7,6,5,4,3,2}),11)&lt;2,0,11-MOD(SUMPRODUCT(--MID(G593,{1,2,3,4,5,6,7,8,9,10,11,12,13},1),{6,5,4,3,2,9,8,7,6,5,4,3,2}),11))),"OK","AVISO: dígito verificador (conferir na org)"))))</f>
      </c>
      <c r="I593" s="6">
        <f>IF(G593="","",IF(COUNTIF($G$2:$G$2001,G593)&gt;1,"DUPLICADO","OK"))</f>
      </c>
      <c r="J593" s="6">
        <f>IF(COUNTA(A593:F593)=0,"",IF(AND(A593&lt;&gt;"",E593&lt;&gt;""),"OK","ERRO: faltam "&amp;IF(A593="","CNPJ; ","")&amp;IF(E593="","Novo gerente; ","")))</f>
      </c>
      <c r="K593" s="6">
        <f>IF(COUNTA(A593:F593)=0,"",IF(AND(LEFT(H593,4)&lt;&gt;"ERRO",I593="OK",J593="OK"),"OK","REVISAR"))</f>
      </c>
    </row>
    <row r="594">
      <c r="A594" s="5"/>
      <c r="B594" s="4"/>
      <c r="C594" s="4"/>
      <c r="D594" s="4"/>
      <c r="E594" s="5"/>
      <c r="F594" s="4"/>
      <c r="G594" s="6">
        <f>IF(A594="","",SUBSTITUTE(SUBSTITUTE(SUBSTITUTE(SUBSTITUTE(SUBSTITUTE(SUBSTITUTE(SUBSTITUTE(TRIM(A594),".",""),"/",""),"-","")," ",""),"(",""),")",""),"+",""))</f>
      </c>
      <c r="H594" s="6">
        <f>IF(G594="","",IF(LEN(G594)&lt;&gt;14,"ERRO: "&amp;LEN(G594)&amp;" dígitos",IF(NOT(ISNUMBER(VALUE(G594))),"ERRO: não numérico",IF(AND(VALUE(MID(G594,13,1))=IF(MOD(SUMPRODUCT(--MID(G594,{1,2,3,4,5,6,7,8,9,10,11,12},1),{5,4,3,2,9,8,7,6,5,4,3,2}),11)&lt;2,0,11-MOD(SUMPRODUCT(--MID(G594,{1,2,3,4,5,6,7,8,9,10,11,12},1),{5,4,3,2,9,8,7,6,5,4,3,2}),11)),VALUE(MID(G594,14,1))=IF(MOD(SUMPRODUCT(--MID(G594,{1,2,3,4,5,6,7,8,9,10,11,12,13},1),{6,5,4,3,2,9,8,7,6,5,4,3,2}),11)&lt;2,0,11-MOD(SUMPRODUCT(--MID(G594,{1,2,3,4,5,6,7,8,9,10,11,12,13},1),{6,5,4,3,2,9,8,7,6,5,4,3,2}),11))),"OK","AVISO: dígito verificador (conferir na org)"))))</f>
      </c>
      <c r="I594" s="6">
        <f>IF(G594="","",IF(COUNTIF($G$2:$G$2001,G594)&gt;1,"DUPLICADO","OK"))</f>
      </c>
      <c r="J594" s="6">
        <f>IF(COUNTA(A594:F594)=0,"",IF(AND(A594&lt;&gt;"",E594&lt;&gt;""),"OK","ERRO: faltam "&amp;IF(A594="","CNPJ; ","")&amp;IF(E594="","Novo gerente; ","")))</f>
      </c>
      <c r="K594" s="6">
        <f>IF(COUNTA(A594:F594)=0,"",IF(AND(LEFT(H594,4)&lt;&gt;"ERRO",I594="OK",J594="OK"),"OK","REVISAR"))</f>
      </c>
    </row>
    <row r="595">
      <c r="A595" s="5"/>
      <c r="B595" s="4"/>
      <c r="C595" s="4"/>
      <c r="D595" s="4"/>
      <c r="E595" s="5"/>
      <c r="F595" s="4"/>
      <c r="G595" s="6">
        <f>IF(A595="","",SUBSTITUTE(SUBSTITUTE(SUBSTITUTE(SUBSTITUTE(SUBSTITUTE(SUBSTITUTE(SUBSTITUTE(TRIM(A595),".",""),"/",""),"-","")," ",""),"(",""),")",""),"+",""))</f>
      </c>
      <c r="H595" s="6">
        <f>IF(G595="","",IF(LEN(G595)&lt;&gt;14,"ERRO: "&amp;LEN(G595)&amp;" dígitos",IF(NOT(ISNUMBER(VALUE(G595))),"ERRO: não numérico",IF(AND(VALUE(MID(G595,13,1))=IF(MOD(SUMPRODUCT(--MID(G595,{1,2,3,4,5,6,7,8,9,10,11,12},1),{5,4,3,2,9,8,7,6,5,4,3,2}),11)&lt;2,0,11-MOD(SUMPRODUCT(--MID(G595,{1,2,3,4,5,6,7,8,9,10,11,12},1),{5,4,3,2,9,8,7,6,5,4,3,2}),11)),VALUE(MID(G595,14,1))=IF(MOD(SUMPRODUCT(--MID(G595,{1,2,3,4,5,6,7,8,9,10,11,12,13},1),{6,5,4,3,2,9,8,7,6,5,4,3,2}),11)&lt;2,0,11-MOD(SUMPRODUCT(--MID(G595,{1,2,3,4,5,6,7,8,9,10,11,12,13},1),{6,5,4,3,2,9,8,7,6,5,4,3,2}),11))),"OK","AVISO: dígito verificador (conferir na org)"))))</f>
      </c>
      <c r="I595" s="6">
        <f>IF(G595="","",IF(COUNTIF($G$2:$G$2001,G595)&gt;1,"DUPLICADO","OK"))</f>
      </c>
      <c r="J595" s="6">
        <f>IF(COUNTA(A595:F595)=0,"",IF(AND(A595&lt;&gt;"",E595&lt;&gt;""),"OK","ERRO: faltam "&amp;IF(A595="","CNPJ; ","")&amp;IF(E595="","Novo gerente; ","")))</f>
      </c>
      <c r="K595" s="6">
        <f>IF(COUNTA(A595:F595)=0,"",IF(AND(LEFT(H595,4)&lt;&gt;"ERRO",I595="OK",J595="OK"),"OK","REVISAR"))</f>
      </c>
    </row>
    <row r="596">
      <c r="A596" s="5"/>
      <c r="B596" s="4"/>
      <c r="C596" s="4"/>
      <c r="D596" s="4"/>
      <c r="E596" s="5"/>
      <c r="F596" s="4"/>
      <c r="G596" s="6">
        <f>IF(A596="","",SUBSTITUTE(SUBSTITUTE(SUBSTITUTE(SUBSTITUTE(SUBSTITUTE(SUBSTITUTE(SUBSTITUTE(TRIM(A596),".",""),"/",""),"-","")," ",""),"(",""),")",""),"+",""))</f>
      </c>
      <c r="H596" s="6">
        <f>IF(G596="","",IF(LEN(G596)&lt;&gt;14,"ERRO: "&amp;LEN(G596)&amp;" dígitos",IF(NOT(ISNUMBER(VALUE(G596))),"ERRO: não numérico",IF(AND(VALUE(MID(G596,13,1))=IF(MOD(SUMPRODUCT(--MID(G596,{1,2,3,4,5,6,7,8,9,10,11,12},1),{5,4,3,2,9,8,7,6,5,4,3,2}),11)&lt;2,0,11-MOD(SUMPRODUCT(--MID(G596,{1,2,3,4,5,6,7,8,9,10,11,12},1),{5,4,3,2,9,8,7,6,5,4,3,2}),11)),VALUE(MID(G596,14,1))=IF(MOD(SUMPRODUCT(--MID(G596,{1,2,3,4,5,6,7,8,9,10,11,12,13},1),{6,5,4,3,2,9,8,7,6,5,4,3,2}),11)&lt;2,0,11-MOD(SUMPRODUCT(--MID(G596,{1,2,3,4,5,6,7,8,9,10,11,12,13},1),{6,5,4,3,2,9,8,7,6,5,4,3,2}),11))),"OK","AVISO: dígito verificador (conferir na org)"))))</f>
      </c>
      <c r="I596" s="6">
        <f>IF(G596="","",IF(COUNTIF($G$2:$G$2001,G596)&gt;1,"DUPLICADO","OK"))</f>
      </c>
      <c r="J596" s="6">
        <f>IF(COUNTA(A596:F596)=0,"",IF(AND(A596&lt;&gt;"",E596&lt;&gt;""),"OK","ERRO: faltam "&amp;IF(A596="","CNPJ; ","")&amp;IF(E596="","Novo gerente; ","")))</f>
      </c>
      <c r="K596" s="6">
        <f>IF(COUNTA(A596:F596)=0,"",IF(AND(LEFT(H596,4)&lt;&gt;"ERRO",I596="OK",J596="OK"),"OK","REVISAR"))</f>
      </c>
    </row>
    <row r="597">
      <c r="A597" s="5"/>
      <c r="B597" s="4"/>
      <c r="C597" s="4"/>
      <c r="D597" s="4"/>
      <c r="E597" s="5"/>
      <c r="F597" s="4"/>
      <c r="G597" s="6">
        <f>IF(A597="","",SUBSTITUTE(SUBSTITUTE(SUBSTITUTE(SUBSTITUTE(SUBSTITUTE(SUBSTITUTE(SUBSTITUTE(TRIM(A597),".",""),"/",""),"-","")," ",""),"(",""),")",""),"+",""))</f>
      </c>
      <c r="H597" s="6">
        <f>IF(G597="","",IF(LEN(G597)&lt;&gt;14,"ERRO: "&amp;LEN(G597)&amp;" dígitos",IF(NOT(ISNUMBER(VALUE(G597))),"ERRO: não numérico",IF(AND(VALUE(MID(G597,13,1))=IF(MOD(SUMPRODUCT(--MID(G597,{1,2,3,4,5,6,7,8,9,10,11,12},1),{5,4,3,2,9,8,7,6,5,4,3,2}),11)&lt;2,0,11-MOD(SUMPRODUCT(--MID(G597,{1,2,3,4,5,6,7,8,9,10,11,12},1),{5,4,3,2,9,8,7,6,5,4,3,2}),11)),VALUE(MID(G597,14,1))=IF(MOD(SUMPRODUCT(--MID(G597,{1,2,3,4,5,6,7,8,9,10,11,12,13},1),{6,5,4,3,2,9,8,7,6,5,4,3,2}),11)&lt;2,0,11-MOD(SUMPRODUCT(--MID(G597,{1,2,3,4,5,6,7,8,9,10,11,12,13},1),{6,5,4,3,2,9,8,7,6,5,4,3,2}),11))),"OK","AVISO: dígito verificador (conferir na org)"))))</f>
      </c>
      <c r="I597" s="6">
        <f>IF(G597="","",IF(COUNTIF($G$2:$G$2001,G597)&gt;1,"DUPLICADO","OK"))</f>
      </c>
      <c r="J597" s="6">
        <f>IF(COUNTA(A597:F597)=0,"",IF(AND(A597&lt;&gt;"",E597&lt;&gt;""),"OK","ERRO: faltam "&amp;IF(A597="","CNPJ; ","")&amp;IF(E597="","Novo gerente; ","")))</f>
      </c>
      <c r="K597" s="6">
        <f>IF(COUNTA(A597:F597)=0,"",IF(AND(LEFT(H597,4)&lt;&gt;"ERRO",I597="OK",J597="OK"),"OK","REVISAR"))</f>
      </c>
    </row>
    <row r="598">
      <c r="A598" s="5"/>
      <c r="B598" s="4"/>
      <c r="C598" s="4"/>
      <c r="D598" s="4"/>
      <c r="E598" s="5"/>
      <c r="F598" s="4"/>
      <c r="G598" s="6">
        <f>IF(A598="","",SUBSTITUTE(SUBSTITUTE(SUBSTITUTE(SUBSTITUTE(SUBSTITUTE(SUBSTITUTE(SUBSTITUTE(TRIM(A598),".",""),"/",""),"-","")," ",""),"(",""),")",""),"+",""))</f>
      </c>
      <c r="H598" s="6">
        <f>IF(G598="","",IF(LEN(G598)&lt;&gt;14,"ERRO: "&amp;LEN(G598)&amp;" dígitos",IF(NOT(ISNUMBER(VALUE(G598))),"ERRO: não numérico",IF(AND(VALUE(MID(G598,13,1))=IF(MOD(SUMPRODUCT(--MID(G598,{1,2,3,4,5,6,7,8,9,10,11,12},1),{5,4,3,2,9,8,7,6,5,4,3,2}),11)&lt;2,0,11-MOD(SUMPRODUCT(--MID(G598,{1,2,3,4,5,6,7,8,9,10,11,12},1),{5,4,3,2,9,8,7,6,5,4,3,2}),11)),VALUE(MID(G598,14,1))=IF(MOD(SUMPRODUCT(--MID(G598,{1,2,3,4,5,6,7,8,9,10,11,12,13},1),{6,5,4,3,2,9,8,7,6,5,4,3,2}),11)&lt;2,0,11-MOD(SUMPRODUCT(--MID(G598,{1,2,3,4,5,6,7,8,9,10,11,12,13},1),{6,5,4,3,2,9,8,7,6,5,4,3,2}),11))),"OK","AVISO: dígito verificador (conferir na org)"))))</f>
      </c>
      <c r="I598" s="6">
        <f>IF(G598="","",IF(COUNTIF($G$2:$G$2001,G598)&gt;1,"DUPLICADO","OK"))</f>
      </c>
      <c r="J598" s="6">
        <f>IF(COUNTA(A598:F598)=0,"",IF(AND(A598&lt;&gt;"",E598&lt;&gt;""),"OK","ERRO: faltam "&amp;IF(A598="","CNPJ; ","")&amp;IF(E598="","Novo gerente; ","")))</f>
      </c>
      <c r="K598" s="6">
        <f>IF(COUNTA(A598:F598)=0,"",IF(AND(LEFT(H598,4)&lt;&gt;"ERRO",I598="OK",J598="OK"),"OK","REVISAR"))</f>
      </c>
    </row>
    <row r="599">
      <c r="A599" s="5"/>
      <c r="B599" s="4"/>
      <c r="C599" s="4"/>
      <c r="D599" s="4"/>
      <c r="E599" s="5"/>
      <c r="F599" s="4"/>
      <c r="G599" s="6">
        <f>IF(A599="","",SUBSTITUTE(SUBSTITUTE(SUBSTITUTE(SUBSTITUTE(SUBSTITUTE(SUBSTITUTE(SUBSTITUTE(TRIM(A599),".",""),"/",""),"-","")," ",""),"(",""),")",""),"+",""))</f>
      </c>
      <c r="H599" s="6">
        <f>IF(G599="","",IF(LEN(G599)&lt;&gt;14,"ERRO: "&amp;LEN(G599)&amp;" dígitos",IF(NOT(ISNUMBER(VALUE(G599))),"ERRO: não numérico",IF(AND(VALUE(MID(G599,13,1))=IF(MOD(SUMPRODUCT(--MID(G599,{1,2,3,4,5,6,7,8,9,10,11,12},1),{5,4,3,2,9,8,7,6,5,4,3,2}),11)&lt;2,0,11-MOD(SUMPRODUCT(--MID(G599,{1,2,3,4,5,6,7,8,9,10,11,12},1),{5,4,3,2,9,8,7,6,5,4,3,2}),11)),VALUE(MID(G599,14,1))=IF(MOD(SUMPRODUCT(--MID(G599,{1,2,3,4,5,6,7,8,9,10,11,12,13},1),{6,5,4,3,2,9,8,7,6,5,4,3,2}),11)&lt;2,0,11-MOD(SUMPRODUCT(--MID(G599,{1,2,3,4,5,6,7,8,9,10,11,12,13},1),{6,5,4,3,2,9,8,7,6,5,4,3,2}),11))),"OK","AVISO: dígito verificador (conferir na org)"))))</f>
      </c>
      <c r="I599" s="6">
        <f>IF(G599="","",IF(COUNTIF($G$2:$G$2001,G599)&gt;1,"DUPLICADO","OK"))</f>
      </c>
      <c r="J599" s="6">
        <f>IF(COUNTA(A599:F599)=0,"",IF(AND(A599&lt;&gt;"",E599&lt;&gt;""),"OK","ERRO: faltam "&amp;IF(A599="","CNPJ; ","")&amp;IF(E599="","Novo gerente; ","")))</f>
      </c>
      <c r="K599" s="6">
        <f>IF(COUNTA(A599:F599)=0,"",IF(AND(LEFT(H599,4)&lt;&gt;"ERRO",I599="OK",J599="OK"),"OK","REVISAR"))</f>
      </c>
    </row>
    <row r="600">
      <c r="A600" s="5"/>
      <c r="B600" s="4"/>
      <c r="C600" s="4"/>
      <c r="D600" s="4"/>
      <c r="E600" s="5"/>
      <c r="F600" s="4"/>
      <c r="G600" s="6">
        <f>IF(A600="","",SUBSTITUTE(SUBSTITUTE(SUBSTITUTE(SUBSTITUTE(SUBSTITUTE(SUBSTITUTE(SUBSTITUTE(TRIM(A600),".",""),"/",""),"-","")," ",""),"(",""),")",""),"+",""))</f>
      </c>
      <c r="H600" s="6">
        <f>IF(G600="","",IF(LEN(G600)&lt;&gt;14,"ERRO: "&amp;LEN(G600)&amp;" dígitos",IF(NOT(ISNUMBER(VALUE(G600))),"ERRO: não numérico",IF(AND(VALUE(MID(G600,13,1))=IF(MOD(SUMPRODUCT(--MID(G600,{1,2,3,4,5,6,7,8,9,10,11,12},1),{5,4,3,2,9,8,7,6,5,4,3,2}),11)&lt;2,0,11-MOD(SUMPRODUCT(--MID(G600,{1,2,3,4,5,6,7,8,9,10,11,12},1),{5,4,3,2,9,8,7,6,5,4,3,2}),11)),VALUE(MID(G600,14,1))=IF(MOD(SUMPRODUCT(--MID(G600,{1,2,3,4,5,6,7,8,9,10,11,12,13},1),{6,5,4,3,2,9,8,7,6,5,4,3,2}),11)&lt;2,0,11-MOD(SUMPRODUCT(--MID(G600,{1,2,3,4,5,6,7,8,9,10,11,12,13},1),{6,5,4,3,2,9,8,7,6,5,4,3,2}),11))),"OK","AVISO: dígito verificador (conferir na org)"))))</f>
      </c>
      <c r="I600" s="6">
        <f>IF(G600="","",IF(COUNTIF($G$2:$G$2001,G600)&gt;1,"DUPLICADO","OK"))</f>
      </c>
      <c r="J600" s="6">
        <f>IF(COUNTA(A600:F600)=0,"",IF(AND(A600&lt;&gt;"",E600&lt;&gt;""),"OK","ERRO: faltam "&amp;IF(A600="","CNPJ; ","")&amp;IF(E600="","Novo gerente; ","")))</f>
      </c>
      <c r="K600" s="6">
        <f>IF(COUNTA(A600:F600)=0,"",IF(AND(LEFT(H600,4)&lt;&gt;"ERRO",I600="OK",J600="OK"),"OK","REVISAR"))</f>
      </c>
    </row>
    <row r="601">
      <c r="A601" s="5"/>
      <c r="B601" s="4"/>
      <c r="C601" s="4"/>
      <c r="D601" s="4"/>
      <c r="E601" s="5"/>
      <c r="F601" s="4"/>
      <c r="G601" s="6">
        <f>IF(A601="","",SUBSTITUTE(SUBSTITUTE(SUBSTITUTE(SUBSTITUTE(SUBSTITUTE(SUBSTITUTE(SUBSTITUTE(TRIM(A601),".",""),"/",""),"-","")," ",""),"(",""),")",""),"+",""))</f>
      </c>
      <c r="H601" s="6">
        <f>IF(G601="","",IF(LEN(G601)&lt;&gt;14,"ERRO: "&amp;LEN(G601)&amp;" dígitos",IF(NOT(ISNUMBER(VALUE(G601))),"ERRO: não numérico",IF(AND(VALUE(MID(G601,13,1))=IF(MOD(SUMPRODUCT(--MID(G601,{1,2,3,4,5,6,7,8,9,10,11,12},1),{5,4,3,2,9,8,7,6,5,4,3,2}),11)&lt;2,0,11-MOD(SUMPRODUCT(--MID(G601,{1,2,3,4,5,6,7,8,9,10,11,12},1),{5,4,3,2,9,8,7,6,5,4,3,2}),11)),VALUE(MID(G601,14,1))=IF(MOD(SUMPRODUCT(--MID(G601,{1,2,3,4,5,6,7,8,9,10,11,12,13},1),{6,5,4,3,2,9,8,7,6,5,4,3,2}),11)&lt;2,0,11-MOD(SUMPRODUCT(--MID(G601,{1,2,3,4,5,6,7,8,9,10,11,12,13},1),{6,5,4,3,2,9,8,7,6,5,4,3,2}),11))),"OK","AVISO: dígito verificador (conferir na org)"))))</f>
      </c>
      <c r="I601" s="6">
        <f>IF(G601="","",IF(COUNTIF($G$2:$G$2001,G601)&gt;1,"DUPLICADO","OK"))</f>
      </c>
      <c r="J601" s="6">
        <f>IF(COUNTA(A601:F601)=0,"",IF(AND(A601&lt;&gt;"",E601&lt;&gt;""),"OK","ERRO: faltam "&amp;IF(A601="","CNPJ; ","")&amp;IF(E601="","Novo gerente; ","")))</f>
      </c>
      <c r="K601" s="6">
        <f>IF(COUNTA(A601:F601)=0,"",IF(AND(LEFT(H601,4)&lt;&gt;"ERRO",I601="OK",J601="OK"),"OK","REVISAR"))</f>
      </c>
    </row>
    <row r="602">
      <c r="A602" s="5"/>
      <c r="B602" s="4"/>
      <c r="C602" s="4"/>
      <c r="D602" s="4"/>
      <c r="E602" s="5"/>
      <c r="F602" s="4"/>
      <c r="G602" s="6">
        <f>IF(A602="","",SUBSTITUTE(SUBSTITUTE(SUBSTITUTE(SUBSTITUTE(SUBSTITUTE(SUBSTITUTE(SUBSTITUTE(TRIM(A602),".",""),"/",""),"-","")," ",""),"(",""),")",""),"+",""))</f>
      </c>
      <c r="H602" s="6">
        <f>IF(G602="","",IF(LEN(G602)&lt;&gt;14,"ERRO: "&amp;LEN(G602)&amp;" dígitos",IF(NOT(ISNUMBER(VALUE(G602))),"ERRO: não numérico",IF(AND(VALUE(MID(G602,13,1))=IF(MOD(SUMPRODUCT(--MID(G602,{1,2,3,4,5,6,7,8,9,10,11,12},1),{5,4,3,2,9,8,7,6,5,4,3,2}),11)&lt;2,0,11-MOD(SUMPRODUCT(--MID(G602,{1,2,3,4,5,6,7,8,9,10,11,12},1),{5,4,3,2,9,8,7,6,5,4,3,2}),11)),VALUE(MID(G602,14,1))=IF(MOD(SUMPRODUCT(--MID(G602,{1,2,3,4,5,6,7,8,9,10,11,12,13},1),{6,5,4,3,2,9,8,7,6,5,4,3,2}),11)&lt;2,0,11-MOD(SUMPRODUCT(--MID(G602,{1,2,3,4,5,6,7,8,9,10,11,12,13},1),{6,5,4,3,2,9,8,7,6,5,4,3,2}),11))),"OK","AVISO: dígito verificador (conferir na org)"))))</f>
      </c>
      <c r="I602" s="6">
        <f>IF(G602="","",IF(COUNTIF($G$2:$G$2001,G602)&gt;1,"DUPLICADO","OK"))</f>
      </c>
      <c r="J602" s="6">
        <f>IF(COUNTA(A602:F602)=0,"",IF(AND(A602&lt;&gt;"",E602&lt;&gt;""),"OK","ERRO: faltam "&amp;IF(A602="","CNPJ; ","")&amp;IF(E602="","Novo gerente; ","")))</f>
      </c>
      <c r="K602" s="6">
        <f>IF(COUNTA(A602:F602)=0,"",IF(AND(LEFT(H602,4)&lt;&gt;"ERRO",I602="OK",J602="OK"),"OK","REVISAR"))</f>
      </c>
    </row>
    <row r="603">
      <c r="A603" s="5"/>
      <c r="B603" s="4"/>
      <c r="C603" s="4"/>
      <c r="D603" s="4"/>
      <c r="E603" s="5"/>
      <c r="F603" s="4"/>
      <c r="G603" s="6">
        <f>IF(A603="","",SUBSTITUTE(SUBSTITUTE(SUBSTITUTE(SUBSTITUTE(SUBSTITUTE(SUBSTITUTE(SUBSTITUTE(TRIM(A603),".",""),"/",""),"-","")," ",""),"(",""),")",""),"+",""))</f>
      </c>
      <c r="H603" s="6">
        <f>IF(G603="","",IF(LEN(G603)&lt;&gt;14,"ERRO: "&amp;LEN(G603)&amp;" dígitos",IF(NOT(ISNUMBER(VALUE(G603))),"ERRO: não numérico",IF(AND(VALUE(MID(G603,13,1))=IF(MOD(SUMPRODUCT(--MID(G603,{1,2,3,4,5,6,7,8,9,10,11,12},1),{5,4,3,2,9,8,7,6,5,4,3,2}),11)&lt;2,0,11-MOD(SUMPRODUCT(--MID(G603,{1,2,3,4,5,6,7,8,9,10,11,12},1),{5,4,3,2,9,8,7,6,5,4,3,2}),11)),VALUE(MID(G603,14,1))=IF(MOD(SUMPRODUCT(--MID(G603,{1,2,3,4,5,6,7,8,9,10,11,12,13},1),{6,5,4,3,2,9,8,7,6,5,4,3,2}),11)&lt;2,0,11-MOD(SUMPRODUCT(--MID(G603,{1,2,3,4,5,6,7,8,9,10,11,12,13},1),{6,5,4,3,2,9,8,7,6,5,4,3,2}),11))),"OK","AVISO: dígito verificador (conferir na org)"))))</f>
      </c>
      <c r="I603" s="6">
        <f>IF(G603="","",IF(COUNTIF($G$2:$G$2001,G603)&gt;1,"DUPLICADO","OK"))</f>
      </c>
      <c r="J603" s="6">
        <f>IF(COUNTA(A603:F603)=0,"",IF(AND(A603&lt;&gt;"",E603&lt;&gt;""),"OK","ERRO: faltam "&amp;IF(A603="","CNPJ; ","")&amp;IF(E603="","Novo gerente; ","")))</f>
      </c>
      <c r="K603" s="6">
        <f>IF(COUNTA(A603:F603)=0,"",IF(AND(LEFT(H603,4)&lt;&gt;"ERRO",I603="OK",J603="OK"),"OK","REVISAR"))</f>
      </c>
    </row>
    <row r="604">
      <c r="A604" s="5"/>
      <c r="B604" s="4"/>
      <c r="C604" s="4"/>
      <c r="D604" s="4"/>
      <c r="E604" s="5"/>
      <c r="F604" s="4"/>
      <c r="G604" s="6">
        <f>IF(A604="","",SUBSTITUTE(SUBSTITUTE(SUBSTITUTE(SUBSTITUTE(SUBSTITUTE(SUBSTITUTE(SUBSTITUTE(TRIM(A604),".",""),"/",""),"-","")," ",""),"(",""),")",""),"+",""))</f>
      </c>
      <c r="H604" s="6">
        <f>IF(G604="","",IF(LEN(G604)&lt;&gt;14,"ERRO: "&amp;LEN(G604)&amp;" dígitos",IF(NOT(ISNUMBER(VALUE(G604))),"ERRO: não numérico",IF(AND(VALUE(MID(G604,13,1))=IF(MOD(SUMPRODUCT(--MID(G604,{1,2,3,4,5,6,7,8,9,10,11,12},1),{5,4,3,2,9,8,7,6,5,4,3,2}),11)&lt;2,0,11-MOD(SUMPRODUCT(--MID(G604,{1,2,3,4,5,6,7,8,9,10,11,12},1),{5,4,3,2,9,8,7,6,5,4,3,2}),11)),VALUE(MID(G604,14,1))=IF(MOD(SUMPRODUCT(--MID(G604,{1,2,3,4,5,6,7,8,9,10,11,12,13},1),{6,5,4,3,2,9,8,7,6,5,4,3,2}),11)&lt;2,0,11-MOD(SUMPRODUCT(--MID(G604,{1,2,3,4,5,6,7,8,9,10,11,12,13},1),{6,5,4,3,2,9,8,7,6,5,4,3,2}),11))),"OK","AVISO: dígito verificador (conferir na org)"))))</f>
      </c>
      <c r="I604" s="6">
        <f>IF(G604="","",IF(COUNTIF($G$2:$G$2001,G604)&gt;1,"DUPLICADO","OK"))</f>
      </c>
      <c r="J604" s="6">
        <f>IF(COUNTA(A604:F604)=0,"",IF(AND(A604&lt;&gt;"",E604&lt;&gt;""),"OK","ERRO: faltam "&amp;IF(A604="","CNPJ; ","")&amp;IF(E604="","Novo gerente; ","")))</f>
      </c>
      <c r="K604" s="6">
        <f>IF(COUNTA(A604:F604)=0,"",IF(AND(LEFT(H604,4)&lt;&gt;"ERRO",I604="OK",J604="OK"),"OK","REVISAR"))</f>
      </c>
    </row>
    <row r="605">
      <c r="A605" s="5"/>
      <c r="B605" s="4"/>
      <c r="C605" s="4"/>
      <c r="D605" s="4"/>
      <c r="E605" s="5"/>
      <c r="F605" s="4"/>
      <c r="G605" s="6">
        <f>IF(A605="","",SUBSTITUTE(SUBSTITUTE(SUBSTITUTE(SUBSTITUTE(SUBSTITUTE(SUBSTITUTE(SUBSTITUTE(TRIM(A605),".",""),"/",""),"-","")," ",""),"(",""),")",""),"+",""))</f>
      </c>
      <c r="H605" s="6">
        <f>IF(G605="","",IF(LEN(G605)&lt;&gt;14,"ERRO: "&amp;LEN(G605)&amp;" dígitos",IF(NOT(ISNUMBER(VALUE(G605))),"ERRO: não numérico",IF(AND(VALUE(MID(G605,13,1))=IF(MOD(SUMPRODUCT(--MID(G605,{1,2,3,4,5,6,7,8,9,10,11,12},1),{5,4,3,2,9,8,7,6,5,4,3,2}),11)&lt;2,0,11-MOD(SUMPRODUCT(--MID(G605,{1,2,3,4,5,6,7,8,9,10,11,12},1),{5,4,3,2,9,8,7,6,5,4,3,2}),11)),VALUE(MID(G605,14,1))=IF(MOD(SUMPRODUCT(--MID(G605,{1,2,3,4,5,6,7,8,9,10,11,12,13},1),{6,5,4,3,2,9,8,7,6,5,4,3,2}),11)&lt;2,0,11-MOD(SUMPRODUCT(--MID(G605,{1,2,3,4,5,6,7,8,9,10,11,12,13},1),{6,5,4,3,2,9,8,7,6,5,4,3,2}),11))),"OK","AVISO: dígito verificador (conferir na org)"))))</f>
      </c>
      <c r="I605" s="6">
        <f>IF(G605="","",IF(COUNTIF($G$2:$G$2001,G605)&gt;1,"DUPLICADO","OK"))</f>
      </c>
      <c r="J605" s="6">
        <f>IF(COUNTA(A605:F605)=0,"",IF(AND(A605&lt;&gt;"",E605&lt;&gt;""),"OK","ERRO: faltam "&amp;IF(A605="","CNPJ; ","")&amp;IF(E605="","Novo gerente; ","")))</f>
      </c>
      <c r="K605" s="6">
        <f>IF(COUNTA(A605:F605)=0,"",IF(AND(LEFT(H605,4)&lt;&gt;"ERRO",I605="OK",J605="OK"),"OK","REVISAR"))</f>
      </c>
    </row>
    <row r="606">
      <c r="A606" s="5"/>
      <c r="B606" s="4"/>
      <c r="C606" s="4"/>
      <c r="D606" s="4"/>
      <c r="E606" s="5"/>
      <c r="F606" s="4"/>
      <c r="G606" s="6">
        <f>IF(A606="","",SUBSTITUTE(SUBSTITUTE(SUBSTITUTE(SUBSTITUTE(SUBSTITUTE(SUBSTITUTE(SUBSTITUTE(TRIM(A606),".",""),"/",""),"-","")," ",""),"(",""),")",""),"+",""))</f>
      </c>
      <c r="H606" s="6">
        <f>IF(G606="","",IF(LEN(G606)&lt;&gt;14,"ERRO: "&amp;LEN(G606)&amp;" dígitos",IF(NOT(ISNUMBER(VALUE(G606))),"ERRO: não numérico",IF(AND(VALUE(MID(G606,13,1))=IF(MOD(SUMPRODUCT(--MID(G606,{1,2,3,4,5,6,7,8,9,10,11,12},1),{5,4,3,2,9,8,7,6,5,4,3,2}),11)&lt;2,0,11-MOD(SUMPRODUCT(--MID(G606,{1,2,3,4,5,6,7,8,9,10,11,12},1),{5,4,3,2,9,8,7,6,5,4,3,2}),11)),VALUE(MID(G606,14,1))=IF(MOD(SUMPRODUCT(--MID(G606,{1,2,3,4,5,6,7,8,9,10,11,12,13},1),{6,5,4,3,2,9,8,7,6,5,4,3,2}),11)&lt;2,0,11-MOD(SUMPRODUCT(--MID(G606,{1,2,3,4,5,6,7,8,9,10,11,12,13},1),{6,5,4,3,2,9,8,7,6,5,4,3,2}),11))),"OK","AVISO: dígito verificador (conferir na org)"))))</f>
      </c>
      <c r="I606" s="6">
        <f>IF(G606="","",IF(COUNTIF($G$2:$G$2001,G606)&gt;1,"DUPLICADO","OK"))</f>
      </c>
      <c r="J606" s="6">
        <f>IF(COUNTA(A606:F606)=0,"",IF(AND(A606&lt;&gt;"",E606&lt;&gt;""),"OK","ERRO: faltam "&amp;IF(A606="","CNPJ; ","")&amp;IF(E606="","Novo gerente; ","")))</f>
      </c>
      <c r="K606" s="6">
        <f>IF(COUNTA(A606:F606)=0,"",IF(AND(LEFT(H606,4)&lt;&gt;"ERRO",I606="OK",J606="OK"),"OK","REVISAR"))</f>
      </c>
    </row>
    <row r="607">
      <c r="A607" s="5"/>
      <c r="B607" s="4"/>
      <c r="C607" s="4"/>
      <c r="D607" s="4"/>
      <c r="E607" s="5"/>
      <c r="F607" s="4"/>
      <c r="G607" s="6">
        <f>IF(A607="","",SUBSTITUTE(SUBSTITUTE(SUBSTITUTE(SUBSTITUTE(SUBSTITUTE(SUBSTITUTE(SUBSTITUTE(TRIM(A607),".",""),"/",""),"-","")," ",""),"(",""),")",""),"+",""))</f>
      </c>
      <c r="H607" s="6">
        <f>IF(G607="","",IF(LEN(G607)&lt;&gt;14,"ERRO: "&amp;LEN(G607)&amp;" dígitos",IF(NOT(ISNUMBER(VALUE(G607))),"ERRO: não numérico",IF(AND(VALUE(MID(G607,13,1))=IF(MOD(SUMPRODUCT(--MID(G607,{1,2,3,4,5,6,7,8,9,10,11,12},1),{5,4,3,2,9,8,7,6,5,4,3,2}),11)&lt;2,0,11-MOD(SUMPRODUCT(--MID(G607,{1,2,3,4,5,6,7,8,9,10,11,12},1),{5,4,3,2,9,8,7,6,5,4,3,2}),11)),VALUE(MID(G607,14,1))=IF(MOD(SUMPRODUCT(--MID(G607,{1,2,3,4,5,6,7,8,9,10,11,12,13},1),{6,5,4,3,2,9,8,7,6,5,4,3,2}),11)&lt;2,0,11-MOD(SUMPRODUCT(--MID(G607,{1,2,3,4,5,6,7,8,9,10,11,12,13},1),{6,5,4,3,2,9,8,7,6,5,4,3,2}),11))),"OK","AVISO: dígito verificador (conferir na org)"))))</f>
      </c>
      <c r="I607" s="6">
        <f>IF(G607="","",IF(COUNTIF($G$2:$G$2001,G607)&gt;1,"DUPLICADO","OK"))</f>
      </c>
      <c r="J607" s="6">
        <f>IF(COUNTA(A607:F607)=0,"",IF(AND(A607&lt;&gt;"",E607&lt;&gt;""),"OK","ERRO: faltam "&amp;IF(A607="","CNPJ; ","")&amp;IF(E607="","Novo gerente; ","")))</f>
      </c>
      <c r="K607" s="6">
        <f>IF(COUNTA(A607:F607)=0,"",IF(AND(LEFT(H607,4)&lt;&gt;"ERRO",I607="OK",J607="OK"),"OK","REVISAR"))</f>
      </c>
    </row>
    <row r="608">
      <c r="A608" s="5"/>
      <c r="B608" s="4"/>
      <c r="C608" s="4"/>
      <c r="D608" s="4"/>
      <c r="E608" s="5"/>
      <c r="F608" s="4"/>
      <c r="G608" s="6">
        <f>IF(A608="","",SUBSTITUTE(SUBSTITUTE(SUBSTITUTE(SUBSTITUTE(SUBSTITUTE(SUBSTITUTE(SUBSTITUTE(TRIM(A608),".",""),"/",""),"-","")," ",""),"(",""),")",""),"+",""))</f>
      </c>
      <c r="H608" s="6">
        <f>IF(G608="","",IF(LEN(G608)&lt;&gt;14,"ERRO: "&amp;LEN(G608)&amp;" dígitos",IF(NOT(ISNUMBER(VALUE(G608))),"ERRO: não numérico",IF(AND(VALUE(MID(G608,13,1))=IF(MOD(SUMPRODUCT(--MID(G608,{1,2,3,4,5,6,7,8,9,10,11,12},1),{5,4,3,2,9,8,7,6,5,4,3,2}),11)&lt;2,0,11-MOD(SUMPRODUCT(--MID(G608,{1,2,3,4,5,6,7,8,9,10,11,12},1),{5,4,3,2,9,8,7,6,5,4,3,2}),11)),VALUE(MID(G608,14,1))=IF(MOD(SUMPRODUCT(--MID(G608,{1,2,3,4,5,6,7,8,9,10,11,12,13},1),{6,5,4,3,2,9,8,7,6,5,4,3,2}),11)&lt;2,0,11-MOD(SUMPRODUCT(--MID(G608,{1,2,3,4,5,6,7,8,9,10,11,12,13},1),{6,5,4,3,2,9,8,7,6,5,4,3,2}),11))),"OK","AVISO: dígito verificador (conferir na org)"))))</f>
      </c>
      <c r="I608" s="6">
        <f>IF(G608="","",IF(COUNTIF($G$2:$G$2001,G608)&gt;1,"DUPLICADO","OK"))</f>
      </c>
      <c r="J608" s="6">
        <f>IF(COUNTA(A608:F608)=0,"",IF(AND(A608&lt;&gt;"",E608&lt;&gt;""),"OK","ERRO: faltam "&amp;IF(A608="","CNPJ; ","")&amp;IF(E608="","Novo gerente; ","")))</f>
      </c>
      <c r="K608" s="6">
        <f>IF(COUNTA(A608:F608)=0,"",IF(AND(LEFT(H608,4)&lt;&gt;"ERRO",I608="OK",J608="OK"),"OK","REVISAR"))</f>
      </c>
    </row>
    <row r="609">
      <c r="A609" s="5"/>
      <c r="B609" s="4"/>
      <c r="C609" s="4"/>
      <c r="D609" s="4"/>
      <c r="E609" s="5"/>
      <c r="F609" s="4"/>
      <c r="G609" s="6">
        <f>IF(A609="","",SUBSTITUTE(SUBSTITUTE(SUBSTITUTE(SUBSTITUTE(SUBSTITUTE(SUBSTITUTE(SUBSTITUTE(TRIM(A609),".",""),"/",""),"-","")," ",""),"(",""),")",""),"+",""))</f>
      </c>
      <c r="H609" s="6">
        <f>IF(G609="","",IF(LEN(G609)&lt;&gt;14,"ERRO: "&amp;LEN(G609)&amp;" dígitos",IF(NOT(ISNUMBER(VALUE(G609))),"ERRO: não numérico",IF(AND(VALUE(MID(G609,13,1))=IF(MOD(SUMPRODUCT(--MID(G609,{1,2,3,4,5,6,7,8,9,10,11,12},1),{5,4,3,2,9,8,7,6,5,4,3,2}),11)&lt;2,0,11-MOD(SUMPRODUCT(--MID(G609,{1,2,3,4,5,6,7,8,9,10,11,12},1),{5,4,3,2,9,8,7,6,5,4,3,2}),11)),VALUE(MID(G609,14,1))=IF(MOD(SUMPRODUCT(--MID(G609,{1,2,3,4,5,6,7,8,9,10,11,12,13},1),{6,5,4,3,2,9,8,7,6,5,4,3,2}),11)&lt;2,0,11-MOD(SUMPRODUCT(--MID(G609,{1,2,3,4,5,6,7,8,9,10,11,12,13},1),{6,5,4,3,2,9,8,7,6,5,4,3,2}),11))),"OK","AVISO: dígito verificador (conferir na org)"))))</f>
      </c>
      <c r="I609" s="6">
        <f>IF(G609="","",IF(COUNTIF($G$2:$G$2001,G609)&gt;1,"DUPLICADO","OK"))</f>
      </c>
      <c r="J609" s="6">
        <f>IF(COUNTA(A609:F609)=0,"",IF(AND(A609&lt;&gt;"",E609&lt;&gt;""),"OK","ERRO: faltam "&amp;IF(A609="","CNPJ; ","")&amp;IF(E609="","Novo gerente; ","")))</f>
      </c>
      <c r="K609" s="6">
        <f>IF(COUNTA(A609:F609)=0,"",IF(AND(LEFT(H609,4)&lt;&gt;"ERRO",I609="OK",J609="OK"),"OK","REVISAR"))</f>
      </c>
    </row>
    <row r="610">
      <c r="A610" s="5"/>
      <c r="B610" s="4"/>
      <c r="C610" s="4"/>
      <c r="D610" s="4"/>
      <c r="E610" s="5"/>
      <c r="F610" s="4"/>
      <c r="G610" s="6">
        <f>IF(A610="","",SUBSTITUTE(SUBSTITUTE(SUBSTITUTE(SUBSTITUTE(SUBSTITUTE(SUBSTITUTE(SUBSTITUTE(TRIM(A610),".",""),"/",""),"-","")," ",""),"(",""),")",""),"+",""))</f>
      </c>
      <c r="H610" s="6">
        <f>IF(G610="","",IF(LEN(G610)&lt;&gt;14,"ERRO: "&amp;LEN(G610)&amp;" dígitos",IF(NOT(ISNUMBER(VALUE(G610))),"ERRO: não numérico",IF(AND(VALUE(MID(G610,13,1))=IF(MOD(SUMPRODUCT(--MID(G610,{1,2,3,4,5,6,7,8,9,10,11,12},1),{5,4,3,2,9,8,7,6,5,4,3,2}),11)&lt;2,0,11-MOD(SUMPRODUCT(--MID(G610,{1,2,3,4,5,6,7,8,9,10,11,12},1),{5,4,3,2,9,8,7,6,5,4,3,2}),11)),VALUE(MID(G610,14,1))=IF(MOD(SUMPRODUCT(--MID(G610,{1,2,3,4,5,6,7,8,9,10,11,12,13},1),{6,5,4,3,2,9,8,7,6,5,4,3,2}),11)&lt;2,0,11-MOD(SUMPRODUCT(--MID(G610,{1,2,3,4,5,6,7,8,9,10,11,12,13},1),{6,5,4,3,2,9,8,7,6,5,4,3,2}),11))),"OK","AVISO: dígito verificador (conferir na org)"))))</f>
      </c>
      <c r="I610" s="6">
        <f>IF(G610="","",IF(COUNTIF($G$2:$G$2001,G610)&gt;1,"DUPLICADO","OK"))</f>
      </c>
      <c r="J610" s="6">
        <f>IF(COUNTA(A610:F610)=0,"",IF(AND(A610&lt;&gt;"",E610&lt;&gt;""),"OK","ERRO: faltam "&amp;IF(A610="","CNPJ; ","")&amp;IF(E610="","Novo gerente; ","")))</f>
      </c>
      <c r="K610" s="6">
        <f>IF(COUNTA(A610:F610)=0,"",IF(AND(LEFT(H610,4)&lt;&gt;"ERRO",I610="OK",J610="OK"),"OK","REVISAR"))</f>
      </c>
    </row>
    <row r="611">
      <c r="A611" s="5"/>
      <c r="B611" s="4"/>
      <c r="C611" s="4"/>
      <c r="D611" s="4"/>
      <c r="E611" s="5"/>
      <c r="F611" s="4"/>
      <c r="G611" s="6">
        <f>IF(A611="","",SUBSTITUTE(SUBSTITUTE(SUBSTITUTE(SUBSTITUTE(SUBSTITUTE(SUBSTITUTE(SUBSTITUTE(TRIM(A611),".",""),"/",""),"-","")," ",""),"(",""),")",""),"+",""))</f>
      </c>
      <c r="H611" s="6">
        <f>IF(G611="","",IF(LEN(G611)&lt;&gt;14,"ERRO: "&amp;LEN(G611)&amp;" dígitos",IF(NOT(ISNUMBER(VALUE(G611))),"ERRO: não numérico",IF(AND(VALUE(MID(G611,13,1))=IF(MOD(SUMPRODUCT(--MID(G611,{1,2,3,4,5,6,7,8,9,10,11,12},1),{5,4,3,2,9,8,7,6,5,4,3,2}),11)&lt;2,0,11-MOD(SUMPRODUCT(--MID(G611,{1,2,3,4,5,6,7,8,9,10,11,12},1),{5,4,3,2,9,8,7,6,5,4,3,2}),11)),VALUE(MID(G611,14,1))=IF(MOD(SUMPRODUCT(--MID(G611,{1,2,3,4,5,6,7,8,9,10,11,12,13},1),{6,5,4,3,2,9,8,7,6,5,4,3,2}),11)&lt;2,0,11-MOD(SUMPRODUCT(--MID(G611,{1,2,3,4,5,6,7,8,9,10,11,12,13},1),{6,5,4,3,2,9,8,7,6,5,4,3,2}),11))),"OK","AVISO: dígito verificador (conferir na org)"))))</f>
      </c>
      <c r="I611" s="6">
        <f>IF(G611="","",IF(COUNTIF($G$2:$G$2001,G611)&gt;1,"DUPLICADO","OK"))</f>
      </c>
      <c r="J611" s="6">
        <f>IF(COUNTA(A611:F611)=0,"",IF(AND(A611&lt;&gt;"",E611&lt;&gt;""),"OK","ERRO: faltam "&amp;IF(A611="","CNPJ; ","")&amp;IF(E611="","Novo gerente; ","")))</f>
      </c>
      <c r="K611" s="6">
        <f>IF(COUNTA(A611:F611)=0,"",IF(AND(LEFT(H611,4)&lt;&gt;"ERRO",I611="OK",J611="OK"),"OK","REVISAR"))</f>
      </c>
    </row>
    <row r="612">
      <c r="A612" s="5"/>
      <c r="B612" s="4"/>
      <c r="C612" s="4"/>
      <c r="D612" s="4"/>
      <c r="E612" s="5"/>
      <c r="F612" s="4"/>
      <c r="G612" s="6">
        <f>IF(A612="","",SUBSTITUTE(SUBSTITUTE(SUBSTITUTE(SUBSTITUTE(SUBSTITUTE(SUBSTITUTE(SUBSTITUTE(TRIM(A612),".",""),"/",""),"-","")," ",""),"(",""),")",""),"+",""))</f>
      </c>
      <c r="H612" s="6">
        <f>IF(G612="","",IF(LEN(G612)&lt;&gt;14,"ERRO: "&amp;LEN(G612)&amp;" dígitos",IF(NOT(ISNUMBER(VALUE(G612))),"ERRO: não numérico",IF(AND(VALUE(MID(G612,13,1))=IF(MOD(SUMPRODUCT(--MID(G612,{1,2,3,4,5,6,7,8,9,10,11,12},1),{5,4,3,2,9,8,7,6,5,4,3,2}),11)&lt;2,0,11-MOD(SUMPRODUCT(--MID(G612,{1,2,3,4,5,6,7,8,9,10,11,12},1),{5,4,3,2,9,8,7,6,5,4,3,2}),11)),VALUE(MID(G612,14,1))=IF(MOD(SUMPRODUCT(--MID(G612,{1,2,3,4,5,6,7,8,9,10,11,12,13},1),{6,5,4,3,2,9,8,7,6,5,4,3,2}),11)&lt;2,0,11-MOD(SUMPRODUCT(--MID(G612,{1,2,3,4,5,6,7,8,9,10,11,12,13},1),{6,5,4,3,2,9,8,7,6,5,4,3,2}),11))),"OK","AVISO: dígito verificador (conferir na org)"))))</f>
      </c>
      <c r="I612" s="6">
        <f>IF(G612="","",IF(COUNTIF($G$2:$G$2001,G612)&gt;1,"DUPLICADO","OK"))</f>
      </c>
      <c r="J612" s="6">
        <f>IF(COUNTA(A612:F612)=0,"",IF(AND(A612&lt;&gt;"",E612&lt;&gt;""),"OK","ERRO: faltam "&amp;IF(A612="","CNPJ; ","")&amp;IF(E612="","Novo gerente; ","")))</f>
      </c>
      <c r="K612" s="6">
        <f>IF(COUNTA(A612:F612)=0,"",IF(AND(LEFT(H612,4)&lt;&gt;"ERRO",I612="OK",J612="OK"),"OK","REVISAR"))</f>
      </c>
    </row>
    <row r="613">
      <c r="A613" s="5"/>
      <c r="B613" s="4"/>
      <c r="C613" s="4"/>
      <c r="D613" s="4"/>
      <c r="E613" s="5"/>
      <c r="F613" s="4"/>
      <c r="G613" s="6">
        <f>IF(A613="","",SUBSTITUTE(SUBSTITUTE(SUBSTITUTE(SUBSTITUTE(SUBSTITUTE(SUBSTITUTE(SUBSTITUTE(TRIM(A613),".",""),"/",""),"-","")," ",""),"(",""),")",""),"+",""))</f>
      </c>
      <c r="H613" s="6">
        <f>IF(G613="","",IF(LEN(G613)&lt;&gt;14,"ERRO: "&amp;LEN(G613)&amp;" dígitos",IF(NOT(ISNUMBER(VALUE(G613))),"ERRO: não numérico",IF(AND(VALUE(MID(G613,13,1))=IF(MOD(SUMPRODUCT(--MID(G613,{1,2,3,4,5,6,7,8,9,10,11,12},1),{5,4,3,2,9,8,7,6,5,4,3,2}),11)&lt;2,0,11-MOD(SUMPRODUCT(--MID(G613,{1,2,3,4,5,6,7,8,9,10,11,12},1),{5,4,3,2,9,8,7,6,5,4,3,2}),11)),VALUE(MID(G613,14,1))=IF(MOD(SUMPRODUCT(--MID(G613,{1,2,3,4,5,6,7,8,9,10,11,12,13},1),{6,5,4,3,2,9,8,7,6,5,4,3,2}),11)&lt;2,0,11-MOD(SUMPRODUCT(--MID(G613,{1,2,3,4,5,6,7,8,9,10,11,12,13},1),{6,5,4,3,2,9,8,7,6,5,4,3,2}),11))),"OK","AVISO: dígito verificador (conferir na org)"))))</f>
      </c>
      <c r="I613" s="6">
        <f>IF(G613="","",IF(COUNTIF($G$2:$G$2001,G613)&gt;1,"DUPLICADO","OK"))</f>
      </c>
      <c r="J613" s="6">
        <f>IF(COUNTA(A613:F613)=0,"",IF(AND(A613&lt;&gt;"",E613&lt;&gt;""),"OK","ERRO: faltam "&amp;IF(A613="","CNPJ; ","")&amp;IF(E613="","Novo gerente; ","")))</f>
      </c>
      <c r="K613" s="6">
        <f>IF(COUNTA(A613:F613)=0,"",IF(AND(LEFT(H613,4)&lt;&gt;"ERRO",I613="OK",J613="OK"),"OK","REVISAR"))</f>
      </c>
    </row>
    <row r="614">
      <c r="A614" s="5"/>
      <c r="B614" s="4"/>
      <c r="C614" s="4"/>
      <c r="D614" s="4"/>
      <c r="E614" s="5"/>
      <c r="F614" s="4"/>
      <c r="G614" s="6">
        <f>IF(A614="","",SUBSTITUTE(SUBSTITUTE(SUBSTITUTE(SUBSTITUTE(SUBSTITUTE(SUBSTITUTE(SUBSTITUTE(TRIM(A614),".",""),"/",""),"-","")," ",""),"(",""),")",""),"+",""))</f>
      </c>
      <c r="H614" s="6">
        <f>IF(G614="","",IF(LEN(G614)&lt;&gt;14,"ERRO: "&amp;LEN(G614)&amp;" dígitos",IF(NOT(ISNUMBER(VALUE(G614))),"ERRO: não numérico",IF(AND(VALUE(MID(G614,13,1))=IF(MOD(SUMPRODUCT(--MID(G614,{1,2,3,4,5,6,7,8,9,10,11,12},1),{5,4,3,2,9,8,7,6,5,4,3,2}),11)&lt;2,0,11-MOD(SUMPRODUCT(--MID(G614,{1,2,3,4,5,6,7,8,9,10,11,12},1),{5,4,3,2,9,8,7,6,5,4,3,2}),11)),VALUE(MID(G614,14,1))=IF(MOD(SUMPRODUCT(--MID(G614,{1,2,3,4,5,6,7,8,9,10,11,12,13},1),{6,5,4,3,2,9,8,7,6,5,4,3,2}),11)&lt;2,0,11-MOD(SUMPRODUCT(--MID(G614,{1,2,3,4,5,6,7,8,9,10,11,12,13},1),{6,5,4,3,2,9,8,7,6,5,4,3,2}),11))),"OK","AVISO: dígito verificador (conferir na org)"))))</f>
      </c>
      <c r="I614" s="6">
        <f>IF(G614="","",IF(COUNTIF($G$2:$G$2001,G614)&gt;1,"DUPLICADO","OK"))</f>
      </c>
      <c r="J614" s="6">
        <f>IF(COUNTA(A614:F614)=0,"",IF(AND(A614&lt;&gt;"",E614&lt;&gt;""),"OK","ERRO: faltam "&amp;IF(A614="","CNPJ; ","")&amp;IF(E614="","Novo gerente; ","")))</f>
      </c>
      <c r="K614" s="6">
        <f>IF(COUNTA(A614:F614)=0,"",IF(AND(LEFT(H614,4)&lt;&gt;"ERRO",I614="OK",J614="OK"),"OK","REVISAR"))</f>
      </c>
    </row>
    <row r="615">
      <c r="A615" s="5"/>
      <c r="B615" s="4"/>
      <c r="C615" s="4"/>
      <c r="D615" s="4"/>
      <c r="E615" s="5"/>
      <c r="F615" s="4"/>
      <c r="G615" s="6">
        <f>IF(A615="","",SUBSTITUTE(SUBSTITUTE(SUBSTITUTE(SUBSTITUTE(SUBSTITUTE(SUBSTITUTE(SUBSTITUTE(TRIM(A615),".",""),"/",""),"-","")," ",""),"(",""),")",""),"+",""))</f>
      </c>
      <c r="H615" s="6">
        <f>IF(G615="","",IF(LEN(G615)&lt;&gt;14,"ERRO: "&amp;LEN(G615)&amp;" dígitos",IF(NOT(ISNUMBER(VALUE(G615))),"ERRO: não numérico",IF(AND(VALUE(MID(G615,13,1))=IF(MOD(SUMPRODUCT(--MID(G615,{1,2,3,4,5,6,7,8,9,10,11,12},1),{5,4,3,2,9,8,7,6,5,4,3,2}),11)&lt;2,0,11-MOD(SUMPRODUCT(--MID(G615,{1,2,3,4,5,6,7,8,9,10,11,12},1),{5,4,3,2,9,8,7,6,5,4,3,2}),11)),VALUE(MID(G615,14,1))=IF(MOD(SUMPRODUCT(--MID(G615,{1,2,3,4,5,6,7,8,9,10,11,12,13},1),{6,5,4,3,2,9,8,7,6,5,4,3,2}),11)&lt;2,0,11-MOD(SUMPRODUCT(--MID(G615,{1,2,3,4,5,6,7,8,9,10,11,12,13},1),{6,5,4,3,2,9,8,7,6,5,4,3,2}),11))),"OK","AVISO: dígito verificador (conferir na org)"))))</f>
      </c>
      <c r="I615" s="6">
        <f>IF(G615="","",IF(COUNTIF($G$2:$G$2001,G615)&gt;1,"DUPLICADO","OK"))</f>
      </c>
      <c r="J615" s="6">
        <f>IF(COUNTA(A615:F615)=0,"",IF(AND(A615&lt;&gt;"",E615&lt;&gt;""),"OK","ERRO: faltam "&amp;IF(A615="","CNPJ; ","")&amp;IF(E615="","Novo gerente; ","")))</f>
      </c>
      <c r="K615" s="6">
        <f>IF(COUNTA(A615:F615)=0,"",IF(AND(LEFT(H615,4)&lt;&gt;"ERRO",I615="OK",J615="OK"),"OK","REVISAR"))</f>
      </c>
    </row>
    <row r="616">
      <c r="A616" s="5"/>
      <c r="B616" s="4"/>
      <c r="C616" s="4"/>
      <c r="D616" s="4"/>
      <c r="E616" s="5"/>
      <c r="F616" s="4"/>
      <c r="G616" s="6">
        <f>IF(A616="","",SUBSTITUTE(SUBSTITUTE(SUBSTITUTE(SUBSTITUTE(SUBSTITUTE(SUBSTITUTE(SUBSTITUTE(TRIM(A616),".",""),"/",""),"-","")," ",""),"(",""),")",""),"+",""))</f>
      </c>
      <c r="H616" s="6">
        <f>IF(G616="","",IF(LEN(G616)&lt;&gt;14,"ERRO: "&amp;LEN(G616)&amp;" dígitos",IF(NOT(ISNUMBER(VALUE(G616))),"ERRO: não numérico",IF(AND(VALUE(MID(G616,13,1))=IF(MOD(SUMPRODUCT(--MID(G616,{1,2,3,4,5,6,7,8,9,10,11,12},1),{5,4,3,2,9,8,7,6,5,4,3,2}),11)&lt;2,0,11-MOD(SUMPRODUCT(--MID(G616,{1,2,3,4,5,6,7,8,9,10,11,12},1),{5,4,3,2,9,8,7,6,5,4,3,2}),11)),VALUE(MID(G616,14,1))=IF(MOD(SUMPRODUCT(--MID(G616,{1,2,3,4,5,6,7,8,9,10,11,12,13},1),{6,5,4,3,2,9,8,7,6,5,4,3,2}),11)&lt;2,0,11-MOD(SUMPRODUCT(--MID(G616,{1,2,3,4,5,6,7,8,9,10,11,12,13},1),{6,5,4,3,2,9,8,7,6,5,4,3,2}),11))),"OK","AVISO: dígito verificador (conferir na org)"))))</f>
      </c>
      <c r="I616" s="6">
        <f>IF(G616="","",IF(COUNTIF($G$2:$G$2001,G616)&gt;1,"DUPLICADO","OK"))</f>
      </c>
      <c r="J616" s="6">
        <f>IF(COUNTA(A616:F616)=0,"",IF(AND(A616&lt;&gt;"",E616&lt;&gt;""),"OK","ERRO: faltam "&amp;IF(A616="","CNPJ; ","")&amp;IF(E616="","Novo gerente; ","")))</f>
      </c>
      <c r="K616" s="6">
        <f>IF(COUNTA(A616:F616)=0,"",IF(AND(LEFT(H616,4)&lt;&gt;"ERRO",I616="OK",J616="OK"),"OK","REVISAR"))</f>
      </c>
    </row>
    <row r="617">
      <c r="A617" s="5"/>
      <c r="B617" s="4"/>
      <c r="C617" s="4"/>
      <c r="D617" s="4"/>
      <c r="E617" s="5"/>
      <c r="F617" s="4"/>
      <c r="G617" s="6">
        <f>IF(A617="","",SUBSTITUTE(SUBSTITUTE(SUBSTITUTE(SUBSTITUTE(SUBSTITUTE(SUBSTITUTE(SUBSTITUTE(TRIM(A617),".",""),"/",""),"-","")," ",""),"(",""),")",""),"+",""))</f>
      </c>
      <c r="H617" s="6">
        <f>IF(G617="","",IF(LEN(G617)&lt;&gt;14,"ERRO: "&amp;LEN(G617)&amp;" dígitos",IF(NOT(ISNUMBER(VALUE(G617))),"ERRO: não numérico",IF(AND(VALUE(MID(G617,13,1))=IF(MOD(SUMPRODUCT(--MID(G617,{1,2,3,4,5,6,7,8,9,10,11,12},1),{5,4,3,2,9,8,7,6,5,4,3,2}),11)&lt;2,0,11-MOD(SUMPRODUCT(--MID(G617,{1,2,3,4,5,6,7,8,9,10,11,12},1),{5,4,3,2,9,8,7,6,5,4,3,2}),11)),VALUE(MID(G617,14,1))=IF(MOD(SUMPRODUCT(--MID(G617,{1,2,3,4,5,6,7,8,9,10,11,12,13},1),{6,5,4,3,2,9,8,7,6,5,4,3,2}),11)&lt;2,0,11-MOD(SUMPRODUCT(--MID(G617,{1,2,3,4,5,6,7,8,9,10,11,12,13},1),{6,5,4,3,2,9,8,7,6,5,4,3,2}),11))),"OK","AVISO: dígito verificador (conferir na org)"))))</f>
      </c>
      <c r="I617" s="6">
        <f>IF(G617="","",IF(COUNTIF($G$2:$G$2001,G617)&gt;1,"DUPLICADO","OK"))</f>
      </c>
      <c r="J617" s="6">
        <f>IF(COUNTA(A617:F617)=0,"",IF(AND(A617&lt;&gt;"",E617&lt;&gt;""),"OK","ERRO: faltam "&amp;IF(A617="","CNPJ; ","")&amp;IF(E617="","Novo gerente; ","")))</f>
      </c>
      <c r="K617" s="6">
        <f>IF(COUNTA(A617:F617)=0,"",IF(AND(LEFT(H617,4)&lt;&gt;"ERRO",I617="OK",J617="OK"),"OK","REVISAR"))</f>
      </c>
    </row>
    <row r="618">
      <c r="A618" s="5"/>
      <c r="B618" s="4"/>
      <c r="C618" s="4"/>
      <c r="D618" s="4"/>
      <c r="E618" s="5"/>
      <c r="F618" s="4"/>
      <c r="G618" s="6">
        <f>IF(A618="","",SUBSTITUTE(SUBSTITUTE(SUBSTITUTE(SUBSTITUTE(SUBSTITUTE(SUBSTITUTE(SUBSTITUTE(TRIM(A618),".",""),"/",""),"-","")," ",""),"(",""),")",""),"+",""))</f>
      </c>
      <c r="H618" s="6">
        <f>IF(G618="","",IF(LEN(G618)&lt;&gt;14,"ERRO: "&amp;LEN(G618)&amp;" dígitos",IF(NOT(ISNUMBER(VALUE(G618))),"ERRO: não numérico",IF(AND(VALUE(MID(G618,13,1))=IF(MOD(SUMPRODUCT(--MID(G618,{1,2,3,4,5,6,7,8,9,10,11,12},1),{5,4,3,2,9,8,7,6,5,4,3,2}),11)&lt;2,0,11-MOD(SUMPRODUCT(--MID(G618,{1,2,3,4,5,6,7,8,9,10,11,12},1),{5,4,3,2,9,8,7,6,5,4,3,2}),11)),VALUE(MID(G618,14,1))=IF(MOD(SUMPRODUCT(--MID(G618,{1,2,3,4,5,6,7,8,9,10,11,12,13},1),{6,5,4,3,2,9,8,7,6,5,4,3,2}),11)&lt;2,0,11-MOD(SUMPRODUCT(--MID(G618,{1,2,3,4,5,6,7,8,9,10,11,12,13},1),{6,5,4,3,2,9,8,7,6,5,4,3,2}),11))),"OK","AVISO: dígito verificador (conferir na org)"))))</f>
      </c>
      <c r="I618" s="6">
        <f>IF(G618="","",IF(COUNTIF($G$2:$G$2001,G618)&gt;1,"DUPLICADO","OK"))</f>
      </c>
      <c r="J618" s="6">
        <f>IF(COUNTA(A618:F618)=0,"",IF(AND(A618&lt;&gt;"",E618&lt;&gt;""),"OK","ERRO: faltam "&amp;IF(A618="","CNPJ; ","")&amp;IF(E618="","Novo gerente; ","")))</f>
      </c>
      <c r="K618" s="6">
        <f>IF(COUNTA(A618:F618)=0,"",IF(AND(LEFT(H618,4)&lt;&gt;"ERRO",I618="OK",J618="OK"),"OK","REVISAR"))</f>
      </c>
    </row>
    <row r="619">
      <c r="A619" s="5"/>
      <c r="B619" s="4"/>
      <c r="C619" s="4"/>
      <c r="D619" s="4"/>
      <c r="E619" s="5"/>
      <c r="F619" s="4"/>
      <c r="G619" s="6">
        <f>IF(A619="","",SUBSTITUTE(SUBSTITUTE(SUBSTITUTE(SUBSTITUTE(SUBSTITUTE(SUBSTITUTE(SUBSTITUTE(TRIM(A619),".",""),"/",""),"-","")," ",""),"(",""),")",""),"+",""))</f>
      </c>
      <c r="H619" s="6">
        <f>IF(G619="","",IF(LEN(G619)&lt;&gt;14,"ERRO: "&amp;LEN(G619)&amp;" dígitos",IF(NOT(ISNUMBER(VALUE(G619))),"ERRO: não numérico",IF(AND(VALUE(MID(G619,13,1))=IF(MOD(SUMPRODUCT(--MID(G619,{1,2,3,4,5,6,7,8,9,10,11,12},1),{5,4,3,2,9,8,7,6,5,4,3,2}),11)&lt;2,0,11-MOD(SUMPRODUCT(--MID(G619,{1,2,3,4,5,6,7,8,9,10,11,12},1),{5,4,3,2,9,8,7,6,5,4,3,2}),11)),VALUE(MID(G619,14,1))=IF(MOD(SUMPRODUCT(--MID(G619,{1,2,3,4,5,6,7,8,9,10,11,12,13},1),{6,5,4,3,2,9,8,7,6,5,4,3,2}),11)&lt;2,0,11-MOD(SUMPRODUCT(--MID(G619,{1,2,3,4,5,6,7,8,9,10,11,12,13},1),{6,5,4,3,2,9,8,7,6,5,4,3,2}),11))),"OK","AVISO: dígito verificador (conferir na org)"))))</f>
      </c>
      <c r="I619" s="6">
        <f>IF(G619="","",IF(COUNTIF($G$2:$G$2001,G619)&gt;1,"DUPLICADO","OK"))</f>
      </c>
      <c r="J619" s="6">
        <f>IF(COUNTA(A619:F619)=0,"",IF(AND(A619&lt;&gt;"",E619&lt;&gt;""),"OK","ERRO: faltam "&amp;IF(A619="","CNPJ; ","")&amp;IF(E619="","Novo gerente; ","")))</f>
      </c>
      <c r="K619" s="6">
        <f>IF(COUNTA(A619:F619)=0,"",IF(AND(LEFT(H619,4)&lt;&gt;"ERRO",I619="OK",J619="OK"),"OK","REVISAR"))</f>
      </c>
    </row>
    <row r="620">
      <c r="A620" s="5"/>
      <c r="B620" s="4"/>
      <c r="C620" s="4"/>
      <c r="D620" s="4"/>
      <c r="E620" s="5"/>
      <c r="F620" s="4"/>
      <c r="G620" s="6">
        <f>IF(A620="","",SUBSTITUTE(SUBSTITUTE(SUBSTITUTE(SUBSTITUTE(SUBSTITUTE(SUBSTITUTE(SUBSTITUTE(TRIM(A620),".",""),"/",""),"-","")," ",""),"(",""),")",""),"+",""))</f>
      </c>
      <c r="H620" s="6">
        <f>IF(G620="","",IF(LEN(G620)&lt;&gt;14,"ERRO: "&amp;LEN(G620)&amp;" dígitos",IF(NOT(ISNUMBER(VALUE(G620))),"ERRO: não numérico",IF(AND(VALUE(MID(G620,13,1))=IF(MOD(SUMPRODUCT(--MID(G620,{1,2,3,4,5,6,7,8,9,10,11,12},1),{5,4,3,2,9,8,7,6,5,4,3,2}),11)&lt;2,0,11-MOD(SUMPRODUCT(--MID(G620,{1,2,3,4,5,6,7,8,9,10,11,12},1),{5,4,3,2,9,8,7,6,5,4,3,2}),11)),VALUE(MID(G620,14,1))=IF(MOD(SUMPRODUCT(--MID(G620,{1,2,3,4,5,6,7,8,9,10,11,12,13},1),{6,5,4,3,2,9,8,7,6,5,4,3,2}),11)&lt;2,0,11-MOD(SUMPRODUCT(--MID(G620,{1,2,3,4,5,6,7,8,9,10,11,12,13},1),{6,5,4,3,2,9,8,7,6,5,4,3,2}),11))),"OK","AVISO: dígito verificador (conferir na org)"))))</f>
      </c>
      <c r="I620" s="6">
        <f>IF(G620="","",IF(COUNTIF($G$2:$G$2001,G620)&gt;1,"DUPLICADO","OK"))</f>
      </c>
      <c r="J620" s="6">
        <f>IF(COUNTA(A620:F620)=0,"",IF(AND(A620&lt;&gt;"",E620&lt;&gt;""),"OK","ERRO: faltam "&amp;IF(A620="","CNPJ; ","")&amp;IF(E620="","Novo gerente; ","")))</f>
      </c>
      <c r="K620" s="6">
        <f>IF(COUNTA(A620:F620)=0,"",IF(AND(LEFT(H620,4)&lt;&gt;"ERRO",I620="OK",J620="OK"),"OK","REVISAR"))</f>
      </c>
    </row>
    <row r="621">
      <c r="A621" s="5"/>
      <c r="B621" s="4"/>
      <c r="C621" s="4"/>
      <c r="D621" s="4"/>
      <c r="E621" s="5"/>
      <c r="F621" s="4"/>
      <c r="G621" s="6">
        <f>IF(A621="","",SUBSTITUTE(SUBSTITUTE(SUBSTITUTE(SUBSTITUTE(SUBSTITUTE(SUBSTITUTE(SUBSTITUTE(TRIM(A621),".",""),"/",""),"-","")," ",""),"(",""),")",""),"+",""))</f>
      </c>
      <c r="H621" s="6">
        <f>IF(G621="","",IF(LEN(G621)&lt;&gt;14,"ERRO: "&amp;LEN(G621)&amp;" dígitos",IF(NOT(ISNUMBER(VALUE(G621))),"ERRO: não numérico",IF(AND(VALUE(MID(G621,13,1))=IF(MOD(SUMPRODUCT(--MID(G621,{1,2,3,4,5,6,7,8,9,10,11,12},1),{5,4,3,2,9,8,7,6,5,4,3,2}),11)&lt;2,0,11-MOD(SUMPRODUCT(--MID(G621,{1,2,3,4,5,6,7,8,9,10,11,12},1),{5,4,3,2,9,8,7,6,5,4,3,2}),11)),VALUE(MID(G621,14,1))=IF(MOD(SUMPRODUCT(--MID(G621,{1,2,3,4,5,6,7,8,9,10,11,12,13},1),{6,5,4,3,2,9,8,7,6,5,4,3,2}),11)&lt;2,0,11-MOD(SUMPRODUCT(--MID(G621,{1,2,3,4,5,6,7,8,9,10,11,12,13},1),{6,5,4,3,2,9,8,7,6,5,4,3,2}),11))),"OK","AVISO: dígito verificador (conferir na org)"))))</f>
      </c>
      <c r="I621" s="6">
        <f>IF(G621="","",IF(COUNTIF($G$2:$G$2001,G621)&gt;1,"DUPLICADO","OK"))</f>
      </c>
      <c r="J621" s="6">
        <f>IF(COUNTA(A621:F621)=0,"",IF(AND(A621&lt;&gt;"",E621&lt;&gt;""),"OK","ERRO: faltam "&amp;IF(A621="","CNPJ; ","")&amp;IF(E621="","Novo gerente; ","")))</f>
      </c>
      <c r="K621" s="6">
        <f>IF(COUNTA(A621:F621)=0,"",IF(AND(LEFT(H621,4)&lt;&gt;"ERRO",I621="OK",J621="OK"),"OK","REVISAR"))</f>
      </c>
    </row>
    <row r="622">
      <c r="A622" s="5"/>
      <c r="B622" s="4"/>
      <c r="C622" s="4"/>
      <c r="D622" s="4"/>
      <c r="E622" s="5"/>
      <c r="F622" s="4"/>
      <c r="G622" s="6">
        <f>IF(A622="","",SUBSTITUTE(SUBSTITUTE(SUBSTITUTE(SUBSTITUTE(SUBSTITUTE(SUBSTITUTE(SUBSTITUTE(TRIM(A622),".",""),"/",""),"-","")," ",""),"(",""),")",""),"+",""))</f>
      </c>
      <c r="H622" s="6">
        <f>IF(G622="","",IF(LEN(G622)&lt;&gt;14,"ERRO: "&amp;LEN(G622)&amp;" dígitos",IF(NOT(ISNUMBER(VALUE(G622))),"ERRO: não numérico",IF(AND(VALUE(MID(G622,13,1))=IF(MOD(SUMPRODUCT(--MID(G622,{1,2,3,4,5,6,7,8,9,10,11,12},1),{5,4,3,2,9,8,7,6,5,4,3,2}),11)&lt;2,0,11-MOD(SUMPRODUCT(--MID(G622,{1,2,3,4,5,6,7,8,9,10,11,12},1),{5,4,3,2,9,8,7,6,5,4,3,2}),11)),VALUE(MID(G622,14,1))=IF(MOD(SUMPRODUCT(--MID(G622,{1,2,3,4,5,6,7,8,9,10,11,12,13},1),{6,5,4,3,2,9,8,7,6,5,4,3,2}),11)&lt;2,0,11-MOD(SUMPRODUCT(--MID(G622,{1,2,3,4,5,6,7,8,9,10,11,12,13},1),{6,5,4,3,2,9,8,7,6,5,4,3,2}),11))),"OK","AVISO: dígito verificador (conferir na org)"))))</f>
      </c>
      <c r="I622" s="6">
        <f>IF(G622="","",IF(COUNTIF($G$2:$G$2001,G622)&gt;1,"DUPLICADO","OK"))</f>
      </c>
      <c r="J622" s="6">
        <f>IF(COUNTA(A622:F622)=0,"",IF(AND(A622&lt;&gt;"",E622&lt;&gt;""),"OK","ERRO: faltam "&amp;IF(A622="","CNPJ; ","")&amp;IF(E622="","Novo gerente; ","")))</f>
      </c>
      <c r="K622" s="6">
        <f>IF(COUNTA(A622:F622)=0,"",IF(AND(LEFT(H622,4)&lt;&gt;"ERRO",I622="OK",J622="OK"),"OK","REVISAR"))</f>
      </c>
    </row>
    <row r="623">
      <c r="A623" s="5"/>
      <c r="B623" s="4"/>
      <c r="C623" s="4"/>
      <c r="D623" s="4"/>
      <c r="E623" s="5"/>
      <c r="F623" s="4"/>
      <c r="G623" s="6">
        <f>IF(A623="","",SUBSTITUTE(SUBSTITUTE(SUBSTITUTE(SUBSTITUTE(SUBSTITUTE(SUBSTITUTE(SUBSTITUTE(TRIM(A623),".",""),"/",""),"-","")," ",""),"(",""),")",""),"+",""))</f>
      </c>
      <c r="H623" s="6">
        <f>IF(G623="","",IF(LEN(G623)&lt;&gt;14,"ERRO: "&amp;LEN(G623)&amp;" dígitos",IF(NOT(ISNUMBER(VALUE(G623))),"ERRO: não numérico",IF(AND(VALUE(MID(G623,13,1))=IF(MOD(SUMPRODUCT(--MID(G623,{1,2,3,4,5,6,7,8,9,10,11,12},1),{5,4,3,2,9,8,7,6,5,4,3,2}),11)&lt;2,0,11-MOD(SUMPRODUCT(--MID(G623,{1,2,3,4,5,6,7,8,9,10,11,12},1),{5,4,3,2,9,8,7,6,5,4,3,2}),11)),VALUE(MID(G623,14,1))=IF(MOD(SUMPRODUCT(--MID(G623,{1,2,3,4,5,6,7,8,9,10,11,12,13},1),{6,5,4,3,2,9,8,7,6,5,4,3,2}),11)&lt;2,0,11-MOD(SUMPRODUCT(--MID(G623,{1,2,3,4,5,6,7,8,9,10,11,12,13},1),{6,5,4,3,2,9,8,7,6,5,4,3,2}),11))),"OK","AVISO: dígito verificador (conferir na org)"))))</f>
      </c>
      <c r="I623" s="6">
        <f>IF(G623="","",IF(COUNTIF($G$2:$G$2001,G623)&gt;1,"DUPLICADO","OK"))</f>
      </c>
      <c r="J623" s="6">
        <f>IF(COUNTA(A623:F623)=0,"",IF(AND(A623&lt;&gt;"",E623&lt;&gt;""),"OK","ERRO: faltam "&amp;IF(A623="","CNPJ; ","")&amp;IF(E623="","Novo gerente; ","")))</f>
      </c>
      <c r="K623" s="6">
        <f>IF(COUNTA(A623:F623)=0,"",IF(AND(LEFT(H623,4)&lt;&gt;"ERRO",I623="OK",J623="OK"),"OK","REVISAR"))</f>
      </c>
    </row>
    <row r="624">
      <c r="A624" s="5"/>
      <c r="B624" s="4"/>
      <c r="C624" s="4"/>
      <c r="D624" s="4"/>
      <c r="E624" s="5"/>
      <c r="F624" s="4"/>
      <c r="G624" s="6">
        <f>IF(A624="","",SUBSTITUTE(SUBSTITUTE(SUBSTITUTE(SUBSTITUTE(SUBSTITUTE(SUBSTITUTE(SUBSTITUTE(TRIM(A624),".",""),"/",""),"-","")," ",""),"(",""),")",""),"+",""))</f>
      </c>
      <c r="H624" s="6">
        <f>IF(G624="","",IF(LEN(G624)&lt;&gt;14,"ERRO: "&amp;LEN(G624)&amp;" dígitos",IF(NOT(ISNUMBER(VALUE(G624))),"ERRO: não numérico",IF(AND(VALUE(MID(G624,13,1))=IF(MOD(SUMPRODUCT(--MID(G624,{1,2,3,4,5,6,7,8,9,10,11,12},1),{5,4,3,2,9,8,7,6,5,4,3,2}),11)&lt;2,0,11-MOD(SUMPRODUCT(--MID(G624,{1,2,3,4,5,6,7,8,9,10,11,12},1),{5,4,3,2,9,8,7,6,5,4,3,2}),11)),VALUE(MID(G624,14,1))=IF(MOD(SUMPRODUCT(--MID(G624,{1,2,3,4,5,6,7,8,9,10,11,12,13},1),{6,5,4,3,2,9,8,7,6,5,4,3,2}),11)&lt;2,0,11-MOD(SUMPRODUCT(--MID(G624,{1,2,3,4,5,6,7,8,9,10,11,12,13},1),{6,5,4,3,2,9,8,7,6,5,4,3,2}),11))),"OK","AVISO: dígito verificador (conferir na org)"))))</f>
      </c>
      <c r="I624" s="6">
        <f>IF(G624="","",IF(COUNTIF($G$2:$G$2001,G624)&gt;1,"DUPLICADO","OK"))</f>
      </c>
      <c r="J624" s="6">
        <f>IF(COUNTA(A624:F624)=0,"",IF(AND(A624&lt;&gt;"",E624&lt;&gt;""),"OK","ERRO: faltam "&amp;IF(A624="","CNPJ; ","")&amp;IF(E624="","Novo gerente; ","")))</f>
      </c>
      <c r="K624" s="6">
        <f>IF(COUNTA(A624:F624)=0,"",IF(AND(LEFT(H624,4)&lt;&gt;"ERRO",I624="OK",J624="OK"),"OK","REVISAR"))</f>
      </c>
    </row>
    <row r="625">
      <c r="A625" s="5"/>
      <c r="B625" s="4"/>
      <c r="C625" s="4"/>
      <c r="D625" s="4"/>
      <c r="E625" s="5"/>
      <c r="F625" s="4"/>
      <c r="G625" s="6">
        <f>IF(A625="","",SUBSTITUTE(SUBSTITUTE(SUBSTITUTE(SUBSTITUTE(SUBSTITUTE(SUBSTITUTE(SUBSTITUTE(TRIM(A625),".",""),"/",""),"-","")," ",""),"(",""),")",""),"+",""))</f>
      </c>
      <c r="H625" s="6">
        <f>IF(G625="","",IF(LEN(G625)&lt;&gt;14,"ERRO: "&amp;LEN(G625)&amp;" dígitos",IF(NOT(ISNUMBER(VALUE(G625))),"ERRO: não numérico",IF(AND(VALUE(MID(G625,13,1))=IF(MOD(SUMPRODUCT(--MID(G625,{1,2,3,4,5,6,7,8,9,10,11,12},1),{5,4,3,2,9,8,7,6,5,4,3,2}),11)&lt;2,0,11-MOD(SUMPRODUCT(--MID(G625,{1,2,3,4,5,6,7,8,9,10,11,12},1),{5,4,3,2,9,8,7,6,5,4,3,2}),11)),VALUE(MID(G625,14,1))=IF(MOD(SUMPRODUCT(--MID(G625,{1,2,3,4,5,6,7,8,9,10,11,12,13},1),{6,5,4,3,2,9,8,7,6,5,4,3,2}),11)&lt;2,0,11-MOD(SUMPRODUCT(--MID(G625,{1,2,3,4,5,6,7,8,9,10,11,12,13},1),{6,5,4,3,2,9,8,7,6,5,4,3,2}),11))),"OK","AVISO: dígito verificador (conferir na org)"))))</f>
      </c>
      <c r="I625" s="6">
        <f>IF(G625="","",IF(COUNTIF($G$2:$G$2001,G625)&gt;1,"DUPLICADO","OK"))</f>
      </c>
      <c r="J625" s="6">
        <f>IF(COUNTA(A625:F625)=0,"",IF(AND(A625&lt;&gt;"",E625&lt;&gt;""),"OK","ERRO: faltam "&amp;IF(A625="","CNPJ; ","")&amp;IF(E625="","Novo gerente; ","")))</f>
      </c>
      <c r="K625" s="6">
        <f>IF(COUNTA(A625:F625)=0,"",IF(AND(LEFT(H625,4)&lt;&gt;"ERRO",I625="OK",J625="OK"),"OK","REVISAR"))</f>
      </c>
    </row>
    <row r="626">
      <c r="A626" s="5"/>
      <c r="B626" s="4"/>
      <c r="C626" s="4"/>
      <c r="D626" s="4"/>
      <c r="E626" s="5"/>
      <c r="F626" s="4"/>
      <c r="G626" s="6">
        <f>IF(A626="","",SUBSTITUTE(SUBSTITUTE(SUBSTITUTE(SUBSTITUTE(SUBSTITUTE(SUBSTITUTE(SUBSTITUTE(TRIM(A626),".",""),"/",""),"-","")," ",""),"(",""),")",""),"+",""))</f>
      </c>
      <c r="H626" s="6">
        <f>IF(G626="","",IF(LEN(G626)&lt;&gt;14,"ERRO: "&amp;LEN(G626)&amp;" dígitos",IF(NOT(ISNUMBER(VALUE(G626))),"ERRO: não numérico",IF(AND(VALUE(MID(G626,13,1))=IF(MOD(SUMPRODUCT(--MID(G626,{1,2,3,4,5,6,7,8,9,10,11,12},1),{5,4,3,2,9,8,7,6,5,4,3,2}),11)&lt;2,0,11-MOD(SUMPRODUCT(--MID(G626,{1,2,3,4,5,6,7,8,9,10,11,12},1),{5,4,3,2,9,8,7,6,5,4,3,2}),11)),VALUE(MID(G626,14,1))=IF(MOD(SUMPRODUCT(--MID(G626,{1,2,3,4,5,6,7,8,9,10,11,12,13},1),{6,5,4,3,2,9,8,7,6,5,4,3,2}),11)&lt;2,0,11-MOD(SUMPRODUCT(--MID(G626,{1,2,3,4,5,6,7,8,9,10,11,12,13},1),{6,5,4,3,2,9,8,7,6,5,4,3,2}),11))),"OK","AVISO: dígito verificador (conferir na org)"))))</f>
      </c>
      <c r="I626" s="6">
        <f>IF(G626="","",IF(COUNTIF($G$2:$G$2001,G626)&gt;1,"DUPLICADO","OK"))</f>
      </c>
      <c r="J626" s="6">
        <f>IF(COUNTA(A626:F626)=0,"",IF(AND(A626&lt;&gt;"",E626&lt;&gt;""),"OK","ERRO: faltam "&amp;IF(A626="","CNPJ; ","")&amp;IF(E626="","Novo gerente; ","")))</f>
      </c>
      <c r="K626" s="6">
        <f>IF(COUNTA(A626:F626)=0,"",IF(AND(LEFT(H626,4)&lt;&gt;"ERRO",I626="OK",J626="OK"),"OK","REVISAR"))</f>
      </c>
    </row>
    <row r="627">
      <c r="A627" s="5"/>
      <c r="B627" s="4"/>
      <c r="C627" s="4"/>
      <c r="D627" s="4"/>
      <c r="E627" s="5"/>
      <c r="F627" s="4"/>
      <c r="G627" s="6">
        <f>IF(A627="","",SUBSTITUTE(SUBSTITUTE(SUBSTITUTE(SUBSTITUTE(SUBSTITUTE(SUBSTITUTE(SUBSTITUTE(TRIM(A627),".",""),"/",""),"-","")," ",""),"(",""),")",""),"+",""))</f>
      </c>
      <c r="H627" s="6">
        <f>IF(G627="","",IF(LEN(G627)&lt;&gt;14,"ERRO: "&amp;LEN(G627)&amp;" dígitos",IF(NOT(ISNUMBER(VALUE(G627))),"ERRO: não numérico",IF(AND(VALUE(MID(G627,13,1))=IF(MOD(SUMPRODUCT(--MID(G627,{1,2,3,4,5,6,7,8,9,10,11,12},1),{5,4,3,2,9,8,7,6,5,4,3,2}),11)&lt;2,0,11-MOD(SUMPRODUCT(--MID(G627,{1,2,3,4,5,6,7,8,9,10,11,12},1),{5,4,3,2,9,8,7,6,5,4,3,2}),11)),VALUE(MID(G627,14,1))=IF(MOD(SUMPRODUCT(--MID(G627,{1,2,3,4,5,6,7,8,9,10,11,12,13},1),{6,5,4,3,2,9,8,7,6,5,4,3,2}),11)&lt;2,0,11-MOD(SUMPRODUCT(--MID(G627,{1,2,3,4,5,6,7,8,9,10,11,12,13},1),{6,5,4,3,2,9,8,7,6,5,4,3,2}),11))),"OK","AVISO: dígito verificador (conferir na org)"))))</f>
      </c>
      <c r="I627" s="6">
        <f>IF(G627="","",IF(COUNTIF($G$2:$G$2001,G627)&gt;1,"DUPLICADO","OK"))</f>
      </c>
      <c r="J627" s="6">
        <f>IF(COUNTA(A627:F627)=0,"",IF(AND(A627&lt;&gt;"",E627&lt;&gt;""),"OK","ERRO: faltam "&amp;IF(A627="","CNPJ; ","")&amp;IF(E627="","Novo gerente; ","")))</f>
      </c>
      <c r="K627" s="6">
        <f>IF(COUNTA(A627:F627)=0,"",IF(AND(LEFT(H627,4)&lt;&gt;"ERRO",I627="OK",J627="OK"),"OK","REVISAR"))</f>
      </c>
    </row>
    <row r="628">
      <c r="A628" s="5"/>
      <c r="B628" s="4"/>
      <c r="C628" s="4"/>
      <c r="D628" s="4"/>
      <c r="E628" s="5"/>
      <c r="F628" s="4"/>
      <c r="G628" s="6">
        <f>IF(A628="","",SUBSTITUTE(SUBSTITUTE(SUBSTITUTE(SUBSTITUTE(SUBSTITUTE(SUBSTITUTE(SUBSTITUTE(TRIM(A628),".",""),"/",""),"-","")," ",""),"(",""),")",""),"+",""))</f>
      </c>
      <c r="H628" s="6">
        <f>IF(G628="","",IF(LEN(G628)&lt;&gt;14,"ERRO: "&amp;LEN(G628)&amp;" dígitos",IF(NOT(ISNUMBER(VALUE(G628))),"ERRO: não numérico",IF(AND(VALUE(MID(G628,13,1))=IF(MOD(SUMPRODUCT(--MID(G628,{1,2,3,4,5,6,7,8,9,10,11,12},1),{5,4,3,2,9,8,7,6,5,4,3,2}),11)&lt;2,0,11-MOD(SUMPRODUCT(--MID(G628,{1,2,3,4,5,6,7,8,9,10,11,12},1),{5,4,3,2,9,8,7,6,5,4,3,2}),11)),VALUE(MID(G628,14,1))=IF(MOD(SUMPRODUCT(--MID(G628,{1,2,3,4,5,6,7,8,9,10,11,12,13},1),{6,5,4,3,2,9,8,7,6,5,4,3,2}),11)&lt;2,0,11-MOD(SUMPRODUCT(--MID(G628,{1,2,3,4,5,6,7,8,9,10,11,12,13},1),{6,5,4,3,2,9,8,7,6,5,4,3,2}),11))),"OK","AVISO: dígito verificador (conferir na org)"))))</f>
      </c>
      <c r="I628" s="6">
        <f>IF(G628="","",IF(COUNTIF($G$2:$G$2001,G628)&gt;1,"DUPLICADO","OK"))</f>
      </c>
      <c r="J628" s="6">
        <f>IF(COUNTA(A628:F628)=0,"",IF(AND(A628&lt;&gt;"",E628&lt;&gt;""),"OK","ERRO: faltam "&amp;IF(A628="","CNPJ; ","")&amp;IF(E628="","Novo gerente; ","")))</f>
      </c>
      <c r="K628" s="6">
        <f>IF(COUNTA(A628:F628)=0,"",IF(AND(LEFT(H628,4)&lt;&gt;"ERRO",I628="OK",J628="OK"),"OK","REVISAR"))</f>
      </c>
    </row>
    <row r="629">
      <c r="A629" s="5"/>
      <c r="B629" s="4"/>
      <c r="C629" s="4"/>
      <c r="D629" s="4"/>
      <c r="E629" s="5"/>
      <c r="F629" s="4"/>
      <c r="G629" s="6">
        <f>IF(A629="","",SUBSTITUTE(SUBSTITUTE(SUBSTITUTE(SUBSTITUTE(SUBSTITUTE(SUBSTITUTE(SUBSTITUTE(TRIM(A629),".",""),"/",""),"-","")," ",""),"(",""),")",""),"+",""))</f>
      </c>
      <c r="H629" s="6">
        <f>IF(G629="","",IF(LEN(G629)&lt;&gt;14,"ERRO: "&amp;LEN(G629)&amp;" dígitos",IF(NOT(ISNUMBER(VALUE(G629))),"ERRO: não numérico",IF(AND(VALUE(MID(G629,13,1))=IF(MOD(SUMPRODUCT(--MID(G629,{1,2,3,4,5,6,7,8,9,10,11,12},1),{5,4,3,2,9,8,7,6,5,4,3,2}),11)&lt;2,0,11-MOD(SUMPRODUCT(--MID(G629,{1,2,3,4,5,6,7,8,9,10,11,12},1),{5,4,3,2,9,8,7,6,5,4,3,2}),11)),VALUE(MID(G629,14,1))=IF(MOD(SUMPRODUCT(--MID(G629,{1,2,3,4,5,6,7,8,9,10,11,12,13},1),{6,5,4,3,2,9,8,7,6,5,4,3,2}),11)&lt;2,0,11-MOD(SUMPRODUCT(--MID(G629,{1,2,3,4,5,6,7,8,9,10,11,12,13},1),{6,5,4,3,2,9,8,7,6,5,4,3,2}),11))),"OK","AVISO: dígito verificador (conferir na org)"))))</f>
      </c>
      <c r="I629" s="6">
        <f>IF(G629="","",IF(COUNTIF($G$2:$G$2001,G629)&gt;1,"DUPLICADO","OK"))</f>
      </c>
      <c r="J629" s="6">
        <f>IF(COUNTA(A629:F629)=0,"",IF(AND(A629&lt;&gt;"",E629&lt;&gt;""),"OK","ERRO: faltam "&amp;IF(A629="","CNPJ; ","")&amp;IF(E629="","Novo gerente; ","")))</f>
      </c>
      <c r="K629" s="6">
        <f>IF(COUNTA(A629:F629)=0,"",IF(AND(LEFT(H629,4)&lt;&gt;"ERRO",I629="OK",J629="OK"),"OK","REVISAR"))</f>
      </c>
    </row>
    <row r="630">
      <c r="A630" s="5"/>
      <c r="B630" s="4"/>
      <c r="C630" s="4"/>
      <c r="D630" s="4"/>
      <c r="E630" s="5"/>
      <c r="F630" s="4"/>
      <c r="G630" s="6">
        <f>IF(A630="","",SUBSTITUTE(SUBSTITUTE(SUBSTITUTE(SUBSTITUTE(SUBSTITUTE(SUBSTITUTE(SUBSTITUTE(TRIM(A630),".",""),"/",""),"-","")," ",""),"(",""),")",""),"+",""))</f>
      </c>
      <c r="H630" s="6">
        <f>IF(G630="","",IF(LEN(G630)&lt;&gt;14,"ERRO: "&amp;LEN(G630)&amp;" dígitos",IF(NOT(ISNUMBER(VALUE(G630))),"ERRO: não numérico",IF(AND(VALUE(MID(G630,13,1))=IF(MOD(SUMPRODUCT(--MID(G630,{1,2,3,4,5,6,7,8,9,10,11,12},1),{5,4,3,2,9,8,7,6,5,4,3,2}),11)&lt;2,0,11-MOD(SUMPRODUCT(--MID(G630,{1,2,3,4,5,6,7,8,9,10,11,12},1),{5,4,3,2,9,8,7,6,5,4,3,2}),11)),VALUE(MID(G630,14,1))=IF(MOD(SUMPRODUCT(--MID(G630,{1,2,3,4,5,6,7,8,9,10,11,12,13},1),{6,5,4,3,2,9,8,7,6,5,4,3,2}),11)&lt;2,0,11-MOD(SUMPRODUCT(--MID(G630,{1,2,3,4,5,6,7,8,9,10,11,12,13},1),{6,5,4,3,2,9,8,7,6,5,4,3,2}),11))),"OK","AVISO: dígito verificador (conferir na org)"))))</f>
      </c>
      <c r="I630" s="6">
        <f>IF(G630="","",IF(COUNTIF($G$2:$G$2001,G630)&gt;1,"DUPLICADO","OK"))</f>
      </c>
      <c r="J630" s="6">
        <f>IF(COUNTA(A630:F630)=0,"",IF(AND(A630&lt;&gt;"",E630&lt;&gt;""),"OK","ERRO: faltam "&amp;IF(A630="","CNPJ; ","")&amp;IF(E630="","Novo gerente; ","")))</f>
      </c>
      <c r="K630" s="6">
        <f>IF(COUNTA(A630:F630)=0,"",IF(AND(LEFT(H630,4)&lt;&gt;"ERRO",I630="OK",J630="OK"),"OK","REVISAR"))</f>
      </c>
    </row>
    <row r="631">
      <c r="A631" s="5"/>
      <c r="B631" s="4"/>
      <c r="C631" s="4"/>
      <c r="D631" s="4"/>
      <c r="E631" s="5"/>
      <c r="F631" s="4"/>
      <c r="G631" s="6">
        <f>IF(A631="","",SUBSTITUTE(SUBSTITUTE(SUBSTITUTE(SUBSTITUTE(SUBSTITUTE(SUBSTITUTE(SUBSTITUTE(TRIM(A631),".",""),"/",""),"-","")," ",""),"(",""),")",""),"+",""))</f>
      </c>
      <c r="H631" s="6">
        <f>IF(G631="","",IF(LEN(G631)&lt;&gt;14,"ERRO: "&amp;LEN(G631)&amp;" dígitos",IF(NOT(ISNUMBER(VALUE(G631))),"ERRO: não numérico",IF(AND(VALUE(MID(G631,13,1))=IF(MOD(SUMPRODUCT(--MID(G631,{1,2,3,4,5,6,7,8,9,10,11,12},1),{5,4,3,2,9,8,7,6,5,4,3,2}),11)&lt;2,0,11-MOD(SUMPRODUCT(--MID(G631,{1,2,3,4,5,6,7,8,9,10,11,12},1),{5,4,3,2,9,8,7,6,5,4,3,2}),11)),VALUE(MID(G631,14,1))=IF(MOD(SUMPRODUCT(--MID(G631,{1,2,3,4,5,6,7,8,9,10,11,12,13},1),{6,5,4,3,2,9,8,7,6,5,4,3,2}),11)&lt;2,0,11-MOD(SUMPRODUCT(--MID(G631,{1,2,3,4,5,6,7,8,9,10,11,12,13},1),{6,5,4,3,2,9,8,7,6,5,4,3,2}),11))),"OK","AVISO: dígito verificador (conferir na org)"))))</f>
      </c>
      <c r="I631" s="6">
        <f>IF(G631="","",IF(COUNTIF($G$2:$G$2001,G631)&gt;1,"DUPLICADO","OK"))</f>
      </c>
      <c r="J631" s="6">
        <f>IF(COUNTA(A631:F631)=0,"",IF(AND(A631&lt;&gt;"",E631&lt;&gt;""),"OK","ERRO: faltam "&amp;IF(A631="","CNPJ; ","")&amp;IF(E631="","Novo gerente; ","")))</f>
      </c>
      <c r="K631" s="6">
        <f>IF(COUNTA(A631:F631)=0,"",IF(AND(LEFT(H631,4)&lt;&gt;"ERRO",I631="OK",J631="OK"),"OK","REVISAR"))</f>
      </c>
    </row>
    <row r="632">
      <c r="A632" s="5"/>
      <c r="B632" s="4"/>
      <c r="C632" s="4"/>
      <c r="D632" s="4"/>
      <c r="E632" s="5"/>
      <c r="F632" s="4"/>
      <c r="G632" s="6">
        <f>IF(A632="","",SUBSTITUTE(SUBSTITUTE(SUBSTITUTE(SUBSTITUTE(SUBSTITUTE(SUBSTITUTE(SUBSTITUTE(TRIM(A632),".",""),"/",""),"-","")," ",""),"(",""),")",""),"+",""))</f>
      </c>
      <c r="H632" s="6">
        <f>IF(G632="","",IF(LEN(G632)&lt;&gt;14,"ERRO: "&amp;LEN(G632)&amp;" dígitos",IF(NOT(ISNUMBER(VALUE(G632))),"ERRO: não numérico",IF(AND(VALUE(MID(G632,13,1))=IF(MOD(SUMPRODUCT(--MID(G632,{1,2,3,4,5,6,7,8,9,10,11,12},1),{5,4,3,2,9,8,7,6,5,4,3,2}),11)&lt;2,0,11-MOD(SUMPRODUCT(--MID(G632,{1,2,3,4,5,6,7,8,9,10,11,12},1),{5,4,3,2,9,8,7,6,5,4,3,2}),11)),VALUE(MID(G632,14,1))=IF(MOD(SUMPRODUCT(--MID(G632,{1,2,3,4,5,6,7,8,9,10,11,12,13},1),{6,5,4,3,2,9,8,7,6,5,4,3,2}),11)&lt;2,0,11-MOD(SUMPRODUCT(--MID(G632,{1,2,3,4,5,6,7,8,9,10,11,12,13},1),{6,5,4,3,2,9,8,7,6,5,4,3,2}),11))),"OK","AVISO: dígito verificador (conferir na org)"))))</f>
      </c>
      <c r="I632" s="6">
        <f>IF(G632="","",IF(COUNTIF($G$2:$G$2001,G632)&gt;1,"DUPLICADO","OK"))</f>
      </c>
      <c r="J632" s="6">
        <f>IF(COUNTA(A632:F632)=0,"",IF(AND(A632&lt;&gt;"",E632&lt;&gt;""),"OK","ERRO: faltam "&amp;IF(A632="","CNPJ; ","")&amp;IF(E632="","Novo gerente; ","")))</f>
      </c>
      <c r="K632" s="6">
        <f>IF(COUNTA(A632:F632)=0,"",IF(AND(LEFT(H632,4)&lt;&gt;"ERRO",I632="OK",J632="OK"),"OK","REVISAR"))</f>
      </c>
    </row>
    <row r="633">
      <c r="A633" s="5"/>
      <c r="B633" s="4"/>
      <c r="C633" s="4"/>
      <c r="D633" s="4"/>
      <c r="E633" s="5"/>
      <c r="F633" s="4"/>
      <c r="G633" s="6">
        <f>IF(A633="","",SUBSTITUTE(SUBSTITUTE(SUBSTITUTE(SUBSTITUTE(SUBSTITUTE(SUBSTITUTE(SUBSTITUTE(TRIM(A633),".",""),"/",""),"-","")," ",""),"(",""),")",""),"+",""))</f>
      </c>
      <c r="H633" s="6">
        <f>IF(G633="","",IF(LEN(G633)&lt;&gt;14,"ERRO: "&amp;LEN(G633)&amp;" dígitos",IF(NOT(ISNUMBER(VALUE(G633))),"ERRO: não numérico",IF(AND(VALUE(MID(G633,13,1))=IF(MOD(SUMPRODUCT(--MID(G633,{1,2,3,4,5,6,7,8,9,10,11,12},1),{5,4,3,2,9,8,7,6,5,4,3,2}),11)&lt;2,0,11-MOD(SUMPRODUCT(--MID(G633,{1,2,3,4,5,6,7,8,9,10,11,12},1),{5,4,3,2,9,8,7,6,5,4,3,2}),11)),VALUE(MID(G633,14,1))=IF(MOD(SUMPRODUCT(--MID(G633,{1,2,3,4,5,6,7,8,9,10,11,12,13},1),{6,5,4,3,2,9,8,7,6,5,4,3,2}),11)&lt;2,0,11-MOD(SUMPRODUCT(--MID(G633,{1,2,3,4,5,6,7,8,9,10,11,12,13},1),{6,5,4,3,2,9,8,7,6,5,4,3,2}),11))),"OK","AVISO: dígito verificador (conferir na org)"))))</f>
      </c>
      <c r="I633" s="6">
        <f>IF(G633="","",IF(COUNTIF($G$2:$G$2001,G633)&gt;1,"DUPLICADO","OK"))</f>
      </c>
      <c r="J633" s="6">
        <f>IF(COUNTA(A633:F633)=0,"",IF(AND(A633&lt;&gt;"",E633&lt;&gt;""),"OK","ERRO: faltam "&amp;IF(A633="","CNPJ; ","")&amp;IF(E633="","Novo gerente; ","")))</f>
      </c>
      <c r="K633" s="6">
        <f>IF(COUNTA(A633:F633)=0,"",IF(AND(LEFT(H633,4)&lt;&gt;"ERRO",I633="OK",J633="OK"),"OK","REVISAR"))</f>
      </c>
    </row>
    <row r="634">
      <c r="A634" s="5"/>
      <c r="B634" s="4"/>
      <c r="C634" s="4"/>
      <c r="D634" s="4"/>
      <c r="E634" s="5"/>
      <c r="F634" s="4"/>
      <c r="G634" s="6">
        <f>IF(A634="","",SUBSTITUTE(SUBSTITUTE(SUBSTITUTE(SUBSTITUTE(SUBSTITUTE(SUBSTITUTE(SUBSTITUTE(TRIM(A634),".",""),"/",""),"-","")," ",""),"(",""),")",""),"+",""))</f>
      </c>
      <c r="H634" s="6">
        <f>IF(G634="","",IF(LEN(G634)&lt;&gt;14,"ERRO: "&amp;LEN(G634)&amp;" dígitos",IF(NOT(ISNUMBER(VALUE(G634))),"ERRO: não numérico",IF(AND(VALUE(MID(G634,13,1))=IF(MOD(SUMPRODUCT(--MID(G634,{1,2,3,4,5,6,7,8,9,10,11,12},1),{5,4,3,2,9,8,7,6,5,4,3,2}),11)&lt;2,0,11-MOD(SUMPRODUCT(--MID(G634,{1,2,3,4,5,6,7,8,9,10,11,12},1),{5,4,3,2,9,8,7,6,5,4,3,2}),11)),VALUE(MID(G634,14,1))=IF(MOD(SUMPRODUCT(--MID(G634,{1,2,3,4,5,6,7,8,9,10,11,12,13},1),{6,5,4,3,2,9,8,7,6,5,4,3,2}),11)&lt;2,0,11-MOD(SUMPRODUCT(--MID(G634,{1,2,3,4,5,6,7,8,9,10,11,12,13},1),{6,5,4,3,2,9,8,7,6,5,4,3,2}),11))),"OK","AVISO: dígito verificador (conferir na org)"))))</f>
      </c>
      <c r="I634" s="6">
        <f>IF(G634="","",IF(COUNTIF($G$2:$G$2001,G634)&gt;1,"DUPLICADO","OK"))</f>
      </c>
      <c r="J634" s="6">
        <f>IF(COUNTA(A634:F634)=0,"",IF(AND(A634&lt;&gt;"",E634&lt;&gt;""),"OK","ERRO: faltam "&amp;IF(A634="","CNPJ; ","")&amp;IF(E634="","Novo gerente; ","")))</f>
      </c>
      <c r="K634" s="6">
        <f>IF(COUNTA(A634:F634)=0,"",IF(AND(LEFT(H634,4)&lt;&gt;"ERRO",I634="OK",J634="OK"),"OK","REVISAR"))</f>
      </c>
    </row>
    <row r="635">
      <c r="A635" s="5"/>
      <c r="B635" s="4"/>
      <c r="C635" s="4"/>
      <c r="D635" s="4"/>
      <c r="E635" s="5"/>
      <c r="F635" s="4"/>
      <c r="G635" s="6">
        <f>IF(A635="","",SUBSTITUTE(SUBSTITUTE(SUBSTITUTE(SUBSTITUTE(SUBSTITUTE(SUBSTITUTE(SUBSTITUTE(TRIM(A635),".",""),"/",""),"-","")," ",""),"(",""),")",""),"+",""))</f>
      </c>
      <c r="H635" s="6">
        <f>IF(G635="","",IF(LEN(G635)&lt;&gt;14,"ERRO: "&amp;LEN(G635)&amp;" dígitos",IF(NOT(ISNUMBER(VALUE(G635))),"ERRO: não numérico",IF(AND(VALUE(MID(G635,13,1))=IF(MOD(SUMPRODUCT(--MID(G635,{1,2,3,4,5,6,7,8,9,10,11,12},1),{5,4,3,2,9,8,7,6,5,4,3,2}),11)&lt;2,0,11-MOD(SUMPRODUCT(--MID(G635,{1,2,3,4,5,6,7,8,9,10,11,12},1),{5,4,3,2,9,8,7,6,5,4,3,2}),11)),VALUE(MID(G635,14,1))=IF(MOD(SUMPRODUCT(--MID(G635,{1,2,3,4,5,6,7,8,9,10,11,12,13},1),{6,5,4,3,2,9,8,7,6,5,4,3,2}),11)&lt;2,0,11-MOD(SUMPRODUCT(--MID(G635,{1,2,3,4,5,6,7,8,9,10,11,12,13},1),{6,5,4,3,2,9,8,7,6,5,4,3,2}),11))),"OK","AVISO: dígito verificador (conferir na org)"))))</f>
      </c>
      <c r="I635" s="6">
        <f>IF(G635="","",IF(COUNTIF($G$2:$G$2001,G635)&gt;1,"DUPLICADO","OK"))</f>
      </c>
      <c r="J635" s="6">
        <f>IF(COUNTA(A635:F635)=0,"",IF(AND(A635&lt;&gt;"",E635&lt;&gt;""),"OK","ERRO: faltam "&amp;IF(A635="","CNPJ; ","")&amp;IF(E635="","Novo gerente; ","")))</f>
      </c>
      <c r="K635" s="6">
        <f>IF(COUNTA(A635:F635)=0,"",IF(AND(LEFT(H635,4)&lt;&gt;"ERRO",I635="OK",J635="OK"),"OK","REVISAR"))</f>
      </c>
    </row>
    <row r="636">
      <c r="A636" s="5"/>
      <c r="B636" s="4"/>
      <c r="C636" s="4"/>
      <c r="D636" s="4"/>
      <c r="E636" s="5"/>
      <c r="F636" s="4"/>
      <c r="G636" s="6">
        <f>IF(A636="","",SUBSTITUTE(SUBSTITUTE(SUBSTITUTE(SUBSTITUTE(SUBSTITUTE(SUBSTITUTE(SUBSTITUTE(TRIM(A636),".",""),"/",""),"-","")," ",""),"(",""),")",""),"+",""))</f>
      </c>
      <c r="H636" s="6">
        <f>IF(G636="","",IF(LEN(G636)&lt;&gt;14,"ERRO: "&amp;LEN(G636)&amp;" dígitos",IF(NOT(ISNUMBER(VALUE(G636))),"ERRO: não numérico",IF(AND(VALUE(MID(G636,13,1))=IF(MOD(SUMPRODUCT(--MID(G636,{1,2,3,4,5,6,7,8,9,10,11,12},1),{5,4,3,2,9,8,7,6,5,4,3,2}),11)&lt;2,0,11-MOD(SUMPRODUCT(--MID(G636,{1,2,3,4,5,6,7,8,9,10,11,12},1),{5,4,3,2,9,8,7,6,5,4,3,2}),11)),VALUE(MID(G636,14,1))=IF(MOD(SUMPRODUCT(--MID(G636,{1,2,3,4,5,6,7,8,9,10,11,12,13},1),{6,5,4,3,2,9,8,7,6,5,4,3,2}),11)&lt;2,0,11-MOD(SUMPRODUCT(--MID(G636,{1,2,3,4,5,6,7,8,9,10,11,12,13},1),{6,5,4,3,2,9,8,7,6,5,4,3,2}),11))),"OK","AVISO: dígito verificador (conferir na org)"))))</f>
      </c>
      <c r="I636" s="6">
        <f>IF(G636="","",IF(COUNTIF($G$2:$G$2001,G636)&gt;1,"DUPLICADO","OK"))</f>
      </c>
      <c r="J636" s="6">
        <f>IF(COUNTA(A636:F636)=0,"",IF(AND(A636&lt;&gt;"",E636&lt;&gt;""),"OK","ERRO: faltam "&amp;IF(A636="","CNPJ; ","")&amp;IF(E636="","Novo gerente; ","")))</f>
      </c>
      <c r="K636" s="6">
        <f>IF(COUNTA(A636:F636)=0,"",IF(AND(LEFT(H636,4)&lt;&gt;"ERRO",I636="OK",J636="OK"),"OK","REVISAR"))</f>
      </c>
    </row>
    <row r="637">
      <c r="A637" s="5"/>
      <c r="B637" s="4"/>
      <c r="C637" s="4"/>
      <c r="D637" s="4"/>
      <c r="E637" s="5"/>
      <c r="F637" s="4"/>
      <c r="G637" s="6">
        <f>IF(A637="","",SUBSTITUTE(SUBSTITUTE(SUBSTITUTE(SUBSTITUTE(SUBSTITUTE(SUBSTITUTE(SUBSTITUTE(TRIM(A637),".",""),"/",""),"-","")," ",""),"(",""),")",""),"+",""))</f>
      </c>
      <c r="H637" s="6">
        <f>IF(G637="","",IF(LEN(G637)&lt;&gt;14,"ERRO: "&amp;LEN(G637)&amp;" dígitos",IF(NOT(ISNUMBER(VALUE(G637))),"ERRO: não numérico",IF(AND(VALUE(MID(G637,13,1))=IF(MOD(SUMPRODUCT(--MID(G637,{1,2,3,4,5,6,7,8,9,10,11,12},1),{5,4,3,2,9,8,7,6,5,4,3,2}),11)&lt;2,0,11-MOD(SUMPRODUCT(--MID(G637,{1,2,3,4,5,6,7,8,9,10,11,12},1),{5,4,3,2,9,8,7,6,5,4,3,2}),11)),VALUE(MID(G637,14,1))=IF(MOD(SUMPRODUCT(--MID(G637,{1,2,3,4,5,6,7,8,9,10,11,12,13},1),{6,5,4,3,2,9,8,7,6,5,4,3,2}),11)&lt;2,0,11-MOD(SUMPRODUCT(--MID(G637,{1,2,3,4,5,6,7,8,9,10,11,12,13},1),{6,5,4,3,2,9,8,7,6,5,4,3,2}),11))),"OK","AVISO: dígito verificador (conferir na org)"))))</f>
      </c>
      <c r="I637" s="6">
        <f>IF(G637="","",IF(COUNTIF($G$2:$G$2001,G637)&gt;1,"DUPLICADO","OK"))</f>
      </c>
      <c r="J637" s="6">
        <f>IF(COUNTA(A637:F637)=0,"",IF(AND(A637&lt;&gt;"",E637&lt;&gt;""),"OK","ERRO: faltam "&amp;IF(A637="","CNPJ; ","")&amp;IF(E637="","Novo gerente; ","")))</f>
      </c>
      <c r="K637" s="6">
        <f>IF(COUNTA(A637:F637)=0,"",IF(AND(LEFT(H637,4)&lt;&gt;"ERRO",I637="OK",J637="OK"),"OK","REVISAR"))</f>
      </c>
    </row>
    <row r="638">
      <c r="A638" s="5"/>
      <c r="B638" s="4"/>
      <c r="C638" s="4"/>
      <c r="D638" s="4"/>
      <c r="E638" s="5"/>
      <c r="F638" s="4"/>
      <c r="G638" s="6">
        <f>IF(A638="","",SUBSTITUTE(SUBSTITUTE(SUBSTITUTE(SUBSTITUTE(SUBSTITUTE(SUBSTITUTE(SUBSTITUTE(TRIM(A638),".",""),"/",""),"-","")," ",""),"(",""),")",""),"+",""))</f>
      </c>
      <c r="H638" s="6">
        <f>IF(G638="","",IF(LEN(G638)&lt;&gt;14,"ERRO: "&amp;LEN(G638)&amp;" dígitos",IF(NOT(ISNUMBER(VALUE(G638))),"ERRO: não numérico",IF(AND(VALUE(MID(G638,13,1))=IF(MOD(SUMPRODUCT(--MID(G638,{1,2,3,4,5,6,7,8,9,10,11,12},1),{5,4,3,2,9,8,7,6,5,4,3,2}),11)&lt;2,0,11-MOD(SUMPRODUCT(--MID(G638,{1,2,3,4,5,6,7,8,9,10,11,12},1),{5,4,3,2,9,8,7,6,5,4,3,2}),11)),VALUE(MID(G638,14,1))=IF(MOD(SUMPRODUCT(--MID(G638,{1,2,3,4,5,6,7,8,9,10,11,12,13},1),{6,5,4,3,2,9,8,7,6,5,4,3,2}),11)&lt;2,0,11-MOD(SUMPRODUCT(--MID(G638,{1,2,3,4,5,6,7,8,9,10,11,12,13},1),{6,5,4,3,2,9,8,7,6,5,4,3,2}),11))),"OK","AVISO: dígito verificador (conferir na org)"))))</f>
      </c>
      <c r="I638" s="6">
        <f>IF(G638="","",IF(COUNTIF($G$2:$G$2001,G638)&gt;1,"DUPLICADO","OK"))</f>
      </c>
      <c r="J638" s="6">
        <f>IF(COUNTA(A638:F638)=0,"",IF(AND(A638&lt;&gt;"",E638&lt;&gt;""),"OK","ERRO: faltam "&amp;IF(A638="","CNPJ; ","")&amp;IF(E638="","Novo gerente; ","")))</f>
      </c>
      <c r="K638" s="6">
        <f>IF(COUNTA(A638:F638)=0,"",IF(AND(LEFT(H638,4)&lt;&gt;"ERRO",I638="OK",J638="OK"),"OK","REVISAR"))</f>
      </c>
    </row>
    <row r="639">
      <c r="A639" s="5"/>
      <c r="B639" s="4"/>
      <c r="C639" s="4"/>
      <c r="D639" s="4"/>
      <c r="E639" s="5"/>
      <c r="F639" s="4"/>
      <c r="G639" s="6">
        <f>IF(A639="","",SUBSTITUTE(SUBSTITUTE(SUBSTITUTE(SUBSTITUTE(SUBSTITUTE(SUBSTITUTE(SUBSTITUTE(TRIM(A639),".",""),"/",""),"-","")," ",""),"(",""),")",""),"+",""))</f>
      </c>
      <c r="H639" s="6">
        <f>IF(G639="","",IF(LEN(G639)&lt;&gt;14,"ERRO: "&amp;LEN(G639)&amp;" dígitos",IF(NOT(ISNUMBER(VALUE(G639))),"ERRO: não numérico",IF(AND(VALUE(MID(G639,13,1))=IF(MOD(SUMPRODUCT(--MID(G639,{1,2,3,4,5,6,7,8,9,10,11,12},1),{5,4,3,2,9,8,7,6,5,4,3,2}),11)&lt;2,0,11-MOD(SUMPRODUCT(--MID(G639,{1,2,3,4,5,6,7,8,9,10,11,12},1),{5,4,3,2,9,8,7,6,5,4,3,2}),11)),VALUE(MID(G639,14,1))=IF(MOD(SUMPRODUCT(--MID(G639,{1,2,3,4,5,6,7,8,9,10,11,12,13},1),{6,5,4,3,2,9,8,7,6,5,4,3,2}),11)&lt;2,0,11-MOD(SUMPRODUCT(--MID(G639,{1,2,3,4,5,6,7,8,9,10,11,12,13},1),{6,5,4,3,2,9,8,7,6,5,4,3,2}),11))),"OK","AVISO: dígito verificador (conferir na org)"))))</f>
      </c>
      <c r="I639" s="6">
        <f>IF(G639="","",IF(COUNTIF($G$2:$G$2001,G639)&gt;1,"DUPLICADO","OK"))</f>
      </c>
      <c r="J639" s="6">
        <f>IF(COUNTA(A639:F639)=0,"",IF(AND(A639&lt;&gt;"",E639&lt;&gt;""),"OK","ERRO: faltam "&amp;IF(A639="","CNPJ; ","")&amp;IF(E639="","Novo gerente; ","")))</f>
      </c>
      <c r="K639" s="6">
        <f>IF(COUNTA(A639:F639)=0,"",IF(AND(LEFT(H639,4)&lt;&gt;"ERRO",I639="OK",J639="OK"),"OK","REVISAR"))</f>
      </c>
    </row>
    <row r="640">
      <c r="A640" s="5"/>
      <c r="B640" s="4"/>
      <c r="C640" s="4"/>
      <c r="D640" s="4"/>
      <c r="E640" s="5"/>
      <c r="F640" s="4"/>
      <c r="G640" s="6">
        <f>IF(A640="","",SUBSTITUTE(SUBSTITUTE(SUBSTITUTE(SUBSTITUTE(SUBSTITUTE(SUBSTITUTE(SUBSTITUTE(TRIM(A640),".",""),"/",""),"-","")," ",""),"(",""),")",""),"+",""))</f>
      </c>
      <c r="H640" s="6">
        <f>IF(G640="","",IF(LEN(G640)&lt;&gt;14,"ERRO: "&amp;LEN(G640)&amp;" dígitos",IF(NOT(ISNUMBER(VALUE(G640))),"ERRO: não numérico",IF(AND(VALUE(MID(G640,13,1))=IF(MOD(SUMPRODUCT(--MID(G640,{1,2,3,4,5,6,7,8,9,10,11,12},1),{5,4,3,2,9,8,7,6,5,4,3,2}),11)&lt;2,0,11-MOD(SUMPRODUCT(--MID(G640,{1,2,3,4,5,6,7,8,9,10,11,12},1),{5,4,3,2,9,8,7,6,5,4,3,2}),11)),VALUE(MID(G640,14,1))=IF(MOD(SUMPRODUCT(--MID(G640,{1,2,3,4,5,6,7,8,9,10,11,12,13},1),{6,5,4,3,2,9,8,7,6,5,4,3,2}),11)&lt;2,0,11-MOD(SUMPRODUCT(--MID(G640,{1,2,3,4,5,6,7,8,9,10,11,12,13},1),{6,5,4,3,2,9,8,7,6,5,4,3,2}),11))),"OK","AVISO: dígito verificador (conferir na org)"))))</f>
      </c>
      <c r="I640" s="6">
        <f>IF(G640="","",IF(COUNTIF($G$2:$G$2001,G640)&gt;1,"DUPLICADO","OK"))</f>
      </c>
      <c r="J640" s="6">
        <f>IF(COUNTA(A640:F640)=0,"",IF(AND(A640&lt;&gt;"",E640&lt;&gt;""),"OK","ERRO: faltam "&amp;IF(A640="","CNPJ; ","")&amp;IF(E640="","Novo gerente; ","")))</f>
      </c>
      <c r="K640" s="6">
        <f>IF(COUNTA(A640:F640)=0,"",IF(AND(LEFT(H640,4)&lt;&gt;"ERRO",I640="OK",J640="OK"),"OK","REVISAR"))</f>
      </c>
    </row>
    <row r="641">
      <c r="A641" s="5"/>
      <c r="B641" s="4"/>
      <c r="C641" s="4"/>
      <c r="D641" s="4"/>
      <c r="E641" s="5"/>
      <c r="F641" s="4"/>
      <c r="G641" s="6">
        <f>IF(A641="","",SUBSTITUTE(SUBSTITUTE(SUBSTITUTE(SUBSTITUTE(SUBSTITUTE(SUBSTITUTE(SUBSTITUTE(TRIM(A641),".",""),"/",""),"-","")," ",""),"(",""),")",""),"+",""))</f>
      </c>
      <c r="H641" s="6">
        <f>IF(G641="","",IF(LEN(G641)&lt;&gt;14,"ERRO: "&amp;LEN(G641)&amp;" dígitos",IF(NOT(ISNUMBER(VALUE(G641))),"ERRO: não numérico",IF(AND(VALUE(MID(G641,13,1))=IF(MOD(SUMPRODUCT(--MID(G641,{1,2,3,4,5,6,7,8,9,10,11,12},1),{5,4,3,2,9,8,7,6,5,4,3,2}),11)&lt;2,0,11-MOD(SUMPRODUCT(--MID(G641,{1,2,3,4,5,6,7,8,9,10,11,12},1),{5,4,3,2,9,8,7,6,5,4,3,2}),11)),VALUE(MID(G641,14,1))=IF(MOD(SUMPRODUCT(--MID(G641,{1,2,3,4,5,6,7,8,9,10,11,12,13},1),{6,5,4,3,2,9,8,7,6,5,4,3,2}),11)&lt;2,0,11-MOD(SUMPRODUCT(--MID(G641,{1,2,3,4,5,6,7,8,9,10,11,12,13},1),{6,5,4,3,2,9,8,7,6,5,4,3,2}),11))),"OK","AVISO: dígito verificador (conferir na org)"))))</f>
      </c>
      <c r="I641" s="6">
        <f>IF(G641="","",IF(COUNTIF($G$2:$G$2001,G641)&gt;1,"DUPLICADO","OK"))</f>
      </c>
      <c r="J641" s="6">
        <f>IF(COUNTA(A641:F641)=0,"",IF(AND(A641&lt;&gt;"",E641&lt;&gt;""),"OK","ERRO: faltam "&amp;IF(A641="","CNPJ; ","")&amp;IF(E641="","Novo gerente; ","")))</f>
      </c>
      <c r="K641" s="6">
        <f>IF(COUNTA(A641:F641)=0,"",IF(AND(LEFT(H641,4)&lt;&gt;"ERRO",I641="OK",J641="OK"),"OK","REVISAR"))</f>
      </c>
    </row>
    <row r="642">
      <c r="A642" s="5"/>
      <c r="B642" s="4"/>
      <c r="C642" s="4"/>
      <c r="D642" s="4"/>
      <c r="E642" s="5"/>
      <c r="F642" s="4"/>
      <c r="G642" s="6">
        <f>IF(A642="","",SUBSTITUTE(SUBSTITUTE(SUBSTITUTE(SUBSTITUTE(SUBSTITUTE(SUBSTITUTE(SUBSTITUTE(TRIM(A642),".",""),"/",""),"-","")," ",""),"(",""),")",""),"+",""))</f>
      </c>
      <c r="H642" s="6">
        <f>IF(G642="","",IF(LEN(G642)&lt;&gt;14,"ERRO: "&amp;LEN(G642)&amp;" dígitos",IF(NOT(ISNUMBER(VALUE(G642))),"ERRO: não numérico",IF(AND(VALUE(MID(G642,13,1))=IF(MOD(SUMPRODUCT(--MID(G642,{1,2,3,4,5,6,7,8,9,10,11,12},1),{5,4,3,2,9,8,7,6,5,4,3,2}),11)&lt;2,0,11-MOD(SUMPRODUCT(--MID(G642,{1,2,3,4,5,6,7,8,9,10,11,12},1),{5,4,3,2,9,8,7,6,5,4,3,2}),11)),VALUE(MID(G642,14,1))=IF(MOD(SUMPRODUCT(--MID(G642,{1,2,3,4,5,6,7,8,9,10,11,12,13},1),{6,5,4,3,2,9,8,7,6,5,4,3,2}),11)&lt;2,0,11-MOD(SUMPRODUCT(--MID(G642,{1,2,3,4,5,6,7,8,9,10,11,12,13},1),{6,5,4,3,2,9,8,7,6,5,4,3,2}),11))),"OK","AVISO: dígito verificador (conferir na org)"))))</f>
      </c>
      <c r="I642" s="6">
        <f>IF(G642="","",IF(COUNTIF($G$2:$G$2001,G642)&gt;1,"DUPLICADO","OK"))</f>
      </c>
      <c r="J642" s="6">
        <f>IF(COUNTA(A642:F642)=0,"",IF(AND(A642&lt;&gt;"",E642&lt;&gt;""),"OK","ERRO: faltam "&amp;IF(A642="","CNPJ; ","")&amp;IF(E642="","Novo gerente; ","")))</f>
      </c>
      <c r="K642" s="6">
        <f>IF(COUNTA(A642:F642)=0,"",IF(AND(LEFT(H642,4)&lt;&gt;"ERRO",I642="OK",J642="OK"),"OK","REVISAR"))</f>
      </c>
    </row>
    <row r="643">
      <c r="A643" s="5"/>
      <c r="B643" s="4"/>
      <c r="C643" s="4"/>
      <c r="D643" s="4"/>
      <c r="E643" s="5"/>
      <c r="F643" s="4"/>
      <c r="G643" s="6">
        <f>IF(A643="","",SUBSTITUTE(SUBSTITUTE(SUBSTITUTE(SUBSTITUTE(SUBSTITUTE(SUBSTITUTE(SUBSTITUTE(TRIM(A643),".",""),"/",""),"-","")," ",""),"(",""),")",""),"+",""))</f>
      </c>
      <c r="H643" s="6">
        <f>IF(G643="","",IF(LEN(G643)&lt;&gt;14,"ERRO: "&amp;LEN(G643)&amp;" dígitos",IF(NOT(ISNUMBER(VALUE(G643))),"ERRO: não numérico",IF(AND(VALUE(MID(G643,13,1))=IF(MOD(SUMPRODUCT(--MID(G643,{1,2,3,4,5,6,7,8,9,10,11,12},1),{5,4,3,2,9,8,7,6,5,4,3,2}),11)&lt;2,0,11-MOD(SUMPRODUCT(--MID(G643,{1,2,3,4,5,6,7,8,9,10,11,12},1),{5,4,3,2,9,8,7,6,5,4,3,2}),11)),VALUE(MID(G643,14,1))=IF(MOD(SUMPRODUCT(--MID(G643,{1,2,3,4,5,6,7,8,9,10,11,12,13},1),{6,5,4,3,2,9,8,7,6,5,4,3,2}),11)&lt;2,0,11-MOD(SUMPRODUCT(--MID(G643,{1,2,3,4,5,6,7,8,9,10,11,12,13},1),{6,5,4,3,2,9,8,7,6,5,4,3,2}),11))),"OK","AVISO: dígito verificador (conferir na org)"))))</f>
      </c>
      <c r="I643" s="6">
        <f>IF(G643="","",IF(COUNTIF($G$2:$G$2001,G643)&gt;1,"DUPLICADO","OK"))</f>
      </c>
      <c r="J643" s="6">
        <f>IF(COUNTA(A643:F643)=0,"",IF(AND(A643&lt;&gt;"",E643&lt;&gt;""),"OK","ERRO: faltam "&amp;IF(A643="","CNPJ; ","")&amp;IF(E643="","Novo gerente; ","")))</f>
      </c>
      <c r="K643" s="6">
        <f>IF(COUNTA(A643:F643)=0,"",IF(AND(LEFT(H643,4)&lt;&gt;"ERRO",I643="OK",J643="OK"),"OK","REVISAR"))</f>
      </c>
    </row>
    <row r="644">
      <c r="A644" s="5"/>
      <c r="B644" s="4"/>
      <c r="C644" s="4"/>
      <c r="D644" s="4"/>
      <c r="E644" s="5"/>
      <c r="F644" s="4"/>
      <c r="G644" s="6">
        <f>IF(A644="","",SUBSTITUTE(SUBSTITUTE(SUBSTITUTE(SUBSTITUTE(SUBSTITUTE(SUBSTITUTE(SUBSTITUTE(TRIM(A644),".",""),"/",""),"-","")," ",""),"(",""),")",""),"+",""))</f>
      </c>
      <c r="H644" s="6">
        <f>IF(G644="","",IF(LEN(G644)&lt;&gt;14,"ERRO: "&amp;LEN(G644)&amp;" dígitos",IF(NOT(ISNUMBER(VALUE(G644))),"ERRO: não numérico",IF(AND(VALUE(MID(G644,13,1))=IF(MOD(SUMPRODUCT(--MID(G644,{1,2,3,4,5,6,7,8,9,10,11,12},1),{5,4,3,2,9,8,7,6,5,4,3,2}),11)&lt;2,0,11-MOD(SUMPRODUCT(--MID(G644,{1,2,3,4,5,6,7,8,9,10,11,12},1),{5,4,3,2,9,8,7,6,5,4,3,2}),11)),VALUE(MID(G644,14,1))=IF(MOD(SUMPRODUCT(--MID(G644,{1,2,3,4,5,6,7,8,9,10,11,12,13},1),{6,5,4,3,2,9,8,7,6,5,4,3,2}),11)&lt;2,0,11-MOD(SUMPRODUCT(--MID(G644,{1,2,3,4,5,6,7,8,9,10,11,12,13},1),{6,5,4,3,2,9,8,7,6,5,4,3,2}),11))),"OK","AVISO: dígito verificador (conferir na org)"))))</f>
      </c>
      <c r="I644" s="6">
        <f>IF(G644="","",IF(COUNTIF($G$2:$G$2001,G644)&gt;1,"DUPLICADO","OK"))</f>
      </c>
      <c r="J644" s="6">
        <f>IF(COUNTA(A644:F644)=0,"",IF(AND(A644&lt;&gt;"",E644&lt;&gt;""),"OK","ERRO: faltam "&amp;IF(A644="","CNPJ; ","")&amp;IF(E644="","Novo gerente; ","")))</f>
      </c>
      <c r="K644" s="6">
        <f>IF(COUNTA(A644:F644)=0,"",IF(AND(LEFT(H644,4)&lt;&gt;"ERRO",I644="OK",J644="OK"),"OK","REVISAR"))</f>
      </c>
    </row>
    <row r="645">
      <c r="A645" s="5"/>
      <c r="B645" s="4"/>
      <c r="C645" s="4"/>
      <c r="D645" s="4"/>
      <c r="E645" s="5"/>
      <c r="F645" s="4"/>
      <c r="G645" s="6">
        <f>IF(A645="","",SUBSTITUTE(SUBSTITUTE(SUBSTITUTE(SUBSTITUTE(SUBSTITUTE(SUBSTITUTE(SUBSTITUTE(TRIM(A645),".",""),"/",""),"-","")," ",""),"(",""),")",""),"+",""))</f>
      </c>
      <c r="H645" s="6">
        <f>IF(G645="","",IF(LEN(G645)&lt;&gt;14,"ERRO: "&amp;LEN(G645)&amp;" dígitos",IF(NOT(ISNUMBER(VALUE(G645))),"ERRO: não numérico",IF(AND(VALUE(MID(G645,13,1))=IF(MOD(SUMPRODUCT(--MID(G645,{1,2,3,4,5,6,7,8,9,10,11,12},1),{5,4,3,2,9,8,7,6,5,4,3,2}),11)&lt;2,0,11-MOD(SUMPRODUCT(--MID(G645,{1,2,3,4,5,6,7,8,9,10,11,12},1),{5,4,3,2,9,8,7,6,5,4,3,2}),11)),VALUE(MID(G645,14,1))=IF(MOD(SUMPRODUCT(--MID(G645,{1,2,3,4,5,6,7,8,9,10,11,12,13},1),{6,5,4,3,2,9,8,7,6,5,4,3,2}),11)&lt;2,0,11-MOD(SUMPRODUCT(--MID(G645,{1,2,3,4,5,6,7,8,9,10,11,12,13},1),{6,5,4,3,2,9,8,7,6,5,4,3,2}),11))),"OK","AVISO: dígito verificador (conferir na org)"))))</f>
      </c>
      <c r="I645" s="6">
        <f>IF(G645="","",IF(COUNTIF($G$2:$G$2001,G645)&gt;1,"DUPLICADO","OK"))</f>
      </c>
      <c r="J645" s="6">
        <f>IF(COUNTA(A645:F645)=0,"",IF(AND(A645&lt;&gt;"",E645&lt;&gt;""),"OK","ERRO: faltam "&amp;IF(A645="","CNPJ; ","")&amp;IF(E645="","Novo gerente; ","")))</f>
      </c>
      <c r="K645" s="6">
        <f>IF(COUNTA(A645:F645)=0,"",IF(AND(LEFT(H645,4)&lt;&gt;"ERRO",I645="OK",J645="OK"),"OK","REVISAR"))</f>
      </c>
    </row>
    <row r="646">
      <c r="A646" s="5"/>
      <c r="B646" s="4"/>
      <c r="C646" s="4"/>
      <c r="D646" s="4"/>
      <c r="E646" s="5"/>
      <c r="F646" s="4"/>
      <c r="G646" s="6">
        <f>IF(A646="","",SUBSTITUTE(SUBSTITUTE(SUBSTITUTE(SUBSTITUTE(SUBSTITUTE(SUBSTITUTE(SUBSTITUTE(TRIM(A646),".",""),"/",""),"-","")," ",""),"(",""),")",""),"+",""))</f>
      </c>
      <c r="H646" s="6">
        <f>IF(G646="","",IF(LEN(G646)&lt;&gt;14,"ERRO: "&amp;LEN(G646)&amp;" dígitos",IF(NOT(ISNUMBER(VALUE(G646))),"ERRO: não numérico",IF(AND(VALUE(MID(G646,13,1))=IF(MOD(SUMPRODUCT(--MID(G646,{1,2,3,4,5,6,7,8,9,10,11,12},1),{5,4,3,2,9,8,7,6,5,4,3,2}),11)&lt;2,0,11-MOD(SUMPRODUCT(--MID(G646,{1,2,3,4,5,6,7,8,9,10,11,12},1),{5,4,3,2,9,8,7,6,5,4,3,2}),11)),VALUE(MID(G646,14,1))=IF(MOD(SUMPRODUCT(--MID(G646,{1,2,3,4,5,6,7,8,9,10,11,12,13},1),{6,5,4,3,2,9,8,7,6,5,4,3,2}),11)&lt;2,0,11-MOD(SUMPRODUCT(--MID(G646,{1,2,3,4,5,6,7,8,9,10,11,12,13},1),{6,5,4,3,2,9,8,7,6,5,4,3,2}),11))),"OK","AVISO: dígito verificador (conferir na org)"))))</f>
      </c>
      <c r="I646" s="6">
        <f>IF(G646="","",IF(COUNTIF($G$2:$G$2001,G646)&gt;1,"DUPLICADO","OK"))</f>
      </c>
      <c r="J646" s="6">
        <f>IF(COUNTA(A646:F646)=0,"",IF(AND(A646&lt;&gt;"",E646&lt;&gt;""),"OK","ERRO: faltam "&amp;IF(A646="","CNPJ; ","")&amp;IF(E646="","Novo gerente; ","")))</f>
      </c>
      <c r="K646" s="6">
        <f>IF(COUNTA(A646:F646)=0,"",IF(AND(LEFT(H646,4)&lt;&gt;"ERRO",I646="OK",J646="OK"),"OK","REVISAR"))</f>
      </c>
    </row>
    <row r="647">
      <c r="A647" s="5"/>
      <c r="B647" s="4"/>
      <c r="C647" s="4"/>
      <c r="D647" s="4"/>
      <c r="E647" s="5"/>
      <c r="F647" s="4"/>
      <c r="G647" s="6">
        <f>IF(A647="","",SUBSTITUTE(SUBSTITUTE(SUBSTITUTE(SUBSTITUTE(SUBSTITUTE(SUBSTITUTE(SUBSTITUTE(TRIM(A647),".",""),"/",""),"-","")," ",""),"(",""),")",""),"+",""))</f>
      </c>
      <c r="H647" s="6">
        <f>IF(G647="","",IF(LEN(G647)&lt;&gt;14,"ERRO: "&amp;LEN(G647)&amp;" dígitos",IF(NOT(ISNUMBER(VALUE(G647))),"ERRO: não numérico",IF(AND(VALUE(MID(G647,13,1))=IF(MOD(SUMPRODUCT(--MID(G647,{1,2,3,4,5,6,7,8,9,10,11,12},1),{5,4,3,2,9,8,7,6,5,4,3,2}),11)&lt;2,0,11-MOD(SUMPRODUCT(--MID(G647,{1,2,3,4,5,6,7,8,9,10,11,12},1),{5,4,3,2,9,8,7,6,5,4,3,2}),11)),VALUE(MID(G647,14,1))=IF(MOD(SUMPRODUCT(--MID(G647,{1,2,3,4,5,6,7,8,9,10,11,12,13},1),{6,5,4,3,2,9,8,7,6,5,4,3,2}),11)&lt;2,0,11-MOD(SUMPRODUCT(--MID(G647,{1,2,3,4,5,6,7,8,9,10,11,12,13},1),{6,5,4,3,2,9,8,7,6,5,4,3,2}),11))),"OK","AVISO: dígito verificador (conferir na org)"))))</f>
      </c>
      <c r="I647" s="6">
        <f>IF(G647="","",IF(COUNTIF($G$2:$G$2001,G647)&gt;1,"DUPLICADO","OK"))</f>
      </c>
      <c r="J647" s="6">
        <f>IF(COUNTA(A647:F647)=0,"",IF(AND(A647&lt;&gt;"",E647&lt;&gt;""),"OK","ERRO: faltam "&amp;IF(A647="","CNPJ; ","")&amp;IF(E647="","Novo gerente; ","")))</f>
      </c>
      <c r="K647" s="6">
        <f>IF(COUNTA(A647:F647)=0,"",IF(AND(LEFT(H647,4)&lt;&gt;"ERRO",I647="OK",J647="OK"),"OK","REVISAR"))</f>
      </c>
    </row>
    <row r="648">
      <c r="A648" s="5"/>
      <c r="B648" s="4"/>
      <c r="C648" s="4"/>
      <c r="D648" s="4"/>
      <c r="E648" s="5"/>
      <c r="F648" s="4"/>
      <c r="G648" s="6">
        <f>IF(A648="","",SUBSTITUTE(SUBSTITUTE(SUBSTITUTE(SUBSTITUTE(SUBSTITUTE(SUBSTITUTE(SUBSTITUTE(TRIM(A648),".",""),"/",""),"-","")," ",""),"(",""),")",""),"+",""))</f>
      </c>
      <c r="H648" s="6">
        <f>IF(G648="","",IF(LEN(G648)&lt;&gt;14,"ERRO: "&amp;LEN(G648)&amp;" dígitos",IF(NOT(ISNUMBER(VALUE(G648))),"ERRO: não numérico",IF(AND(VALUE(MID(G648,13,1))=IF(MOD(SUMPRODUCT(--MID(G648,{1,2,3,4,5,6,7,8,9,10,11,12},1),{5,4,3,2,9,8,7,6,5,4,3,2}),11)&lt;2,0,11-MOD(SUMPRODUCT(--MID(G648,{1,2,3,4,5,6,7,8,9,10,11,12},1),{5,4,3,2,9,8,7,6,5,4,3,2}),11)),VALUE(MID(G648,14,1))=IF(MOD(SUMPRODUCT(--MID(G648,{1,2,3,4,5,6,7,8,9,10,11,12,13},1),{6,5,4,3,2,9,8,7,6,5,4,3,2}),11)&lt;2,0,11-MOD(SUMPRODUCT(--MID(G648,{1,2,3,4,5,6,7,8,9,10,11,12,13},1),{6,5,4,3,2,9,8,7,6,5,4,3,2}),11))),"OK","AVISO: dígito verificador (conferir na org)"))))</f>
      </c>
      <c r="I648" s="6">
        <f>IF(G648="","",IF(COUNTIF($G$2:$G$2001,G648)&gt;1,"DUPLICADO","OK"))</f>
      </c>
      <c r="J648" s="6">
        <f>IF(COUNTA(A648:F648)=0,"",IF(AND(A648&lt;&gt;"",E648&lt;&gt;""),"OK","ERRO: faltam "&amp;IF(A648="","CNPJ; ","")&amp;IF(E648="","Novo gerente; ","")))</f>
      </c>
      <c r="K648" s="6">
        <f>IF(COUNTA(A648:F648)=0,"",IF(AND(LEFT(H648,4)&lt;&gt;"ERRO",I648="OK",J648="OK"),"OK","REVISAR"))</f>
      </c>
    </row>
    <row r="649">
      <c r="A649" s="5"/>
      <c r="B649" s="4"/>
      <c r="C649" s="4"/>
      <c r="D649" s="4"/>
      <c r="E649" s="5"/>
      <c r="F649" s="4"/>
      <c r="G649" s="6">
        <f>IF(A649="","",SUBSTITUTE(SUBSTITUTE(SUBSTITUTE(SUBSTITUTE(SUBSTITUTE(SUBSTITUTE(SUBSTITUTE(TRIM(A649),".",""),"/",""),"-","")," ",""),"(",""),")",""),"+",""))</f>
      </c>
      <c r="H649" s="6">
        <f>IF(G649="","",IF(LEN(G649)&lt;&gt;14,"ERRO: "&amp;LEN(G649)&amp;" dígitos",IF(NOT(ISNUMBER(VALUE(G649))),"ERRO: não numérico",IF(AND(VALUE(MID(G649,13,1))=IF(MOD(SUMPRODUCT(--MID(G649,{1,2,3,4,5,6,7,8,9,10,11,12},1),{5,4,3,2,9,8,7,6,5,4,3,2}),11)&lt;2,0,11-MOD(SUMPRODUCT(--MID(G649,{1,2,3,4,5,6,7,8,9,10,11,12},1),{5,4,3,2,9,8,7,6,5,4,3,2}),11)),VALUE(MID(G649,14,1))=IF(MOD(SUMPRODUCT(--MID(G649,{1,2,3,4,5,6,7,8,9,10,11,12,13},1),{6,5,4,3,2,9,8,7,6,5,4,3,2}),11)&lt;2,0,11-MOD(SUMPRODUCT(--MID(G649,{1,2,3,4,5,6,7,8,9,10,11,12,13},1),{6,5,4,3,2,9,8,7,6,5,4,3,2}),11))),"OK","AVISO: dígito verificador (conferir na org)"))))</f>
      </c>
      <c r="I649" s="6">
        <f>IF(G649="","",IF(COUNTIF($G$2:$G$2001,G649)&gt;1,"DUPLICADO","OK"))</f>
      </c>
      <c r="J649" s="6">
        <f>IF(COUNTA(A649:F649)=0,"",IF(AND(A649&lt;&gt;"",E649&lt;&gt;""),"OK","ERRO: faltam "&amp;IF(A649="","CNPJ; ","")&amp;IF(E649="","Novo gerente; ","")))</f>
      </c>
      <c r="K649" s="6">
        <f>IF(COUNTA(A649:F649)=0,"",IF(AND(LEFT(H649,4)&lt;&gt;"ERRO",I649="OK",J649="OK"),"OK","REVISAR"))</f>
      </c>
    </row>
    <row r="650">
      <c r="A650" s="5"/>
      <c r="B650" s="4"/>
      <c r="C650" s="4"/>
      <c r="D650" s="4"/>
      <c r="E650" s="5"/>
      <c r="F650" s="4"/>
      <c r="G650" s="6">
        <f>IF(A650="","",SUBSTITUTE(SUBSTITUTE(SUBSTITUTE(SUBSTITUTE(SUBSTITUTE(SUBSTITUTE(SUBSTITUTE(TRIM(A650),".",""),"/",""),"-","")," ",""),"(",""),")",""),"+",""))</f>
      </c>
      <c r="H650" s="6">
        <f>IF(G650="","",IF(LEN(G650)&lt;&gt;14,"ERRO: "&amp;LEN(G650)&amp;" dígitos",IF(NOT(ISNUMBER(VALUE(G650))),"ERRO: não numérico",IF(AND(VALUE(MID(G650,13,1))=IF(MOD(SUMPRODUCT(--MID(G650,{1,2,3,4,5,6,7,8,9,10,11,12},1),{5,4,3,2,9,8,7,6,5,4,3,2}),11)&lt;2,0,11-MOD(SUMPRODUCT(--MID(G650,{1,2,3,4,5,6,7,8,9,10,11,12},1),{5,4,3,2,9,8,7,6,5,4,3,2}),11)),VALUE(MID(G650,14,1))=IF(MOD(SUMPRODUCT(--MID(G650,{1,2,3,4,5,6,7,8,9,10,11,12,13},1),{6,5,4,3,2,9,8,7,6,5,4,3,2}),11)&lt;2,0,11-MOD(SUMPRODUCT(--MID(G650,{1,2,3,4,5,6,7,8,9,10,11,12,13},1),{6,5,4,3,2,9,8,7,6,5,4,3,2}),11))),"OK","AVISO: dígito verificador (conferir na org)"))))</f>
      </c>
      <c r="I650" s="6">
        <f>IF(G650="","",IF(COUNTIF($G$2:$G$2001,G650)&gt;1,"DUPLICADO","OK"))</f>
      </c>
      <c r="J650" s="6">
        <f>IF(COUNTA(A650:F650)=0,"",IF(AND(A650&lt;&gt;"",E650&lt;&gt;""),"OK","ERRO: faltam "&amp;IF(A650="","CNPJ; ","")&amp;IF(E650="","Novo gerente; ","")))</f>
      </c>
      <c r="K650" s="6">
        <f>IF(COUNTA(A650:F650)=0,"",IF(AND(LEFT(H650,4)&lt;&gt;"ERRO",I650="OK",J650="OK"),"OK","REVISAR"))</f>
      </c>
    </row>
    <row r="651">
      <c r="A651" s="5"/>
      <c r="B651" s="4"/>
      <c r="C651" s="4"/>
      <c r="D651" s="4"/>
      <c r="E651" s="5"/>
      <c r="F651" s="4"/>
      <c r="G651" s="6">
        <f>IF(A651="","",SUBSTITUTE(SUBSTITUTE(SUBSTITUTE(SUBSTITUTE(SUBSTITUTE(SUBSTITUTE(SUBSTITUTE(TRIM(A651),".",""),"/",""),"-","")," ",""),"(",""),")",""),"+",""))</f>
      </c>
      <c r="H651" s="6">
        <f>IF(G651="","",IF(LEN(G651)&lt;&gt;14,"ERRO: "&amp;LEN(G651)&amp;" dígitos",IF(NOT(ISNUMBER(VALUE(G651))),"ERRO: não numérico",IF(AND(VALUE(MID(G651,13,1))=IF(MOD(SUMPRODUCT(--MID(G651,{1,2,3,4,5,6,7,8,9,10,11,12},1),{5,4,3,2,9,8,7,6,5,4,3,2}),11)&lt;2,0,11-MOD(SUMPRODUCT(--MID(G651,{1,2,3,4,5,6,7,8,9,10,11,12},1),{5,4,3,2,9,8,7,6,5,4,3,2}),11)),VALUE(MID(G651,14,1))=IF(MOD(SUMPRODUCT(--MID(G651,{1,2,3,4,5,6,7,8,9,10,11,12,13},1),{6,5,4,3,2,9,8,7,6,5,4,3,2}),11)&lt;2,0,11-MOD(SUMPRODUCT(--MID(G651,{1,2,3,4,5,6,7,8,9,10,11,12,13},1),{6,5,4,3,2,9,8,7,6,5,4,3,2}),11))),"OK","AVISO: dígito verificador (conferir na org)"))))</f>
      </c>
      <c r="I651" s="6">
        <f>IF(G651="","",IF(COUNTIF($G$2:$G$2001,G651)&gt;1,"DUPLICADO","OK"))</f>
      </c>
      <c r="J651" s="6">
        <f>IF(COUNTA(A651:F651)=0,"",IF(AND(A651&lt;&gt;"",E651&lt;&gt;""),"OK","ERRO: faltam "&amp;IF(A651="","CNPJ; ","")&amp;IF(E651="","Novo gerente; ","")))</f>
      </c>
      <c r="K651" s="6">
        <f>IF(COUNTA(A651:F651)=0,"",IF(AND(LEFT(H651,4)&lt;&gt;"ERRO",I651="OK",J651="OK"),"OK","REVISAR"))</f>
      </c>
    </row>
    <row r="652">
      <c r="A652" s="5"/>
      <c r="B652" s="4"/>
      <c r="C652" s="4"/>
      <c r="D652" s="4"/>
      <c r="E652" s="5"/>
      <c r="F652" s="4"/>
      <c r="G652" s="6">
        <f>IF(A652="","",SUBSTITUTE(SUBSTITUTE(SUBSTITUTE(SUBSTITUTE(SUBSTITUTE(SUBSTITUTE(SUBSTITUTE(TRIM(A652),".",""),"/",""),"-","")," ",""),"(",""),")",""),"+",""))</f>
      </c>
      <c r="H652" s="6">
        <f>IF(G652="","",IF(LEN(G652)&lt;&gt;14,"ERRO: "&amp;LEN(G652)&amp;" dígitos",IF(NOT(ISNUMBER(VALUE(G652))),"ERRO: não numérico",IF(AND(VALUE(MID(G652,13,1))=IF(MOD(SUMPRODUCT(--MID(G652,{1,2,3,4,5,6,7,8,9,10,11,12},1),{5,4,3,2,9,8,7,6,5,4,3,2}),11)&lt;2,0,11-MOD(SUMPRODUCT(--MID(G652,{1,2,3,4,5,6,7,8,9,10,11,12},1),{5,4,3,2,9,8,7,6,5,4,3,2}),11)),VALUE(MID(G652,14,1))=IF(MOD(SUMPRODUCT(--MID(G652,{1,2,3,4,5,6,7,8,9,10,11,12,13},1),{6,5,4,3,2,9,8,7,6,5,4,3,2}),11)&lt;2,0,11-MOD(SUMPRODUCT(--MID(G652,{1,2,3,4,5,6,7,8,9,10,11,12,13},1),{6,5,4,3,2,9,8,7,6,5,4,3,2}),11))),"OK","AVISO: dígito verificador (conferir na org)"))))</f>
      </c>
      <c r="I652" s="6">
        <f>IF(G652="","",IF(COUNTIF($G$2:$G$2001,G652)&gt;1,"DUPLICADO","OK"))</f>
      </c>
      <c r="J652" s="6">
        <f>IF(COUNTA(A652:F652)=0,"",IF(AND(A652&lt;&gt;"",E652&lt;&gt;""),"OK","ERRO: faltam "&amp;IF(A652="","CNPJ; ","")&amp;IF(E652="","Novo gerente; ","")))</f>
      </c>
      <c r="K652" s="6">
        <f>IF(COUNTA(A652:F652)=0,"",IF(AND(LEFT(H652,4)&lt;&gt;"ERRO",I652="OK",J652="OK"),"OK","REVISAR"))</f>
      </c>
    </row>
    <row r="653">
      <c r="A653" s="5"/>
      <c r="B653" s="4"/>
      <c r="C653" s="4"/>
      <c r="D653" s="4"/>
      <c r="E653" s="5"/>
      <c r="F653" s="4"/>
      <c r="G653" s="6">
        <f>IF(A653="","",SUBSTITUTE(SUBSTITUTE(SUBSTITUTE(SUBSTITUTE(SUBSTITUTE(SUBSTITUTE(SUBSTITUTE(TRIM(A653),".",""),"/",""),"-","")," ",""),"(",""),")",""),"+",""))</f>
      </c>
      <c r="H653" s="6">
        <f>IF(G653="","",IF(LEN(G653)&lt;&gt;14,"ERRO: "&amp;LEN(G653)&amp;" dígitos",IF(NOT(ISNUMBER(VALUE(G653))),"ERRO: não numérico",IF(AND(VALUE(MID(G653,13,1))=IF(MOD(SUMPRODUCT(--MID(G653,{1,2,3,4,5,6,7,8,9,10,11,12},1),{5,4,3,2,9,8,7,6,5,4,3,2}),11)&lt;2,0,11-MOD(SUMPRODUCT(--MID(G653,{1,2,3,4,5,6,7,8,9,10,11,12},1),{5,4,3,2,9,8,7,6,5,4,3,2}),11)),VALUE(MID(G653,14,1))=IF(MOD(SUMPRODUCT(--MID(G653,{1,2,3,4,5,6,7,8,9,10,11,12,13},1),{6,5,4,3,2,9,8,7,6,5,4,3,2}),11)&lt;2,0,11-MOD(SUMPRODUCT(--MID(G653,{1,2,3,4,5,6,7,8,9,10,11,12,13},1),{6,5,4,3,2,9,8,7,6,5,4,3,2}),11))),"OK","AVISO: dígito verificador (conferir na org)"))))</f>
      </c>
      <c r="I653" s="6">
        <f>IF(G653="","",IF(COUNTIF($G$2:$G$2001,G653)&gt;1,"DUPLICADO","OK"))</f>
      </c>
      <c r="J653" s="6">
        <f>IF(COUNTA(A653:F653)=0,"",IF(AND(A653&lt;&gt;"",E653&lt;&gt;""),"OK","ERRO: faltam "&amp;IF(A653="","CNPJ; ","")&amp;IF(E653="","Novo gerente; ","")))</f>
      </c>
      <c r="K653" s="6">
        <f>IF(COUNTA(A653:F653)=0,"",IF(AND(LEFT(H653,4)&lt;&gt;"ERRO",I653="OK",J653="OK"),"OK","REVISAR"))</f>
      </c>
    </row>
    <row r="654">
      <c r="A654" s="5"/>
      <c r="B654" s="4"/>
      <c r="C654" s="4"/>
      <c r="D654" s="4"/>
      <c r="E654" s="5"/>
      <c r="F654" s="4"/>
      <c r="G654" s="6">
        <f>IF(A654="","",SUBSTITUTE(SUBSTITUTE(SUBSTITUTE(SUBSTITUTE(SUBSTITUTE(SUBSTITUTE(SUBSTITUTE(TRIM(A654),".",""),"/",""),"-","")," ",""),"(",""),")",""),"+",""))</f>
      </c>
      <c r="H654" s="6">
        <f>IF(G654="","",IF(LEN(G654)&lt;&gt;14,"ERRO: "&amp;LEN(G654)&amp;" dígitos",IF(NOT(ISNUMBER(VALUE(G654))),"ERRO: não numérico",IF(AND(VALUE(MID(G654,13,1))=IF(MOD(SUMPRODUCT(--MID(G654,{1,2,3,4,5,6,7,8,9,10,11,12},1),{5,4,3,2,9,8,7,6,5,4,3,2}),11)&lt;2,0,11-MOD(SUMPRODUCT(--MID(G654,{1,2,3,4,5,6,7,8,9,10,11,12},1),{5,4,3,2,9,8,7,6,5,4,3,2}),11)),VALUE(MID(G654,14,1))=IF(MOD(SUMPRODUCT(--MID(G654,{1,2,3,4,5,6,7,8,9,10,11,12,13},1),{6,5,4,3,2,9,8,7,6,5,4,3,2}),11)&lt;2,0,11-MOD(SUMPRODUCT(--MID(G654,{1,2,3,4,5,6,7,8,9,10,11,12,13},1),{6,5,4,3,2,9,8,7,6,5,4,3,2}),11))),"OK","AVISO: dígito verificador (conferir na org)"))))</f>
      </c>
      <c r="I654" s="6">
        <f>IF(G654="","",IF(COUNTIF($G$2:$G$2001,G654)&gt;1,"DUPLICADO","OK"))</f>
      </c>
      <c r="J654" s="6">
        <f>IF(COUNTA(A654:F654)=0,"",IF(AND(A654&lt;&gt;"",E654&lt;&gt;""),"OK","ERRO: faltam "&amp;IF(A654="","CNPJ; ","")&amp;IF(E654="","Novo gerente; ","")))</f>
      </c>
      <c r="K654" s="6">
        <f>IF(COUNTA(A654:F654)=0,"",IF(AND(LEFT(H654,4)&lt;&gt;"ERRO",I654="OK",J654="OK"),"OK","REVISAR"))</f>
      </c>
    </row>
    <row r="655">
      <c r="A655" s="5"/>
      <c r="B655" s="4"/>
      <c r="C655" s="4"/>
      <c r="D655" s="4"/>
      <c r="E655" s="5"/>
      <c r="F655" s="4"/>
      <c r="G655" s="6">
        <f>IF(A655="","",SUBSTITUTE(SUBSTITUTE(SUBSTITUTE(SUBSTITUTE(SUBSTITUTE(SUBSTITUTE(SUBSTITUTE(TRIM(A655),".",""),"/",""),"-","")," ",""),"(",""),")",""),"+",""))</f>
      </c>
      <c r="H655" s="6">
        <f>IF(G655="","",IF(LEN(G655)&lt;&gt;14,"ERRO: "&amp;LEN(G655)&amp;" dígitos",IF(NOT(ISNUMBER(VALUE(G655))),"ERRO: não numérico",IF(AND(VALUE(MID(G655,13,1))=IF(MOD(SUMPRODUCT(--MID(G655,{1,2,3,4,5,6,7,8,9,10,11,12},1),{5,4,3,2,9,8,7,6,5,4,3,2}),11)&lt;2,0,11-MOD(SUMPRODUCT(--MID(G655,{1,2,3,4,5,6,7,8,9,10,11,12},1),{5,4,3,2,9,8,7,6,5,4,3,2}),11)),VALUE(MID(G655,14,1))=IF(MOD(SUMPRODUCT(--MID(G655,{1,2,3,4,5,6,7,8,9,10,11,12,13},1),{6,5,4,3,2,9,8,7,6,5,4,3,2}),11)&lt;2,0,11-MOD(SUMPRODUCT(--MID(G655,{1,2,3,4,5,6,7,8,9,10,11,12,13},1),{6,5,4,3,2,9,8,7,6,5,4,3,2}),11))),"OK","AVISO: dígito verificador (conferir na org)"))))</f>
      </c>
      <c r="I655" s="6">
        <f>IF(G655="","",IF(COUNTIF($G$2:$G$2001,G655)&gt;1,"DUPLICADO","OK"))</f>
      </c>
      <c r="J655" s="6">
        <f>IF(COUNTA(A655:F655)=0,"",IF(AND(A655&lt;&gt;"",E655&lt;&gt;""),"OK","ERRO: faltam "&amp;IF(A655="","CNPJ; ","")&amp;IF(E655="","Novo gerente; ","")))</f>
      </c>
      <c r="K655" s="6">
        <f>IF(COUNTA(A655:F655)=0,"",IF(AND(LEFT(H655,4)&lt;&gt;"ERRO",I655="OK",J655="OK"),"OK","REVISAR"))</f>
      </c>
    </row>
    <row r="656">
      <c r="A656" s="5"/>
      <c r="B656" s="4"/>
      <c r="C656" s="4"/>
      <c r="D656" s="4"/>
      <c r="E656" s="5"/>
      <c r="F656" s="4"/>
      <c r="G656" s="6">
        <f>IF(A656="","",SUBSTITUTE(SUBSTITUTE(SUBSTITUTE(SUBSTITUTE(SUBSTITUTE(SUBSTITUTE(SUBSTITUTE(TRIM(A656),".",""),"/",""),"-","")," ",""),"(",""),")",""),"+",""))</f>
      </c>
      <c r="H656" s="6">
        <f>IF(G656="","",IF(LEN(G656)&lt;&gt;14,"ERRO: "&amp;LEN(G656)&amp;" dígitos",IF(NOT(ISNUMBER(VALUE(G656))),"ERRO: não numérico",IF(AND(VALUE(MID(G656,13,1))=IF(MOD(SUMPRODUCT(--MID(G656,{1,2,3,4,5,6,7,8,9,10,11,12},1),{5,4,3,2,9,8,7,6,5,4,3,2}),11)&lt;2,0,11-MOD(SUMPRODUCT(--MID(G656,{1,2,3,4,5,6,7,8,9,10,11,12},1),{5,4,3,2,9,8,7,6,5,4,3,2}),11)),VALUE(MID(G656,14,1))=IF(MOD(SUMPRODUCT(--MID(G656,{1,2,3,4,5,6,7,8,9,10,11,12,13},1),{6,5,4,3,2,9,8,7,6,5,4,3,2}),11)&lt;2,0,11-MOD(SUMPRODUCT(--MID(G656,{1,2,3,4,5,6,7,8,9,10,11,12,13},1),{6,5,4,3,2,9,8,7,6,5,4,3,2}),11))),"OK","AVISO: dígito verificador (conferir na org)"))))</f>
      </c>
      <c r="I656" s="6">
        <f>IF(G656="","",IF(COUNTIF($G$2:$G$2001,G656)&gt;1,"DUPLICADO","OK"))</f>
      </c>
      <c r="J656" s="6">
        <f>IF(COUNTA(A656:F656)=0,"",IF(AND(A656&lt;&gt;"",E656&lt;&gt;""),"OK","ERRO: faltam "&amp;IF(A656="","CNPJ; ","")&amp;IF(E656="","Novo gerente; ","")))</f>
      </c>
      <c r="K656" s="6">
        <f>IF(COUNTA(A656:F656)=0,"",IF(AND(LEFT(H656,4)&lt;&gt;"ERRO",I656="OK",J656="OK"),"OK","REVISAR"))</f>
      </c>
    </row>
    <row r="657">
      <c r="A657" s="5"/>
      <c r="B657" s="4"/>
      <c r="C657" s="4"/>
      <c r="D657" s="4"/>
      <c r="E657" s="5"/>
      <c r="F657" s="4"/>
      <c r="G657" s="6">
        <f>IF(A657="","",SUBSTITUTE(SUBSTITUTE(SUBSTITUTE(SUBSTITUTE(SUBSTITUTE(SUBSTITUTE(SUBSTITUTE(TRIM(A657),".",""),"/",""),"-","")," ",""),"(",""),")",""),"+",""))</f>
      </c>
      <c r="H657" s="6">
        <f>IF(G657="","",IF(LEN(G657)&lt;&gt;14,"ERRO: "&amp;LEN(G657)&amp;" dígitos",IF(NOT(ISNUMBER(VALUE(G657))),"ERRO: não numérico",IF(AND(VALUE(MID(G657,13,1))=IF(MOD(SUMPRODUCT(--MID(G657,{1,2,3,4,5,6,7,8,9,10,11,12},1),{5,4,3,2,9,8,7,6,5,4,3,2}),11)&lt;2,0,11-MOD(SUMPRODUCT(--MID(G657,{1,2,3,4,5,6,7,8,9,10,11,12},1),{5,4,3,2,9,8,7,6,5,4,3,2}),11)),VALUE(MID(G657,14,1))=IF(MOD(SUMPRODUCT(--MID(G657,{1,2,3,4,5,6,7,8,9,10,11,12,13},1),{6,5,4,3,2,9,8,7,6,5,4,3,2}),11)&lt;2,0,11-MOD(SUMPRODUCT(--MID(G657,{1,2,3,4,5,6,7,8,9,10,11,12,13},1),{6,5,4,3,2,9,8,7,6,5,4,3,2}),11))),"OK","AVISO: dígito verificador (conferir na org)"))))</f>
      </c>
      <c r="I657" s="6">
        <f>IF(G657="","",IF(COUNTIF($G$2:$G$2001,G657)&gt;1,"DUPLICADO","OK"))</f>
      </c>
      <c r="J657" s="6">
        <f>IF(COUNTA(A657:F657)=0,"",IF(AND(A657&lt;&gt;"",E657&lt;&gt;""),"OK","ERRO: faltam "&amp;IF(A657="","CNPJ; ","")&amp;IF(E657="","Novo gerente; ","")))</f>
      </c>
      <c r="K657" s="6">
        <f>IF(COUNTA(A657:F657)=0,"",IF(AND(LEFT(H657,4)&lt;&gt;"ERRO",I657="OK",J657="OK"),"OK","REVISAR"))</f>
      </c>
    </row>
    <row r="658">
      <c r="A658" s="5"/>
      <c r="B658" s="4"/>
      <c r="C658" s="4"/>
      <c r="D658" s="4"/>
      <c r="E658" s="5"/>
      <c r="F658" s="4"/>
      <c r="G658" s="6">
        <f>IF(A658="","",SUBSTITUTE(SUBSTITUTE(SUBSTITUTE(SUBSTITUTE(SUBSTITUTE(SUBSTITUTE(SUBSTITUTE(TRIM(A658),".",""),"/",""),"-","")," ",""),"(",""),")",""),"+",""))</f>
      </c>
      <c r="H658" s="6">
        <f>IF(G658="","",IF(LEN(G658)&lt;&gt;14,"ERRO: "&amp;LEN(G658)&amp;" dígitos",IF(NOT(ISNUMBER(VALUE(G658))),"ERRO: não numérico",IF(AND(VALUE(MID(G658,13,1))=IF(MOD(SUMPRODUCT(--MID(G658,{1,2,3,4,5,6,7,8,9,10,11,12},1),{5,4,3,2,9,8,7,6,5,4,3,2}),11)&lt;2,0,11-MOD(SUMPRODUCT(--MID(G658,{1,2,3,4,5,6,7,8,9,10,11,12},1),{5,4,3,2,9,8,7,6,5,4,3,2}),11)),VALUE(MID(G658,14,1))=IF(MOD(SUMPRODUCT(--MID(G658,{1,2,3,4,5,6,7,8,9,10,11,12,13},1),{6,5,4,3,2,9,8,7,6,5,4,3,2}),11)&lt;2,0,11-MOD(SUMPRODUCT(--MID(G658,{1,2,3,4,5,6,7,8,9,10,11,12,13},1),{6,5,4,3,2,9,8,7,6,5,4,3,2}),11))),"OK","AVISO: dígito verificador (conferir na org)"))))</f>
      </c>
      <c r="I658" s="6">
        <f>IF(G658="","",IF(COUNTIF($G$2:$G$2001,G658)&gt;1,"DUPLICADO","OK"))</f>
      </c>
      <c r="J658" s="6">
        <f>IF(COUNTA(A658:F658)=0,"",IF(AND(A658&lt;&gt;"",E658&lt;&gt;""),"OK","ERRO: faltam "&amp;IF(A658="","CNPJ; ","")&amp;IF(E658="","Novo gerente; ","")))</f>
      </c>
      <c r="K658" s="6">
        <f>IF(COUNTA(A658:F658)=0,"",IF(AND(LEFT(H658,4)&lt;&gt;"ERRO",I658="OK",J658="OK"),"OK","REVISAR"))</f>
      </c>
    </row>
    <row r="659">
      <c r="A659" s="5"/>
      <c r="B659" s="4"/>
      <c r="C659" s="4"/>
      <c r="D659" s="4"/>
      <c r="E659" s="5"/>
      <c r="F659" s="4"/>
      <c r="G659" s="6">
        <f>IF(A659="","",SUBSTITUTE(SUBSTITUTE(SUBSTITUTE(SUBSTITUTE(SUBSTITUTE(SUBSTITUTE(SUBSTITUTE(TRIM(A659),".",""),"/",""),"-","")," ",""),"(",""),")",""),"+",""))</f>
      </c>
      <c r="H659" s="6">
        <f>IF(G659="","",IF(LEN(G659)&lt;&gt;14,"ERRO: "&amp;LEN(G659)&amp;" dígitos",IF(NOT(ISNUMBER(VALUE(G659))),"ERRO: não numérico",IF(AND(VALUE(MID(G659,13,1))=IF(MOD(SUMPRODUCT(--MID(G659,{1,2,3,4,5,6,7,8,9,10,11,12},1),{5,4,3,2,9,8,7,6,5,4,3,2}),11)&lt;2,0,11-MOD(SUMPRODUCT(--MID(G659,{1,2,3,4,5,6,7,8,9,10,11,12},1),{5,4,3,2,9,8,7,6,5,4,3,2}),11)),VALUE(MID(G659,14,1))=IF(MOD(SUMPRODUCT(--MID(G659,{1,2,3,4,5,6,7,8,9,10,11,12,13},1),{6,5,4,3,2,9,8,7,6,5,4,3,2}),11)&lt;2,0,11-MOD(SUMPRODUCT(--MID(G659,{1,2,3,4,5,6,7,8,9,10,11,12,13},1),{6,5,4,3,2,9,8,7,6,5,4,3,2}),11))),"OK","AVISO: dígito verificador (conferir na org)"))))</f>
      </c>
      <c r="I659" s="6">
        <f>IF(G659="","",IF(COUNTIF($G$2:$G$2001,G659)&gt;1,"DUPLICADO","OK"))</f>
      </c>
      <c r="J659" s="6">
        <f>IF(COUNTA(A659:F659)=0,"",IF(AND(A659&lt;&gt;"",E659&lt;&gt;""),"OK","ERRO: faltam "&amp;IF(A659="","CNPJ; ","")&amp;IF(E659="","Novo gerente; ","")))</f>
      </c>
      <c r="K659" s="6">
        <f>IF(COUNTA(A659:F659)=0,"",IF(AND(LEFT(H659,4)&lt;&gt;"ERRO",I659="OK",J659="OK"),"OK","REVISAR"))</f>
      </c>
    </row>
    <row r="660">
      <c r="A660" s="5"/>
      <c r="B660" s="4"/>
      <c r="C660" s="4"/>
      <c r="D660" s="4"/>
      <c r="E660" s="5"/>
      <c r="F660" s="4"/>
      <c r="G660" s="6">
        <f>IF(A660="","",SUBSTITUTE(SUBSTITUTE(SUBSTITUTE(SUBSTITUTE(SUBSTITUTE(SUBSTITUTE(SUBSTITUTE(TRIM(A660),".",""),"/",""),"-","")," ",""),"(",""),")",""),"+",""))</f>
      </c>
      <c r="H660" s="6">
        <f>IF(G660="","",IF(LEN(G660)&lt;&gt;14,"ERRO: "&amp;LEN(G660)&amp;" dígitos",IF(NOT(ISNUMBER(VALUE(G660))),"ERRO: não numérico",IF(AND(VALUE(MID(G660,13,1))=IF(MOD(SUMPRODUCT(--MID(G660,{1,2,3,4,5,6,7,8,9,10,11,12},1),{5,4,3,2,9,8,7,6,5,4,3,2}),11)&lt;2,0,11-MOD(SUMPRODUCT(--MID(G660,{1,2,3,4,5,6,7,8,9,10,11,12},1),{5,4,3,2,9,8,7,6,5,4,3,2}),11)),VALUE(MID(G660,14,1))=IF(MOD(SUMPRODUCT(--MID(G660,{1,2,3,4,5,6,7,8,9,10,11,12,13},1),{6,5,4,3,2,9,8,7,6,5,4,3,2}),11)&lt;2,0,11-MOD(SUMPRODUCT(--MID(G660,{1,2,3,4,5,6,7,8,9,10,11,12,13},1),{6,5,4,3,2,9,8,7,6,5,4,3,2}),11))),"OK","AVISO: dígito verificador (conferir na org)"))))</f>
      </c>
      <c r="I660" s="6">
        <f>IF(G660="","",IF(COUNTIF($G$2:$G$2001,G660)&gt;1,"DUPLICADO","OK"))</f>
      </c>
      <c r="J660" s="6">
        <f>IF(COUNTA(A660:F660)=0,"",IF(AND(A660&lt;&gt;"",E660&lt;&gt;""),"OK","ERRO: faltam "&amp;IF(A660="","CNPJ; ","")&amp;IF(E660="","Novo gerente; ","")))</f>
      </c>
      <c r="K660" s="6">
        <f>IF(COUNTA(A660:F660)=0,"",IF(AND(LEFT(H660,4)&lt;&gt;"ERRO",I660="OK",J660="OK"),"OK","REVISAR"))</f>
      </c>
    </row>
    <row r="661">
      <c r="A661" s="5"/>
      <c r="B661" s="4"/>
      <c r="C661" s="4"/>
      <c r="D661" s="4"/>
      <c r="E661" s="5"/>
      <c r="F661" s="4"/>
      <c r="G661" s="6">
        <f>IF(A661="","",SUBSTITUTE(SUBSTITUTE(SUBSTITUTE(SUBSTITUTE(SUBSTITUTE(SUBSTITUTE(SUBSTITUTE(TRIM(A661),".",""),"/",""),"-","")," ",""),"(",""),")",""),"+",""))</f>
      </c>
      <c r="H661" s="6">
        <f>IF(G661="","",IF(LEN(G661)&lt;&gt;14,"ERRO: "&amp;LEN(G661)&amp;" dígitos",IF(NOT(ISNUMBER(VALUE(G661))),"ERRO: não numérico",IF(AND(VALUE(MID(G661,13,1))=IF(MOD(SUMPRODUCT(--MID(G661,{1,2,3,4,5,6,7,8,9,10,11,12},1),{5,4,3,2,9,8,7,6,5,4,3,2}),11)&lt;2,0,11-MOD(SUMPRODUCT(--MID(G661,{1,2,3,4,5,6,7,8,9,10,11,12},1),{5,4,3,2,9,8,7,6,5,4,3,2}),11)),VALUE(MID(G661,14,1))=IF(MOD(SUMPRODUCT(--MID(G661,{1,2,3,4,5,6,7,8,9,10,11,12,13},1),{6,5,4,3,2,9,8,7,6,5,4,3,2}),11)&lt;2,0,11-MOD(SUMPRODUCT(--MID(G661,{1,2,3,4,5,6,7,8,9,10,11,12,13},1),{6,5,4,3,2,9,8,7,6,5,4,3,2}),11))),"OK","AVISO: dígito verificador (conferir na org)"))))</f>
      </c>
      <c r="I661" s="6">
        <f>IF(G661="","",IF(COUNTIF($G$2:$G$2001,G661)&gt;1,"DUPLICADO","OK"))</f>
      </c>
      <c r="J661" s="6">
        <f>IF(COUNTA(A661:F661)=0,"",IF(AND(A661&lt;&gt;"",E661&lt;&gt;""),"OK","ERRO: faltam "&amp;IF(A661="","CNPJ; ","")&amp;IF(E661="","Novo gerente; ","")))</f>
      </c>
      <c r="K661" s="6">
        <f>IF(COUNTA(A661:F661)=0,"",IF(AND(LEFT(H661,4)&lt;&gt;"ERRO",I661="OK",J661="OK"),"OK","REVISAR"))</f>
      </c>
    </row>
    <row r="662">
      <c r="A662" s="5"/>
      <c r="B662" s="4"/>
      <c r="C662" s="4"/>
      <c r="D662" s="4"/>
      <c r="E662" s="5"/>
      <c r="F662" s="4"/>
      <c r="G662" s="6">
        <f>IF(A662="","",SUBSTITUTE(SUBSTITUTE(SUBSTITUTE(SUBSTITUTE(SUBSTITUTE(SUBSTITUTE(SUBSTITUTE(TRIM(A662),".",""),"/",""),"-","")," ",""),"(",""),")",""),"+",""))</f>
      </c>
      <c r="H662" s="6">
        <f>IF(G662="","",IF(LEN(G662)&lt;&gt;14,"ERRO: "&amp;LEN(G662)&amp;" dígitos",IF(NOT(ISNUMBER(VALUE(G662))),"ERRO: não numérico",IF(AND(VALUE(MID(G662,13,1))=IF(MOD(SUMPRODUCT(--MID(G662,{1,2,3,4,5,6,7,8,9,10,11,12},1),{5,4,3,2,9,8,7,6,5,4,3,2}),11)&lt;2,0,11-MOD(SUMPRODUCT(--MID(G662,{1,2,3,4,5,6,7,8,9,10,11,12},1),{5,4,3,2,9,8,7,6,5,4,3,2}),11)),VALUE(MID(G662,14,1))=IF(MOD(SUMPRODUCT(--MID(G662,{1,2,3,4,5,6,7,8,9,10,11,12,13},1),{6,5,4,3,2,9,8,7,6,5,4,3,2}),11)&lt;2,0,11-MOD(SUMPRODUCT(--MID(G662,{1,2,3,4,5,6,7,8,9,10,11,12,13},1),{6,5,4,3,2,9,8,7,6,5,4,3,2}),11))),"OK","AVISO: dígito verificador (conferir na org)"))))</f>
      </c>
      <c r="I662" s="6">
        <f>IF(G662="","",IF(COUNTIF($G$2:$G$2001,G662)&gt;1,"DUPLICADO","OK"))</f>
      </c>
      <c r="J662" s="6">
        <f>IF(COUNTA(A662:F662)=0,"",IF(AND(A662&lt;&gt;"",E662&lt;&gt;""),"OK","ERRO: faltam "&amp;IF(A662="","CNPJ; ","")&amp;IF(E662="","Novo gerente; ","")))</f>
      </c>
      <c r="K662" s="6">
        <f>IF(COUNTA(A662:F662)=0,"",IF(AND(LEFT(H662,4)&lt;&gt;"ERRO",I662="OK",J662="OK"),"OK","REVISAR"))</f>
      </c>
    </row>
    <row r="663">
      <c r="A663" s="5"/>
      <c r="B663" s="4"/>
      <c r="C663" s="4"/>
      <c r="D663" s="4"/>
      <c r="E663" s="5"/>
      <c r="F663" s="4"/>
      <c r="G663" s="6">
        <f>IF(A663="","",SUBSTITUTE(SUBSTITUTE(SUBSTITUTE(SUBSTITUTE(SUBSTITUTE(SUBSTITUTE(SUBSTITUTE(TRIM(A663),".",""),"/",""),"-","")," ",""),"(",""),")",""),"+",""))</f>
      </c>
      <c r="H663" s="6">
        <f>IF(G663="","",IF(LEN(G663)&lt;&gt;14,"ERRO: "&amp;LEN(G663)&amp;" dígitos",IF(NOT(ISNUMBER(VALUE(G663))),"ERRO: não numérico",IF(AND(VALUE(MID(G663,13,1))=IF(MOD(SUMPRODUCT(--MID(G663,{1,2,3,4,5,6,7,8,9,10,11,12},1),{5,4,3,2,9,8,7,6,5,4,3,2}),11)&lt;2,0,11-MOD(SUMPRODUCT(--MID(G663,{1,2,3,4,5,6,7,8,9,10,11,12},1),{5,4,3,2,9,8,7,6,5,4,3,2}),11)),VALUE(MID(G663,14,1))=IF(MOD(SUMPRODUCT(--MID(G663,{1,2,3,4,5,6,7,8,9,10,11,12,13},1),{6,5,4,3,2,9,8,7,6,5,4,3,2}),11)&lt;2,0,11-MOD(SUMPRODUCT(--MID(G663,{1,2,3,4,5,6,7,8,9,10,11,12,13},1),{6,5,4,3,2,9,8,7,6,5,4,3,2}),11))),"OK","AVISO: dígito verificador (conferir na org)"))))</f>
      </c>
      <c r="I663" s="6">
        <f>IF(G663="","",IF(COUNTIF($G$2:$G$2001,G663)&gt;1,"DUPLICADO","OK"))</f>
      </c>
      <c r="J663" s="6">
        <f>IF(COUNTA(A663:F663)=0,"",IF(AND(A663&lt;&gt;"",E663&lt;&gt;""),"OK","ERRO: faltam "&amp;IF(A663="","CNPJ; ","")&amp;IF(E663="","Novo gerente; ","")))</f>
      </c>
      <c r="K663" s="6">
        <f>IF(COUNTA(A663:F663)=0,"",IF(AND(LEFT(H663,4)&lt;&gt;"ERRO",I663="OK",J663="OK"),"OK","REVISAR"))</f>
      </c>
    </row>
    <row r="664">
      <c r="A664" s="5"/>
      <c r="B664" s="4"/>
      <c r="C664" s="4"/>
      <c r="D664" s="4"/>
      <c r="E664" s="5"/>
      <c r="F664" s="4"/>
      <c r="G664" s="6">
        <f>IF(A664="","",SUBSTITUTE(SUBSTITUTE(SUBSTITUTE(SUBSTITUTE(SUBSTITUTE(SUBSTITUTE(SUBSTITUTE(TRIM(A664),".",""),"/",""),"-","")," ",""),"(",""),")",""),"+",""))</f>
      </c>
      <c r="H664" s="6">
        <f>IF(G664="","",IF(LEN(G664)&lt;&gt;14,"ERRO: "&amp;LEN(G664)&amp;" dígitos",IF(NOT(ISNUMBER(VALUE(G664))),"ERRO: não numérico",IF(AND(VALUE(MID(G664,13,1))=IF(MOD(SUMPRODUCT(--MID(G664,{1,2,3,4,5,6,7,8,9,10,11,12},1),{5,4,3,2,9,8,7,6,5,4,3,2}),11)&lt;2,0,11-MOD(SUMPRODUCT(--MID(G664,{1,2,3,4,5,6,7,8,9,10,11,12},1),{5,4,3,2,9,8,7,6,5,4,3,2}),11)),VALUE(MID(G664,14,1))=IF(MOD(SUMPRODUCT(--MID(G664,{1,2,3,4,5,6,7,8,9,10,11,12,13},1),{6,5,4,3,2,9,8,7,6,5,4,3,2}),11)&lt;2,0,11-MOD(SUMPRODUCT(--MID(G664,{1,2,3,4,5,6,7,8,9,10,11,12,13},1),{6,5,4,3,2,9,8,7,6,5,4,3,2}),11))),"OK","AVISO: dígito verificador (conferir na org)"))))</f>
      </c>
      <c r="I664" s="6">
        <f>IF(G664="","",IF(COUNTIF($G$2:$G$2001,G664)&gt;1,"DUPLICADO","OK"))</f>
      </c>
      <c r="J664" s="6">
        <f>IF(COUNTA(A664:F664)=0,"",IF(AND(A664&lt;&gt;"",E664&lt;&gt;""),"OK","ERRO: faltam "&amp;IF(A664="","CNPJ; ","")&amp;IF(E664="","Novo gerente; ","")))</f>
      </c>
      <c r="K664" s="6">
        <f>IF(COUNTA(A664:F664)=0,"",IF(AND(LEFT(H664,4)&lt;&gt;"ERRO",I664="OK",J664="OK"),"OK","REVISAR"))</f>
      </c>
    </row>
    <row r="665">
      <c r="A665" s="5"/>
      <c r="B665" s="4"/>
      <c r="C665" s="4"/>
      <c r="D665" s="4"/>
      <c r="E665" s="5"/>
      <c r="F665" s="4"/>
      <c r="G665" s="6">
        <f>IF(A665="","",SUBSTITUTE(SUBSTITUTE(SUBSTITUTE(SUBSTITUTE(SUBSTITUTE(SUBSTITUTE(SUBSTITUTE(TRIM(A665),".",""),"/",""),"-","")," ",""),"(",""),")",""),"+",""))</f>
      </c>
      <c r="H665" s="6">
        <f>IF(G665="","",IF(LEN(G665)&lt;&gt;14,"ERRO: "&amp;LEN(G665)&amp;" dígitos",IF(NOT(ISNUMBER(VALUE(G665))),"ERRO: não numérico",IF(AND(VALUE(MID(G665,13,1))=IF(MOD(SUMPRODUCT(--MID(G665,{1,2,3,4,5,6,7,8,9,10,11,12},1),{5,4,3,2,9,8,7,6,5,4,3,2}),11)&lt;2,0,11-MOD(SUMPRODUCT(--MID(G665,{1,2,3,4,5,6,7,8,9,10,11,12},1),{5,4,3,2,9,8,7,6,5,4,3,2}),11)),VALUE(MID(G665,14,1))=IF(MOD(SUMPRODUCT(--MID(G665,{1,2,3,4,5,6,7,8,9,10,11,12,13},1),{6,5,4,3,2,9,8,7,6,5,4,3,2}),11)&lt;2,0,11-MOD(SUMPRODUCT(--MID(G665,{1,2,3,4,5,6,7,8,9,10,11,12,13},1),{6,5,4,3,2,9,8,7,6,5,4,3,2}),11))),"OK","AVISO: dígito verificador (conferir na org)"))))</f>
      </c>
      <c r="I665" s="6">
        <f>IF(G665="","",IF(COUNTIF($G$2:$G$2001,G665)&gt;1,"DUPLICADO","OK"))</f>
      </c>
      <c r="J665" s="6">
        <f>IF(COUNTA(A665:F665)=0,"",IF(AND(A665&lt;&gt;"",E665&lt;&gt;""),"OK","ERRO: faltam "&amp;IF(A665="","CNPJ; ","")&amp;IF(E665="","Novo gerente; ","")))</f>
      </c>
      <c r="K665" s="6">
        <f>IF(COUNTA(A665:F665)=0,"",IF(AND(LEFT(H665,4)&lt;&gt;"ERRO",I665="OK",J665="OK"),"OK","REVISAR"))</f>
      </c>
    </row>
    <row r="666">
      <c r="A666" s="5"/>
      <c r="B666" s="4"/>
      <c r="C666" s="4"/>
      <c r="D666" s="4"/>
      <c r="E666" s="5"/>
      <c r="F666" s="4"/>
      <c r="G666" s="6">
        <f>IF(A666="","",SUBSTITUTE(SUBSTITUTE(SUBSTITUTE(SUBSTITUTE(SUBSTITUTE(SUBSTITUTE(SUBSTITUTE(TRIM(A666),".",""),"/",""),"-","")," ",""),"(",""),")",""),"+",""))</f>
      </c>
      <c r="H666" s="6">
        <f>IF(G666="","",IF(LEN(G666)&lt;&gt;14,"ERRO: "&amp;LEN(G666)&amp;" dígitos",IF(NOT(ISNUMBER(VALUE(G666))),"ERRO: não numérico",IF(AND(VALUE(MID(G666,13,1))=IF(MOD(SUMPRODUCT(--MID(G666,{1,2,3,4,5,6,7,8,9,10,11,12},1),{5,4,3,2,9,8,7,6,5,4,3,2}),11)&lt;2,0,11-MOD(SUMPRODUCT(--MID(G666,{1,2,3,4,5,6,7,8,9,10,11,12},1),{5,4,3,2,9,8,7,6,5,4,3,2}),11)),VALUE(MID(G666,14,1))=IF(MOD(SUMPRODUCT(--MID(G666,{1,2,3,4,5,6,7,8,9,10,11,12,13},1),{6,5,4,3,2,9,8,7,6,5,4,3,2}),11)&lt;2,0,11-MOD(SUMPRODUCT(--MID(G666,{1,2,3,4,5,6,7,8,9,10,11,12,13},1),{6,5,4,3,2,9,8,7,6,5,4,3,2}),11))),"OK","AVISO: dígito verificador (conferir na org)"))))</f>
      </c>
      <c r="I666" s="6">
        <f>IF(G666="","",IF(COUNTIF($G$2:$G$2001,G666)&gt;1,"DUPLICADO","OK"))</f>
      </c>
      <c r="J666" s="6">
        <f>IF(COUNTA(A666:F666)=0,"",IF(AND(A666&lt;&gt;"",E666&lt;&gt;""),"OK","ERRO: faltam "&amp;IF(A666="","CNPJ; ","")&amp;IF(E666="","Novo gerente; ","")))</f>
      </c>
      <c r="K666" s="6">
        <f>IF(COUNTA(A666:F666)=0,"",IF(AND(LEFT(H666,4)&lt;&gt;"ERRO",I666="OK",J666="OK"),"OK","REVISAR"))</f>
      </c>
    </row>
    <row r="667">
      <c r="A667" s="5"/>
      <c r="B667" s="4"/>
      <c r="C667" s="4"/>
      <c r="D667" s="4"/>
      <c r="E667" s="5"/>
      <c r="F667" s="4"/>
      <c r="G667" s="6">
        <f>IF(A667="","",SUBSTITUTE(SUBSTITUTE(SUBSTITUTE(SUBSTITUTE(SUBSTITUTE(SUBSTITUTE(SUBSTITUTE(TRIM(A667),".",""),"/",""),"-","")," ",""),"(",""),")",""),"+",""))</f>
      </c>
      <c r="H667" s="6">
        <f>IF(G667="","",IF(LEN(G667)&lt;&gt;14,"ERRO: "&amp;LEN(G667)&amp;" dígitos",IF(NOT(ISNUMBER(VALUE(G667))),"ERRO: não numérico",IF(AND(VALUE(MID(G667,13,1))=IF(MOD(SUMPRODUCT(--MID(G667,{1,2,3,4,5,6,7,8,9,10,11,12},1),{5,4,3,2,9,8,7,6,5,4,3,2}),11)&lt;2,0,11-MOD(SUMPRODUCT(--MID(G667,{1,2,3,4,5,6,7,8,9,10,11,12},1),{5,4,3,2,9,8,7,6,5,4,3,2}),11)),VALUE(MID(G667,14,1))=IF(MOD(SUMPRODUCT(--MID(G667,{1,2,3,4,5,6,7,8,9,10,11,12,13},1),{6,5,4,3,2,9,8,7,6,5,4,3,2}),11)&lt;2,0,11-MOD(SUMPRODUCT(--MID(G667,{1,2,3,4,5,6,7,8,9,10,11,12,13},1),{6,5,4,3,2,9,8,7,6,5,4,3,2}),11))),"OK","AVISO: dígito verificador (conferir na org)"))))</f>
      </c>
      <c r="I667" s="6">
        <f>IF(G667="","",IF(COUNTIF($G$2:$G$2001,G667)&gt;1,"DUPLICADO","OK"))</f>
      </c>
      <c r="J667" s="6">
        <f>IF(COUNTA(A667:F667)=0,"",IF(AND(A667&lt;&gt;"",E667&lt;&gt;""),"OK","ERRO: faltam "&amp;IF(A667="","CNPJ; ","")&amp;IF(E667="","Novo gerente; ","")))</f>
      </c>
      <c r="K667" s="6">
        <f>IF(COUNTA(A667:F667)=0,"",IF(AND(LEFT(H667,4)&lt;&gt;"ERRO",I667="OK",J667="OK"),"OK","REVISAR"))</f>
      </c>
    </row>
    <row r="668">
      <c r="A668" s="5"/>
      <c r="B668" s="4"/>
      <c r="C668" s="4"/>
      <c r="D668" s="4"/>
      <c r="E668" s="5"/>
      <c r="F668" s="4"/>
      <c r="G668" s="6">
        <f>IF(A668="","",SUBSTITUTE(SUBSTITUTE(SUBSTITUTE(SUBSTITUTE(SUBSTITUTE(SUBSTITUTE(SUBSTITUTE(TRIM(A668),".",""),"/",""),"-","")," ",""),"(",""),")",""),"+",""))</f>
      </c>
      <c r="H668" s="6">
        <f>IF(G668="","",IF(LEN(G668)&lt;&gt;14,"ERRO: "&amp;LEN(G668)&amp;" dígitos",IF(NOT(ISNUMBER(VALUE(G668))),"ERRO: não numérico",IF(AND(VALUE(MID(G668,13,1))=IF(MOD(SUMPRODUCT(--MID(G668,{1,2,3,4,5,6,7,8,9,10,11,12},1),{5,4,3,2,9,8,7,6,5,4,3,2}),11)&lt;2,0,11-MOD(SUMPRODUCT(--MID(G668,{1,2,3,4,5,6,7,8,9,10,11,12},1),{5,4,3,2,9,8,7,6,5,4,3,2}),11)),VALUE(MID(G668,14,1))=IF(MOD(SUMPRODUCT(--MID(G668,{1,2,3,4,5,6,7,8,9,10,11,12,13},1),{6,5,4,3,2,9,8,7,6,5,4,3,2}),11)&lt;2,0,11-MOD(SUMPRODUCT(--MID(G668,{1,2,3,4,5,6,7,8,9,10,11,12,13},1),{6,5,4,3,2,9,8,7,6,5,4,3,2}),11))),"OK","AVISO: dígito verificador (conferir na org)"))))</f>
      </c>
      <c r="I668" s="6">
        <f>IF(G668="","",IF(COUNTIF($G$2:$G$2001,G668)&gt;1,"DUPLICADO","OK"))</f>
      </c>
      <c r="J668" s="6">
        <f>IF(COUNTA(A668:F668)=0,"",IF(AND(A668&lt;&gt;"",E668&lt;&gt;""),"OK","ERRO: faltam "&amp;IF(A668="","CNPJ; ","")&amp;IF(E668="","Novo gerente; ","")))</f>
      </c>
      <c r="K668" s="6">
        <f>IF(COUNTA(A668:F668)=0,"",IF(AND(LEFT(H668,4)&lt;&gt;"ERRO",I668="OK",J668="OK"),"OK","REVISAR"))</f>
      </c>
    </row>
    <row r="669">
      <c r="A669" s="5"/>
      <c r="B669" s="4"/>
      <c r="C669" s="4"/>
      <c r="D669" s="4"/>
      <c r="E669" s="5"/>
      <c r="F669" s="4"/>
      <c r="G669" s="6">
        <f>IF(A669="","",SUBSTITUTE(SUBSTITUTE(SUBSTITUTE(SUBSTITUTE(SUBSTITUTE(SUBSTITUTE(SUBSTITUTE(TRIM(A669),".",""),"/",""),"-","")," ",""),"(",""),")",""),"+",""))</f>
      </c>
      <c r="H669" s="6">
        <f>IF(G669="","",IF(LEN(G669)&lt;&gt;14,"ERRO: "&amp;LEN(G669)&amp;" dígitos",IF(NOT(ISNUMBER(VALUE(G669))),"ERRO: não numérico",IF(AND(VALUE(MID(G669,13,1))=IF(MOD(SUMPRODUCT(--MID(G669,{1,2,3,4,5,6,7,8,9,10,11,12},1),{5,4,3,2,9,8,7,6,5,4,3,2}),11)&lt;2,0,11-MOD(SUMPRODUCT(--MID(G669,{1,2,3,4,5,6,7,8,9,10,11,12},1),{5,4,3,2,9,8,7,6,5,4,3,2}),11)),VALUE(MID(G669,14,1))=IF(MOD(SUMPRODUCT(--MID(G669,{1,2,3,4,5,6,7,8,9,10,11,12,13},1),{6,5,4,3,2,9,8,7,6,5,4,3,2}),11)&lt;2,0,11-MOD(SUMPRODUCT(--MID(G669,{1,2,3,4,5,6,7,8,9,10,11,12,13},1),{6,5,4,3,2,9,8,7,6,5,4,3,2}),11))),"OK","AVISO: dígito verificador (conferir na org)"))))</f>
      </c>
      <c r="I669" s="6">
        <f>IF(G669="","",IF(COUNTIF($G$2:$G$2001,G669)&gt;1,"DUPLICADO","OK"))</f>
      </c>
      <c r="J669" s="6">
        <f>IF(COUNTA(A669:F669)=0,"",IF(AND(A669&lt;&gt;"",E669&lt;&gt;""),"OK","ERRO: faltam "&amp;IF(A669="","CNPJ; ","")&amp;IF(E669="","Novo gerente; ","")))</f>
      </c>
      <c r="K669" s="6">
        <f>IF(COUNTA(A669:F669)=0,"",IF(AND(LEFT(H669,4)&lt;&gt;"ERRO",I669="OK",J669="OK"),"OK","REVISAR"))</f>
      </c>
    </row>
    <row r="670">
      <c r="A670" s="5"/>
      <c r="B670" s="4"/>
      <c r="C670" s="4"/>
      <c r="D670" s="4"/>
      <c r="E670" s="5"/>
      <c r="F670" s="4"/>
      <c r="G670" s="6">
        <f>IF(A670="","",SUBSTITUTE(SUBSTITUTE(SUBSTITUTE(SUBSTITUTE(SUBSTITUTE(SUBSTITUTE(SUBSTITUTE(TRIM(A670),".",""),"/",""),"-","")," ",""),"(",""),")",""),"+",""))</f>
      </c>
      <c r="H670" s="6">
        <f>IF(G670="","",IF(LEN(G670)&lt;&gt;14,"ERRO: "&amp;LEN(G670)&amp;" dígitos",IF(NOT(ISNUMBER(VALUE(G670))),"ERRO: não numérico",IF(AND(VALUE(MID(G670,13,1))=IF(MOD(SUMPRODUCT(--MID(G670,{1,2,3,4,5,6,7,8,9,10,11,12},1),{5,4,3,2,9,8,7,6,5,4,3,2}),11)&lt;2,0,11-MOD(SUMPRODUCT(--MID(G670,{1,2,3,4,5,6,7,8,9,10,11,12},1),{5,4,3,2,9,8,7,6,5,4,3,2}),11)),VALUE(MID(G670,14,1))=IF(MOD(SUMPRODUCT(--MID(G670,{1,2,3,4,5,6,7,8,9,10,11,12,13},1),{6,5,4,3,2,9,8,7,6,5,4,3,2}),11)&lt;2,0,11-MOD(SUMPRODUCT(--MID(G670,{1,2,3,4,5,6,7,8,9,10,11,12,13},1),{6,5,4,3,2,9,8,7,6,5,4,3,2}),11))),"OK","AVISO: dígito verificador (conferir na org)"))))</f>
      </c>
      <c r="I670" s="6">
        <f>IF(G670="","",IF(COUNTIF($G$2:$G$2001,G670)&gt;1,"DUPLICADO","OK"))</f>
      </c>
      <c r="J670" s="6">
        <f>IF(COUNTA(A670:F670)=0,"",IF(AND(A670&lt;&gt;"",E670&lt;&gt;""),"OK","ERRO: faltam "&amp;IF(A670="","CNPJ; ","")&amp;IF(E670="","Novo gerente; ","")))</f>
      </c>
      <c r="K670" s="6">
        <f>IF(COUNTA(A670:F670)=0,"",IF(AND(LEFT(H670,4)&lt;&gt;"ERRO",I670="OK",J670="OK"),"OK","REVISAR"))</f>
      </c>
    </row>
    <row r="671">
      <c r="A671" s="5"/>
      <c r="B671" s="4"/>
      <c r="C671" s="4"/>
      <c r="D671" s="4"/>
      <c r="E671" s="5"/>
      <c r="F671" s="4"/>
      <c r="G671" s="6">
        <f>IF(A671="","",SUBSTITUTE(SUBSTITUTE(SUBSTITUTE(SUBSTITUTE(SUBSTITUTE(SUBSTITUTE(SUBSTITUTE(TRIM(A671),".",""),"/",""),"-","")," ",""),"(",""),")",""),"+",""))</f>
      </c>
      <c r="H671" s="6">
        <f>IF(G671="","",IF(LEN(G671)&lt;&gt;14,"ERRO: "&amp;LEN(G671)&amp;" dígitos",IF(NOT(ISNUMBER(VALUE(G671))),"ERRO: não numérico",IF(AND(VALUE(MID(G671,13,1))=IF(MOD(SUMPRODUCT(--MID(G671,{1,2,3,4,5,6,7,8,9,10,11,12},1),{5,4,3,2,9,8,7,6,5,4,3,2}),11)&lt;2,0,11-MOD(SUMPRODUCT(--MID(G671,{1,2,3,4,5,6,7,8,9,10,11,12},1),{5,4,3,2,9,8,7,6,5,4,3,2}),11)),VALUE(MID(G671,14,1))=IF(MOD(SUMPRODUCT(--MID(G671,{1,2,3,4,5,6,7,8,9,10,11,12,13},1),{6,5,4,3,2,9,8,7,6,5,4,3,2}),11)&lt;2,0,11-MOD(SUMPRODUCT(--MID(G671,{1,2,3,4,5,6,7,8,9,10,11,12,13},1),{6,5,4,3,2,9,8,7,6,5,4,3,2}),11))),"OK","AVISO: dígito verificador (conferir na org)"))))</f>
      </c>
      <c r="I671" s="6">
        <f>IF(G671="","",IF(COUNTIF($G$2:$G$2001,G671)&gt;1,"DUPLICADO","OK"))</f>
      </c>
      <c r="J671" s="6">
        <f>IF(COUNTA(A671:F671)=0,"",IF(AND(A671&lt;&gt;"",E671&lt;&gt;""),"OK","ERRO: faltam "&amp;IF(A671="","CNPJ; ","")&amp;IF(E671="","Novo gerente; ","")))</f>
      </c>
      <c r="K671" s="6">
        <f>IF(COUNTA(A671:F671)=0,"",IF(AND(LEFT(H671,4)&lt;&gt;"ERRO",I671="OK",J671="OK"),"OK","REVISAR"))</f>
      </c>
    </row>
    <row r="672">
      <c r="A672" s="5"/>
      <c r="B672" s="4"/>
      <c r="C672" s="4"/>
      <c r="D672" s="4"/>
      <c r="E672" s="5"/>
      <c r="F672" s="4"/>
      <c r="G672" s="6">
        <f>IF(A672="","",SUBSTITUTE(SUBSTITUTE(SUBSTITUTE(SUBSTITUTE(SUBSTITUTE(SUBSTITUTE(SUBSTITUTE(TRIM(A672),".",""),"/",""),"-","")," ",""),"(",""),")",""),"+",""))</f>
      </c>
      <c r="H672" s="6">
        <f>IF(G672="","",IF(LEN(G672)&lt;&gt;14,"ERRO: "&amp;LEN(G672)&amp;" dígitos",IF(NOT(ISNUMBER(VALUE(G672))),"ERRO: não numérico",IF(AND(VALUE(MID(G672,13,1))=IF(MOD(SUMPRODUCT(--MID(G672,{1,2,3,4,5,6,7,8,9,10,11,12},1),{5,4,3,2,9,8,7,6,5,4,3,2}),11)&lt;2,0,11-MOD(SUMPRODUCT(--MID(G672,{1,2,3,4,5,6,7,8,9,10,11,12},1),{5,4,3,2,9,8,7,6,5,4,3,2}),11)),VALUE(MID(G672,14,1))=IF(MOD(SUMPRODUCT(--MID(G672,{1,2,3,4,5,6,7,8,9,10,11,12,13},1),{6,5,4,3,2,9,8,7,6,5,4,3,2}),11)&lt;2,0,11-MOD(SUMPRODUCT(--MID(G672,{1,2,3,4,5,6,7,8,9,10,11,12,13},1),{6,5,4,3,2,9,8,7,6,5,4,3,2}),11))),"OK","AVISO: dígito verificador (conferir na org)"))))</f>
      </c>
      <c r="I672" s="6">
        <f>IF(G672="","",IF(COUNTIF($G$2:$G$2001,G672)&gt;1,"DUPLICADO","OK"))</f>
      </c>
      <c r="J672" s="6">
        <f>IF(COUNTA(A672:F672)=0,"",IF(AND(A672&lt;&gt;"",E672&lt;&gt;""),"OK","ERRO: faltam "&amp;IF(A672="","CNPJ; ","")&amp;IF(E672="","Novo gerente; ","")))</f>
      </c>
      <c r="K672" s="6">
        <f>IF(COUNTA(A672:F672)=0,"",IF(AND(LEFT(H672,4)&lt;&gt;"ERRO",I672="OK",J672="OK"),"OK","REVISAR"))</f>
      </c>
    </row>
    <row r="673">
      <c r="A673" s="5"/>
      <c r="B673" s="4"/>
      <c r="C673" s="4"/>
      <c r="D673" s="4"/>
      <c r="E673" s="5"/>
      <c r="F673" s="4"/>
      <c r="G673" s="6">
        <f>IF(A673="","",SUBSTITUTE(SUBSTITUTE(SUBSTITUTE(SUBSTITUTE(SUBSTITUTE(SUBSTITUTE(SUBSTITUTE(TRIM(A673),".",""),"/",""),"-","")," ",""),"(",""),")",""),"+",""))</f>
      </c>
      <c r="H673" s="6">
        <f>IF(G673="","",IF(LEN(G673)&lt;&gt;14,"ERRO: "&amp;LEN(G673)&amp;" dígitos",IF(NOT(ISNUMBER(VALUE(G673))),"ERRO: não numérico",IF(AND(VALUE(MID(G673,13,1))=IF(MOD(SUMPRODUCT(--MID(G673,{1,2,3,4,5,6,7,8,9,10,11,12},1),{5,4,3,2,9,8,7,6,5,4,3,2}),11)&lt;2,0,11-MOD(SUMPRODUCT(--MID(G673,{1,2,3,4,5,6,7,8,9,10,11,12},1),{5,4,3,2,9,8,7,6,5,4,3,2}),11)),VALUE(MID(G673,14,1))=IF(MOD(SUMPRODUCT(--MID(G673,{1,2,3,4,5,6,7,8,9,10,11,12,13},1),{6,5,4,3,2,9,8,7,6,5,4,3,2}),11)&lt;2,0,11-MOD(SUMPRODUCT(--MID(G673,{1,2,3,4,5,6,7,8,9,10,11,12,13},1),{6,5,4,3,2,9,8,7,6,5,4,3,2}),11))),"OK","AVISO: dígito verificador (conferir na org)"))))</f>
      </c>
      <c r="I673" s="6">
        <f>IF(G673="","",IF(COUNTIF($G$2:$G$2001,G673)&gt;1,"DUPLICADO","OK"))</f>
      </c>
      <c r="J673" s="6">
        <f>IF(COUNTA(A673:F673)=0,"",IF(AND(A673&lt;&gt;"",E673&lt;&gt;""),"OK","ERRO: faltam "&amp;IF(A673="","CNPJ; ","")&amp;IF(E673="","Novo gerente; ","")))</f>
      </c>
      <c r="K673" s="6">
        <f>IF(COUNTA(A673:F673)=0,"",IF(AND(LEFT(H673,4)&lt;&gt;"ERRO",I673="OK",J673="OK"),"OK","REVISAR"))</f>
      </c>
    </row>
    <row r="674">
      <c r="A674" s="5"/>
      <c r="B674" s="4"/>
      <c r="C674" s="4"/>
      <c r="D674" s="4"/>
      <c r="E674" s="5"/>
      <c r="F674" s="4"/>
      <c r="G674" s="6">
        <f>IF(A674="","",SUBSTITUTE(SUBSTITUTE(SUBSTITUTE(SUBSTITUTE(SUBSTITUTE(SUBSTITUTE(SUBSTITUTE(TRIM(A674),".",""),"/",""),"-","")," ",""),"(",""),")",""),"+",""))</f>
      </c>
      <c r="H674" s="6">
        <f>IF(G674="","",IF(LEN(G674)&lt;&gt;14,"ERRO: "&amp;LEN(G674)&amp;" dígitos",IF(NOT(ISNUMBER(VALUE(G674))),"ERRO: não numérico",IF(AND(VALUE(MID(G674,13,1))=IF(MOD(SUMPRODUCT(--MID(G674,{1,2,3,4,5,6,7,8,9,10,11,12},1),{5,4,3,2,9,8,7,6,5,4,3,2}),11)&lt;2,0,11-MOD(SUMPRODUCT(--MID(G674,{1,2,3,4,5,6,7,8,9,10,11,12},1),{5,4,3,2,9,8,7,6,5,4,3,2}),11)),VALUE(MID(G674,14,1))=IF(MOD(SUMPRODUCT(--MID(G674,{1,2,3,4,5,6,7,8,9,10,11,12,13},1),{6,5,4,3,2,9,8,7,6,5,4,3,2}),11)&lt;2,0,11-MOD(SUMPRODUCT(--MID(G674,{1,2,3,4,5,6,7,8,9,10,11,12,13},1),{6,5,4,3,2,9,8,7,6,5,4,3,2}),11))),"OK","AVISO: dígito verificador (conferir na org)"))))</f>
      </c>
      <c r="I674" s="6">
        <f>IF(G674="","",IF(COUNTIF($G$2:$G$2001,G674)&gt;1,"DUPLICADO","OK"))</f>
      </c>
      <c r="J674" s="6">
        <f>IF(COUNTA(A674:F674)=0,"",IF(AND(A674&lt;&gt;"",E674&lt;&gt;""),"OK","ERRO: faltam "&amp;IF(A674="","CNPJ; ","")&amp;IF(E674="","Novo gerente; ","")))</f>
      </c>
      <c r="K674" s="6">
        <f>IF(COUNTA(A674:F674)=0,"",IF(AND(LEFT(H674,4)&lt;&gt;"ERRO",I674="OK",J674="OK"),"OK","REVISAR"))</f>
      </c>
    </row>
    <row r="675">
      <c r="A675" s="5"/>
      <c r="B675" s="4"/>
      <c r="C675" s="4"/>
      <c r="D675" s="4"/>
      <c r="E675" s="5"/>
      <c r="F675" s="4"/>
      <c r="G675" s="6">
        <f>IF(A675="","",SUBSTITUTE(SUBSTITUTE(SUBSTITUTE(SUBSTITUTE(SUBSTITUTE(SUBSTITUTE(SUBSTITUTE(TRIM(A675),".",""),"/",""),"-","")," ",""),"(",""),")",""),"+",""))</f>
      </c>
      <c r="H675" s="6">
        <f>IF(G675="","",IF(LEN(G675)&lt;&gt;14,"ERRO: "&amp;LEN(G675)&amp;" dígitos",IF(NOT(ISNUMBER(VALUE(G675))),"ERRO: não numérico",IF(AND(VALUE(MID(G675,13,1))=IF(MOD(SUMPRODUCT(--MID(G675,{1,2,3,4,5,6,7,8,9,10,11,12},1),{5,4,3,2,9,8,7,6,5,4,3,2}),11)&lt;2,0,11-MOD(SUMPRODUCT(--MID(G675,{1,2,3,4,5,6,7,8,9,10,11,12},1),{5,4,3,2,9,8,7,6,5,4,3,2}),11)),VALUE(MID(G675,14,1))=IF(MOD(SUMPRODUCT(--MID(G675,{1,2,3,4,5,6,7,8,9,10,11,12,13},1),{6,5,4,3,2,9,8,7,6,5,4,3,2}),11)&lt;2,0,11-MOD(SUMPRODUCT(--MID(G675,{1,2,3,4,5,6,7,8,9,10,11,12,13},1),{6,5,4,3,2,9,8,7,6,5,4,3,2}),11))),"OK","AVISO: dígito verificador (conferir na org)"))))</f>
      </c>
      <c r="I675" s="6">
        <f>IF(G675="","",IF(COUNTIF($G$2:$G$2001,G675)&gt;1,"DUPLICADO","OK"))</f>
      </c>
      <c r="J675" s="6">
        <f>IF(COUNTA(A675:F675)=0,"",IF(AND(A675&lt;&gt;"",E675&lt;&gt;""),"OK","ERRO: faltam "&amp;IF(A675="","CNPJ; ","")&amp;IF(E675="","Novo gerente; ","")))</f>
      </c>
      <c r="K675" s="6">
        <f>IF(COUNTA(A675:F675)=0,"",IF(AND(LEFT(H675,4)&lt;&gt;"ERRO",I675="OK",J675="OK"),"OK","REVISAR"))</f>
      </c>
    </row>
    <row r="676">
      <c r="A676" s="5"/>
      <c r="B676" s="4"/>
      <c r="C676" s="4"/>
      <c r="D676" s="4"/>
      <c r="E676" s="5"/>
      <c r="F676" s="4"/>
      <c r="G676" s="6">
        <f>IF(A676="","",SUBSTITUTE(SUBSTITUTE(SUBSTITUTE(SUBSTITUTE(SUBSTITUTE(SUBSTITUTE(SUBSTITUTE(TRIM(A676),".",""),"/",""),"-","")," ",""),"(",""),")",""),"+",""))</f>
      </c>
      <c r="H676" s="6">
        <f>IF(G676="","",IF(LEN(G676)&lt;&gt;14,"ERRO: "&amp;LEN(G676)&amp;" dígitos",IF(NOT(ISNUMBER(VALUE(G676))),"ERRO: não numérico",IF(AND(VALUE(MID(G676,13,1))=IF(MOD(SUMPRODUCT(--MID(G676,{1,2,3,4,5,6,7,8,9,10,11,12},1),{5,4,3,2,9,8,7,6,5,4,3,2}),11)&lt;2,0,11-MOD(SUMPRODUCT(--MID(G676,{1,2,3,4,5,6,7,8,9,10,11,12},1),{5,4,3,2,9,8,7,6,5,4,3,2}),11)),VALUE(MID(G676,14,1))=IF(MOD(SUMPRODUCT(--MID(G676,{1,2,3,4,5,6,7,8,9,10,11,12,13},1),{6,5,4,3,2,9,8,7,6,5,4,3,2}),11)&lt;2,0,11-MOD(SUMPRODUCT(--MID(G676,{1,2,3,4,5,6,7,8,9,10,11,12,13},1),{6,5,4,3,2,9,8,7,6,5,4,3,2}),11))),"OK","AVISO: dígito verificador (conferir na org)"))))</f>
      </c>
      <c r="I676" s="6">
        <f>IF(G676="","",IF(COUNTIF($G$2:$G$2001,G676)&gt;1,"DUPLICADO","OK"))</f>
      </c>
      <c r="J676" s="6">
        <f>IF(COUNTA(A676:F676)=0,"",IF(AND(A676&lt;&gt;"",E676&lt;&gt;""),"OK","ERRO: faltam "&amp;IF(A676="","CNPJ; ","")&amp;IF(E676="","Novo gerente; ","")))</f>
      </c>
      <c r="K676" s="6">
        <f>IF(COUNTA(A676:F676)=0,"",IF(AND(LEFT(H676,4)&lt;&gt;"ERRO",I676="OK",J676="OK"),"OK","REVISAR"))</f>
      </c>
    </row>
    <row r="677">
      <c r="A677" s="5"/>
      <c r="B677" s="4"/>
      <c r="C677" s="4"/>
      <c r="D677" s="4"/>
      <c r="E677" s="5"/>
      <c r="F677" s="4"/>
      <c r="G677" s="6">
        <f>IF(A677="","",SUBSTITUTE(SUBSTITUTE(SUBSTITUTE(SUBSTITUTE(SUBSTITUTE(SUBSTITUTE(SUBSTITUTE(TRIM(A677),".",""),"/",""),"-","")," ",""),"(",""),")",""),"+",""))</f>
      </c>
      <c r="H677" s="6">
        <f>IF(G677="","",IF(LEN(G677)&lt;&gt;14,"ERRO: "&amp;LEN(G677)&amp;" dígitos",IF(NOT(ISNUMBER(VALUE(G677))),"ERRO: não numérico",IF(AND(VALUE(MID(G677,13,1))=IF(MOD(SUMPRODUCT(--MID(G677,{1,2,3,4,5,6,7,8,9,10,11,12},1),{5,4,3,2,9,8,7,6,5,4,3,2}),11)&lt;2,0,11-MOD(SUMPRODUCT(--MID(G677,{1,2,3,4,5,6,7,8,9,10,11,12},1),{5,4,3,2,9,8,7,6,5,4,3,2}),11)),VALUE(MID(G677,14,1))=IF(MOD(SUMPRODUCT(--MID(G677,{1,2,3,4,5,6,7,8,9,10,11,12,13},1),{6,5,4,3,2,9,8,7,6,5,4,3,2}),11)&lt;2,0,11-MOD(SUMPRODUCT(--MID(G677,{1,2,3,4,5,6,7,8,9,10,11,12,13},1),{6,5,4,3,2,9,8,7,6,5,4,3,2}),11))),"OK","AVISO: dígito verificador (conferir na org)"))))</f>
      </c>
      <c r="I677" s="6">
        <f>IF(G677="","",IF(COUNTIF($G$2:$G$2001,G677)&gt;1,"DUPLICADO","OK"))</f>
      </c>
      <c r="J677" s="6">
        <f>IF(COUNTA(A677:F677)=0,"",IF(AND(A677&lt;&gt;"",E677&lt;&gt;""),"OK","ERRO: faltam "&amp;IF(A677="","CNPJ; ","")&amp;IF(E677="","Novo gerente; ","")))</f>
      </c>
      <c r="K677" s="6">
        <f>IF(COUNTA(A677:F677)=0,"",IF(AND(LEFT(H677,4)&lt;&gt;"ERRO",I677="OK",J677="OK"),"OK","REVISAR"))</f>
      </c>
    </row>
    <row r="678">
      <c r="A678" s="5"/>
      <c r="B678" s="4"/>
      <c r="C678" s="4"/>
      <c r="D678" s="4"/>
      <c r="E678" s="5"/>
      <c r="F678" s="4"/>
      <c r="G678" s="6">
        <f>IF(A678="","",SUBSTITUTE(SUBSTITUTE(SUBSTITUTE(SUBSTITUTE(SUBSTITUTE(SUBSTITUTE(SUBSTITUTE(TRIM(A678),".",""),"/",""),"-","")," ",""),"(",""),")",""),"+",""))</f>
      </c>
      <c r="H678" s="6">
        <f>IF(G678="","",IF(LEN(G678)&lt;&gt;14,"ERRO: "&amp;LEN(G678)&amp;" dígitos",IF(NOT(ISNUMBER(VALUE(G678))),"ERRO: não numérico",IF(AND(VALUE(MID(G678,13,1))=IF(MOD(SUMPRODUCT(--MID(G678,{1,2,3,4,5,6,7,8,9,10,11,12},1),{5,4,3,2,9,8,7,6,5,4,3,2}),11)&lt;2,0,11-MOD(SUMPRODUCT(--MID(G678,{1,2,3,4,5,6,7,8,9,10,11,12},1),{5,4,3,2,9,8,7,6,5,4,3,2}),11)),VALUE(MID(G678,14,1))=IF(MOD(SUMPRODUCT(--MID(G678,{1,2,3,4,5,6,7,8,9,10,11,12,13},1),{6,5,4,3,2,9,8,7,6,5,4,3,2}),11)&lt;2,0,11-MOD(SUMPRODUCT(--MID(G678,{1,2,3,4,5,6,7,8,9,10,11,12,13},1),{6,5,4,3,2,9,8,7,6,5,4,3,2}),11))),"OK","AVISO: dígito verificador (conferir na org)"))))</f>
      </c>
      <c r="I678" s="6">
        <f>IF(G678="","",IF(COUNTIF($G$2:$G$2001,G678)&gt;1,"DUPLICADO","OK"))</f>
      </c>
      <c r="J678" s="6">
        <f>IF(COUNTA(A678:F678)=0,"",IF(AND(A678&lt;&gt;"",E678&lt;&gt;""),"OK","ERRO: faltam "&amp;IF(A678="","CNPJ; ","")&amp;IF(E678="","Novo gerente; ","")))</f>
      </c>
      <c r="K678" s="6">
        <f>IF(COUNTA(A678:F678)=0,"",IF(AND(LEFT(H678,4)&lt;&gt;"ERRO",I678="OK",J678="OK"),"OK","REVISAR"))</f>
      </c>
    </row>
    <row r="679">
      <c r="A679" s="5"/>
      <c r="B679" s="4"/>
      <c r="C679" s="4"/>
      <c r="D679" s="4"/>
      <c r="E679" s="5"/>
      <c r="F679" s="4"/>
      <c r="G679" s="6">
        <f>IF(A679="","",SUBSTITUTE(SUBSTITUTE(SUBSTITUTE(SUBSTITUTE(SUBSTITUTE(SUBSTITUTE(SUBSTITUTE(TRIM(A679),".",""),"/",""),"-","")," ",""),"(",""),")",""),"+",""))</f>
      </c>
      <c r="H679" s="6">
        <f>IF(G679="","",IF(LEN(G679)&lt;&gt;14,"ERRO: "&amp;LEN(G679)&amp;" dígitos",IF(NOT(ISNUMBER(VALUE(G679))),"ERRO: não numérico",IF(AND(VALUE(MID(G679,13,1))=IF(MOD(SUMPRODUCT(--MID(G679,{1,2,3,4,5,6,7,8,9,10,11,12},1),{5,4,3,2,9,8,7,6,5,4,3,2}),11)&lt;2,0,11-MOD(SUMPRODUCT(--MID(G679,{1,2,3,4,5,6,7,8,9,10,11,12},1),{5,4,3,2,9,8,7,6,5,4,3,2}),11)),VALUE(MID(G679,14,1))=IF(MOD(SUMPRODUCT(--MID(G679,{1,2,3,4,5,6,7,8,9,10,11,12,13},1),{6,5,4,3,2,9,8,7,6,5,4,3,2}),11)&lt;2,0,11-MOD(SUMPRODUCT(--MID(G679,{1,2,3,4,5,6,7,8,9,10,11,12,13},1),{6,5,4,3,2,9,8,7,6,5,4,3,2}),11))),"OK","AVISO: dígito verificador (conferir na org)"))))</f>
      </c>
      <c r="I679" s="6">
        <f>IF(G679="","",IF(COUNTIF($G$2:$G$2001,G679)&gt;1,"DUPLICADO","OK"))</f>
      </c>
      <c r="J679" s="6">
        <f>IF(COUNTA(A679:F679)=0,"",IF(AND(A679&lt;&gt;"",E679&lt;&gt;""),"OK","ERRO: faltam "&amp;IF(A679="","CNPJ; ","")&amp;IF(E679="","Novo gerente; ","")))</f>
      </c>
      <c r="K679" s="6">
        <f>IF(COUNTA(A679:F679)=0,"",IF(AND(LEFT(H679,4)&lt;&gt;"ERRO",I679="OK",J679="OK"),"OK","REVISAR"))</f>
      </c>
    </row>
    <row r="680">
      <c r="A680" s="5"/>
      <c r="B680" s="4"/>
      <c r="C680" s="4"/>
      <c r="D680" s="4"/>
      <c r="E680" s="5"/>
      <c r="F680" s="4"/>
      <c r="G680" s="6">
        <f>IF(A680="","",SUBSTITUTE(SUBSTITUTE(SUBSTITUTE(SUBSTITUTE(SUBSTITUTE(SUBSTITUTE(SUBSTITUTE(TRIM(A680),".",""),"/",""),"-","")," ",""),"(",""),")",""),"+",""))</f>
      </c>
      <c r="H680" s="6">
        <f>IF(G680="","",IF(LEN(G680)&lt;&gt;14,"ERRO: "&amp;LEN(G680)&amp;" dígitos",IF(NOT(ISNUMBER(VALUE(G680))),"ERRO: não numérico",IF(AND(VALUE(MID(G680,13,1))=IF(MOD(SUMPRODUCT(--MID(G680,{1,2,3,4,5,6,7,8,9,10,11,12},1),{5,4,3,2,9,8,7,6,5,4,3,2}),11)&lt;2,0,11-MOD(SUMPRODUCT(--MID(G680,{1,2,3,4,5,6,7,8,9,10,11,12},1),{5,4,3,2,9,8,7,6,5,4,3,2}),11)),VALUE(MID(G680,14,1))=IF(MOD(SUMPRODUCT(--MID(G680,{1,2,3,4,5,6,7,8,9,10,11,12,13},1),{6,5,4,3,2,9,8,7,6,5,4,3,2}),11)&lt;2,0,11-MOD(SUMPRODUCT(--MID(G680,{1,2,3,4,5,6,7,8,9,10,11,12,13},1),{6,5,4,3,2,9,8,7,6,5,4,3,2}),11))),"OK","AVISO: dígito verificador (conferir na org)"))))</f>
      </c>
      <c r="I680" s="6">
        <f>IF(G680="","",IF(COUNTIF($G$2:$G$2001,G680)&gt;1,"DUPLICADO","OK"))</f>
      </c>
      <c r="J680" s="6">
        <f>IF(COUNTA(A680:F680)=0,"",IF(AND(A680&lt;&gt;"",E680&lt;&gt;""),"OK","ERRO: faltam "&amp;IF(A680="","CNPJ; ","")&amp;IF(E680="","Novo gerente; ","")))</f>
      </c>
      <c r="K680" s="6">
        <f>IF(COUNTA(A680:F680)=0,"",IF(AND(LEFT(H680,4)&lt;&gt;"ERRO",I680="OK",J680="OK"),"OK","REVISAR"))</f>
      </c>
    </row>
    <row r="681">
      <c r="A681" s="5"/>
      <c r="B681" s="4"/>
      <c r="C681" s="4"/>
      <c r="D681" s="4"/>
      <c r="E681" s="5"/>
      <c r="F681" s="4"/>
      <c r="G681" s="6">
        <f>IF(A681="","",SUBSTITUTE(SUBSTITUTE(SUBSTITUTE(SUBSTITUTE(SUBSTITUTE(SUBSTITUTE(SUBSTITUTE(TRIM(A681),".",""),"/",""),"-","")," ",""),"(",""),")",""),"+",""))</f>
      </c>
      <c r="H681" s="6">
        <f>IF(G681="","",IF(LEN(G681)&lt;&gt;14,"ERRO: "&amp;LEN(G681)&amp;" dígitos",IF(NOT(ISNUMBER(VALUE(G681))),"ERRO: não numérico",IF(AND(VALUE(MID(G681,13,1))=IF(MOD(SUMPRODUCT(--MID(G681,{1,2,3,4,5,6,7,8,9,10,11,12},1),{5,4,3,2,9,8,7,6,5,4,3,2}),11)&lt;2,0,11-MOD(SUMPRODUCT(--MID(G681,{1,2,3,4,5,6,7,8,9,10,11,12},1),{5,4,3,2,9,8,7,6,5,4,3,2}),11)),VALUE(MID(G681,14,1))=IF(MOD(SUMPRODUCT(--MID(G681,{1,2,3,4,5,6,7,8,9,10,11,12,13},1),{6,5,4,3,2,9,8,7,6,5,4,3,2}),11)&lt;2,0,11-MOD(SUMPRODUCT(--MID(G681,{1,2,3,4,5,6,7,8,9,10,11,12,13},1),{6,5,4,3,2,9,8,7,6,5,4,3,2}),11))),"OK","AVISO: dígito verificador (conferir na org)"))))</f>
      </c>
      <c r="I681" s="6">
        <f>IF(G681="","",IF(COUNTIF($G$2:$G$2001,G681)&gt;1,"DUPLICADO","OK"))</f>
      </c>
      <c r="J681" s="6">
        <f>IF(COUNTA(A681:F681)=0,"",IF(AND(A681&lt;&gt;"",E681&lt;&gt;""),"OK","ERRO: faltam "&amp;IF(A681="","CNPJ; ","")&amp;IF(E681="","Novo gerente; ","")))</f>
      </c>
      <c r="K681" s="6">
        <f>IF(COUNTA(A681:F681)=0,"",IF(AND(LEFT(H681,4)&lt;&gt;"ERRO",I681="OK",J681="OK"),"OK","REVISAR"))</f>
      </c>
    </row>
    <row r="682">
      <c r="A682" s="5"/>
      <c r="B682" s="4"/>
      <c r="C682" s="4"/>
      <c r="D682" s="4"/>
      <c r="E682" s="5"/>
      <c r="F682" s="4"/>
      <c r="G682" s="6">
        <f>IF(A682="","",SUBSTITUTE(SUBSTITUTE(SUBSTITUTE(SUBSTITUTE(SUBSTITUTE(SUBSTITUTE(SUBSTITUTE(TRIM(A682),".",""),"/",""),"-","")," ",""),"(",""),")",""),"+",""))</f>
      </c>
      <c r="H682" s="6">
        <f>IF(G682="","",IF(LEN(G682)&lt;&gt;14,"ERRO: "&amp;LEN(G682)&amp;" dígitos",IF(NOT(ISNUMBER(VALUE(G682))),"ERRO: não numérico",IF(AND(VALUE(MID(G682,13,1))=IF(MOD(SUMPRODUCT(--MID(G682,{1,2,3,4,5,6,7,8,9,10,11,12},1),{5,4,3,2,9,8,7,6,5,4,3,2}),11)&lt;2,0,11-MOD(SUMPRODUCT(--MID(G682,{1,2,3,4,5,6,7,8,9,10,11,12},1),{5,4,3,2,9,8,7,6,5,4,3,2}),11)),VALUE(MID(G682,14,1))=IF(MOD(SUMPRODUCT(--MID(G682,{1,2,3,4,5,6,7,8,9,10,11,12,13},1),{6,5,4,3,2,9,8,7,6,5,4,3,2}),11)&lt;2,0,11-MOD(SUMPRODUCT(--MID(G682,{1,2,3,4,5,6,7,8,9,10,11,12,13},1),{6,5,4,3,2,9,8,7,6,5,4,3,2}),11))),"OK","AVISO: dígito verificador (conferir na org)"))))</f>
      </c>
      <c r="I682" s="6">
        <f>IF(G682="","",IF(COUNTIF($G$2:$G$2001,G682)&gt;1,"DUPLICADO","OK"))</f>
      </c>
      <c r="J682" s="6">
        <f>IF(COUNTA(A682:F682)=0,"",IF(AND(A682&lt;&gt;"",E682&lt;&gt;""),"OK","ERRO: faltam "&amp;IF(A682="","CNPJ; ","")&amp;IF(E682="","Novo gerente; ","")))</f>
      </c>
      <c r="K682" s="6">
        <f>IF(COUNTA(A682:F682)=0,"",IF(AND(LEFT(H682,4)&lt;&gt;"ERRO",I682="OK",J682="OK"),"OK","REVISAR"))</f>
      </c>
    </row>
    <row r="683">
      <c r="A683" s="5"/>
      <c r="B683" s="4"/>
      <c r="C683" s="4"/>
      <c r="D683" s="4"/>
      <c r="E683" s="5"/>
      <c r="F683" s="4"/>
      <c r="G683" s="6">
        <f>IF(A683="","",SUBSTITUTE(SUBSTITUTE(SUBSTITUTE(SUBSTITUTE(SUBSTITUTE(SUBSTITUTE(SUBSTITUTE(TRIM(A683),".",""),"/",""),"-","")," ",""),"(",""),")",""),"+",""))</f>
      </c>
      <c r="H683" s="6">
        <f>IF(G683="","",IF(LEN(G683)&lt;&gt;14,"ERRO: "&amp;LEN(G683)&amp;" dígitos",IF(NOT(ISNUMBER(VALUE(G683))),"ERRO: não numérico",IF(AND(VALUE(MID(G683,13,1))=IF(MOD(SUMPRODUCT(--MID(G683,{1,2,3,4,5,6,7,8,9,10,11,12},1),{5,4,3,2,9,8,7,6,5,4,3,2}),11)&lt;2,0,11-MOD(SUMPRODUCT(--MID(G683,{1,2,3,4,5,6,7,8,9,10,11,12},1),{5,4,3,2,9,8,7,6,5,4,3,2}),11)),VALUE(MID(G683,14,1))=IF(MOD(SUMPRODUCT(--MID(G683,{1,2,3,4,5,6,7,8,9,10,11,12,13},1),{6,5,4,3,2,9,8,7,6,5,4,3,2}),11)&lt;2,0,11-MOD(SUMPRODUCT(--MID(G683,{1,2,3,4,5,6,7,8,9,10,11,12,13},1),{6,5,4,3,2,9,8,7,6,5,4,3,2}),11))),"OK","AVISO: dígito verificador (conferir na org)"))))</f>
      </c>
      <c r="I683" s="6">
        <f>IF(G683="","",IF(COUNTIF($G$2:$G$2001,G683)&gt;1,"DUPLICADO","OK"))</f>
      </c>
      <c r="J683" s="6">
        <f>IF(COUNTA(A683:F683)=0,"",IF(AND(A683&lt;&gt;"",E683&lt;&gt;""),"OK","ERRO: faltam "&amp;IF(A683="","CNPJ; ","")&amp;IF(E683="","Novo gerente; ","")))</f>
      </c>
      <c r="K683" s="6">
        <f>IF(COUNTA(A683:F683)=0,"",IF(AND(LEFT(H683,4)&lt;&gt;"ERRO",I683="OK",J683="OK"),"OK","REVISAR"))</f>
      </c>
    </row>
    <row r="684">
      <c r="A684" s="5"/>
      <c r="B684" s="4"/>
      <c r="C684" s="4"/>
      <c r="D684" s="4"/>
      <c r="E684" s="5"/>
      <c r="F684" s="4"/>
      <c r="G684" s="6">
        <f>IF(A684="","",SUBSTITUTE(SUBSTITUTE(SUBSTITUTE(SUBSTITUTE(SUBSTITUTE(SUBSTITUTE(SUBSTITUTE(TRIM(A684),".",""),"/",""),"-","")," ",""),"(",""),")",""),"+",""))</f>
      </c>
      <c r="H684" s="6">
        <f>IF(G684="","",IF(LEN(G684)&lt;&gt;14,"ERRO: "&amp;LEN(G684)&amp;" dígitos",IF(NOT(ISNUMBER(VALUE(G684))),"ERRO: não numérico",IF(AND(VALUE(MID(G684,13,1))=IF(MOD(SUMPRODUCT(--MID(G684,{1,2,3,4,5,6,7,8,9,10,11,12},1),{5,4,3,2,9,8,7,6,5,4,3,2}),11)&lt;2,0,11-MOD(SUMPRODUCT(--MID(G684,{1,2,3,4,5,6,7,8,9,10,11,12},1),{5,4,3,2,9,8,7,6,5,4,3,2}),11)),VALUE(MID(G684,14,1))=IF(MOD(SUMPRODUCT(--MID(G684,{1,2,3,4,5,6,7,8,9,10,11,12,13},1),{6,5,4,3,2,9,8,7,6,5,4,3,2}),11)&lt;2,0,11-MOD(SUMPRODUCT(--MID(G684,{1,2,3,4,5,6,7,8,9,10,11,12,13},1),{6,5,4,3,2,9,8,7,6,5,4,3,2}),11))),"OK","AVISO: dígito verificador (conferir na org)"))))</f>
      </c>
      <c r="I684" s="6">
        <f>IF(G684="","",IF(COUNTIF($G$2:$G$2001,G684)&gt;1,"DUPLICADO","OK"))</f>
      </c>
      <c r="J684" s="6">
        <f>IF(COUNTA(A684:F684)=0,"",IF(AND(A684&lt;&gt;"",E684&lt;&gt;""),"OK","ERRO: faltam "&amp;IF(A684="","CNPJ; ","")&amp;IF(E684="","Novo gerente; ","")))</f>
      </c>
      <c r="K684" s="6">
        <f>IF(COUNTA(A684:F684)=0,"",IF(AND(LEFT(H684,4)&lt;&gt;"ERRO",I684="OK",J684="OK"),"OK","REVISAR"))</f>
      </c>
    </row>
    <row r="685">
      <c r="A685" s="5"/>
      <c r="B685" s="4"/>
      <c r="C685" s="4"/>
      <c r="D685" s="4"/>
      <c r="E685" s="5"/>
      <c r="F685" s="4"/>
      <c r="G685" s="6">
        <f>IF(A685="","",SUBSTITUTE(SUBSTITUTE(SUBSTITUTE(SUBSTITUTE(SUBSTITUTE(SUBSTITUTE(SUBSTITUTE(TRIM(A685),".",""),"/",""),"-","")," ",""),"(",""),")",""),"+",""))</f>
      </c>
      <c r="H685" s="6">
        <f>IF(G685="","",IF(LEN(G685)&lt;&gt;14,"ERRO: "&amp;LEN(G685)&amp;" dígitos",IF(NOT(ISNUMBER(VALUE(G685))),"ERRO: não numérico",IF(AND(VALUE(MID(G685,13,1))=IF(MOD(SUMPRODUCT(--MID(G685,{1,2,3,4,5,6,7,8,9,10,11,12},1),{5,4,3,2,9,8,7,6,5,4,3,2}),11)&lt;2,0,11-MOD(SUMPRODUCT(--MID(G685,{1,2,3,4,5,6,7,8,9,10,11,12},1),{5,4,3,2,9,8,7,6,5,4,3,2}),11)),VALUE(MID(G685,14,1))=IF(MOD(SUMPRODUCT(--MID(G685,{1,2,3,4,5,6,7,8,9,10,11,12,13},1),{6,5,4,3,2,9,8,7,6,5,4,3,2}),11)&lt;2,0,11-MOD(SUMPRODUCT(--MID(G685,{1,2,3,4,5,6,7,8,9,10,11,12,13},1),{6,5,4,3,2,9,8,7,6,5,4,3,2}),11))),"OK","AVISO: dígito verificador (conferir na org)"))))</f>
      </c>
      <c r="I685" s="6">
        <f>IF(G685="","",IF(COUNTIF($G$2:$G$2001,G685)&gt;1,"DUPLICADO","OK"))</f>
      </c>
      <c r="J685" s="6">
        <f>IF(COUNTA(A685:F685)=0,"",IF(AND(A685&lt;&gt;"",E685&lt;&gt;""),"OK","ERRO: faltam "&amp;IF(A685="","CNPJ; ","")&amp;IF(E685="","Novo gerente; ","")))</f>
      </c>
      <c r="K685" s="6">
        <f>IF(COUNTA(A685:F685)=0,"",IF(AND(LEFT(H685,4)&lt;&gt;"ERRO",I685="OK",J685="OK"),"OK","REVISAR"))</f>
      </c>
    </row>
    <row r="686">
      <c r="A686" s="5"/>
      <c r="B686" s="4"/>
      <c r="C686" s="4"/>
      <c r="D686" s="4"/>
      <c r="E686" s="5"/>
      <c r="F686" s="4"/>
      <c r="G686" s="6">
        <f>IF(A686="","",SUBSTITUTE(SUBSTITUTE(SUBSTITUTE(SUBSTITUTE(SUBSTITUTE(SUBSTITUTE(SUBSTITUTE(TRIM(A686),".",""),"/",""),"-","")," ",""),"(",""),")",""),"+",""))</f>
      </c>
      <c r="H686" s="6">
        <f>IF(G686="","",IF(LEN(G686)&lt;&gt;14,"ERRO: "&amp;LEN(G686)&amp;" dígitos",IF(NOT(ISNUMBER(VALUE(G686))),"ERRO: não numérico",IF(AND(VALUE(MID(G686,13,1))=IF(MOD(SUMPRODUCT(--MID(G686,{1,2,3,4,5,6,7,8,9,10,11,12},1),{5,4,3,2,9,8,7,6,5,4,3,2}),11)&lt;2,0,11-MOD(SUMPRODUCT(--MID(G686,{1,2,3,4,5,6,7,8,9,10,11,12},1),{5,4,3,2,9,8,7,6,5,4,3,2}),11)),VALUE(MID(G686,14,1))=IF(MOD(SUMPRODUCT(--MID(G686,{1,2,3,4,5,6,7,8,9,10,11,12,13},1),{6,5,4,3,2,9,8,7,6,5,4,3,2}),11)&lt;2,0,11-MOD(SUMPRODUCT(--MID(G686,{1,2,3,4,5,6,7,8,9,10,11,12,13},1),{6,5,4,3,2,9,8,7,6,5,4,3,2}),11))),"OK","AVISO: dígito verificador (conferir na org)"))))</f>
      </c>
      <c r="I686" s="6">
        <f>IF(G686="","",IF(COUNTIF($G$2:$G$2001,G686)&gt;1,"DUPLICADO","OK"))</f>
      </c>
      <c r="J686" s="6">
        <f>IF(COUNTA(A686:F686)=0,"",IF(AND(A686&lt;&gt;"",E686&lt;&gt;""),"OK","ERRO: faltam "&amp;IF(A686="","CNPJ; ","")&amp;IF(E686="","Novo gerente; ","")))</f>
      </c>
      <c r="K686" s="6">
        <f>IF(COUNTA(A686:F686)=0,"",IF(AND(LEFT(H686,4)&lt;&gt;"ERRO",I686="OK",J686="OK"),"OK","REVISAR"))</f>
      </c>
    </row>
    <row r="687">
      <c r="A687" s="5"/>
      <c r="B687" s="4"/>
      <c r="C687" s="4"/>
      <c r="D687" s="4"/>
      <c r="E687" s="5"/>
      <c r="F687" s="4"/>
      <c r="G687" s="6">
        <f>IF(A687="","",SUBSTITUTE(SUBSTITUTE(SUBSTITUTE(SUBSTITUTE(SUBSTITUTE(SUBSTITUTE(SUBSTITUTE(TRIM(A687),".",""),"/",""),"-","")," ",""),"(",""),")",""),"+",""))</f>
      </c>
      <c r="H687" s="6">
        <f>IF(G687="","",IF(LEN(G687)&lt;&gt;14,"ERRO: "&amp;LEN(G687)&amp;" dígitos",IF(NOT(ISNUMBER(VALUE(G687))),"ERRO: não numérico",IF(AND(VALUE(MID(G687,13,1))=IF(MOD(SUMPRODUCT(--MID(G687,{1,2,3,4,5,6,7,8,9,10,11,12},1),{5,4,3,2,9,8,7,6,5,4,3,2}),11)&lt;2,0,11-MOD(SUMPRODUCT(--MID(G687,{1,2,3,4,5,6,7,8,9,10,11,12},1),{5,4,3,2,9,8,7,6,5,4,3,2}),11)),VALUE(MID(G687,14,1))=IF(MOD(SUMPRODUCT(--MID(G687,{1,2,3,4,5,6,7,8,9,10,11,12,13},1),{6,5,4,3,2,9,8,7,6,5,4,3,2}),11)&lt;2,0,11-MOD(SUMPRODUCT(--MID(G687,{1,2,3,4,5,6,7,8,9,10,11,12,13},1),{6,5,4,3,2,9,8,7,6,5,4,3,2}),11))),"OK","AVISO: dígito verificador (conferir na org)"))))</f>
      </c>
      <c r="I687" s="6">
        <f>IF(G687="","",IF(COUNTIF($G$2:$G$2001,G687)&gt;1,"DUPLICADO","OK"))</f>
      </c>
      <c r="J687" s="6">
        <f>IF(COUNTA(A687:F687)=0,"",IF(AND(A687&lt;&gt;"",E687&lt;&gt;""),"OK","ERRO: faltam "&amp;IF(A687="","CNPJ; ","")&amp;IF(E687="","Novo gerente; ","")))</f>
      </c>
      <c r="K687" s="6">
        <f>IF(COUNTA(A687:F687)=0,"",IF(AND(LEFT(H687,4)&lt;&gt;"ERRO",I687="OK",J687="OK"),"OK","REVISAR"))</f>
      </c>
    </row>
    <row r="688">
      <c r="A688" s="5"/>
      <c r="B688" s="4"/>
      <c r="C688" s="4"/>
      <c r="D688" s="4"/>
      <c r="E688" s="5"/>
      <c r="F688" s="4"/>
      <c r="G688" s="6">
        <f>IF(A688="","",SUBSTITUTE(SUBSTITUTE(SUBSTITUTE(SUBSTITUTE(SUBSTITUTE(SUBSTITUTE(SUBSTITUTE(TRIM(A688),".",""),"/",""),"-","")," ",""),"(",""),")",""),"+",""))</f>
      </c>
      <c r="H688" s="6">
        <f>IF(G688="","",IF(LEN(G688)&lt;&gt;14,"ERRO: "&amp;LEN(G688)&amp;" dígitos",IF(NOT(ISNUMBER(VALUE(G688))),"ERRO: não numérico",IF(AND(VALUE(MID(G688,13,1))=IF(MOD(SUMPRODUCT(--MID(G688,{1,2,3,4,5,6,7,8,9,10,11,12},1),{5,4,3,2,9,8,7,6,5,4,3,2}),11)&lt;2,0,11-MOD(SUMPRODUCT(--MID(G688,{1,2,3,4,5,6,7,8,9,10,11,12},1),{5,4,3,2,9,8,7,6,5,4,3,2}),11)),VALUE(MID(G688,14,1))=IF(MOD(SUMPRODUCT(--MID(G688,{1,2,3,4,5,6,7,8,9,10,11,12,13},1),{6,5,4,3,2,9,8,7,6,5,4,3,2}),11)&lt;2,0,11-MOD(SUMPRODUCT(--MID(G688,{1,2,3,4,5,6,7,8,9,10,11,12,13},1),{6,5,4,3,2,9,8,7,6,5,4,3,2}),11))),"OK","AVISO: dígito verificador (conferir na org)"))))</f>
      </c>
      <c r="I688" s="6">
        <f>IF(G688="","",IF(COUNTIF($G$2:$G$2001,G688)&gt;1,"DUPLICADO","OK"))</f>
      </c>
      <c r="J688" s="6">
        <f>IF(COUNTA(A688:F688)=0,"",IF(AND(A688&lt;&gt;"",E688&lt;&gt;""),"OK","ERRO: faltam "&amp;IF(A688="","CNPJ; ","")&amp;IF(E688="","Novo gerente; ","")))</f>
      </c>
      <c r="K688" s="6">
        <f>IF(COUNTA(A688:F688)=0,"",IF(AND(LEFT(H688,4)&lt;&gt;"ERRO",I688="OK",J688="OK"),"OK","REVISAR"))</f>
      </c>
    </row>
    <row r="689">
      <c r="A689" s="5"/>
      <c r="B689" s="4"/>
      <c r="C689" s="4"/>
      <c r="D689" s="4"/>
      <c r="E689" s="5"/>
      <c r="F689" s="4"/>
      <c r="G689" s="6">
        <f>IF(A689="","",SUBSTITUTE(SUBSTITUTE(SUBSTITUTE(SUBSTITUTE(SUBSTITUTE(SUBSTITUTE(SUBSTITUTE(TRIM(A689),".",""),"/",""),"-","")," ",""),"(",""),")",""),"+",""))</f>
      </c>
      <c r="H689" s="6">
        <f>IF(G689="","",IF(LEN(G689)&lt;&gt;14,"ERRO: "&amp;LEN(G689)&amp;" dígitos",IF(NOT(ISNUMBER(VALUE(G689))),"ERRO: não numérico",IF(AND(VALUE(MID(G689,13,1))=IF(MOD(SUMPRODUCT(--MID(G689,{1,2,3,4,5,6,7,8,9,10,11,12},1),{5,4,3,2,9,8,7,6,5,4,3,2}),11)&lt;2,0,11-MOD(SUMPRODUCT(--MID(G689,{1,2,3,4,5,6,7,8,9,10,11,12},1),{5,4,3,2,9,8,7,6,5,4,3,2}),11)),VALUE(MID(G689,14,1))=IF(MOD(SUMPRODUCT(--MID(G689,{1,2,3,4,5,6,7,8,9,10,11,12,13},1),{6,5,4,3,2,9,8,7,6,5,4,3,2}),11)&lt;2,0,11-MOD(SUMPRODUCT(--MID(G689,{1,2,3,4,5,6,7,8,9,10,11,12,13},1),{6,5,4,3,2,9,8,7,6,5,4,3,2}),11))),"OK","AVISO: dígito verificador (conferir na org)"))))</f>
      </c>
      <c r="I689" s="6">
        <f>IF(G689="","",IF(COUNTIF($G$2:$G$2001,G689)&gt;1,"DUPLICADO","OK"))</f>
      </c>
      <c r="J689" s="6">
        <f>IF(COUNTA(A689:F689)=0,"",IF(AND(A689&lt;&gt;"",E689&lt;&gt;""),"OK","ERRO: faltam "&amp;IF(A689="","CNPJ; ","")&amp;IF(E689="","Novo gerente; ","")))</f>
      </c>
      <c r="K689" s="6">
        <f>IF(COUNTA(A689:F689)=0,"",IF(AND(LEFT(H689,4)&lt;&gt;"ERRO",I689="OK",J689="OK"),"OK","REVISAR"))</f>
      </c>
    </row>
    <row r="690">
      <c r="A690" s="5"/>
      <c r="B690" s="4"/>
      <c r="C690" s="4"/>
      <c r="D690" s="4"/>
      <c r="E690" s="5"/>
      <c r="F690" s="4"/>
      <c r="G690" s="6">
        <f>IF(A690="","",SUBSTITUTE(SUBSTITUTE(SUBSTITUTE(SUBSTITUTE(SUBSTITUTE(SUBSTITUTE(SUBSTITUTE(TRIM(A690),".",""),"/",""),"-","")," ",""),"(",""),")",""),"+",""))</f>
      </c>
      <c r="H690" s="6">
        <f>IF(G690="","",IF(LEN(G690)&lt;&gt;14,"ERRO: "&amp;LEN(G690)&amp;" dígitos",IF(NOT(ISNUMBER(VALUE(G690))),"ERRO: não numérico",IF(AND(VALUE(MID(G690,13,1))=IF(MOD(SUMPRODUCT(--MID(G690,{1,2,3,4,5,6,7,8,9,10,11,12},1),{5,4,3,2,9,8,7,6,5,4,3,2}),11)&lt;2,0,11-MOD(SUMPRODUCT(--MID(G690,{1,2,3,4,5,6,7,8,9,10,11,12},1),{5,4,3,2,9,8,7,6,5,4,3,2}),11)),VALUE(MID(G690,14,1))=IF(MOD(SUMPRODUCT(--MID(G690,{1,2,3,4,5,6,7,8,9,10,11,12,13},1),{6,5,4,3,2,9,8,7,6,5,4,3,2}),11)&lt;2,0,11-MOD(SUMPRODUCT(--MID(G690,{1,2,3,4,5,6,7,8,9,10,11,12,13},1),{6,5,4,3,2,9,8,7,6,5,4,3,2}),11))),"OK","AVISO: dígito verificador (conferir na org)"))))</f>
      </c>
      <c r="I690" s="6">
        <f>IF(G690="","",IF(COUNTIF($G$2:$G$2001,G690)&gt;1,"DUPLICADO","OK"))</f>
      </c>
      <c r="J690" s="6">
        <f>IF(COUNTA(A690:F690)=0,"",IF(AND(A690&lt;&gt;"",E690&lt;&gt;""),"OK","ERRO: faltam "&amp;IF(A690="","CNPJ; ","")&amp;IF(E690="","Novo gerente; ","")))</f>
      </c>
      <c r="K690" s="6">
        <f>IF(COUNTA(A690:F690)=0,"",IF(AND(LEFT(H690,4)&lt;&gt;"ERRO",I690="OK",J690="OK"),"OK","REVISAR"))</f>
      </c>
    </row>
    <row r="691">
      <c r="A691" s="5"/>
      <c r="B691" s="4"/>
      <c r="C691" s="4"/>
      <c r="D691" s="4"/>
      <c r="E691" s="5"/>
      <c r="F691" s="4"/>
      <c r="G691" s="6">
        <f>IF(A691="","",SUBSTITUTE(SUBSTITUTE(SUBSTITUTE(SUBSTITUTE(SUBSTITUTE(SUBSTITUTE(SUBSTITUTE(TRIM(A691),".",""),"/",""),"-","")," ",""),"(",""),")",""),"+",""))</f>
      </c>
      <c r="H691" s="6">
        <f>IF(G691="","",IF(LEN(G691)&lt;&gt;14,"ERRO: "&amp;LEN(G691)&amp;" dígitos",IF(NOT(ISNUMBER(VALUE(G691))),"ERRO: não numérico",IF(AND(VALUE(MID(G691,13,1))=IF(MOD(SUMPRODUCT(--MID(G691,{1,2,3,4,5,6,7,8,9,10,11,12},1),{5,4,3,2,9,8,7,6,5,4,3,2}),11)&lt;2,0,11-MOD(SUMPRODUCT(--MID(G691,{1,2,3,4,5,6,7,8,9,10,11,12},1),{5,4,3,2,9,8,7,6,5,4,3,2}),11)),VALUE(MID(G691,14,1))=IF(MOD(SUMPRODUCT(--MID(G691,{1,2,3,4,5,6,7,8,9,10,11,12,13},1),{6,5,4,3,2,9,8,7,6,5,4,3,2}),11)&lt;2,0,11-MOD(SUMPRODUCT(--MID(G691,{1,2,3,4,5,6,7,8,9,10,11,12,13},1),{6,5,4,3,2,9,8,7,6,5,4,3,2}),11))),"OK","AVISO: dígito verificador (conferir na org)"))))</f>
      </c>
      <c r="I691" s="6">
        <f>IF(G691="","",IF(COUNTIF($G$2:$G$2001,G691)&gt;1,"DUPLICADO","OK"))</f>
      </c>
      <c r="J691" s="6">
        <f>IF(COUNTA(A691:F691)=0,"",IF(AND(A691&lt;&gt;"",E691&lt;&gt;""),"OK","ERRO: faltam "&amp;IF(A691="","CNPJ; ","")&amp;IF(E691="","Novo gerente; ","")))</f>
      </c>
      <c r="K691" s="6">
        <f>IF(COUNTA(A691:F691)=0,"",IF(AND(LEFT(H691,4)&lt;&gt;"ERRO",I691="OK",J691="OK"),"OK","REVISAR"))</f>
      </c>
    </row>
    <row r="692">
      <c r="A692" s="5"/>
      <c r="B692" s="4"/>
      <c r="C692" s="4"/>
      <c r="D692" s="4"/>
      <c r="E692" s="5"/>
      <c r="F692" s="4"/>
      <c r="G692" s="6">
        <f>IF(A692="","",SUBSTITUTE(SUBSTITUTE(SUBSTITUTE(SUBSTITUTE(SUBSTITUTE(SUBSTITUTE(SUBSTITUTE(TRIM(A692),".",""),"/",""),"-","")," ",""),"(",""),")",""),"+",""))</f>
      </c>
      <c r="H692" s="6">
        <f>IF(G692="","",IF(LEN(G692)&lt;&gt;14,"ERRO: "&amp;LEN(G692)&amp;" dígitos",IF(NOT(ISNUMBER(VALUE(G692))),"ERRO: não numérico",IF(AND(VALUE(MID(G692,13,1))=IF(MOD(SUMPRODUCT(--MID(G692,{1,2,3,4,5,6,7,8,9,10,11,12},1),{5,4,3,2,9,8,7,6,5,4,3,2}),11)&lt;2,0,11-MOD(SUMPRODUCT(--MID(G692,{1,2,3,4,5,6,7,8,9,10,11,12},1),{5,4,3,2,9,8,7,6,5,4,3,2}),11)),VALUE(MID(G692,14,1))=IF(MOD(SUMPRODUCT(--MID(G692,{1,2,3,4,5,6,7,8,9,10,11,12,13},1),{6,5,4,3,2,9,8,7,6,5,4,3,2}),11)&lt;2,0,11-MOD(SUMPRODUCT(--MID(G692,{1,2,3,4,5,6,7,8,9,10,11,12,13},1),{6,5,4,3,2,9,8,7,6,5,4,3,2}),11))),"OK","AVISO: dígito verificador (conferir na org)"))))</f>
      </c>
      <c r="I692" s="6">
        <f>IF(G692="","",IF(COUNTIF($G$2:$G$2001,G692)&gt;1,"DUPLICADO","OK"))</f>
      </c>
      <c r="J692" s="6">
        <f>IF(COUNTA(A692:F692)=0,"",IF(AND(A692&lt;&gt;"",E692&lt;&gt;""),"OK","ERRO: faltam "&amp;IF(A692="","CNPJ; ","")&amp;IF(E692="","Novo gerente; ","")))</f>
      </c>
      <c r="K692" s="6">
        <f>IF(COUNTA(A692:F692)=0,"",IF(AND(LEFT(H692,4)&lt;&gt;"ERRO",I692="OK",J692="OK"),"OK","REVISAR"))</f>
      </c>
    </row>
    <row r="693">
      <c r="A693" s="5"/>
      <c r="B693" s="4"/>
      <c r="C693" s="4"/>
      <c r="D693" s="4"/>
      <c r="E693" s="5"/>
      <c r="F693" s="4"/>
      <c r="G693" s="6">
        <f>IF(A693="","",SUBSTITUTE(SUBSTITUTE(SUBSTITUTE(SUBSTITUTE(SUBSTITUTE(SUBSTITUTE(SUBSTITUTE(TRIM(A693),".",""),"/",""),"-","")," ",""),"(",""),")",""),"+",""))</f>
      </c>
      <c r="H693" s="6">
        <f>IF(G693="","",IF(LEN(G693)&lt;&gt;14,"ERRO: "&amp;LEN(G693)&amp;" dígitos",IF(NOT(ISNUMBER(VALUE(G693))),"ERRO: não numérico",IF(AND(VALUE(MID(G693,13,1))=IF(MOD(SUMPRODUCT(--MID(G693,{1,2,3,4,5,6,7,8,9,10,11,12},1),{5,4,3,2,9,8,7,6,5,4,3,2}),11)&lt;2,0,11-MOD(SUMPRODUCT(--MID(G693,{1,2,3,4,5,6,7,8,9,10,11,12},1),{5,4,3,2,9,8,7,6,5,4,3,2}),11)),VALUE(MID(G693,14,1))=IF(MOD(SUMPRODUCT(--MID(G693,{1,2,3,4,5,6,7,8,9,10,11,12,13},1),{6,5,4,3,2,9,8,7,6,5,4,3,2}),11)&lt;2,0,11-MOD(SUMPRODUCT(--MID(G693,{1,2,3,4,5,6,7,8,9,10,11,12,13},1),{6,5,4,3,2,9,8,7,6,5,4,3,2}),11))),"OK","AVISO: dígito verificador (conferir na org)"))))</f>
      </c>
      <c r="I693" s="6">
        <f>IF(G693="","",IF(COUNTIF($G$2:$G$2001,G693)&gt;1,"DUPLICADO","OK"))</f>
      </c>
      <c r="J693" s="6">
        <f>IF(COUNTA(A693:F693)=0,"",IF(AND(A693&lt;&gt;"",E693&lt;&gt;""),"OK","ERRO: faltam "&amp;IF(A693="","CNPJ; ","")&amp;IF(E693="","Novo gerente; ","")))</f>
      </c>
      <c r="K693" s="6">
        <f>IF(COUNTA(A693:F693)=0,"",IF(AND(LEFT(H693,4)&lt;&gt;"ERRO",I693="OK",J693="OK"),"OK","REVISAR"))</f>
      </c>
    </row>
    <row r="694">
      <c r="A694" s="5"/>
      <c r="B694" s="4"/>
      <c r="C694" s="4"/>
      <c r="D694" s="4"/>
      <c r="E694" s="5"/>
      <c r="F694" s="4"/>
      <c r="G694" s="6">
        <f>IF(A694="","",SUBSTITUTE(SUBSTITUTE(SUBSTITUTE(SUBSTITUTE(SUBSTITUTE(SUBSTITUTE(SUBSTITUTE(TRIM(A694),".",""),"/",""),"-","")," ",""),"(",""),")",""),"+",""))</f>
      </c>
      <c r="H694" s="6">
        <f>IF(G694="","",IF(LEN(G694)&lt;&gt;14,"ERRO: "&amp;LEN(G694)&amp;" dígitos",IF(NOT(ISNUMBER(VALUE(G694))),"ERRO: não numérico",IF(AND(VALUE(MID(G694,13,1))=IF(MOD(SUMPRODUCT(--MID(G694,{1,2,3,4,5,6,7,8,9,10,11,12},1),{5,4,3,2,9,8,7,6,5,4,3,2}),11)&lt;2,0,11-MOD(SUMPRODUCT(--MID(G694,{1,2,3,4,5,6,7,8,9,10,11,12},1),{5,4,3,2,9,8,7,6,5,4,3,2}),11)),VALUE(MID(G694,14,1))=IF(MOD(SUMPRODUCT(--MID(G694,{1,2,3,4,5,6,7,8,9,10,11,12,13},1),{6,5,4,3,2,9,8,7,6,5,4,3,2}),11)&lt;2,0,11-MOD(SUMPRODUCT(--MID(G694,{1,2,3,4,5,6,7,8,9,10,11,12,13},1),{6,5,4,3,2,9,8,7,6,5,4,3,2}),11))),"OK","AVISO: dígito verificador (conferir na org)"))))</f>
      </c>
      <c r="I694" s="6">
        <f>IF(G694="","",IF(COUNTIF($G$2:$G$2001,G694)&gt;1,"DUPLICADO","OK"))</f>
      </c>
      <c r="J694" s="6">
        <f>IF(COUNTA(A694:F694)=0,"",IF(AND(A694&lt;&gt;"",E694&lt;&gt;""),"OK","ERRO: faltam "&amp;IF(A694="","CNPJ; ","")&amp;IF(E694="","Novo gerente; ","")))</f>
      </c>
      <c r="K694" s="6">
        <f>IF(COUNTA(A694:F694)=0,"",IF(AND(LEFT(H694,4)&lt;&gt;"ERRO",I694="OK",J694="OK"),"OK","REVISAR"))</f>
      </c>
    </row>
    <row r="695">
      <c r="A695" s="5"/>
      <c r="B695" s="4"/>
      <c r="C695" s="4"/>
      <c r="D695" s="4"/>
      <c r="E695" s="5"/>
      <c r="F695" s="4"/>
      <c r="G695" s="6">
        <f>IF(A695="","",SUBSTITUTE(SUBSTITUTE(SUBSTITUTE(SUBSTITUTE(SUBSTITUTE(SUBSTITUTE(SUBSTITUTE(TRIM(A695),".",""),"/",""),"-","")," ",""),"(",""),")",""),"+",""))</f>
      </c>
      <c r="H695" s="6">
        <f>IF(G695="","",IF(LEN(G695)&lt;&gt;14,"ERRO: "&amp;LEN(G695)&amp;" dígitos",IF(NOT(ISNUMBER(VALUE(G695))),"ERRO: não numérico",IF(AND(VALUE(MID(G695,13,1))=IF(MOD(SUMPRODUCT(--MID(G695,{1,2,3,4,5,6,7,8,9,10,11,12},1),{5,4,3,2,9,8,7,6,5,4,3,2}),11)&lt;2,0,11-MOD(SUMPRODUCT(--MID(G695,{1,2,3,4,5,6,7,8,9,10,11,12},1),{5,4,3,2,9,8,7,6,5,4,3,2}),11)),VALUE(MID(G695,14,1))=IF(MOD(SUMPRODUCT(--MID(G695,{1,2,3,4,5,6,7,8,9,10,11,12,13},1),{6,5,4,3,2,9,8,7,6,5,4,3,2}),11)&lt;2,0,11-MOD(SUMPRODUCT(--MID(G695,{1,2,3,4,5,6,7,8,9,10,11,12,13},1),{6,5,4,3,2,9,8,7,6,5,4,3,2}),11))),"OK","AVISO: dígito verificador (conferir na org)"))))</f>
      </c>
      <c r="I695" s="6">
        <f>IF(G695="","",IF(COUNTIF($G$2:$G$2001,G695)&gt;1,"DUPLICADO","OK"))</f>
      </c>
      <c r="J695" s="6">
        <f>IF(COUNTA(A695:F695)=0,"",IF(AND(A695&lt;&gt;"",E695&lt;&gt;""),"OK","ERRO: faltam "&amp;IF(A695="","CNPJ; ","")&amp;IF(E695="","Novo gerente; ","")))</f>
      </c>
      <c r="K695" s="6">
        <f>IF(COUNTA(A695:F695)=0,"",IF(AND(LEFT(H695,4)&lt;&gt;"ERRO",I695="OK",J695="OK"),"OK","REVISAR"))</f>
      </c>
    </row>
    <row r="696">
      <c r="A696" s="5"/>
      <c r="B696" s="4"/>
      <c r="C696" s="4"/>
      <c r="D696" s="4"/>
      <c r="E696" s="5"/>
      <c r="F696" s="4"/>
      <c r="G696" s="6">
        <f>IF(A696="","",SUBSTITUTE(SUBSTITUTE(SUBSTITUTE(SUBSTITUTE(SUBSTITUTE(SUBSTITUTE(SUBSTITUTE(TRIM(A696),".",""),"/",""),"-","")," ",""),"(",""),")",""),"+",""))</f>
      </c>
      <c r="H696" s="6">
        <f>IF(G696="","",IF(LEN(G696)&lt;&gt;14,"ERRO: "&amp;LEN(G696)&amp;" dígitos",IF(NOT(ISNUMBER(VALUE(G696))),"ERRO: não numérico",IF(AND(VALUE(MID(G696,13,1))=IF(MOD(SUMPRODUCT(--MID(G696,{1,2,3,4,5,6,7,8,9,10,11,12},1),{5,4,3,2,9,8,7,6,5,4,3,2}),11)&lt;2,0,11-MOD(SUMPRODUCT(--MID(G696,{1,2,3,4,5,6,7,8,9,10,11,12},1),{5,4,3,2,9,8,7,6,5,4,3,2}),11)),VALUE(MID(G696,14,1))=IF(MOD(SUMPRODUCT(--MID(G696,{1,2,3,4,5,6,7,8,9,10,11,12,13},1),{6,5,4,3,2,9,8,7,6,5,4,3,2}),11)&lt;2,0,11-MOD(SUMPRODUCT(--MID(G696,{1,2,3,4,5,6,7,8,9,10,11,12,13},1),{6,5,4,3,2,9,8,7,6,5,4,3,2}),11))),"OK","AVISO: dígito verificador (conferir na org)"))))</f>
      </c>
      <c r="I696" s="6">
        <f>IF(G696="","",IF(COUNTIF($G$2:$G$2001,G696)&gt;1,"DUPLICADO","OK"))</f>
      </c>
      <c r="J696" s="6">
        <f>IF(COUNTA(A696:F696)=0,"",IF(AND(A696&lt;&gt;"",E696&lt;&gt;""),"OK","ERRO: faltam "&amp;IF(A696="","CNPJ; ","")&amp;IF(E696="","Novo gerente; ","")))</f>
      </c>
      <c r="K696" s="6">
        <f>IF(COUNTA(A696:F696)=0,"",IF(AND(LEFT(H696,4)&lt;&gt;"ERRO",I696="OK",J696="OK"),"OK","REVISAR"))</f>
      </c>
    </row>
    <row r="697">
      <c r="A697" s="5"/>
      <c r="B697" s="4"/>
      <c r="C697" s="4"/>
      <c r="D697" s="4"/>
      <c r="E697" s="5"/>
      <c r="F697" s="4"/>
      <c r="G697" s="6">
        <f>IF(A697="","",SUBSTITUTE(SUBSTITUTE(SUBSTITUTE(SUBSTITUTE(SUBSTITUTE(SUBSTITUTE(SUBSTITUTE(TRIM(A697),".",""),"/",""),"-","")," ",""),"(",""),")",""),"+",""))</f>
      </c>
      <c r="H697" s="6">
        <f>IF(G697="","",IF(LEN(G697)&lt;&gt;14,"ERRO: "&amp;LEN(G697)&amp;" dígitos",IF(NOT(ISNUMBER(VALUE(G697))),"ERRO: não numérico",IF(AND(VALUE(MID(G697,13,1))=IF(MOD(SUMPRODUCT(--MID(G697,{1,2,3,4,5,6,7,8,9,10,11,12},1),{5,4,3,2,9,8,7,6,5,4,3,2}),11)&lt;2,0,11-MOD(SUMPRODUCT(--MID(G697,{1,2,3,4,5,6,7,8,9,10,11,12},1),{5,4,3,2,9,8,7,6,5,4,3,2}),11)),VALUE(MID(G697,14,1))=IF(MOD(SUMPRODUCT(--MID(G697,{1,2,3,4,5,6,7,8,9,10,11,12,13},1),{6,5,4,3,2,9,8,7,6,5,4,3,2}),11)&lt;2,0,11-MOD(SUMPRODUCT(--MID(G697,{1,2,3,4,5,6,7,8,9,10,11,12,13},1),{6,5,4,3,2,9,8,7,6,5,4,3,2}),11))),"OK","AVISO: dígito verificador (conferir na org)"))))</f>
      </c>
      <c r="I697" s="6">
        <f>IF(G697="","",IF(COUNTIF($G$2:$G$2001,G697)&gt;1,"DUPLICADO","OK"))</f>
      </c>
      <c r="J697" s="6">
        <f>IF(COUNTA(A697:F697)=0,"",IF(AND(A697&lt;&gt;"",E697&lt;&gt;""),"OK","ERRO: faltam "&amp;IF(A697="","CNPJ; ","")&amp;IF(E697="","Novo gerente; ","")))</f>
      </c>
      <c r="K697" s="6">
        <f>IF(COUNTA(A697:F697)=0,"",IF(AND(LEFT(H697,4)&lt;&gt;"ERRO",I697="OK",J697="OK"),"OK","REVISAR"))</f>
      </c>
    </row>
    <row r="698">
      <c r="A698" s="5"/>
      <c r="B698" s="4"/>
      <c r="C698" s="4"/>
      <c r="D698" s="4"/>
      <c r="E698" s="5"/>
      <c r="F698" s="4"/>
      <c r="G698" s="6">
        <f>IF(A698="","",SUBSTITUTE(SUBSTITUTE(SUBSTITUTE(SUBSTITUTE(SUBSTITUTE(SUBSTITUTE(SUBSTITUTE(TRIM(A698),".",""),"/",""),"-","")," ",""),"(",""),")",""),"+",""))</f>
      </c>
      <c r="H698" s="6">
        <f>IF(G698="","",IF(LEN(G698)&lt;&gt;14,"ERRO: "&amp;LEN(G698)&amp;" dígitos",IF(NOT(ISNUMBER(VALUE(G698))),"ERRO: não numérico",IF(AND(VALUE(MID(G698,13,1))=IF(MOD(SUMPRODUCT(--MID(G698,{1,2,3,4,5,6,7,8,9,10,11,12},1),{5,4,3,2,9,8,7,6,5,4,3,2}),11)&lt;2,0,11-MOD(SUMPRODUCT(--MID(G698,{1,2,3,4,5,6,7,8,9,10,11,12},1),{5,4,3,2,9,8,7,6,5,4,3,2}),11)),VALUE(MID(G698,14,1))=IF(MOD(SUMPRODUCT(--MID(G698,{1,2,3,4,5,6,7,8,9,10,11,12,13},1),{6,5,4,3,2,9,8,7,6,5,4,3,2}),11)&lt;2,0,11-MOD(SUMPRODUCT(--MID(G698,{1,2,3,4,5,6,7,8,9,10,11,12,13},1),{6,5,4,3,2,9,8,7,6,5,4,3,2}),11))),"OK","AVISO: dígito verificador (conferir na org)"))))</f>
      </c>
      <c r="I698" s="6">
        <f>IF(G698="","",IF(COUNTIF($G$2:$G$2001,G698)&gt;1,"DUPLICADO","OK"))</f>
      </c>
      <c r="J698" s="6">
        <f>IF(COUNTA(A698:F698)=0,"",IF(AND(A698&lt;&gt;"",E698&lt;&gt;""),"OK","ERRO: faltam "&amp;IF(A698="","CNPJ; ","")&amp;IF(E698="","Novo gerente; ","")))</f>
      </c>
      <c r="K698" s="6">
        <f>IF(COUNTA(A698:F698)=0,"",IF(AND(LEFT(H698,4)&lt;&gt;"ERRO",I698="OK",J698="OK"),"OK","REVISAR"))</f>
      </c>
    </row>
    <row r="699">
      <c r="A699" s="5"/>
      <c r="B699" s="4"/>
      <c r="C699" s="4"/>
      <c r="D699" s="4"/>
      <c r="E699" s="5"/>
      <c r="F699" s="4"/>
      <c r="G699" s="6">
        <f>IF(A699="","",SUBSTITUTE(SUBSTITUTE(SUBSTITUTE(SUBSTITUTE(SUBSTITUTE(SUBSTITUTE(SUBSTITUTE(TRIM(A699),".",""),"/",""),"-","")," ",""),"(",""),")",""),"+",""))</f>
      </c>
      <c r="H699" s="6">
        <f>IF(G699="","",IF(LEN(G699)&lt;&gt;14,"ERRO: "&amp;LEN(G699)&amp;" dígitos",IF(NOT(ISNUMBER(VALUE(G699))),"ERRO: não numérico",IF(AND(VALUE(MID(G699,13,1))=IF(MOD(SUMPRODUCT(--MID(G699,{1,2,3,4,5,6,7,8,9,10,11,12},1),{5,4,3,2,9,8,7,6,5,4,3,2}),11)&lt;2,0,11-MOD(SUMPRODUCT(--MID(G699,{1,2,3,4,5,6,7,8,9,10,11,12},1),{5,4,3,2,9,8,7,6,5,4,3,2}),11)),VALUE(MID(G699,14,1))=IF(MOD(SUMPRODUCT(--MID(G699,{1,2,3,4,5,6,7,8,9,10,11,12,13},1),{6,5,4,3,2,9,8,7,6,5,4,3,2}),11)&lt;2,0,11-MOD(SUMPRODUCT(--MID(G699,{1,2,3,4,5,6,7,8,9,10,11,12,13},1),{6,5,4,3,2,9,8,7,6,5,4,3,2}),11))),"OK","AVISO: dígito verificador (conferir na org)"))))</f>
      </c>
      <c r="I699" s="6">
        <f>IF(G699="","",IF(COUNTIF($G$2:$G$2001,G699)&gt;1,"DUPLICADO","OK"))</f>
      </c>
      <c r="J699" s="6">
        <f>IF(COUNTA(A699:F699)=0,"",IF(AND(A699&lt;&gt;"",E699&lt;&gt;""),"OK","ERRO: faltam "&amp;IF(A699="","CNPJ; ","")&amp;IF(E699="","Novo gerente; ","")))</f>
      </c>
      <c r="K699" s="6">
        <f>IF(COUNTA(A699:F699)=0,"",IF(AND(LEFT(H699,4)&lt;&gt;"ERRO",I699="OK",J699="OK"),"OK","REVISAR"))</f>
      </c>
    </row>
    <row r="700">
      <c r="A700" s="5"/>
      <c r="B700" s="4"/>
      <c r="C700" s="4"/>
      <c r="D700" s="4"/>
      <c r="E700" s="5"/>
      <c r="F700" s="4"/>
      <c r="G700" s="6">
        <f>IF(A700="","",SUBSTITUTE(SUBSTITUTE(SUBSTITUTE(SUBSTITUTE(SUBSTITUTE(SUBSTITUTE(SUBSTITUTE(TRIM(A700),".",""),"/",""),"-","")," ",""),"(",""),")",""),"+",""))</f>
      </c>
      <c r="H700" s="6">
        <f>IF(G700="","",IF(LEN(G700)&lt;&gt;14,"ERRO: "&amp;LEN(G700)&amp;" dígitos",IF(NOT(ISNUMBER(VALUE(G700))),"ERRO: não numérico",IF(AND(VALUE(MID(G700,13,1))=IF(MOD(SUMPRODUCT(--MID(G700,{1,2,3,4,5,6,7,8,9,10,11,12},1),{5,4,3,2,9,8,7,6,5,4,3,2}),11)&lt;2,0,11-MOD(SUMPRODUCT(--MID(G700,{1,2,3,4,5,6,7,8,9,10,11,12},1),{5,4,3,2,9,8,7,6,5,4,3,2}),11)),VALUE(MID(G700,14,1))=IF(MOD(SUMPRODUCT(--MID(G700,{1,2,3,4,5,6,7,8,9,10,11,12,13},1),{6,5,4,3,2,9,8,7,6,5,4,3,2}),11)&lt;2,0,11-MOD(SUMPRODUCT(--MID(G700,{1,2,3,4,5,6,7,8,9,10,11,12,13},1),{6,5,4,3,2,9,8,7,6,5,4,3,2}),11))),"OK","AVISO: dígito verificador (conferir na org)"))))</f>
      </c>
      <c r="I700" s="6">
        <f>IF(G700="","",IF(COUNTIF($G$2:$G$2001,G700)&gt;1,"DUPLICADO","OK"))</f>
      </c>
      <c r="J700" s="6">
        <f>IF(COUNTA(A700:F700)=0,"",IF(AND(A700&lt;&gt;"",E700&lt;&gt;""),"OK","ERRO: faltam "&amp;IF(A700="","CNPJ; ","")&amp;IF(E700="","Novo gerente; ","")))</f>
      </c>
      <c r="K700" s="6">
        <f>IF(COUNTA(A700:F700)=0,"",IF(AND(LEFT(H700,4)&lt;&gt;"ERRO",I700="OK",J700="OK"),"OK","REVISAR"))</f>
      </c>
    </row>
    <row r="701">
      <c r="A701" s="5"/>
      <c r="B701" s="4"/>
      <c r="C701" s="4"/>
      <c r="D701" s="4"/>
      <c r="E701" s="5"/>
      <c r="F701" s="4"/>
      <c r="G701" s="6">
        <f>IF(A701="","",SUBSTITUTE(SUBSTITUTE(SUBSTITUTE(SUBSTITUTE(SUBSTITUTE(SUBSTITUTE(SUBSTITUTE(TRIM(A701),".",""),"/",""),"-","")," ",""),"(",""),")",""),"+",""))</f>
      </c>
      <c r="H701" s="6">
        <f>IF(G701="","",IF(LEN(G701)&lt;&gt;14,"ERRO: "&amp;LEN(G701)&amp;" dígitos",IF(NOT(ISNUMBER(VALUE(G701))),"ERRO: não numérico",IF(AND(VALUE(MID(G701,13,1))=IF(MOD(SUMPRODUCT(--MID(G701,{1,2,3,4,5,6,7,8,9,10,11,12},1),{5,4,3,2,9,8,7,6,5,4,3,2}),11)&lt;2,0,11-MOD(SUMPRODUCT(--MID(G701,{1,2,3,4,5,6,7,8,9,10,11,12},1),{5,4,3,2,9,8,7,6,5,4,3,2}),11)),VALUE(MID(G701,14,1))=IF(MOD(SUMPRODUCT(--MID(G701,{1,2,3,4,5,6,7,8,9,10,11,12,13},1),{6,5,4,3,2,9,8,7,6,5,4,3,2}),11)&lt;2,0,11-MOD(SUMPRODUCT(--MID(G701,{1,2,3,4,5,6,7,8,9,10,11,12,13},1),{6,5,4,3,2,9,8,7,6,5,4,3,2}),11))),"OK","AVISO: dígito verificador (conferir na org)"))))</f>
      </c>
      <c r="I701" s="6">
        <f>IF(G701="","",IF(COUNTIF($G$2:$G$2001,G701)&gt;1,"DUPLICADO","OK"))</f>
      </c>
      <c r="J701" s="6">
        <f>IF(COUNTA(A701:F701)=0,"",IF(AND(A701&lt;&gt;"",E701&lt;&gt;""),"OK","ERRO: faltam "&amp;IF(A701="","CNPJ; ","")&amp;IF(E701="","Novo gerente; ","")))</f>
      </c>
      <c r="K701" s="6">
        <f>IF(COUNTA(A701:F701)=0,"",IF(AND(LEFT(H701,4)&lt;&gt;"ERRO",I701="OK",J701="OK"),"OK","REVISAR"))</f>
      </c>
    </row>
    <row r="702">
      <c r="A702" s="5"/>
      <c r="B702" s="4"/>
      <c r="C702" s="4"/>
      <c r="D702" s="4"/>
      <c r="E702" s="5"/>
      <c r="F702" s="4"/>
      <c r="G702" s="6">
        <f>IF(A702="","",SUBSTITUTE(SUBSTITUTE(SUBSTITUTE(SUBSTITUTE(SUBSTITUTE(SUBSTITUTE(SUBSTITUTE(TRIM(A702),".",""),"/",""),"-","")," ",""),"(",""),")",""),"+",""))</f>
      </c>
      <c r="H702" s="6">
        <f>IF(G702="","",IF(LEN(G702)&lt;&gt;14,"ERRO: "&amp;LEN(G702)&amp;" dígitos",IF(NOT(ISNUMBER(VALUE(G702))),"ERRO: não numérico",IF(AND(VALUE(MID(G702,13,1))=IF(MOD(SUMPRODUCT(--MID(G702,{1,2,3,4,5,6,7,8,9,10,11,12},1),{5,4,3,2,9,8,7,6,5,4,3,2}),11)&lt;2,0,11-MOD(SUMPRODUCT(--MID(G702,{1,2,3,4,5,6,7,8,9,10,11,12},1),{5,4,3,2,9,8,7,6,5,4,3,2}),11)),VALUE(MID(G702,14,1))=IF(MOD(SUMPRODUCT(--MID(G702,{1,2,3,4,5,6,7,8,9,10,11,12,13},1),{6,5,4,3,2,9,8,7,6,5,4,3,2}),11)&lt;2,0,11-MOD(SUMPRODUCT(--MID(G702,{1,2,3,4,5,6,7,8,9,10,11,12,13},1),{6,5,4,3,2,9,8,7,6,5,4,3,2}),11))),"OK","AVISO: dígito verificador (conferir na org)"))))</f>
      </c>
      <c r="I702" s="6">
        <f>IF(G702="","",IF(COUNTIF($G$2:$G$2001,G702)&gt;1,"DUPLICADO","OK"))</f>
      </c>
      <c r="J702" s="6">
        <f>IF(COUNTA(A702:F702)=0,"",IF(AND(A702&lt;&gt;"",E702&lt;&gt;""),"OK","ERRO: faltam "&amp;IF(A702="","CNPJ; ","")&amp;IF(E702="","Novo gerente; ","")))</f>
      </c>
      <c r="K702" s="6">
        <f>IF(COUNTA(A702:F702)=0,"",IF(AND(LEFT(H702,4)&lt;&gt;"ERRO",I702="OK",J702="OK"),"OK","REVISAR"))</f>
      </c>
    </row>
    <row r="703">
      <c r="A703" s="5"/>
      <c r="B703" s="4"/>
      <c r="C703" s="4"/>
      <c r="D703" s="4"/>
      <c r="E703" s="5"/>
      <c r="F703" s="4"/>
      <c r="G703" s="6">
        <f>IF(A703="","",SUBSTITUTE(SUBSTITUTE(SUBSTITUTE(SUBSTITUTE(SUBSTITUTE(SUBSTITUTE(SUBSTITUTE(TRIM(A703),".",""),"/",""),"-","")," ",""),"(",""),")",""),"+",""))</f>
      </c>
      <c r="H703" s="6">
        <f>IF(G703="","",IF(LEN(G703)&lt;&gt;14,"ERRO: "&amp;LEN(G703)&amp;" dígitos",IF(NOT(ISNUMBER(VALUE(G703))),"ERRO: não numérico",IF(AND(VALUE(MID(G703,13,1))=IF(MOD(SUMPRODUCT(--MID(G703,{1,2,3,4,5,6,7,8,9,10,11,12},1),{5,4,3,2,9,8,7,6,5,4,3,2}),11)&lt;2,0,11-MOD(SUMPRODUCT(--MID(G703,{1,2,3,4,5,6,7,8,9,10,11,12},1),{5,4,3,2,9,8,7,6,5,4,3,2}),11)),VALUE(MID(G703,14,1))=IF(MOD(SUMPRODUCT(--MID(G703,{1,2,3,4,5,6,7,8,9,10,11,12,13},1),{6,5,4,3,2,9,8,7,6,5,4,3,2}),11)&lt;2,0,11-MOD(SUMPRODUCT(--MID(G703,{1,2,3,4,5,6,7,8,9,10,11,12,13},1),{6,5,4,3,2,9,8,7,6,5,4,3,2}),11))),"OK","AVISO: dígito verificador (conferir na org)"))))</f>
      </c>
      <c r="I703" s="6">
        <f>IF(G703="","",IF(COUNTIF($G$2:$G$2001,G703)&gt;1,"DUPLICADO","OK"))</f>
      </c>
      <c r="J703" s="6">
        <f>IF(COUNTA(A703:F703)=0,"",IF(AND(A703&lt;&gt;"",E703&lt;&gt;""),"OK","ERRO: faltam "&amp;IF(A703="","CNPJ; ","")&amp;IF(E703="","Novo gerente; ","")))</f>
      </c>
      <c r="K703" s="6">
        <f>IF(COUNTA(A703:F703)=0,"",IF(AND(LEFT(H703,4)&lt;&gt;"ERRO",I703="OK",J703="OK"),"OK","REVISAR"))</f>
      </c>
    </row>
    <row r="704">
      <c r="A704" s="5"/>
      <c r="B704" s="4"/>
      <c r="C704" s="4"/>
      <c r="D704" s="4"/>
      <c r="E704" s="5"/>
      <c r="F704" s="4"/>
      <c r="G704" s="6">
        <f>IF(A704="","",SUBSTITUTE(SUBSTITUTE(SUBSTITUTE(SUBSTITUTE(SUBSTITUTE(SUBSTITUTE(SUBSTITUTE(TRIM(A704),".",""),"/",""),"-","")," ",""),"(",""),")",""),"+",""))</f>
      </c>
      <c r="H704" s="6">
        <f>IF(G704="","",IF(LEN(G704)&lt;&gt;14,"ERRO: "&amp;LEN(G704)&amp;" dígitos",IF(NOT(ISNUMBER(VALUE(G704))),"ERRO: não numérico",IF(AND(VALUE(MID(G704,13,1))=IF(MOD(SUMPRODUCT(--MID(G704,{1,2,3,4,5,6,7,8,9,10,11,12},1),{5,4,3,2,9,8,7,6,5,4,3,2}),11)&lt;2,0,11-MOD(SUMPRODUCT(--MID(G704,{1,2,3,4,5,6,7,8,9,10,11,12},1),{5,4,3,2,9,8,7,6,5,4,3,2}),11)),VALUE(MID(G704,14,1))=IF(MOD(SUMPRODUCT(--MID(G704,{1,2,3,4,5,6,7,8,9,10,11,12,13},1),{6,5,4,3,2,9,8,7,6,5,4,3,2}),11)&lt;2,0,11-MOD(SUMPRODUCT(--MID(G704,{1,2,3,4,5,6,7,8,9,10,11,12,13},1),{6,5,4,3,2,9,8,7,6,5,4,3,2}),11))),"OK","AVISO: dígito verificador (conferir na org)"))))</f>
      </c>
      <c r="I704" s="6">
        <f>IF(G704="","",IF(COUNTIF($G$2:$G$2001,G704)&gt;1,"DUPLICADO","OK"))</f>
      </c>
      <c r="J704" s="6">
        <f>IF(COUNTA(A704:F704)=0,"",IF(AND(A704&lt;&gt;"",E704&lt;&gt;""),"OK","ERRO: faltam "&amp;IF(A704="","CNPJ; ","")&amp;IF(E704="","Novo gerente; ","")))</f>
      </c>
      <c r="K704" s="6">
        <f>IF(COUNTA(A704:F704)=0,"",IF(AND(LEFT(H704,4)&lt;&gt;"ERRO",I704="OK",J704="OK"),"OK","REVISAR"))</f>
      </c>
    </row>
    <row r="705">
      <c r="A705" s="5"/>
      <c r="B705" s="4"/>
      <c r="C705" s="4"/>
      <c r="D705" s="4"/>
      <c r="E705" s="5"/>
      <c r="F705" s="4"/>
      <c r="G705" s="6">
        <f>IF(A705="","",SUBSTITUTE(SUBSTITUTE(SUBSTITUTE(SUBSTITUTE(SUBSTITUTE(SUBSTITUTE(SUBSTITUTE(TRIM(A705),".",""),"/",""),"-","")," ",""),"(",""),")",""),"+",""))</f>
      </c>
      <c r="H705" s="6">
        <f>IF(G705="","",IF(LEN(G705)&lt;&gt;14,"ERRO: "&amp;LEN(G705)&amp;" dígitos",IF(NOT(ISNUMBER(VALUE(G705))),"ERRO: não numérico",IF(AND(VALUE(MID(G705,13,1))=IF(MOD(SUMPRODUCT(--MID(G705,{1,2,3,4,5,6,7,8,9,10,11,12},1),{5,4,3,2,9,8,7,6,5,4,3,2}),11)&lt;2,0,11-MOD(SUMPRODUCT(--MID(G705,{1,2,3,4,5,6,7,8,9,10,11,12},1),{5,4,3,2,9,8,7,6,5,4,3,2}),11)),VALUE(MID(G705,14,1))=IF(MOD(SUMPRODUCT(--MID(G705,{1,2,3,4,5,6,7,8,9,10,11,12,13},1),{6,5,4,3,2,9,8,7,6,5,4,3,2}),11)&lt;2,0,11-MOD(SUMPRODUCT(--MID(G705,{1,2,3,4,5,6,7,8,9,10,11,12,13},1),{6,5,4,3,2,9,8,7,6,5,4,3,2}),11))),"OK","AVISO: dígito verificador (conferir na org)"))))</f>
      </c>
      <c r="I705" s="6">
        <f>IF(G705="","",IF(COUNTIF($G$2:$G$2001,G705)&gt;1,"DUPLICADO","OK"))</f>
      </c>
      <c r="J705" s="6">
        <f>IF(COUNTA(A705:F705)=0,"",IF(AND(A705&lt;&gt;"",E705&lt;&gt;""),"OK","ERRO: faltam "&amp;IF(A705="","CNPJ; ","")&amp;IF(E705="","Novo gerente; ","")))</f>
      </c>
      <c r="K705" s="6">
        <f>IF(COUNTA(A705:F705)=0,"",IF(AND(LEFT(H705,4)&lt;&gt;"ERRO",I705="OK",J705="OK"),"OK","REVISAR"))</f>
      </c>
    </row>
    <row r="706">
      <c r="A706" s="5"/>
      <c r="B706" s="4"/>
      <c r="C706" s="4"/>
      <c r="D706" s="4"/>
      <c r="E706" s="5"/>
      <c r="F706" s="4"/>
      <c r="G706" s="6">
        <f>IF(A706="","",SUBSTITUTE(SUBSTITUTE(SUBSTITUTE(SUBSTITUTE(SUBSTITUTE(SUBSTITUTE(SUBSTITUTE(TRIM(A706),".",""),"/",""),"-","")," ",""),"(",""),")",""),"+",""))</f>
      </c>
      <c r="H706" s="6">
        <f>IF(G706="","",IF(LEN(G706)&lt;&gt;14,"ERRO: "&amp;LEN(G706)&amp;" dígitos",IF(NOT(ISNUMBER(VALUE(G706))),"ERRO: não numérico",IF(AND(VALUE(MID(G706,13,1))=IF(MOD(SUMPRODUCT(--MID(G706,{1,2,3,4,5,6,7,8,9,10,11,12},1),{5,4,3,2,9,8,7,6,5,4,3,2}),11)&lt;2,0,11-MOD(SUMPRODUCT(--MID(G706,{1,2,3,4,5,6,7,8,9,10,11,12},1),{5,4,3,2,9,8,7,6,5,4,3,2}),11)),VALUE(MID(G706,14,1))=IF(MOD(SUMPRODUCT(--MID(G706,{1,2,3,4,5,6,7,8,9,10,11,12,13},1),{6,5,4,3,2,9,8,7,6,5,4,3,2}),11)&lt;2,0,11-MOD(SUMPRODUCT(--MID(G706,{1,2,3,4,5,6,7,8,9,10,11,12,13},1),{6,5,4,3,2,9,8,7,6,5,4,3,2}),11))),"OK","AVISO: dígito verificador (conferir na org)"))))</f>
      </c>
      <c r="I706" s="6">
        <f>IF(G706="","",IF(COUNTIF($G$2:$G$2001,G706)&gt;1,"DUPLICADO","OK"))</f>
      </c>
      <c r="J706" s="6">
        <f>IF(COUNTA(A706:F706)=0,"",IF(AND(A706&lt;&gt;"",E706&lt;&gt;""),"OK","ERRO: faltam "&amp;IF(A706="","CNPJ; ","")&amp;IF(E706="","Novo gerente; ","")))</f>
      </c>
      <c r="K706" s="6">
        <f>IF(COUNTA(A706:F706)=0,"",IF(AND(LEFT(H706,4)&lt;&gt;"ERRO",I706="OK",J706="OK"),"OK","REVISAR"))</f>
      </c>
    </row>
    <row r="707">
      <c r="A707" s="5"/>
      <c r="B707" s="4"/>
      <c r="C707" s="4"/>
      <c r="D707" s="4"/>
      <c r="E707" s="5"/>
      <c r="F707" s="4"/>
      <c r="G707" s="6">
        <f>IF(A707="","",SUBSTITUTE(SUBSTITUTE(SUBSTITUTE(SUBSTITUTE(SUBSTITUTE(SUBSTITUTE(SUBSTITUTE(TRIM(A707),".",""),"/",""),"-","")," ",""),"(",""),")",""),"+",""))</f>
      </c>
      <c r="H707" s="6">
        <f>IF(G707="","",IF(LEN(G707)&lt;&gt;14,"ERRO: "&amp;LEN(G707)&amp;" dígitos",IF(NOT(ISNUMBER(VALUE(G707))),"ERRO: não numérico",IF(AND(VALUE(MID(G707,13,1))=IF(MOD(SUMPRODUCT(--MID(G707,{1,2,3,4,5,6,7,8,9,10,11,12},1),{5,4,3,2,9,8,7,6,5,4,3,2}),11)&lt;2,0,11-MOD(SUMPRODUCT(--MID(G707,{1,2,3,4,5,6,7,8,9,10,11,12},1),{5,4,3,2,9,8,7,6,5,4,3,2}),11)),VALUE(MID(G707,14,1))=IF(MOD(SUMPRODUCT(--MID(G707,{1,2,3,4,5,6,7,8,9,10,11,12,13},1),{6,5,4,3,2,9,8,7,6,5,4,3,2}),11)&lt;2,0,11-MOD(SUMPRODUCT(--MID(G707,{1,2,3,4,5,6,7,8,9,10,11,12,13},1),{6,5,4,3,2,9,8,7,6,5,4,3,2}),11))),"OK","AVISO: dígito verificador (conferir na org)"))))</f>
      </c>
      <c r="I707" s="6">
        <f>IF(G707="","",IF(COUNTIF($G$2:$G$2001,G707)&gt;1,"DUPLICADO","OK"))</f>
      </c>
      <c r="J707" s="6">
        <f>IF(COUNTA(A707:F707)=0,"",IF(AND(A707&lt;&gt;"",E707&lt;&gt;""),"OK","ERRO: faltam "&amp;IF(A707="","CNPJ; ","")&amp;IF(E707="","Novo gerente; ","")))</f>
      </c>
      <c r="K707" s="6">
        <f>IF(COUNTA(A707:F707)=0,"",IF(AND(LEFT(H707,4)&lt;&gt;"ERRO",I707="OK",J707="OK"),"OK","REVISAR"))</f>
      </c>
    </row>
    <row r="708">
      <c r="A708" s="5"/>
      <c r="B708" s="4"/>
      <c r="C708" s="4"/>
      <c r="D708" s="4"/>
      <c r="E708" s="5"/>
      <c r="F708" s="4"/>
      <c r="G708" s="6">
        <f>IF(A708="","",SUBSTITUTE(SUBSTITUTE(SUBSTITUTE(SUBSTITUTE(SUBSTITUTE(SUBSTITUTE(SUBSTITUTE(TRIM(A708),".",""),"/",""),"-","")," ",""),"(",""),")",""),"+",""))</f>
      </c>
      <c r="H708" s="6">
        <f>IF(G708="","",IF(LEN(G708)&lt;&gt;14,"ERRO: "&amp;LEN(G708)&amp;" dígitos",IF(NOT(ISNUMBER(VALUE(G708))),"ERRO: não numérico",IF(AND(VALUE(MID(G708,13,1))=IF(MOD(SUMPRODUCT(--MID(G708,{1,2,3,4,5,6,7,8,9,10,11,12},1),{5,4,3,2,9,8,7,6,5,4,3,2}),11)&lt;2,0,11-MOD(SUMPRODUCT(--MID(G708,{1,2,3,4,5,6,7,8,9,10,11,12},1),{5,4,3,2,9,8,7,6,5,4,3,2}),11)),VALUE(MID(G708,14,1))=IF(MOD(SUMPRODUCT(--MID(G708,{1,2,3,4,5,6,7,8,9,10,11,12,13},1),{6,5,4,3,2,9,8,7,6,5,4,3,2}),11)&lt;2,0,11-MOD(SUMPRODUCT(--MID(G708,{1,2,3,4,5,6,7,8,9,10,11,12,13},1),{6,5,4,3,2,9,8,7,6,5,4,3,2}),11))),"OK","AVISO: dígito verificador (conferir na org)"))))</f>
      </c>
      <c r="I708" s="6">
        <f>IF(G708="","",IF(COUNTIF($G$2:$G$2001,G708)&gt;1,"DUPLICADO","OK"))</f>
      </c>
      <c r="J708" s="6">
        <f>IF(COUNTA(A708:F708)=0,"",IF(AND(A708&lt;&gt;"",E708&lt;&gt;""),"OK","ERRO: faltam "&amp;IF(A708="","CNPJ; ","")&amp;IF(E708="","Novo gerente; ","")))</f>
      </c>
      <c r="K708" s="6">
        <f>IF(COUNTA(A708:F708)=0,"",IF(AND(LEFT(H708,4)&lt;&gt;"ERRO",I708="OK",J708="OK"),"OK","REVISAR"))</f>
      </c>
    </row>
    <row r="709">
      <c r="A709" s="5"/>
      <c r="B709" s="4"/>
      <c r="C709" s="4"/>
      <c r="D709" s="4"/>
      <c r="E709" s="5"/>
      <c r="F709" s="4"/>
      <c r="G709" s="6">
        <f>IF(A709="","",SUBSTITUTE(SUBSTITUTE(SUBSTITUTE(SUBSTITUTE(SUBSTITUTE(SUBSTITUTE(SUBSTITUTE(TRIM(A709),".",""),"/",""),"-","")," ",""),"(",""),")",""),"+",""))</f>
      </c>
      <c r="H709" s="6">
        <f>IF(G709="","",IF(LEN(G709)&lt;&gt;14,"ERRO: "&amp;LEN(G709)&amp;" dígitos",IF(NOT(ISNUMBER(VALUE(G709))),"ERRO: não numérico",IF(AND(VALUE(MID(G709,13,1))=IF(MOD(SUMPRODUCT(--MID(G709,{1,2,3,4,5,6,7,8,9,10,11,12},1),{5,4,3,2,9,8,7,6,5,4,3,2}),11)&lt;2,0,11-MOD(SUMPRODUCT(--MID(G709,{1,2,3,4,5,6,7,8,9,10,11,12},1),{5,4,3,2,9,8,7,6,5,4,3,2}),11)),VALUE(MID(G709,14,1))=IF(MOD(SUMPRODUCT(--MID(G709,{1,2,3,4,5,6,7,8,9,10,11,12,13},1),{6,5,4,3,2,9,8,7,6,5,4,3,2}),11)&lt;2,0,11-MOD(SUMPRODUCT(--MID(G709,{1,2,3,4,5,6,7,8,9,10,11,12,13},1),{6,5,4,3,2,9,8,7,6,5,4,3,2}),11))),"OK","AVISO: dígito verificador (conferir na org)"))))</f>
      </c>
      <c r="I709" s="6">
        <f>IF(G709="","",IF(COUNTIF($G$2:$G$2001,G709)&gt;1,"DUPLICADO","OK"))</f>
      </c>
      <c r="J709" s="6">
        <f>IF(COUNTA(A709:F709)=0,"",IF(AND(A709&lt;&gt;"",E709&lt;&gt;""),"OK","ERRO: faltam "&amp;IF(A709="","CNPJ; ","")&amp;IF(E709="","Novo gerente; ","")))</f>
      </c>
      <c r="K709" s="6">
        <f>IF(COUNTA(A709:F709)=0,"",IF(AND(LEFT(H709,4)&lt;&gt;"ERRO",I709="OK",J709="OK"),"OK","REVISAR"))</f>
      </c>
    </row>
    <row r="710">
      <c r="A710" s="5"/>
      <c r="B710" s="4"/>
      <c r="C710" s="4"/>
      <c r="D710" s="4"/>
      <c r="E710" s="5"/>
      <c r="F710" s="4"/>
      <c r="G710" s="6">
        <f>IF(A710="","",SUBSTITUTE(SUBSTITUTE(SUBSTITUTE(SUBSTITUTE(SUBSTITUTE(SUBSTITUTE(SUBSTITUTE(TRIM(A710),".",""),"/",""),"-","")," ",""),"(",""),")",""),"+",""))</f>
      </c>
      <c r="H710" s="6">
        <f>IF(G710="","",IF(LEN(G710)&lt;&gt;14,"ERRO: "&amp;LEN(G710)&amp;" dígitos",IF(NOT(ISNUMBER(VALUE(G710))),"ERRO: não numérico",IF(AND(VALUE(MID(G710,13,1))=IF(MOD(SUMPRODUCT(--MID(G710,{1,2,3,4,5,6,7,8,9,10,11,12},1),{5,4,3,2,9,8,7,6,5,4,3,2}),11)&lt;2,0,11-MOD(SUMPRODUCT(--MID(G710,{1,2,3,4,5,6,7,8,9,10,11,12},1),{5,4,3,2,9,8,7,6,5,4,3,2}),11)),VALUE(MID(G710,14,1))=IF(MOD(SUMPRODUCT(--MID(G710,{1,2,3,4,5,6,7,8,9,10,11,12,13},1),{6,5,4,3,2,9,8,7,6,5,4,3,2}),11)&lt;2,0,11-MOD(SUMPRODUCT(--MID(G710,{1,2,3,4,5,6,7,8,9,10,11,12,13},1),{6,5,4,3,2,9,8,7,6,5,4,3,2}),11))),"OK","AVISO: dígito verificador (conferir na org)"))))</f>
      </c>
      <c r="I710" s="6">
        <f>IF(G710="","",IF(COUNTIF($G$2:$G$2001,G710)&gt;1,"DUPLICADO","OK"))</f>
      </c>
      <c r="J710" s="6">
        <f>IF(COUNTA(A710:F710)=0,"",IF(AND(A710&lt;&gt;"",E710&lt;&gt;""),"OK","ERRO: faltam "&amp;IF(A710="","CNPJ; ","")&amp;IF(E710="","Novo gerente; ","")))</f>
      </c>
      <c r="K710" s="6">
        <f>IF(COUNTA(A710:F710)=0,"",IF(AND(LEFT(H710,4)&lt;&gt;"ERRO",I710="OK",J710="OK"),"OK","REVISAR"))</f>
      </c>
    </row>
    <row r="711">
      <c r="A711" s="5"/>
      <c r="B711" s="4"/>
      <c r="C711" s="4"/>
      <c r="D711" s="4"/>
      <c r="E711" s="5"/>
      <c r="F711" s="4"/>
      <c r="G711" s="6">
        <f>IF(A711="","",SUBSTITUTE(SUBSTITUTE(SUBSTITUTE(SUBSTITUTE(SUBSTITUTE(SUBSTITUTE(SUBSTITUTE(TRIM(A711),".",""),"/",""),"-","")," ",""),"(",""),")",""),"+",""))</f>
      </c>
      <c r="H711" s="6">
        <f>IF(G711="","",IF(LEN(G711)&lt;&gt;14,"ERRO: "&amp;LEN(G711)&amp;" dígitos",IF(NOT(ISNUMBER(VALUE(G711))),"ERRO: não numérico",IF(AND(VALUE(MID(G711,13,1))=IF(MOD(SUMPRODUCT(--MID(G711,{1,2,3,4,5,6,7,8,9,10,11,12},1),{5,4,3,2,9,8,7,6,5,4,3,2}),11)&lt;2,0,11-MOD(SUMPRODUCT(--MID(G711,{1,2,3,4,5,6,7,8,9,10,11,12},1),{5,4,3,2,9,8,7,6,5,4,3,2}),11)),VALUE(MID(G711,14,1))=IF(MOD(SUMPRODUCT(--MID(G711,{1,2,3,4,5,6,7,8,9,10,11,12,13},1),{6,5,4,3,2,9,8,7,6,5,4,3,2}),11)&lt;2,0,11-MOD(SUMPRODUCT(--MID(G711,{1,2,3,4,5,6,7,8,9,10,11,12,13},1),{6,5,4,3,2,9,8,7,6,5,4,3,2}),11))),"OK","AVISO: dígito verificador (conferir na org)"))))</f>
      </c>
      <c r="I711" s="6">
        <f>IF(G711="","",IF(COUNTIF($G$2:$G$2001,G711)&gt;1,"DUPLICADO","OK"))</f>
      </c>
      <c r="J711" s="6">
        <f>IF(COUNTA(A711:F711)=0,"",IF(AND(A711&lt;&gt;"",E711&lt;&gt;""),"OK","ERRO: faltam "&amp;IF(A711="","CNPJ; ","")&amp;IF(E711="","Novo gerente; ","")))</f>
      </c>
      <c r="K711" s="6">
        <f>IF(COUNTA(A711:F711)=0,"",IF(AND(LEFT(H711,4)&lt;&gt;"ERRO",I711="OK",J711="OK"),"OK","REVISAR"))</f>
      </c>
    </row>
    <row r="712">
      <c r="A712" s="5"/>
      <c r="B712" s="4"/>
      <c r="C712" s="4"/>
      <c r="D712" s="4"/>
      <c r="E712" s="5"/>
      <c r="F712" s="4"/>
      <c r="G712" s="6">
        <f>IF(A712="","",SUBSTITUTE(SUBSTITUTE(SUBSTITUTE(SUBSTITUTE(SUBSTITUTE(SUBSTITUTE(SUBSTITUTE(TRIM(A712),".",""),"/",""),"-","")," ",""),"(",""),")",""),"+",""))</f>
      </c>
      <c r="H712" s="6">
        <f>IF(G712="","",IF(LEN(G712)&lt;&gt;14,"ERRO: "&amp;LEN(G712)&amp;" dígitos",IF(NOT(ISNUMBER(VALUE(G712))),"ERRO: não numérico",IF(AND(VALUE(MID(G712,13,1))=IF(MOD(SUMPRODUCT(--MID(G712,{1,2,3,4,5,6,7,8,9,10,11,12},1),{5,4,3,2,9,8,7,6,5,4,3,2}),11)&lt;2,0,11-MOD(SUMPRODUCT(--MID(G712,{1,2,3,4,5,6,7,8,9,10,11,12},1),{5,4,3,2,9,8,7,6,5,4,3,2}),11)),VALUE(MID(G712,14,1))=IF(MOD(SUMPRODUCT(--MID(G712,{1,2,3,4,5,6,7,8,9,10,11,12,13},1),{6,5,4,3,2,9,8,7,6,5,4,3,2}),11)&lt;2,0,11-MOD(SUMPRODUCT(--MID(G712,{1,2,3,4,5,6,7,8,9,10,11,12,13},1),{6,5,4,3,2,9,8,7,6,5,4,3,2}),11))),"OK","AVISO: dígito verificador (conferir na org)"))))</f>
      </c>
      <c r="I712" s="6">
        <f>IF(G712="","",IF(COUNTIF($G$2:$G$2001,G712)&gt;1,"DUPLICADO","OK"))</f>
      </c>
      <c r="J712" s="6">
        <f>IF(COUNTA(A712:F712)=0,"",IF(AND(A712&lt;&gt;"",E712&lt;&gt;""),"OK","ERRO: faltam "&amp;IF(A712="","CNPJ; ","")&amp;IF(E712="","Novo gerente; ","")))</f>
      </c>
      <c r="K712" s="6">
        <f>IF(COUNTA(A712:F712)=0,"",IF(AND(LEFT(H712,4)&lt;&gt;"ERRO",I712="OK",J712="OK"),"OK","REVISAR"))</f>
      </c>
    </row>
    <row r="713">
      <c r="A713" s="5"/>
      <c r="B713" s="4"/>
      <c r="C713" s="4"/>
      <c r="D713" s="4"/>
      <c r="E713" s="5"/>
      <c r="F713" s="4"/>
      <c r="G713" s="6">
        <f>IF(A713="","",SUBSTITUTE(SUBSTITUTE(SUBSTITUTE(SUBSTITUTE(SUBSTITUTE(SUBSTITUTE(SUBSTITUTE(TRIM(A713),".",""),"/",""),"-","")," ",""),"(",""),")",""),"+",""))</f>
      </c>
      <c r="H713" s="6">
        <f>IF(G713="","",IF(LEN(G713)&lt;&gt;14,"ERRO: "&amp;LEN(G713)&amp;" dígitos",IF(NOT(ISNUMBER(VALUE(G713))),"ERRO: não numérico",IF(AND(VALUE(MID(G713,13,1))=IF(MOD(SUMPRODUCT(--MID(G713,{1,2,3,4,5,6,7,8,9,10,11,12},1),{5,4,3,2,9,8,7,6,5,4,3,2}),11)&lt;2,0,11-MOD(SUMPRODUCT(--MID(G713,{1,2,3,4,5,6,7,8,9,10,11,12},1),{5,4,3,2,9,8,7,6,5,4,3,2}),11)),VALUE(MID(G713,14,1))=IF(MOD(SUMPRODUCT(--MID(G713,{1,2,3,4,5,6,7,8,9,10,11,12,13},1),{6,5,4,3,2,9,8,7,6,5,4,3,2}),11)&lt;2,0,11-MOD(SUMPRODUCT(--MID(G713,{1,2,3,4,5,6,7,8,9,10,11,12,13},1),{6,5,4,3,2,9,8,7,6,5,4,3,2}),11))),"OK","AVISO: dígito verificador (conferir na org)"))))</f>
      </c>
      <c r="I713" s="6">
        <f>IF(G713="","",IF(COUNTIF($G$2:$G$2001,G713)&gt;1,"DUPLICADO","OK"))</f>
      </c>
      <c r="J713" s="6">
        <f>IF(COUNTA(A713:F713)=0,"",IF(AND(A713&lt;&gt;"",E713&lt;&gt;""),"OK","ERRO: faltam "&amp;IF(A713="","CNPJ; ","")&amp;IF(E713="","Novo gerente; ","")))</f>
      </c>
      <c r="K713" s="6">
        <f>IF(COUNTA(A713:F713)=0,"",IF(AND(LEFT(H713,4)&lt;&gt;"ERRO",I713="OK",J713="OK"),"OK","REVISAR"))</f>
      </c>
    </row>
    <row r="714">
      <c r="A714" s="5"/>
      <c r="B714" s="4"/>
      <c r="C714" s="4"/>
      <c r="D714" s="4"/>
      <c r="E714" s="5"/>
      <c r="F714" s="4"/>
      <c r="G714" s="6">
        <f>IF(A714="","",SUBSTITUTE(SUBSTITUTE(SUBSTITUTE(SUBSTITUTE(SUBSTITUTE(SUBSTITUTE(SUBSTITUTE(TRIM(A714),".",""),"/",""),"-","")," ",""),"(",""),")",""),"+",""))</f>
      </c>
      <c r="H714" s="6">
        <f>IF(G714="","",IF(LEN(G714)&lt;&gt;14,"ERRO: "&amp;LEN(G714)&amp;" dígitos",IF(NOT(ISNUMBER(VALUE(G714))),"ERRO: não numérico",IF(AND(VALUE(MID(G714,13,1))=IF(MOD(SUMPRODUCT(--MID(G714,{1,2,3,4,5,6,7,8,9,10,11,12},1),{5,4,3,2,9,8,7,6,5,4,3,2}),11)&lt;2,0,11-MOD(SUMPRODUCT(--MID(G714,{1,2,3,4,5,6,7,8,9,10,11,12},1),{5,4,3,2,9,8,7,6,5,4,3,2}),11)),VALUE(MID(G714,14,1))=IF(MOD(SUMPRODUCT(--MID(G714,{1,2,3,4,5,6,7,8,9,10,11,12,13},1),{6,5,4,3,2,9,8,7,6,5,4,3,2}),11)&lt;2,0,11-MOD(SUMPRODUCT(--MID(G714,{1,2,3,4,5,6,7,8,9,10,11,12,13},1),{6,5,4,3,2,9,8,7,6,5,4,3,2}),11))),"OK","AVISO: dígito verificador (conferir na org)"))))</f>
      </c>
      <c r="I714" s="6">
        <f>IF(G714="","",IF(COUNTIF($G$2:$G$2001,G714)&gt;1,"DUPLICADO","OK"))</f>
      </c>
      <c r="J714" s="6">
        <f>IF(COUNTA(A714:F714)=0,"",IF(AND(A714&lt;&gt;"",E714&lt;&gt;""),"OK","ERRO: faltam "&amp;IF(A714="","CNPJ; ","")&amp;IF(E714="","Novo gerente; ","")))</f>
      </c>
      <c r="K714" s="6">
        <f>IF(COUNTA(A714:F714)=0,"",IF(AND(LEFT(H714,4)&lt;&gt;"ERRO",I714="OK",J714="OK"),"OK","REVISAR"))</f>
      </c>
    </row>
    <row r="715">
      <c r="A715" s="5"/>
      <c r="B715" s="4"/>
      <c r="C715" s="4"/>
      <c r="D715" s="4"/>
      <c r="E715" s="5"/>
      <c r="F715" s="4"/>
      <c r="G715" s="6">
        <f>IF(A715="","",SUBSTITUTE(SUBSTITUTE(SUBSTITUTE(SUBSTITUTE(SUBSTITUTE(SUBSTITUTE(SUBSTITUTE(TRIM(A715),".",""),"/",""),"-","")," ",""),"(",""),")",""),"+",""))</f>
      </c>
      <c r="H715" s="6">
        <f>IF(G715="","",IF(LEN(G715)&lt;&gt;14,"ERRO: "&amp;LEN(G715)&amp;" dígitos",IF(NOT(ISNUMBER(VALUE(G715))),"ERRO: não numérico",IF(AND(VALUE(MID(G715,13,1))=IF(MOD(SUMPRODUCT(--MID(G715,{1,2,3,4,5,6,7,8,9,10,11,12},1),{5,4,3,2,9,8,7,6,5,4,3,2}),11)&lt;2,0,11-MOD(SUMPRODUCT(--MID(G715,{1,2,3,4,5,6,7,8,9,10,11,12},1),{5,4,3,2,9,8,7,6,5,4,3,2}),11)),VALUE(MID(G715,14,1))=IF(MOD(SUMPRODUCT(--MID(G715,{1,2,3,4,5,6,7,8,9,10,11,12,13},1),{6,5,4,3,2,9,8,7,6,5,4,3,2}),11)&lt;2,0,11-MOD(SUMPRODUCT(--MID(G715,{1,2,3,4,5,6,7,8,9,10,11,12,13},1),{6,5,4,3,2,9,8,7,6,5,4,3,2}),11))),"OK","AVISO: dígito verificador (conferir na org)"))))</f>
      </c>
      <c r="I715" s="6">
        <f>IF(G715="","",IF(COUNTIF($G$2:$G$2001,G715)&gt;1,"DUPLICADO","OK"))</f>
      </c>
      <c r="J715" s="6">
        <f>IF(COUNTA(A715:F715)=0,"",IF(AND(A715&lt;&gt;"",E715&lt;&gt;""),"OK","ERRO: faltam "&amp;IF(A715="","CNPJ; ","")&amp;IF(E715="","Novo gerente; ","")))</f>
      </c>
      <c r="K715" s="6">
        <f>IF(COUNTA(A715:F715)=0,"",IF(AND(LEFT(H715,4)&lt;&gt;"ERRO",I715="OK",J715="OK"),"OK","REVISAR"))</f>
      </c>
    </row>
    <row r="716">
      <c r="A716" s="5"/>
      <c r="B716" s="4"/>
      <c r="C716" s="4"/>
      <c r="D716" s="4"/>
      <c r="E716" s="5"/>
      <c r="F716" s="4"/>
      <c r="G716" s="6">
        <f>IF(A716="","",SUBSTITUTE(SUBSTITUTE(SUBSTITUTE(SUBSTITUTE(SUBSTITUTE(SUBSTITUTE(SUBSTITUTE(TRIM(A716),".",""),"/",""),"-","")," ",""),"(",""),")",""),"+",""))</f>
      </c>
      <c r="H716" s="6">
        <f>IF(G716="","",IF(LEN(G716)&lt;&gt;14,"ERRO: "&amp;LEN(G716)&amp;" dígitos",IF(NOT(ISNUMBER(VALUE(G716))),"ERRO: não numérico",IF(AND(VALUE(MID(G716,13,1))=IF(MOD(SUMPRODUCT(--MID(G716,{1,2,3,4,5,6,7,8,9,10,11,12},1),{5,4,3,2,9,8,7,6,5,4,3,2}),11)&lt;2,0,11-MOD(SUMPRODUCT(--MID(G716,{1,2,3,4,5,6,7,8,9,10,11,12},1),{5,4,3,2,9,8,7,6,5,4,3,2}),11)),VALUE(MID(G716,14,1))=IF(MOD(SUMPRODUCT(--MID(G716,{1,2,3,4,5,6,7,8,9,10,11,12,13},1),{6,5,4,3,2,9,8,7,6,5,4,3,2}),11)&lt;2,0,11-MOD(SUMPRODUCT(--MID(G716,{1,2,3,4,5,6,7,8,9,10,11,12,13},1),{6,5,4,3,2,9,8,7,6,5,4,3,2}),11))),"OK","AVISO: dígito verificador (conferir na org)"))))</f>
      </c>
      <c r="I716" s="6">
        <f>IF(G716="","",IF(COUNTIF($G$2:$G$2001,G716)&gt;1,"DUPLICADO","OK"))</f>
      </c>
      <c r="J716" s="6">
        <f>IF(COUNTA(A716:F716)=0,"",IF(AND(A716&lt;&gt;"",E716&lt;&gt;""),"OK","ERRO: faltam "&amp;IF(A716="","CNPJ; ","")&amp;IF(E716="","Novo gerente; ","")))</f>
      </c>
      <c r="K716" s="6">
        <f>IF(COUNTA(A716:F716)=0,"",IF(AND(LEFT(H716,4)&lt;&gt;"ERRO",I716="OK",J716="OK"),"OK","REVISAR"))</f>
      </c>
    </row>
    <row r="717">
      <c r="A717" s="5"/>
      <c r="B717" s="4"/>
      <c r="C717" s="4"/>
      <c r="D717" s="4"/>
      <c r="E717" s="5"/>
      <c r="F717" s="4"/>
      <c r="G717" s="6">
        <f>IF(A717="","",SUBSTITUTE(SUBSTITUTE(SUBSTITUTE(SUBSTITUTE(SUBSTITUTE(SUBSTITUTE(SUBSTITUTE(TRIM(A717),".",""),"/",""),"-","")," ",""),"(",""),")",""),"+",""))</f>
      </c>
      <c r="H717" s="6">
        <f>IF(G717="","",IF(LEN(G717)&lt;&gt;14,"ERRO: "&amp;LEN(G717)&amp;" dígitos",IF(NOT(ISNUMBER(VALUE(G717))),"ERRO: não numérico",IF(AND(VALUE(MID(G717,13,1))=IF(MOD(SUMPRODUCT(--MID(G717,{1,2,3,4,5,6,7,8,9,10,11,12},1),{5,4,3,2,9,8,7,6,5,4,3,2}),11)&lt;2,0,11-MOD(SUMPRODUCT(--MID(G717,{1,2,3,4,5,6,7,8,9,10,11,12},1),{5,4,3,2,9,8,7,6,5,4,3,2}),11)),VALUE(MID(G717,14,1))=IF(MOD(SUMPRODUCT(--MID(G717,{1,2,3,4,5,6,7,8,9,10,11,12,13},1),{6,5,4,3,2,9,8,7,6,5,4,3,2}),11)&lt;2,0,11-MOD(SUMPRODUCT(--MID(G717,{1,2,3,4,5,6,7,8,9,10,11,12,13},1),{6,5,4,3,2,9,8,7,6,5,4,3,2}),11))),"OK","AVISO: dígito verificador (conferir na org)"))))</f>
      </c>
      <c r="I717" s="6">
        <f>IF(G717="","",IF(COUNTIF($G$2:$G$2001,G717)&gt;1,"DUPLICADO","OK"))</f>
      </c>
      <c r="J717" s="6">
        <f>IF(COUNTA(A717:F717)=0,"",IF(AND(A717&lt;&gt;"",E717&lt;&gt;""),"OK","ERRO: faltam "&amp;IF(A717="","CNPJ; ","")&amp;IF(E717="","Novo gerente; ","")))</f>
      </c>
      <c r="K717" s="6">
        <f>IF(COUNTA(A717:F717)=0,"",IF(AND(LEFT(H717,4)&lt;&gt;"ERRO",I717="OK",J717="OK"),"OK","REVISAR"))</f>
      </c>
    </row>
    <row r="718">
      <c r="A718" s="5"/>
      <c r="B718" s="4"/>
      <c r="C718" s="4"/>
      <c r="D718" s="4"/>
      <c r="E718" s="5"/>
      <c r="F718" s="4"/>
      <c r="G718" s="6">
        <f>IF(A718="","",SUBSTITUTE(SUBSTITUTE(SUBSTITUTE(SUBSTITUTE(SUBSTITUTE(SUBSTITUTE(SUBSTITUTE(TRIM(A718),".",""),"/",""),"-","")," ",""),"(",""),")",""),"+",""))</f>
      </c>
      <c r="H718" s="6">
        <f>IF(G718="","",IF(LEN(G718)&lt;&gt;14,"ERRO: "&amp;LEN(G718)&amp;" dígitos",IF(NOT(ISNUMBER(VALUE(G718))),"ERRO: não numérico",IF(AND(VALUE(MID(G718,13,1))=IF(MOD(SUMPRODUCT(--MID(G718,{1,2,3,4,5,6,7,8,9,10,11,12},1),{5,4,3,2,9,8,7,6,5,4,3,2}),11)&lt;2,0,11-MOD(SUMPRODUCT(--MID(G718,{1,2,3,4,5,6,7,8,9,10,11,12},1),{5,4,3,2,9,8,7,6,5,4,3,2}),11)),VALUE(MID(G718,14,1))=IF(MOD(SUMPRODUCT(--MID(G718,{1,2,3,4,5,6,7,8,9,10,11,12,13},1),{6,5,4,3,2,9,8,7,6,5,4,3,2}),11)&lt;2,0,11-MOD(SUMPRODUCT(--MID(G718,{1,2,3,4,5,6,7,8,9,10,11,12,13},1),{6,5,4,3,2,9,8,7,6,5,4,3,2}),11))),"OK","AVISO: dígito verificador (conferir na org)"))))</f>
      </c>
      <c r="I718" s="6">
        <f>IF(G718="","",IF(COUNTIF($G$2:$G$2001,G718)&gt;1,"DUPLICADO","OK"))</f>
      </c>
      <c r="J718" s="6">
        <f>IF(COUNTA(A718:F718)=0,"",IF(AND(A718&lt;&gt;"",E718&lt;&gt;""),"OK","ERRO: faltam "&amp;IF(A718="","CNPJ; ","")&amp;IF(E718="","Novo gerente; ","")))</f>
      </c>
      <c r="K718" s="6">
        <f>IF(COUNTA(A718:F718)=0,"",IF(AND(LEFT(H718,4)&lt;&gt;"ERRO",I718="OK",J718="OK"),"OK","REVISAR"))</f>
      </c>
    </row>
    <row r="719">
      <c r="A719" s="5"/>
      <c r="B719" s="4"/>
      <c r="C719" s="4"/>
      <c r="D719" s="4"/>
      <c r="E719" s="5"/>
      <c r="F719" s="4"/>
      <c r="G719" s="6">
        <f>IF(A719="","",SUBSTITUTE(SUBSTITUTE(SUBSTITUTE(SUBSTITUTE(SUBSTITUTE(SUBSTITUTE(SUBSTITUTE(TRIM(A719),".",""),"/",""),"-","")," ",""),"(",""),")",""),"+",""))</f>
      </c>
      <c r="H719" s="6">
        <f>IF(G719="","",IF(LEN(G719)&lt;&gt;14,"ERRO: "&amp;LEN(G719)&amp;" dígitos",IF(NOT(ISNUMBER(VALUE(G719))),"ERRO: não numérico",IF(AND(VALUE(MID(G719,13,1))=IF(MOD(SUMPRODUCT(--MID(G719,{1,2,3,4,5,6,7,8,9,10,11,12},1),{5,4,3,2,9,8,7,6,5,4,3,2}),11)&lt;2,0,11-MOD(SUMPRODUCT(--MID(G719,{1,2,3,4,5,6,7,8,9,10,11,12},1),{5,4,3,2,9,8,7,6,5,4,3,2}),11)),VALUE(MID(G719,14,1))=IF(MOD(SUMPRODUCT(--MID(G719,{1,2,3,4,5,6,7,8,9,10,11,12,13},1),{6,5,4,3,2,9,8,7,6,5,4,3,2}),11)&lt;2,0,11-MOD(SUMPRODUCT(--MID(G719,{1,2,3,4,5,6,7,8,9,10,11,12,13},1),{6,5,4,3,2,9,8,7,6,5,4,3,2}),11))),"OK","AVISO: dígito verificador (conferir na org)"))))</f>
      </c>
      <c r="I719" s="6">
        <f>IF(G719="","",IF(COUNTIF($G$2:$G$2001,G719)&gt;1,"DUPLICADO","OK"))</f>
      </c>
      <c r="J719" s="6">
        <f>IF(COUNTA(A719:F719)=0,"",IF(AND(A719&lt;&gt;"",E719&lt;&gt;""),"OK","ERRO: faltam "&amp;IF(A719="","CNPJ; ","")&amp;IF(E719="","Novo gerente; ","")))</f>
      </c>
      <c r="K719" s="6">
        <f>IF(COUNTA(A719:F719)=0,"",IF(AND(LEFT(H719,4)&lt;&gt;"ERRO",I719="OK",J719="OK"),"OK","REVISAR"))</f>
      </c>
    </row>
    <row r="720">
      <c r="A720" s="5"/>
      <c r="B720" s="4"/>
      <c r="C720" s="4"/>
      <c r="D720" s="4"/>
      <c r="E720" s="5"/>
      <c r="F720" s="4"/>
      <c r="G720" s="6">
        <f>IF(A720="","",SUBSTITUTE(SUBSTITUTE(SUBSTITUTE(SUBSTITUTE(SUBSTITUTE(SUBSTITUTE(SUBSTITUTE(TRIM(A720),".",""),"/",""),"-","")," ",""),"(",""),")",""),"+",""))</f>
      </c>
      <c r="H720" s="6">
        <f>IF(G720="","",IF(LEN(G720)&lt;&gt;14,"ERRO: "&amp;LEN(G720)&amp;" dígitos",IF(NOT(ISNUMBER(VALUE(G720))),"ERRO: não numérico",IF(AND(VALUE(MID(G720,13,1))=IF(MOD(SUMPRODUCT(--MID(G720,{1,2,3,4,5,6,7,8,9,10,11,12},1),{5,4,3,2,9,8,7,6,5,4,3,2}),11)&lt;2,0,11-MOD(SUMPRODUCT(--MID(G720,{1,2,3,4,5,6,7,8,9,10,11,12},1),{5,4,3,2,9,8,7,6,5,4,3,2}),11)),VALUE(MID(G720,14,1))=IF(MOD(SUMPRODUCT(--MID(G720,{1,2,3,4,5,6,7,8,9,10,11,12,13},1),{6,5,4,3,2,9,8,7,6,5,4,3,2}),11)&lt;2,0,11-MOD(SUMPRODUCT(--MID(G720,{1,2,3,4,5,6,7,8,9,10,11,12,13},1),{6,5,4,3,2,9,8,7,6,5,4,3,2}),11))),"OK","AVISO: dígito verificador (conferir na org)"))))</f>
      </c>
      <c r="I720" s="6">
        <f>IF(G720="","",IF(COUNTIF($G$2:$G$2001,G720)&gt;1,"DUPLICADO","OK"))</f>
      </c>
      <c r="J720" s="6">
        <f>IF(COUNTA(A720:F720)=0,"",IF(AND(A720&lt;&gt;"",E720&lt;&gt;""),"OK","ERRO: faltam "&amp;IF(A720="","CNPJ; ","")&amp;IF(E720="","Novo gerente; ","")))</f>
      </c>
      <c r="K720" s="6">
        <f>IF(COUNTA(A720:F720)=0,"",IF(AND(LEFT(H720,4)&lt;&gt;"ERRO",I720="OK",J720="OK"),"OK","REVISAR"))</f>
      </c>
    </row>
    <row r="721">
      <c r="A721" s="5"/>
      <c r="B721" s="4"/>
      <c r="C721" s="4"/>
      <c r="D721" s="4"/>
      <c r="E721" s="5"/>
      <c r="F721" s="4"/>
      <c r="G721" s="6">
        <f>IF(A721="","",SUBSTITUTE(SUBSTITUTE(SUBSTITUTE(SUBSTITUTE(SUBSTITUTE(SUBSTITUTE(SUBSTITUTE(TRIM(A721),".",""),"/",""),"-","")," ",""),"(",""),")",""),"+",""))</f>
      </c>
      <c r="H721" s="6">
        <f>IF(G721="","",IF(LEN(G721)&lt;&gt;14,"ERRO: "&amp;LEN(G721)&amp;" dígitos",IF(NOT(ISNUMBER(VALUE(G721))),"ERRO: não numérico",IF(AND(VALUE(MID(G721,13,1))=IF(MOD(SUMPRODUCT(--MID(G721,{1,2,3,4,5,6,7,8,9,10,11,12},1),{5,4,3,2,9,8,7,6,5,4,3,2}),11)&lt;2,0,11-MOD(SUMPRODUCT(--MID(G721,{1,2,3,4,5,6,7,8,9,10,11,12},1),{5,4,3,2,9,8,7,6,5,4,3,2}),11)),VALUE(MID(G721,14,1))=IF(MOD(SUMPRODUCT(--MID(G721,{1,2,3,4,5,6,7,8,9,10,11,12,13},1),{6,5,4,3,2,9,8,7,6,5,4,3,2}),11)&lt;2,0,11-MOD(SUMPRODUCT(--MID(G721,{1,2,3,4,5,6,7,8,9,10,11,12,13},1),{6,5,4,3,2,9,8,7,6,5,4,3,2}),11))),"OK","AVISO: dígito verificador (conferir na org)"))))</f>
      </c>
      <c r="I721" s="6">
        <f>IF(G721="","",IF(COUNTIF($G$2:$G$2001,G721)&gt;1,"DUPLICADO","OK"))</f>
      </c>
      <c r="J721" s="6">
        <f>IF(COUNTA(A721:F721)=0,"",IF(AND(A721&lt;&gt;"",E721&lt;&gt;""),"OK","ERRO: faltam "&amp;IF(A721="","CNPJ; ","")&amp;IF(E721="","Novo gerente; ","")))</f>
      </c>
      <c r="K721" s="6">
        <f>IF(COUNTA(A721:F721)=0,"",IF(AND(LEFT(H721,4)&lt;&gt;"ERRO",I721="OK",J721="OK"),"OK","REVISAR"))</f>
      </c>
    </row>
    <row r="722">
      <c r="A722" s="5"/>
      <c r="B722" s="4"/>
      <c r="C722" s="4"/>
      <c r="D722" s="4"/>
      <c r="E722" s="5"/>
      <c r="F722" s="4"/>
      <c r="G722" s="6">
        <f>IF(A722="","",SUBSTITUTE(SUBSTITUTE(SUBSTITUTE(SUBSTITUTE(SUBSTITUTE(SUBSTITUTE(SUBSTITUTE(TRIM(A722),".",""),"/",""),"-","")," ",""),"(",""),")",""),"+",""))</f>
      </c>
      <c r="H722" s="6">
        <f>IF(G722="","",IF(LEN(G722)&lt;&gt;14,"ERRO: "&amp;LEN(G722)&amp;" dígitos",IF(NOT(ISNUMBER(VALUE(G722))),"ERRO: não numérico",IF(AND(VALUE(MID(G722,13,1))=IF(MOD(SUMPRODUCT(--MID(G722,{1,2,3,4,5,6,7,8,9,10,11,12},1),{5,4,3,2,9,8,7,6,5,4,3,2}),11)&lt;2,0,11-MOD(SUMPRODUCT(--MID(G722,{1,2,3,4,5,6,7,8,9,10,11,12},1),{5,4,3,2,9,8,7,6,5,4,3,2}),11)),VALUE(MID(G722,14,1))=IF(MOD(SUMPRODUCT(--MID(G722,{1,2,3,4,5,6,7,8,9,10,11,12,13},1),{6,5,4,3,2,9,8,7,6,5,4,3,2}),11)&lt;2,0,11-MOD(SUMPRODUCT(--MID(G722,{1,2,3,4,5,6,7,8,9,10,11,12,13},1),{6,5,4,3,2,9,8,7,6,5,4,3,2}),11))),"OK","AVISO: dígito verificador (conferir na org)"))))</f>
      </c>
      <c r="I722" s="6">
        <f>IF(G722="","",IF(COUNTIF($G$2:$G$2001,G722)&gt;1,"DUPLICADO","OK"))</f>
      </c>
      <c r="J722" s="6">
        <f>IF(COUNTA(A722:F722)=0,"",IF(AND(A722&lt;&gt;"",E722&lt;&gt;""),"OK","ERRO: faltam "&amp;IF(A722="","CNPJ; ","")&amp;IF(E722="","Novo gerente; ","")))</f>
      </c>
      <c r="K722" s="6">
        <f>IF(COUNTA(A722:F722)=0,"",IF(AND(LEFT(H722,4)&lt;&gt;"ERRO",I722="OK",J722="OK"),"OK","REVISAR"))</f>
      </c>
    </row>
    <row r="723">
      <c r="A723" s="5"/>
      <c r="B723" s="4"/>
      <c r="C723" s="4"/>
      <c r="D723" s="4"/>
      <c r="E723" s="5"/>
      <c r="F723" s="4"/>
      <c r="G723" s="6">
        <f>IF(A723="","",SUBSTITUTE(SUBSTITUTE(SUBSTITUTE(SUBSTITUTE(SUBSTITUTE(SUBSTITUTE(SUBSTITUTE(TRIM(A723),".",""),"/",""),"-","")," ",""),"(",""),")",""),"+",""))</f>
      </c>
      <c r="H723" s="6">
        <f>IF(G723="","",IF(LEN(G723)&lt;&gt;14,"ERRO: "&amp;LEN(G723)&amp;" dígitos",IF(NOT(ISNUMBER(VALUE(G723))),"ERRO: não numérico",IF(AND(VALUE(MID(G723,13,1))=IF(MOD(SUMPRODUCT(--MID(G723,{1,2,3,4,5,6,7,8,9,10,11,12},1),{5,4,3,2,9,8,7,6,5,4,3,2}),11)&lt;2,0,11-MOD(SUMPRODUCT(--MID(G723,{1,2,3,4,5,6,7,8,9,10,11,12},1),{5,4,3,2,9,8,7,6,5,4,3,2}),11)),VALUE(MID(G723,14,1))=IF(MOD(SUMPRODUCT(--MID(G723,{1,2,3,4,5,6,7,8,9,10,11,12,13},1),{6,5,4,3,2,9,8,7,6,5,4,3,2}),11)&lt;2,0,11-MOD(SUMPRODUCT(--MID(G723,{1,2,3,4,5,6,7,8,9,10,11,12,13},1),{6,5,4,3,2,9,8,7,6,5,4,3,2}),11))),"OK","AVISO: dígito verificador (conferir na org)"))))</f>
      </c>
      <c r="I723" s="6">
        <f>IF(G723="","",IF(COUNTIF($G$2:$G$2001,G723)&gt;1,"DUPLICADO","OK"))</f>
      </c>
      <c r="J723" s="6">
        <f>IF(COUNTA(A723:F723)=0,"",IF(AND(A723&lt;&gt;"",E723&lt;&gt;""),"OK","ERRO: faltam "&amp;IF(A723="","CNPJ; ","")&amp;IF(E723="","Novo gerente; ","")))</f>
      </c>
      <c r="K723" s="6">
        <f>IF(COUNTA(A723:F723)=0,"",IF(AND(LEFT(H723,4)&lt;&gt;"ERRO",I723="OK",J723="OK"),"OK","REVISAR"))</f>
      </c>
    </row>
    <row r="724">
      <c r="A724" s="5"/>
      <c r="B724" s="4"/>
      <c r="C724" s="4"/>
      <c r="D724" s="4"/>
      <c r="E724" s="5"/>
      <c r="F724" s="4"/>
      <c r="G724" s="6">
        <f>IF(A724="","",SUBSTITUTE(SUBSTITUTE(SUBSTITUTE(SUBSTITUTE(SUBSTITUTE(SUBSTITUTE(SUBSTITUTE(TRIM(A724),".",""),"/",""),"-","")," ",""),"(",""),")",""),"+",""))</f>
      </c>
      <c r="H724" s="6">
        <f>IF(G724="","",IF(LEN(G724)&lt;&gt;14,"ERRO: "&amp;LEN(G724)&amp;" dígitos",IF(NOT(ISNUMBER(VALUE(G724))),"ERRO: não numérico",IF(AND(VALUE(MID(G724,13,1))=IF(MOD(SUMPRODUCT(--MID(G724,{1,2,3,4,5,6,7,8,9,10,11,12},1),{5,4,3,2,9,8,7,6,5,4,3,2}),11)&lt;2,0,11-MOD(SUMPRODUCT(--MID(G724,{1,2,3,4,5,6,7,8,9,10,11,12},1),{5,4,3,2,9,8,7,6,5,4,3,2}),11)),VALUE(MID(G724,14,1))=IF(MOD(SUMPRODUCT(--MID(G724,{1,2,3,4,5,6,7,8,9,10,11,12,13},1),{6,5,4,3,2,9,8,7,6,5,4,3,2}),11)&lt;2,0,11-MOD(SUMPRODUCT(--MID(G724,{1,2,3,4,5,6,7,8,9,10,11,12,13},1),{6,5,4,3,2,9,8,7,6,5,4,3,2}),11))),"OK","AVISO: dígito verificador (conferir na org)"))))</f>
      </c>
      <c r="I724" s="6">
        <f>IF(G724="","",IF(COUNTIF($G$2:$G$2001,G724)&gt;1,"DUPLICADO","OK"))</f>
      </c>
      <c r="J724" s="6">
        <f>IF(COUNTA(A724:F724)=0,"",IF(AND(A724&lt;&gt;"",E724&lt;&gt;""),"OK","ERRO: faltam "&amp;IF(A724="","CNPJ; ","")&amp;IF(E724="","Novo gerente; ","")))</f>
      </c>
      <c r="K724" s="6">
        <f>IF(COUNTA(A724:F724)=0,"",IF(AND(LEFT(H724,4)&lt;&gt;"ERRO",I724="OK",J724="OK"),"OK","REVISAR"))</f>
      </c>
    </row>
    <row r="725">
      <c r="A725" s="5"/>
      <c r="B725" s="4"/>
      <c r="C725" s="4"/>
      <c r="D725" s="4"/>
      <c r="E725" s="5"/>
      <c r="F725" s="4"/>
      <c r="G725" s="6">
        <f>IF(A725="","",SUBSTITUTE(SUBSTITUTE(SUBSTITUTE(SUBSTITUTE(SUBSTITUTE(SUBSTITUTE(SUBSTITUTE(TRIM(A725),".",""),"/",""),"-","")," ",""),"(",""),")",""),"+",""))</f>
      </c>
      <c r="H725" s="6">
        <f>IF(G725="","",IF(LEN(G725)&lt;&gt;14,"ERRO: "&amp;LEN(G725)&amp;" dígitos",IF(NOT(ISNUMBER(VALUE(G725))),"ERRO: não numérico",IF(AND(VALUE(MID(G725,13,1))=IF(MOD(SUMPRODUCT(--MID(G725,{1,2,3,4,5,6,7,8,9,10,11,12},1),{5,4,3,2,9,8,7,6,5,4,3,2}),11)&lt;2,0,11-MOD(SUMPRODUCT(--MID(G725,{1,2,3,4,5,6,7,8,9,10,11,12},1),{5,4,3,2,9,8,7,6,5,4,3,2}),11)),VALUE(MID(G725,14,1))=IF(MOD(SUMPRODUCT(--MID(G725,{1,2,3,4,5,6,7,8,9,10,11,12,13},1),{6,5,4,3,2,9,8,7,6,5,4,3,2}),11)&lt;2,0,11-MOD(SUMPRODUCT(--MID(G725,{1,2,3,4,5,6,7,8,9,10,11,12,13},1),{6,5,4,3,2,9,8,7,6,5,4,3,2}),11))),"OK","AVISO: dígito verificador (conferir na org)"))))</f>
      </c>
      <c r="I725" s="6">
        <f>IF(G725="","",IF(COUNTIF($G$2:$G$2001,G725)&gt;1,"DUPLICADO","OK"))</f>
      </c>
      <c r="J725" s="6">
        <f>IF(COUNTA(A725:F725)=0,"",IF(AND(A725&lt;&gt;"",E725&lt;&gt;""),"OK","ERRO: faltam "&amp;IF(A725="","CNPJ; ","")&amp;IF(E725="","Novo gerente; ","")))</f>
      </c>
      <c r="K725" s="6">
        <f>IF(COUNTA(A725:F725)=0,"",IF(AND(LEFT(H725,4)&lt;&gt;"ERRO",I725="OK",J725="OK"),"OK","REVISAR"))</f>
      </c>
    </row>
    <row r="726">
      <c r="A726" s="5"/>
      <c r="B726" s="4"/>
      <c r="C726" s="4"/>
      <c r="D726" s="4"/>
      <c r="E726" s="5"/>
      <c r="F726" s="4"/>
      <c r="G726" s="6">
        <f>IF(A726="","",SUBSTITUTE(SUBSTITUTE(SUBSTITUTE(SUBSTITUTE(SUBSTITUTE(SUBSTITUTE(SUBSTITUTE(TRIM(A726),".",""),"/",""),"-","")," ",""),"(",""),")",""),"+",""))</f>
      </c>
      <c r="H726" s="6">
        <f>IF(G726="","",IF(LEN(G726)&lt;&gt;14,"ERRO: "&amp;LEN(G726)&amp;" dígitos",IF(NOT(ISNUMBER(VALUE(G726))),"ERRO: não numérico",IF(AND(VALUE(MID(G726,13,1))=IF(MOD(SUMPRODUCT(--MID(G726,{1,2,3,4,5,6,7,8,9,10,11,12},1),{5,4,3,2,9,8,7,6,5,4,3,2}),11)&lt;2,0,11-MOD(SUMPRODUCT(--MID(G726,{1,2,3,4,5,6,7,8,9,10,11,12},1),{5,4,3,2,9,8,7,6,5,4,3,2}),11)),VALUE(MID(G726,14,1))=IF(MOD(SUMPRODUCT(--MID(G726,{1,2,3,4,5,6,7,8,9,10,11,12,13},1),{6,5,4,3,2,9,8,7,6,5,4,3,2}),11)&lt;2,0,11-MOD(SUMPRODUCT(--MID(G726,{1,2,3,4,5,6,7,8,9,10,11,12,13},1),{6,5,4,3,2,9,8,7,6,5,4,3,2}),11))),"OK","AVISO: dígito verificador (conferir na org)"))))</f>
      </c>
      <c r="I726" s="6">
        <f>IF(G726="","",IF(COUNTIF($G$2:$G$2001,G726)&gt;1,"DUPLICADO","OK"))</f>
      </c>
      <c r="J726" s="6">
        <f>IF(COUNTA(A726:F726)=0,"",IF(AND(A726&lt;&gt;"",E726&lt;&gt;""),"OK","ERRO: faltam "&amp;IF(A726="","CNPJ; ","")&amp;IF(E726="","Novo gerente; ","")))</f>
      </c>
      <c r="K726" s="6">
        <f>IF(COUNTA(A726:F726)=0,"",IF(AND(LEFT(H726,4)&lt;&gt;"ERRO",I726="OK",J726="OK"),"OK","REVISAR"))</f>
      </c>
    </row>
    <row r="727">
      <c r="A727" s="5"/>
      <c r="B727" s="4"/>
      <c r="C727" s="4"/>
      <c r="D727" s="4"/>
      <c r="E727" s="5"/>
      <c r="F727" s="4"/>
      <c r="G727" s="6">
        <f>IF(A727="","",SUBSTITUTE(SUBSTITUTE(SUBSTITUTE(SUBSTITUTE(SUBSTITUTE(SUBSTITUTE(SUBSTITUTE(TRIM(A727),".",""),"/",""),"-","")," ",""),"(",""),")",""),"+",""))</f>
      </c>
      <c r="H727" s="6">
        <f>IF(G727="","",IF(LEN(G727)&lt;&gt;14,"ERRO: "&amp;LEN(G727)&amp;" dígitos",IF(NOT(ISNUMBER(VALUE(G727))),"ERRO: não numérico",IF(AND(VALUE(MID(G727,13,1))=IF(MOD(SUMPRODUCT(--MID(G727,{1,2,3,4,5,6,7,8,9,10,11,12},1),{5,4,3,2,9,8,7,6,5,4,3,2}),11)&lt;2,0,11-MOD(SUMPRODUCT(--MID(G727,{1,2,3,4,5,6,7,8,9,10,11,12},1),{5,4,3,2,9,8,7,6,5,4,3,2}),11)),VALUE(MID(G727,14,1))=IF(MOD(SUMPRODUCT(--MID(G727,{1,2,3,4,5,6,7,8,9,10,11,12,13},1),{6,5,4,3,2,9,8,7,6,5,4,3,2}),11)&lt;2,0,11-MOD(SUMPRODUCT(--MID(G727,{1,2,3,4,5,6,7,8,9,10,11,12,13},1),{6,5,4,3,2,9,8,7,6,5,4,3,2}),11))),"OK","AVISO: dígito verificador (conferir na org)"))))</f>
      </c>
      <c r="I727" s="6">
        <f>IF(G727="","",IF(COUNTIF($G$2:$G$2001,G727)&gt;1,"DUPLICADO","OK"))</f>
      </c>
      <c r="J727" s="6">
        <f>IF(COUNTA(A727:F727)=0,"",IF(AND(A727&lt;&gt;"",E727&lt;&gt;""),"OK","ERRO: faltam "&amp;IF(A727="","CNPJ; ","")&amp;IF(E727="","Novo gerente; ","")))</f>
      </c>
      <c r="K727" s="6">
        <f>IF(COUNTA(A727:F727)=0,"",IF(AND(LEFT(H727,4)&lt;&gt;"ERRO",I727="OK",J727="OK"),"OK","REVISAR"))</f>
      </c>
    </row>
    <row r="728">
      <c r="A728" s="5"/>
      <c r="B728" s="4"/>
      <c r="C728" s="4"/>
      <c r="D728" s="4"/>
      <c r="E728" s="5"/>
      <c r="F728" s="4"/>
      <c r="G728" s="6">
        <f>IF(A728="","",SUBSTITUTE(SUBSTITUTE(SUBSTITUTE(SUBSTITUTE(SUBSTITUTE(SUBSTITUTE(SUBSTITUTE(TRIM(A728),".",""),"/",""),"-","")," ",""),"(",""),")",""),"+",""))</f>
      </c>
      <c r="H728" s="6">
        <f>IF(G728="","",IF(LEN(G728)&lt;&gt;14,"ERRO: "&amp;LEN(G728)&amp;" dígitos",IF(NOT(ISNUMBER(VALUE(G728))),"ERRO: não numérico",IF(AND(VALUE(MID(G728,13,1))=IF(MOD(SUMPRODUCT(--MID(G728,{1,2,3,4,5,6,7,8,9,10,11,12},1),{5,4,3,2,9,8,7,6,5,4,3,2}),11)&lt;2,0,11-MOD(SUMPRODUCT(--MID(G728,{1,2,3,4,5,6,7,8,9,10,11,12},1),{5,4,3,2,9,8,7,6,5,4,3,2}),11)),VALUE(MID(G728,14,1))=IF(MOD(SUMPRODUCT(--MID(G728,{1,2,3,4,5,6,7,8,9,10,11,12,13},1),{6,5,4,3,2,9,8,7,6,5,4,3,2}),11)&lt;2,0,11-MOD(SUMPRODUCT(--MID(G728,{1,2,3,4,5,6,7,8,9,10,11,12,13},1),{6,5,4,3,2,9,8,7,6,5,4,3,2}),11))),"OK","AVISO: dígito verificador (conferir na org)"))))</f>
      </c>
      <c r="I728" s="6">
        <f>IF(G728="","",IF(COUNTIF($G$2:$G$2001,G728)&gt;1,"DUPLICADO","OK"))</f>
      </c>
      <c r="J728" s="6">
        <f>IF(COUNTA(A728:F728)=0,"",IF(AND(A728&lt;&gt;"",E728&lt;&gt;""),"OK","ERRO: faltam "&amp;IF(A728="","CNPJ; ","")&amp;IF(E728="","Novo gerente; ","")))</f>
      </c>
      <c r="K728" s="6">
        <f>IF(COUNTA(A728:F728)=0,"",IF(AND(LEFT(H728,4)&lt;&gt;"ERRO",I728="OK",J728="OK"),"OK","REVISAR"))</f>
      </c>
    </row>
    <row r="729">
      <c r="A729" s="5"/>
      <c r="B729" s="4"/>
      <c r="C729" s="4"/>
      <c r="D729" s="4"/>
      <c r="E729" s="5"/>
      <c r="F729" s="4"/>
      <c r="G729" s="6">
        <f>IF(A729="","",SUBSTITUTE(SUBSTITUTE(SUBSTITUTE(SUBSTITUTE(SUBSTITUTE(SUBSTITUTE(SUBSTITUTE(TRIM(A729),".",""),"/",""),"-","")," ",""),"(",""),")",""),"+",""))</f>
      </c>
      <c r="H729" s="6">
        <f>IF(G729="","",IF(LEN(G729)&lt;&gt;14,"ERRO: "&amp;LEN(G729)&amp;" dígitos",IF(NOT(ISNUMBER(VALUE(G729))),"ERRO: não numérico",IF(AND(VALUE(MID(G729,13,1))=IF(MOD(SUMPRODUCT(--MID(G729,{1,2,3,4,5,6,7,8,9,10,11,12},1),{5,4,3,2,9,8,7,6,5,4,3,2}),11)&lt;2,0,11-MOD(SUMPRODUCT(--MID(G729,{1,2,3,4,5,6,7,8,9,10,11,12},1),{5,4,3,2,9,8,7,6,5,4,3,2}),11)),VALUE(MID(G729,14,1))=IF(MOD(SUMPRODUCT(--MID(G729,{1,2,3,4,5,6,7,8,9,10,11,12,13},1),{6,5,4,3,2,9,8,7,6,5,4,3,2}),11)&lt;2,0,11-MOD(SUMPRODUCT(--MID(G729,{1,2,3,4,5,6,7,8,9,10,11,12,13},1),{6,5,4,3,2,9,8,7,6,5,4,3,2}),11))),"OK","AVISO: dígito verificador (conferir na org)"))))</f>
      </c>
      <c r="I729" s="6">
        <f>IF(G729="","",IF(COUNTIF($G$2:$G$2001,G729)&gt;1,"DUPLICADO","OK"))</f>
      </c>
      <c r="J729" s="6">
        <f>IF(COUNTA(A729:F729)=0,"",IF(AND(A729&lt;&gt;"",E729&lt;&gt;""),"OK","ERRO: faltam "&amp;IF(A729="","CNPJ; ","")&amp;IF(E729="","Novo gerente; ","")))</f>
      </c>
      <c r="K729" s="6">
        <f>IF(COUNTA(A729:F729)=0,"",IF(AND(LEFT(H729,4)&lt;&gt;"ERRO",I729="OK",J729="OK"),"OK","REVISAR"))</f>
      </c>
    </row>
    <row r="730">
      <c r="A730" s="5"/>
      <c r="B730" s="4"/>
      <c r="C730" s="4"/>
      <c r="D730" s="4"/>
      <c r="E730" s="5"/>
      <c r="F730" s="4"/>
      <c r="G730" s="6">
        <f>IF(A730="","",SUBSTITUTE(SUBSTITUTE(SUBSTITUTE(SUBSTITUTE(SUBSTITUTE(SUBSTITUTE(SUBSTITUTE(TRIM(A730),".",""),"/",""),"-","")," ",""),"(",""),")",""),"+",""))</f>
      </c>
      <c r="H730" s="6">
        <f>IF(G730="","",IF(LEN(G730)&lt;&gt;14,"ERRO: "&amp;LEN(G730)&amp;" dígitos",IF(NOT(ISNUMBER(VALUE(G730))),"ERRO: não numérico",IF(AND(VALUE(MID(G730,13,1))=IF(MOD(SUMPRODUCT(--MID(G730,{1,2,3,4,5,6,7,8,9,10,11,12},1),{5,4,3,2,9,8,7,6,5,4,3,2}),11)&lt;2,0,11-MOD(SUMPRODUCT(--MID(G730,{1,2,3,4,5,6,7,8,9,10,11,12},1),{5,4,3,2,9,8,7,6,5,4,3,2}),11)),VALUE(MID(G730,14,1))=IF(MOD(SUMPRODUCT(--MID(G730,{1,2,3,4,5,6,7,8,9,10,11,12,13},1),{6,5,4,3,2,9,8,7,6,5,4,3,2}),11)&lt;2,0,11-MOD(SUMPRODUCT(--MID(G730,{1,2,3,4,5,6,7,8,9,10,11,12,13},1),{6,5,4,3,2,9,8,7,6,5,4,3,2}),11))),"OK","AVISO: dígito verificador (conferir na org)"))))</f>
      </c>
      <c r="I730" s="6">
        <f>IF(G730="","",IF(COUNTIF($G$2:$G$2001,G730)&gt;1,"DUPLICADO","OK"))</f>
      </c>
      <c r="J730" s="6">
        <f>IF(COUNTA(A730:F730)=0,"",IF(AND(A730&lt;&gt;"",E730&lt;&gt;""),"OK","ERRO: faltam "&amp;IF(A730="","CNPJ; ","")&amp;IF(E730="","Novo gerente; ","")))</f>
      </c>
      <c r="K730" s="6">
        <f>IF(COUNTA(A730:F730)=0,"",IF(AND(LEFT(H730,4)&lt;&gt;"ERRO",I730="OK",J730="OK"),"OK","REVISAR"))</f>
      </c>
    </row>
    <row r="731">
      <c r="A731" s="5"/>
      <c r="B731" s="4"/>
      <c r="C731" s="4"/>
      <c r="D731" s="4"/>
      <c r="E731" s="5"/>
      <c r="F731" s="4"/>
      <c r="G731" s="6">
        <f>IF(A731="","",SUBSTITUTE(SUBSTITUTE(SUBSTITUTE(SUBSTITUTE(SUBSTITUTE(SUBSTITUTE(SUBSTITUTE(TRIM(A731),".",""),"/",""),"-","")," ",""),"(",""),")",""),"+",""))</f>
      </c>
      <c r="H731" s="6">
        <f>IF(G731="","",IF(LEN(G731)&lt;&gt;14,"ERRO: "&amp;LEN(G731)&amp;" dígitos",IF(NOT(ISNUMBER(VALUE(G731))),"ERRO: não numérico",IF(AND(VALUE(MID(G731,13,1))=IF(MOD(SUMPRODUCT(--MID(G731,{1,2,3,4,5,6,7,8,9,10,11,12},1),{5,4,3,2,9,8,7,6,5,4,3,2}),11)&lt;2,0,11-MOD(SUMPRODUCT(--MID(G731,{1,2,3,4,5,6,7,8,9,10,11,12},1),{5,4,3,2,9,8,7,6,5,4,3,2}),11)),VALUE(MID(G731,14,1))=IF(MOD(SUMPRODUCT(--MID(G731,{1,2,3,4,5,6,7,8,9,10,11,12,13},1),{6,5,4,3,2,9,8,7,6,5,4,3,2}),11)&lt;2,0,11-MOD(SUMPRODUCT(--MID(G731,{1,2,3,4,5,6,7,8,9,10,11,12,13},1),{6,5,4,3,2,9,8,7,6,5,4,3,2}),11))),"OK","AVISO: dígito verificador (conferir na org)"))))</f>
      </c>
      <c r="I731" s="6">
        <f>IF(G731="","",IF(COUNTIF($G$2:$G$2001,G731)&gt;1,"DUPLICADO","OK"))</f>
      </c>
      <c r="J731" s="6">
        <f>IF(COUNTA(A731:F731)=0,"",IF(AND(A731&lt;&gt;"",E731&lt;&gt;""),"OK","ERRO: faltam "&amp;IF(A731="","CNPJ; ","")&amp;IF(E731="","Novo gerente; ","")))</f>
      </c>
      <c r="K731" s="6">
        <f>IF(COUNTA(A731:F731)=0,"",IF(AND(LEFT(H731,4)&lt;&gt;"ERRO",I731="OK",J731="OK"),"OK","REVISAR"))</f>
      </c>
    </row>
    <row r="732">
      <c r="A732" s="5"/>
      <c r="B732" s="4"/>
      <c r="C732" s="4"/>
      <c r="D732" s="4"/>
      <c r="E732" s="5"/>
      <c r="F732" s="4"/>
      <c r="G732" s="6">
        <f>IF(A732="","",SUBSTITUTE(SUBSTITUTE(SUBSTITUTE(SUBSTITUTE(SUBSTITUTE(SUBSTITUTE(SUBSTITUTE(TRIM(A732),".",""),"/",""),"-","")," ",""),"(",""),")",""),"+",""))</f>
      </c>
      <c r="H732" s="6">
        <f>IF(G732="","",IF(LEN(G732)&lt;&gt;14,"ERRO: "&amp;LEN(G732)&amp;" dígitos",IF(NOT(ISNUMBER(VALUE(G732))),"ERRO: não numérico",IF(AND(VALUE(MID(G732,13,1))=IF(MOD(SUMPRODUCT(--MID(G732,{1,2,3,4,5,6,7,8,9,10,11,12},1),{5,4,3,2,9,8,7,6,5,4,3,2}),11)&lt;2,0,11-MOD(SUMPRODUCT(--MID(G732,{1,2,3,4,5,6,7,8,9,10,11,12},1),{5,4,3,2,9,8,7,6,5,4,3,2}),11)),VALUE(MID(G732,14,1))=IF(MOD(SUMPRODUCT(--MID(G732,{1,2,3,4,5,6,7,8,9,10,11,12,13},1),{6,5,4,3,2,9,8,7,6,5,4,3,2}),11)&lt;2,0,11-MOD(SUMPRODUCT(--MID(G732,{1,2,3,4,5,6,7,8,9,10,11,12,13},1),{6,5,4,3,2,9,8,7,6,5,4,3,2}),11))),"OK","AVISO: dígito verificador (conferir na org)"))))</f>
      </c>
      <c r="I732" s="6">
        <f>IF(G732="","",IF(COUNTIF($G$2:$G$2001,G732)&gt;1,"DUPLICADO","OK"))</f>
      </c>
      <c r="J732" s="6">
        <f>IF(COUNTA(A732:F732)=0,"",IF(AND(A732&lt;&gt;"",E732&lt;&gt;""),"OK","ERRO: faltam "&amp;IF(A732="","CNPJ; ","")&amp;IF(E732="","Novo gerente; ","")))</f>
      </c>
      <c r="K732" s="6">
        <f>IF(COUNTA(A732:F732)=0,"",IF(AND(LEFT(H732,4)&lt;&gt;"ERRO",I732="OK",J732="OK"),"OK","REVISAR"))</f>
      </c>
    </row>
    <row r="733">
      <c r="A733" s="5"/>
      <c r="B733" s="4"/>
      <c r="C733" s="4"/>
      <c r="D733" s="4"/>
      <c r="E733" s="5"/>
      <c r="F733" s="4"/>
      <c r="G733" s="6">
        <f>IF(A733="","",SUBSTITUTE(SUBSTITUTE(SUBSTITUTE(SUBSTITUTE(SUBSTITUTE(SUBSTITUTE(SUBSTITUTE(TRIM(A733),".",""),"/",""),"-","")," ",""),"(",""),")",""),"+",""))</f>
      </c>
      <c r="H733" s="6">
        <f>IF(G733="","",IF(LEN(G733)&lt;&gt;14,"ERRO: "&amp;LEN(G733)&amp;" dígitos",IF(NOT(ISNUMBER(VALUE(G733))),"ERRO: não numérico",IF(AND(VALUE(MID(G733,13,1))=IF(MOD(SUMPRODUCT(--MID(G733,{1,2,3,4,5,6,7,8,9,10,11,12},1),{5,4,3,2,9,8,7,6,5,4,3,2}),11)&lt;2,0,11-MOD(SUMPRODUCT(--MID(G733,{1,2,3,4,5,6,7,8,9,10,11,12},1),{5,4,3,2,9,8,7,6,5,4,3,2}),11)),VALUE(MID(G733,14,1))=IF(MOD(SUMPRODUCT(--MID(G733,{1,2,3,4,5,6,7,8,9,10,11,12,13},1),{6,5,4,3,2,9,8,7,6,5,4,3,2}),11)&lt;2,0,11-MOD(SUMPRODUCT(--MID(G733,{1,2,3,4,5,6,7,8,9,10,11,12,13},1),{6,5,4,3,2,9,8,7,6,5,4,3,2}),11))),"OK","AVISO: dígito verificador (conferir na org)"))))</f>
      </c>
      <c r="I733" s="6">
        <f>IF(G733="","",IF(COUNTIF($G$2:$G$2001,G733)&gt;1,"DUPLICADO","OK"))</f>
      </c>
      <c r="J733" s="6">
        <f>IF(COUNTA(A733:F733)=0,"",IF(AND(A733&lt;&gt;"",E733&lt;&gt;""),"OK","ERRO: faltam "&amp;IF(A733="","CNPJ; ","")&amp;IF(E733="","Novo gerente; ","")))</f>
      </c>
      <c r="K733" s="6">
        <f>IF(COUNTA(A733:F733)=0,"",IF(AND(LEFT(H733,4)&lt;&gt;"ERRO",I733="OK",J733="OK"),"OK","REVISAR"))</f>
      </c>
    </row>
    <row r="734">
      <c r="A734" s="5"/>
      <c r="B734" s="4"/>
      <c r="C734" s="4"/>
      <c r="D734" s="4"/>
      <c r="E734" s="5"/>
      <c r="F734" s="4"/>
      <c r="G734" s="6">
        <f>IF(A734="","",SUBSTITUTE(SUBSTITUTE(SUBSTITUTE(SUBSTITUTE(SUBSTITUTE(SUBSTITUTE(SUBSTITUTE(TRIM(A734),".",""),"/",""),"-","")," ",""),"(",""),")",""),"+",""))</f>
      </c>
      <c r="H734" s="6">
        <f>IF(G734="","",IF(LEN(G734)&lt;&gt;14,"ERRO: "&amp;LEN(G734)&amp;" dígitos",IF(NOT(ISNUMBER(VALUE(G734))),"ERRO: não numérico",IF(AND(VALUE(MID(G734,13,1))=IF(MOD(SUMPRODUCT(--MID(G734,{1,2,3,4,5,6,7,8,9,10,11,12},1),{5,4,3,2,9,8,7,6,5,4,3,2}),11)&lt;2,0,11-MOD(SUMPRODUCT(--MID(G734,{1,2,3,4,5,6,7,8,9,10,11,12},1),{5,4,3,2,9,8,7,6,5,4,3,2}),11)),VALUE(MID(G734,14,1))=IF(MOD(SUMPRODUCT(--MID(G734,{1,2,3,4,5,6,7,8,9,10,11,12,13},1),{6,5,4,3,2,9,8,7,6,5,4,3,2}),11)&lt;2,0,11-MOD(SUMPRODUCT(--MID(G734,{1,2,3,4,5,6,7,8,9,10,11,12,13},1),{6,5,4,3,2,9,8,7,6,5,4,3,2}),11))),"OK","AVISO: dígito verificador (conferir na org)"))))</f>
      </c>
      <c r="I734" s="6">
        <f>IF(G734="","",IF(COUNTIF($G$2:$G$2001,G734)&gt;1,"DUPLICADO","OK"))</f>
      </c>
      <c r="J734" s="6">
        <f>IF(COUNTA(A734:F734)=0,"",IF(AND(A734&lt;&gt;"",E734&lt;&gt;""),"OK","ERRO: faltam "&amp;IF(A734="","CNPJ; ","")&amp;IF(E734="","Novo gerente; ","")))</f>
      </c>
      <c r="K734" s="6">
        <f>IF(COUNTA(A734:F734)=0,"",IF(AND(LEFT(H734,4)&lt;&gt;"ERRO",I734="OK",J734="OK"),"OK","REVISAR"))</f>
      </c>
    </row>
    <row r="735">
      <c r="A735" s="5"/>
      <c r="B735" s="4"/>
      <c r="C735" s="4"/>
      <c r="D735" s="4"/>
      <c r="E735" s="5"/>
      <c r="F735" s="4"/>
      <c r="G735" s="6">
        <f>IF(A735="","",SUBSTITUTE(SUBSTITUTE(SUBSTITUTE(SUBSTITUTE(SUBSTITUTE(SUBSTITUTE(SUBSTITUTE(TRIM(A735),".",""),"/",""),"-","")," ",""),"(",""),")",""),"+",""))</f>
      </c>
      <c r="H735" s="6">
        <f>IF(G735="","",IF(LEN(G735)&lt;&gt;14,"ERRO: "&amp;LEN(G735)&amp;" dígitos",IF(NOT(ISNUMBER(VALUE(G735))),"ERRO: não numérico",IF(AND(VALUE(MID(G735,13,1))=IF(MOD(SUMPRODUCT(--MID(G735,{1,2,3,4,5,6,7,8,9,10,11,12},1),{5,4,3,2,9,8,7,6,5,4,3,2}),11)&lt;2,0,11-MOD(SUMPRODUCT(--MID(G735,{1,2,3,4,5,6,7,8,9,10,11,12},1),{5,4,3,2,9,8,7,6,5,4,3,2}),11)),VALUE(MID(G735,14,1))=IF(MOD(SUMPRODUCT(--MID(G735,{1,2,3,4,5,6,7,8,9,10,11,12,13},1),{6,5,4,3,2,9,8,7,6,5,4,3,2}),11)&lt;2,0,11-MOD(SUMPRODUCT(--MID(G735,{1,2,3,4,5,6,7,8,9,10,11,12,13},1),{6,5,4,3,2,9,8,7,6,5,4,3,2}),11))),"OK","AVISO: dígito verificador (conferir na org)"))))</f>
      </c>
      <c r="I735" s="6">
        <f>IF(G735="","",IF(COUNTIF($G$2:$G$2001,G735)&gt;1,"DUPLICADO","OK"))</f>
      </c>
      <c r="J735" s="6">
        <f>IF(COUNTA(A735:F735)=0,"",IF(AND(A735&lt;&gt;"",E735&lt;&gt;""),"OK","ERRO: faltam "&amp;IF(A735="","CNPJ; ","")&amp;IF(E735="","Novo gerente; ","")))</f>
      </c>
      <c r="K735" s="6">
        <f>IF(COUNTA(A735:F735)=0,"",IF(AND(LEFT(H735,4)&lt;&gt;"ERRO",I735="OK",J735="OK"),"OK","REVISAR"))</f>
      </c>
    </row>
    <row r="736">
      <c r="A736" s="5"/>
      <c r="B736" s="4"/>
      <c r="C736" s="4"/>
      <c r="D736" s="4"/>
      <c r="E736" s="5"/>
      <c r="F736" s="4"/>
      <c r="G736" s="6">
        <f>IF(A736="","",SUBSTITUTE(SUBSTITUTE(SUBSTITUTE(SUBSTITUTE(SUBSTITUTE(SUBSTITUTE(SUBSTITUTE(TRIM(A736),".",""),"/",""),"-","")," ",""),"(",""),")",""),"+",""))</f>
      </c>
      <c r="H736" s="6">
        <f>IF(G736="","",IF(LEN(G736)&lt;&gt;14,"ERRO: "&amp;LEN(G736)&amp;" dígitos",IF(NOT(ISNUMBER(VALUE(G736))),"ERRO: não numérico",IF(AND(VALUE(MID(G736,13,1))=IF(MOD(SUMPRODUCT(--MID(G736,{1,2,3,4,5,6,7,8,9,10,11,12},1),{5,4,3,2,9,8,7,6,5,4,3,2}),11)&lt;2,0,11-MOD(SUMPRODUCT(--MID(G736,{1,2,3,4,5,6,7,8,9,10,11,12},1),{5,4,3,2,9,8,7,6,5,4,3,2}),11)),VALUE(MID(G736,14,1))=IF(MOD(SUMPRODUCT(--MID(G736,{1,2,3,4,5,6,7,8,9,10,11,12,13},1),{6,5,4,3,2,9,8,7,6,5,4,3,2}),11)&lt;2,0,11-MOD(SUMPRODUCT(--MID(G736,{1,2,3,4,5,6,7,8,9,10,11,12,13},1),{6,5,4,3,2,9,8,7,6,5,4,3,2}),11))),"OK","AVISO: dígito verificador (conferir na org)"))))</f>
      </c>
      <c r="I736" s="6">
        <f>IF(G736="","",IF(COUNTIF($G$2:$G$2001,G736)&gt;1,"DUPLICADO","OK"))</f>
      </c>
      <c r="J736" s="6">
        <f>IF(COUNTA(A736:F736)=0,"",IF(AND(A736&lt;&gt;"",E736&lt;&gt;""),"OK","ERRO: faltam "&amp;IF(A736="","CNPJ; ","")&amp;IF(E736="","Novo gerente; ","")))</f>
      </c>
      <c r="K736" s="6">
        <f>IF(COUNTA(A736:F736)=0,"",IF(AND(LEFT(H736,4)&lt;&gt;"ERRO",I736="OK",J736="OK"),"OK","REVISAR"))</f>
      </c>
    </row>
    <row r="737">
      <c r="A737" s="5"/>
      <c r="B737" s="4"/>
      <c r="C737" s="4"/>
      <c r="D737" s="4"/>
      <c r="E737" s="5"/>
      <c r="F737" s="4"/>
      <c r="G737" s="6">
        <f>IF(A737="","",SUBSTITUTE(SUBSTITUTE(SUBSTITUTE(SUBSTITUTE(SUBSTITUTE(SUBSTITUTE(SUBSTITUTE(TRIM(A737),".",""),"/",""),"-","")," ",""),"(",""),")",""),"+",""))</f>
      </c>
      <c r="H737" s="6">
        <f>IF(G737="","",IF(LEN(G737)&lt;&gt;14,"ERRO: "&amp;LEN(G737)&amp;" dígitos",IF(NOT(ISNUMBER(VALUE(G737))),"ERRO: não numérico",IF(AND(VALUE(MID(G737,13,1))=IF(MOD(SUMPRODUCT(--MID(G737,{1,2,3,4,5,6,7,8,9,10,11,12},1),{5,4,3,2,9,8,7,6,5,4,3,2}),11)&lt;2,0,11-MOD(SUMPRODUCT(--MID(G737,{1,2,3,4,5,6,7,8,9,10,11,12},1),{5,4,3,2,9,8,7,6,5,4,3,2}),11)),VALUE(MID(G737,14,1))=IF(MOD(SUMPRODUCT(--MID(G737,{1,2,3,4,5,6,7,8,9,10,11,12,13},1),{6,5,4,3,2,9,8,7,6,5,4,3,2}),11)&lt;2,0,11-MOD(SUMPRODUCT(--MID(G737,{1,2,3,4,5,6,7,8,9,10,11,12,13},1),{6,5,4,3,2,9,8,7,6,5,4,3,2}),11))),"OK","AVISO: dígito verificador (conferir na org)"))))</f>
      </c>
      <c r="I737" s="6">
        <f>IF(G737="","",IF(COUNTIF($G$2:$G$2001,G737)&gt;1,"DUPLICADO","OK"))</f>
      </c>
      <c r="J737" s="6">
        <f>IF(COUNTA(A737:F737)=0,"",IF(AND(A737&lt;&gt;"",E737&lt;&gt;""),"OK","ERRO: faltam "&amp;IF(A737="","CNPJ; ","")&amp;IF(E737="","Novo gerente; ","")))</f>
      </c>
      <c r="K737" s="6">
        <f>IF(COUNTA(A737:F737)=0,"",IF(AND(LEFT(H737,4)&lt;&gt;"ERRO",I737="OK",J737="OK"),"OK","REVISAR"))</f>
      </c>
    </row>
    <row r="738">
      <c r="A738" s="5"/>
      <c r="B738" s="4"/>
      <c r="C738" s="4"/>
      <c r="D738" s="4"/>
      <c r="E738" s="5"/>
      <c r="F738" s="4"/>
      <c r="G738" s="6">
        <f>IF(A738="","",SUBSTITUTE(SUBSTITUTE(SUBSTITUTE(SUBSTITUTE(SUBSTITUTE(SUBSTITUTE(SUBSTITUTE(TRIM(A738),".",""),"/",""),"-","")," ",""),"(",""),")",""),"+",""))</f>
      </c>
      <c r="H738" s="6">
        <f>IF(G738="","",IF(LEN(G738)&lt;&gt;14,"ERRO: "&amp;LEN(G738)&amp;" dígitos",IF(NOT(ISNUMBER(VALUE(G738))),"ERRO: não numérico",IF(AND(VALUE(MID(G738,13,1))=IF(MOD(SUMPRODUCT(--MID(G738,{1,2,3,4,5,6,7,8,9,10,11,12},1),{5,4,3,2,9,8,7,6,5,4,3,2}),11)&lt;2,0,11-MOD(SUMPRODUCT(--MID(G738,{1,2,3,4,5,6,7,8,9,10,11,12},1),{5,4,3,2,9,8,7,6,5,4,3,2}),11)),VALUE(MID(G738,14,1))=IF(MOD(SUMPRODUCT(--MID(G738,{1,2,3,4,5,6,7,8,9,10,11,12,13},1),{6,5,4,3,2,9,8,7,6,5,4,3,2}),11)&lt;2,0,11-MOD(SUMPRODUCT(--MID(G738,{1,2,3,4,5,6,7,8,9,10,11,12,13},1),{6,5,4,3,2,9,8,7,6,5,4,3,2}),11))),"OK","AVISO: dígito verificador (conferir na org)"))))</f>
      </c>
      <c r="I738" s="6">
        <f>IF(G738="","",IF(COUNTIF($G$2:$G$2001,G738)&gt;1,"DUPLICADO","OK"))</f>
      </c>
      <c r="J738" s="6">
        <f>IF(COUNTA(A738:F738)=0,"",IF(AND(A738&lt;&gt;"",E738&lt;&gt;""),"OK","ERRO: faltam "&amp;IF(A738="","CNPJ; ","")&amp;IF(E738="","Novo gerente; ","")))</f>
      </c>
      <c r="K738" s="6">
        <f>IF(COUNTA(A738:F738)=0,"",IF(AND(LEFT(H738,4)&lt;&gt;"ERRO",I738="OK",J738="OK"),"OK","REVISAR"))</f>
      </c>
    </row>
    <row r="739">
      <c r="A739" s="5"/>
      <c r="B739" s="4"/>
      <c r="C739" s="4"/>
      <c r="D739" s="4"/>
      <c r="E739" s="5"/>
      <c r="F739" s="4"/>
      <c r="G739" s="6">
        <f>IF(A739="","",SUBSTITUTE(SUBSTITUTE(SUBSTITUTE(SUBSTITUTE(SUBSTITUTE(SUBSTITUTE(SUBSTITUTE(TRIM(A739),".",""),"/",""),"-","")," ",""),"(",""),")",""),"+",""))</f>
      </c>
      <c r="H739" s="6">
        <f>IF(G739="","",IF(LEN(G739)&lt;&gt;14,"ERRO: "&amp;LEN(G739)&amp;" dígitos",IF(NOT(ISNUMBER(VALUE(G739))),"ERRO: não numérico",IF(AND(VALUE(MID(G739,13,1))=IF(MOD(SUMPRODUCT(--MID(G739,{1,2,3,4,5,6,7,8,9,10,11,12},1),{5,4,3,2,9,8,7,6,5,4,3,2}),11)&lt;2,0,11-MOD(SUMPRODUCT(--MID(G739,{1,2,3,4,5,6,7,8,9,10,11,12},1),{5,4,3,2,9,8,7,6,5,4,3,2}),11)),VALUE(MID(G739,14,1))=IF(MOD(SUMPRODUCT(--MID(G739,{1,2,3,4,5,6,7,8,9,10,11,12,13},1),{6,5,4,3,2,9,8,7,6,5,4,3,2}),11)&lt;2,0,11-MOD(SUMPRODUCT(--MID(G739,{1,2,3,4,5,6,7,8,9,10,11,12,13},1),{6,5,4,3,2,9,8,7,6,5,4,3,2}),11))),"OK","AVISO: dígito verificador (conferir na org)"))))</f>
      </c>
      <c r="I739" s="6">
        <f>IF(G739="","",IF(COUNTIF($G$2:$G$2001,G739)&gt;1,"DUPLICADO","OK"))</f>
      </c>
      <c r="J739" s="6">
        <f>IF(COUNTA(A739:F739)=0,"",IF(AND(A739&lt;&gt;"",E739&lt;&gt;""),"OK","ERRO: faltam "&amp;IF(A739="","CNPJ; ","")&amp;IF(E739="","Novo gerente; ","")))</f>
      </c>
      <c r="K739" s="6">
        <f>IF(COUNTA(A739:F739)=0,"",IF(AND(LEFT(H739,4)&lt;&gt;"ERRO",I739="OK",J739="OK"),"OK","REVISAR"))</f>
      </c>
    </row>
    <row r="740">
      <c r="A740" s="5"/>
      <c r="B740" s="4"/>
      <c r="C740" s="4"/>
      <c r="D740" s="4"/>
      <c r="E740" s="5"/>
      <c r="F740" s="4"/>
      <c r="G740" s="6">
        <f>IF(A740="","",SUBSTITUTE(SUBSTITUTE(SUBSTITUTE(SUBSTITUTE(SUBSTITUTE(SUBSTITUTE(SUBSTITUTE(TRIM(A740),".",""),"/",""),"-","")," ",""),"(",""),")",""),"+",""))</f>
      </c>
      <c r="H740" s="6">
        <f>IF(G740="","",IF(LEN(G740)&lt;&gt;14,"ERRO: "&amp;LEN(G740)&amp;" dígitos",IF(NOT(ISNUMBER(VALUE(G740))),"ERRO: não numérico",IF(AND(VALUE(MID(G740,13,1))=IF(MOD(SUMPRODUCT(--MID(G740,{1,2,3,4,5,6,7,8,9,10,11,12},1),{5,4,3,2,9,8,7,6,5,4,3,2}),11)&lt;2,0,11-MOD(SUMPRODUCT(--MID(G740,{1,2,3,4,5,6,7,8,9,10,11,12},1),{5,4,3,2,9,8,7,6,5,4,3,2}),11)),VALUE(MID(G740,14,1))=IF(MOD(SUMPRODUCT(--MID(G740,{1,2,3,4,5,6,7,8,9,10,11,12,13},1),{6,5,4,3,2,9,8,7,6,5,4,3,2}),11)&lt;2,0,11-MOD(SUMPRODUCT(--MID(G740,{1,2,3,4,5,6,7,8,9,10,11,12,13},1),{6,5,4,3,2,9,8,7,6,5,4,3,2}),11))),"OK","AVISO: dígito verificador (conferir na org)"))))</f>
      </c>
      <c r="I740" s="6">
        <f>IF(G740="","",IF(COUNTIF($G$2:$G$2001,G740)&gt;1,"DUPLICADO","OK"))</f>
      </c>
      <c r="J740" s="6">
        <f>IF(COUNTA(A740:F740)=0,"",IF(AND(A740&lt;&gt;"",E740&lt;&gt;""),"OK","ERRO: faltam "&amp;IF(A740="","CNPJ; ","")&amp;IF(E740="","Novo gerente; ","")))</f>
      </c>
      <c r="K740" s="6">
        <f>IF(COUNTA(A740:F740)=0,"",IF(AND(LEFT(H740,4)&lt;&gt;"ERRO",I740="OK",J740="OK"),"OK","REVISAR"))</f>
      </c>
    </row>
    <row r="741">
      <c r="A741" s="5"/>
      <c r="B741" s="4"/>
      <c r="C741" s="4"/>
      <c r="D741" s="4"/>
      <c r="E741" s="5"/>
      <c r="F741" s="4"/>
      <c r="G741" s="6">
        <f>IF(A741="","",SUBSTITUTE(SUBSTITUTE(SUBSTITUTE(SUBSTITUTE(SUBSTITUTE(SUBSTITUTE(SUBSTITUTE(TRIM(A741),".",""),"/",""),"-","")," ",""),"(",""),")",""),"+",""))</f>
      </c>
      <c r="H741" s="6">
        <f>IF(G741="","",IF(LEN(G741)&lt;&gt;14,"ERRO: "&amp;LEN(G741)&amp;" dígitos",IF(NOT(ISNUMBER(VALUE(G741))),"ERRO: não numérico",IF(AND(VALUE(MID(G741,13,1))=IF(MOD(SUMPRODUCT(--MID(G741,{1,2,3,4,5,6,7,8,9,10,11,12},1),{5,4,3,2,9,8,7,6,5,4,3,2}),11)&lt;2,0,11-MOD(SUMPRODUCT(--MID(G741,{1,2,3,4,5,6,7,8,9,10,11,12},1),{5,4,3,2,9,8,7,6,5,4,3,2}),11)),VALUE(MID(G741,14,1))=IF(MOD(SUMPRODUCT(--MID(G741,{1,2,3,4,5,6,7,8,9,10,11,12,13},1),{6,5,4,3,2,9,8,7,6,5,4,3,2}),11)&lt;2,0,11-MOD(SUMPRODUCT(--MID(G741,{1,2,3,4,5,6,7,8,9,10,11,12,13},1),{6,5,4,3,2,9,8,7,6,5,4,3,2}),11))),"OK","AVISO: dígito verificador (conferir na org)"))))</f>
      </c>
      <c r="I741" s="6">
        <f>IF(G741="","",IF(COUNTIF($G$2:$G$2001,G741)&gt;1,"DUPLICADO","OK"))</f>
      </c>
      <c r="J741" s="6">
        <f>IF(COUNTA(A741:F741)=0,"",IF(AND(A741&lt;&gt;"",E741&lt;&gt;""),"OK","ERRO: faltam "&amp;IF(A741="","CNPJ; ","")&amp;IF(E741="","Novo gerente; ","")))</f>
      </c>
      <c r="K741" s="6">
        <f>IF(COUNTA(A741:F741)=0,"",IF(AND(LEFT(H741,4)&lt;&gt;"ERRO",I741="OK",J741="OK"),"OK","REVISAR"))</f>
      </c>
    </row>
    <row r="742">
      <c r="A742" s="5"/>
      <c r="B742" s="4"/>
      <c r="C742" s="4"/>
      <c r="D742" s="4"/>
      <c r="E742" s="5"/>
      <c r="F742" s="4"/>
      <c r="G742" s="6">
        <f>IF(A742="","",SUBSTITUTE(SUBSTITUTE(SUBSTITUTE(SUBSTITUTE(SUBSTITUTE(SUBSTITUTE(SUBSTITUTE(TRIM(A742),".",""),"/",""),"-","")," ",""),"(",""),")",""),"+",""))</f>
      </c>
      <c r="H742" s="6">
        <f>IF(G742="","",IF(LEN(G742)&lt;&gt;14,"ERRO: "&amp;LEN(G742)&amp;" dígitos",IF(NOT(ISNUMBER(VALUE(G742))),"ERRO: não numérico",IF(AND(VALUE(MID(G742,13,1))=IF(MOD(SUMPRODUCT(--MID(G742,{1,2,3,4,5,6,7,8,9,10,11,12},1),{5,4,3,2,9,8,7,6,5,4,3,2}),11)&lt;2,0,11-MOD(SUMPRODUCT(--MID(G742,{1,2,3,4,5,6,7,8,9,10,11,12},1),{5,4,3,2,9,8,7,6,5,4,3,2}),11)),VALUE(MID(G742,14,1))=IF(MOD(SUMPRODUCT(--MID(G742,{1,2,3,4,5,6,7,8,9,10,11,12,13},1),{6,5,4,3,2,9,8,7,6,5,4,3,2}),11)&lt;2,0,11-MOD(SUMPRODUCT(--MID(G742,{1,2,3,4,5,6,7,8,9,10,11,12,13},1),{6,5,4,3,2,9,8,7,6,5,4,3,2}),11))),"OK","AVISO: dígito verificador (conferir na org)"))))</f>
      </c>
      <c r="I742" s="6">
        <f>IF(G742="","",IF(COUNTIF($G$2:$G$2001,G742)&gt;1,"DUPLICADO","OK"))</f>
      </c>
      <c r="J742" s="6">
        <f>IF(COUNTA(A742:F742)=0,"",IF(AND(A742&lt;&gt;"",E742&lt;&gt;""),"OK","ERRO: faltam "&amp;IF(A742="","CNPJ; ","")&amp;IF(E742="","Novo gerente; ","")))</f>
      </c>
      <c r="K742" s="6">
        <f>IF(COUNTA(A742:F742)=0,"",IF(AND(LEFT(H742,4)&lt;&gt;"ERRO",I742="OK",J742="OK"),"OK","REVISAR"))</f>
      </c>
    </row>
    <row r="743">
      <c r="A743" s="5"/>
      <c r="B743" s="4"/>
      <c r="C743" s="4"/>
      <c r="D743" s="4"/>
      <c r="E743" s="5"/>
      <c r="F743" s="4"/>
      <c r="G743" s="6">
        <f>IF(A743="","",SUBSTITUTE(SUBSTITUTE(SUBSTITUTE(SUBSTITUTE(SUBSTITUTE(SUBSTITUTE(SUBSTITUTE(TRIM(A743),".",""),"/",""),"-","")," ",""),"(",""),")",""),"+",""))</f>
      </c>
      <c r="H743" s="6">
        <f>IF(G743="","",IF(LEN(G743)&lt;&gt;14,"ERRO: "&amp;LEN(G743)&amp;" dígitos",IF(NOT(ISNUMBER(VALUE(G743))),"ERRO: não numérico",IF(AND(VALUE(MID(G743,13,1))=IF(MOD(SUMPRODUCT(--MID(G743,{1,2,3,4,5,6,7,8,9,10,11,12},1),{5,4,3,2,9,8,7,6,5,4,3,2}),11)&lt;2,0,11-MOD(SUMPRODUCT(--MID(G743,{1,2,3,4,5,6,7,8,9,10,11,12},1),{5,4,3,2,9,8,7,6,5,4,3,2}),11)),VALUE(MID(G743,14,1))=IF(MOD(SUMPRODUCT(--MID(G743,{1,2,3,4,5,6,7,8,9,10,11,12,13},1),{6,5,4,3,2,9,8,7,6,5,4,3,2}),11)&lt;2,0,11-MOD(SUMPRODUCT(--MID(G743,{1,2,3,4,5,6,7,8,9,10,11,12,13},1),{6,5,4,3,2,9,8,7,6,5,4,3,2}),11))),"OK","AVISO: dígito verificador (conferir na org)"))))</f>
      </c>
      <c r="I743" s="6">
        <f>IF(G743="","",IF(COUNTIF($G$2:$G$2001,G743)&gt;1,"DUPLICADO","OK"))</f>
      </c>
      <c r="J743" s="6">
        <f>IF(COUNTA(A743:F743)=0,"",IF(AND(A743&lt;&gt;"",E743&lt;&gt;""),"OK","ERRO: faltam "&amp;IF(A743="","CNPJ; ","")&amp;IF(E743="","Novo gerente; ","")))</f>
      </c>
      <c r="K743" s="6">
        <f>IF(COUNTA(A743:F743)=0,"",IF(AND(LEFT(H743,4)&lt;&gt;"ERRO",I743="OK",J743="OK"),"OK","REVISAR"))</f>
      </c>
    </row>
    <row r="744">
      <c r="A744" s="5"/>
      <c r="B744" s="4"/>
      <c r="C744" s="4"/>
      <c r="D744" s="4"/>
      <c r="E744" s="5"/>
      <c r="F744" s="4"/>
      <c r="G744" s="6">
        <f>IF(A744="","",SUBSTITUTE(SUBSTITUTE(SUBSTITUTE(SUBSTITUTE(SUBSTITUTE(SUBSTITUTE(SUBSTITUTE(TRIM(A744),".",""),"/",""),"-","")," ",""),"(",""),")",""),"+",""))</f>
      </c>
      <c r="H744" s="6">
        <f>IF(G744="","",IF(LEN(G744)&lt;&gt;14,"ERRO: "&amp;LEN(G744)&amp;" dígitos",IF(NOT(ISNUMBER(VALUE(G744))),"ERRO: não numérico",IF(AND(VALUE(MID(G744,13,1))=IF(MOD(SUMPRODUCT(--MID(G744,{1,2,3,4,5,6,7,8,9,10,11,12},1),{5,4,3,2,9,8,7,6,5,4,3,2}),11)&lt;2,0,11-MOD(SUMPRODUCT(--MID(G744,{1,2,3,4,5,6,7,8,9,10,11,12},1),{5,4,3,2,9,8,7,6,5,4,3,2}),11)),VALUE(MID(G744,14,1))=IF(MOD(SUMPRODUCT(--MID(G744,{1,2,3,4,5,6,7,8,9,10,11,12,13},1),{6,5,4,3,2,9,8,7,6,5,4,3,2}),11)&lt;2,0,11-MOD(SUMPRODUCT(--MID(G744,{1,2,3,4,5,6,7,8,9,10,11,12,13},1),{6,5,4,3,2,9,8,7,6,5,4,3,2}),11))),"OK","AVISO: dígito verificador (conferir na org)"))))</f>
      </c>
      <c r="I744" s="6">
        <f>IF(G744="","",IF(COUNTIF($G$2:$G$2001,G744)&gt;1,"DUPLICADO","OK"))</f>
      </c>
      <c r="J744" s="6">
        <f>IF(COUNTA(A744:F744)=0,"",IF(AND(A744&lt;&gt;"",E744&lt;&gt;""),"OK","ERRO: faltam "&amp;IF(A744="","CNPJ; ","")&amp;IF(E744="","Novo gerente; ","")))</f>
      </c>
      <c r="K744" s="6">
        <f>IF(COUNTA(A744:F744)=0,"",IF(AND(LEFT(H744,4)&lt;&gt;"ERRO",I744="OK",J744="OK"),"OK","REVISAR"))</f>
      </c>
    </row>
    <row r="745">
      <c r="A745" s="5"/>
      <c r="B745" s="4"/>
      <c r="C745" s="4"/>
      <c r="D745" s="4"/>
      <c r="E745" s="5"/>
      <c r="F745" s="4"/>
      <c r="G745" s="6">
        <f>IF(A745="","",SUBSTITUTE(SUBSTITUTE(SUBSTITUTE(SUBSTITUTE(SUBSTITUTE(SUBSTITUTE(SUBSTITUTE(TRIM(A745),".",""),"/",""),"-","")," ",""),"(",""),")",""),"+",""))</f>
      </c>
      <c r="H745" s="6">
        <f>IF(G745="","",IF(LEN(G745)&lt;&gt;14,"ERRO: "&amp;LEN(G745)&amp;" dígitos",IF(NOT(ISNUMBER(VALUE(G745))),"ERRO: não numérico",IF(AND(VALUE(MID(G745,13,1))=IF(MOD(SUMPRODUCT(--MID(G745,{1,2,3,4,5,6,7,8,9,10,11,12},1),{5,4,3,2,9,8,7,6,5,4,3,2}),11)&lt;2,0,11-MOD(SUMPRODUCT(--MID(G745,{1,2,3,4,5,6,7,8,9,10,11,12},1),{5,4,3,2,9,8,7,6,5,4,3,2}),11)),VALUE(MID(G745,14,1))=IF(MOD(SUMPRODUCT(--MID(G745,{1,2,3,4,5,6,7,8,9,10,11,12,13},1),{6,5,4,3,2,9,8,7,6,5,4,3,2}),11)&lt;2,0,11-MOD(SUMPRODUCT(--MID(G745,{1,2,3,4,5,6,7,8,9,10,11,12,13},1),{6,5,4,3,2,9,8,7,6,5,4,3,2}),11))),"OK","AVISO: dígito verificador (conferir na org)"))))</f>
      </c>
      <c r="I745" s="6">
        <f>IF(G745="","",IF(COUNTIF($G$2:$G$2001,G745)&gt;1,"DUPLICADO","OK"))</f>
      </c>
      <c r="J745" s="6">
        <f>IF(COUNTA(A745:F745)=0,"",IF(AND(A745&lt;&gt;"",E745&lt;&gt;""),"OK","ERRO: faltam "&amp;IF(A745="","CNPJ; ","")&amp;IF(E745="","Novo gerente; ","")))</f>
      </c>
      <c r="K745" s="6">
        <f>IF(COUNTA(A745:F745)=0,"",IF(AND(LEFT(H745,4)&lt;&gt;"ERRO",I745="OK",J745="OK"),"OK","REVISAR"))</f>
      </c>
    </row>
    <row r="746">
      <c r="A746" s="5"/>
      <c r="B746" s="4"/>
      <c r="C746" s="4"/>
      <c r="D746" s="4"/>
      <c r="E746" s="5"/>
      <c r="F746" s="4"/>
      <c r="G746" s="6">
        <f>IF(A746="","",SUBSTITUTE(SUBSTITUTE(SUBSTITUTE(SUBSTITUTE(SUBSTITUTE(SUBSTITUTE(SUBSTITUTE(TRIM(A746),".",""),"/",""),"-","")," ",""),"(",""),")",""),"+",""))</f>
      </c>
      <c r="H746" s="6">
        <f>IF(G746="","",IF(LEN(G746)&lt;&gt;14,"ERRO: "&amp;LEN(G746)&amp;" dígitos",IF(NOT(ISNUMBER(VALUE(G746))),"ERRO: não numérico",IF(AND(VALUE(MID(G746,13,1))=IF(MOD(SUMPRODUCT(--MID(G746,{1,2,3,4,5,6,7,8,9,10,11,12},1),{5,4,3,2,9,8,7,6,5,4,3,2}),11)&lt;2,0,11-MOD(SUMPRODUCT(--MID(G746,{1,2,3,4,5,6,7,8,9,10,11,12},1),{5,4,3,2,9,8,7,6,5,4,3,2}),11)),VALUE(MID(G746,14,1))=IF(MOD(SUMPRODUCT(--MID(G746,{1,2,3,4,5,6,7,8,9,10,11,12,13},1),{6,5,4,3,2,9,8,7,6,5,4,3,2}),11)&lt;2,0,11-MOD(SUMPRODUCT(--MID(G746,{1,2,3,4,5,6,7,8,9,10,11,12,13},1),{6,5,4,3,2,9,8,7,6,5,4,3,2}),11))),"OK","AVISO: dígito verificador (conferir na org)"))))</f>
      </c>
      <c r="I746" s="6">
        <f>IF(G746="","",IF(COUNTIF($G$2:$G$2001,G746)&gt;1,"DUPLICADO","OK"))</f>
      </c>
      <c r="J746" s="6">
        <f>IF(COUNTA(A746:F746)=0,"",IF(AND(A746&lt;&gt;"",E746&lt;&gt;""),"OK","ERRO: faltam "&amp;IF(A746="","CNPJ; ","")&amp;IF(E746="","Novo gerente; ","")))</f>
      </c>
      <c r="K746" s="6">
        <f>IF(COUNTA(A746:F746)=0,"",IF(AND(LEFT(H746,4)&lt;&gt;"ERRO",I746="OK",J746="OK"),"OK","REVISAR"))</f>
      </c>
    </row>
    <row r="747">
      <c r="A747" s="5"/>
      <c r="B747" s="4"/>
      <c r="C747" s="4"/>
      <c r="D747" s="4"/>
      <c r="E747" s="5"/>
      <c r="F747" s="4"/>
      <c r="G747" s="6">
        <f>IF(A747="","",SUBSTITUTE(SUBSTITUTE(SUBSTITUTE(SUBSTITUTE(SUBSTITUTE(SUBSTITUTE(SUBSTITUTE(TRIM(A747),".",""),"/",""),"-","")," ",""),"(",""),")",""),"+",""))</f>
      </c>
      <c r="H747" s="6">
        <f>IF(G747="","",IF(LEN(G747)&lt;&gt;14,"ERRO: "&amp;LEN(G747)&amp;" dígitos",IF(NOT(ISNUMBER(VALUE(G747))),"ERRO: não numérico",IF(AND(VALUE(MID(G747,13,1))=IF(MOD(SUMPRODUCT(--MID(G747,{1,2,3,4,5,6,7,8,9,10,11,12},1),{5,4,3,2,9,8,7,6,5,4,3,2}),11)&lt;2,0,11-MOD(SUMPRODUCT(--MID(G747,{1,2,3,4,5,6,7,8,9,10,11,12},1),{5,4,3,2,9,8,7,6,5,4,3,2}),11)),VALUE(MID(G747,14,1))=IF(MOD(SUMPRODUCT(--MID(G747,{1,2,3,4,5,6,7,8,9,10,11,12,13},1),{6,5,4,3,2,9,8,7,6,5,4,3,2}),11)&lt;2,0,11-MOD(SUMPRODUCT(--MID(G747,{1,2,3,4,5,6,7,8,9,10,11,12,13},1),{6,5,4,3,2,9,8,7,6,5,4,3,2}),11))),"OK","AVISO: dígito verificador (conferir na org)"))))</f>
      </c>
      <c r="I747" s="6">
        <f>IF(G747="","",IF(COUNTIF($G$2:$G$2001,G747)&gt;1,"DUPLICADO","OK"))</f>
      </c>
      <c r="J747" s="6">
        <f>IF(COUNTA(A747:F747)=0,"",IF(AND(A747&lt;&gt;"",E747&lt;&gt;""),"OK","ERRO: faltam "&amp;IF(A747="","CNPJ; ","")&amp;IF(E747="","Novo gerente; ","")))</f>
      </c>
      <c r="K747" s="6">
        <f>IF(COUNTA(A747:F747)=0,"",IF(AND(LEFT(H747,4)&lt;&gt;"ERRO",I747="OK",J747="OK"),"OK","REVISAR"))</f>
      </c>
    </row>
    <row r="748">
      <c r="A748" s="5"/>
      <c r="B748" s="4"/>
      <c r="C748" s="4"/>
      <c r="D748" s="4"/>
      <c r="E748" s="5"/>
      <c r="F748" s="4"/>
      <c r="G748" s="6">
        <f>IF(A748="","",SUBSTITUTE(SUBSTITUTE(SUBSTITUTE(SUBSTITUTE(SUBSTITUTE(SUBSTITUTE(SUBSTITUTE(TRIM(A748),".",""),"/",""),"-","")," ",""),"(",""),")",""),"+",""))</f>
      </c>
      <c r="H748" s="6">
        <f>IF(G748="","",IF(LEN(G748)&lt;&gt;14,"ERRO: "&amp;LEN(G748)&amp;" dígitos",IF(NOT(ISNUMBER(VALUE(G748))),"ERRO: não numérico",IF(AND(VALUE(MID(G748,13,1))=IF(MOD(SUMPRODUCT(--MID(G748,{1,2,3,4,5,6,7,8,9,10,11,12},1),{5,4,3,2,9,8,7,6,5,4,3,2}),11)&lt;2,0,11-MOD(SUMPRODUCT(--MID(G748,{1,2,3,4,5,6,7,8,9,10,11,12},1),{5,4,3,2,9,8,7,6,5,4,3,2}),11)),VALUE(MID(G748,14,1))=IF(MOD(SUMPRODUCT(--MID(G748,{1,2,3,4,5,6,7,8,9,10,11,12,13},1),{6,5,4,3,2,9,8,7,6,5,4,3,2}),11)&lt;2,0,11-MOD(SUMPRODUCT(--MID(G748,{1,2,3,4,5,6,7,8,9,10,11,12,13},1),{6,5,4,3,2,9,8,7,6,5,4,3,2}),11))),"OK","AVISO: dígito verificador (conferir na org)"))))</f>
      </c>
      <c r="I748" s="6">
        <f>IF(G748="","",IF(COUNTIF($G$2:$G$2001,G748)&gt;1,"DUPLICADO","OK"))</f>
      </c>
      <c r="J748" s="6">
        <f>IF(COUNTA(A748:F748)=0,"",IF(AND(A748&lt;&gt;"",E748&lt;&gt;""),"OK","ERRO: faltam "&amp;IF(A748="","CNPJ; ","")&amp;IF(E748="","Novo gerente; ","")))</f>
      </c>
      <c r="K748" s="6">
        <f>IF(COUNTA(A748:F748)=0,"",IF(AND(LEFT(H748,4)&lt;&gt;"ERRO",I748="OK",J748="OK"),"OK","REVISAR"))</f>
      </c>
    </row>
    <row r="749">
      <c r="A749" s="5"/>
      <c r="B749" s="4"/>
      <c r="C749" s="4"/>
      <c r="D749" s="4"/>
      <c r="E749" s="5"/>
      <c r="F749" s="4"/>
      <c r="G749" s="6">
        <f>IF(A749="","",SUBSTITUTE(SUBSTITUTE(SUBSTITUTE(SUBSTITUTE(SUBSTITUTE(SUBSTITUTE(SUBSTITUTE(TRIM(A749),".",""),"/",""),"-","")," ",""),"(",""),")",""),"+",""))</f>
      </c>
      <c r="H749" s="6">
        <f>IF(G749="","",IF(LEN(G749)&lt;&gt;14,"ERRO: "&amp;LEN(G749)&amp;" dígitos",IF(NOT(ISNUMBER(VALUE(G749))),"ERRO: não numérico",IF(AND(VALUE(MID(G749,13,1))=IF(MOD(SUMPRODUCT(--MID(G749,{1,2,3,4,5,6,7,8,9,10,11,12},1),{5,4,3,2,9,8,7,6,5,4,3,2}),11)&lt;2,0,11-MOD(SUMPRODUCT(--MID(G749,{1,2,3,4,5,6,7,8,9,10,11,12},1),{5,4,3,2,9,8,7,6,5,4,3,2}),11)),VALUE(MID(G749,14,1))=IF(MOD(SUMPRODUCT(--MID(G749,{1,2,3,4,5,6,7,8,9,10,11,12,13},1),{6,5,4,3,2,9,8,7,6,5,4,3,2}),11)&lt;2,0,11-MOD(SUMPRODUCT(--MID(G749,{1,2,3,4,5,6,7,8,9,10,11,12,13},1),{6,5,4,3,2,9,8,7,6,5,4,3,2}),11))),"OK","AVISO: dígito verificador (conferir na org)"))))</f>
      </c>
      <c r="I749" s="6">
        <f>IF(G749="","",IF(COUNTIF($G$2:$G$2001,G749)&gt;1,"DUPLICADO","OK"))</f>
      </c>
      <c r="J749" s="6">
        <f>IF(COUNTA(A749:F749)=0,"",IF(AND(A749&lt;&gt;"",E749&lt;&gt;""),"OK","ERRO: faltam "&amp;IF(A749="","CNPJ; ","")&amp;IF(E749="","Novo gerente; ","")))</f>
      </c>
      <c r="K749" s="6">
        <f>IF(COUNTA(A749:F749)=0,"",IF(AND(LEFT(H749,4)&lt;&gt;"ERRO",I749="OK",J749="OK"),"OK","REVISAR"))</f>
      </c>
    </row>
    <row r="750">
      <c r="A750" s="5"/>
      <c r="B750" s="4"/>
      <c r="C750" s="4"/>
      <c r="D750" s="4"/>
      <c r="E750" s="5"/>
      <c r="F750" s="4"/>
      <c r="G750" s="6">
        <f>IF(A750="","",SUBSTITUTE(SUBSTITUTE(SUBSTITUTE(SUBSTITUTE(SUBSTITUTE(SUBSTITUTE(SUBSTITUTE(TRIM(A750),".",""),"/",""),"-","")," ",""),"(",""),")",""),"+",""))</f>
      </c>
      <c r="H750" s="6">
        <f>IF(G750="","",IF(LEN(G750)&lt;&gt;14,"ERRO: "&amp;LEN(G750)&amp;" dígitos",IF(NOT(ISNUMBER(VALUE(G750))),"ERRO: não numérico",IF(AND(VALUE(MID(G750,13,1))=IF(MOD(SUMPRODUCT(--MID(G750,{1,2,3,4,5,6,7,8,9,10,11,12},1),{5,4,3,2,9,8,7,6,5,4,3,2}),11)&lt;2,0,11-MOD(SUMPRODUCT(--MID(G750,{1,2,3,4,5,6,7,8,9,10,11,12},1),{5,4,3,2,9,8,7,6,5,4,3,2}),11)),VALUE(MID(G750,14,1))=IF(MOD(SUMPRODUCT(--MID(G750,{1,2,3,4,5,6,7,8,9,10,11,12,13},1),{6,5,4,3,2,9,8,7,6,5,4,3,2}),11)&lt;2,0,11-MOD(SUMPRODUCT(--MID(G750,{1,2,3,4,5,6,7,8,9,10,11,12,13},1),{6,5,4,3,2,9,8,7,6,5,4,3,2}),11))),"OK","AVISO: dígito verificador (conferir na org)"))))</f>
      </c>
      <c r="I750" s="6">
        <f>IF(G750="","",IF(COUNTIF($G$2:$G$2001,G750)&gt;1,"DUPLICADO","OK"))</f>
      </c>
      <c r="J750" s="6">
        <f>IF(COUNTA(A750:F750)=0,"",IF(AND(A750&lt;&gt;"",E750&lt;&gt;""),"OK","ERRO: faltam "&amp;IF(A750="","CNPJ; ","")&amp;IF(E750="","Novo gerente; ","")))</f>
      </c>
      <c r="K750" s="6">
        <f>IF(COUNTA(A750:F750)=0,"",IF(AND(LEFT(H750,4)&lt;&gt;"ERRO",I750="OK",J750="OK"),"OK","REVISAR"))</f>
      </c>
    </row>
    <row r="751">
      <c r="A751" s="5"/>
      <c r="B751" s="4"/>
      <c r="C751" s="4"/>
      <c r="D751" s="4"/>
      <c r="E751" s="5"/>
      <c r="F751" s="4"/>
      <c r="G751" s="6">
        <f>IF(A751="","",SUBSTITUTE(SUBSTITUTE(SUBSTITUTE(SUBSTITUTE(SUBSTITUTE(SUBSTITUTE(SUBSTITUTE(TRIM(A751),".",""),"/",""),"-","")," ",""),"(",""),")",""),"+",""))</f>
      </c>
      <c r="H751" s="6">
        <f>IF(G751="","",IF(LEN(G751)&lt;&gt;14,"ERRO: "&amp;LEN(G751)&amp;" dígitos",IF(NOT(ISNUMBER(VALUE(G751))),"ERRO: não numérico",IF(AND(VALUE(MID(G751,13,1))=IF(MOD(SUMPRODUCT(--MID(G751,{1,2,3,4,5,6,7,8,9,10,11,12},1),{5,4,3,2,9,8,7,6,5,4,3,2}),11)&lt;2,0,11-MOD(SUMPRODUCT(--MID(G751,{1,2,3,4,5,6,7,8,9,10,11,12},1),{5,4,3,2,9,8,7,6,5,4,3,2}),11)),VALUE(MID(G751,14,1))=IF(MOD(SUMPRODUCT(--MID(G751,{1,2,3,4,5,6,7,8,9,10,11,12,13},1),{6,5,4,3,2,9,8,7,6,5,4,3,2}),11)&lt;2,0,11-MOD(SUMPRODUCT(--MID(G751,{1,2,3,4,5,6,7,8,9,10,11,12,13},1),{6,5,4,3,2,9,8,7,6,5,4,3,2}),11))),"OK","AVISO: dígito verificador (conferir na org)"))))</f>
      </c>
      <c r="I751" s="6">
        <f>IF(G751="","",IF(COUNTIF($G$2:$G$2001,G751)&gt;1,"DUPLICADO","OK"))</f>
      </c>
      <c r="J751" s="6">
        <f>IF(COUNTA(A751:F751)=0,"",IF(AND(A751&lt;&gt;"",E751&lt;&gt;""),"OK","ERRO: faltam "&amp;IF(A751="","CNPJ; ","")&amp;IF(E751="","Novo gerente; ","")))</f>
      </c>
      <c r="K751" s="6">
        <f>IF(COUNTA(A751:F751)=0,"",IF(AND(LEFT(H751,4)&lt;&gt;"ERRO",I751="OK",J751="OK"),"OK","REVISAR"))</f>
      </c>
    </row>
    <row r="752">
      <c r="A752" s="5"/>
      <c r="B752" s="4"/>
      <c r="C752" s="4"/>
      <c r="D752" s="4"/>
      <c r="E752" s="5"/>
      <c r="F752" s="4"/>
      <c r="G752" s="6">
        <f>IF(A752="","",SUBSTITUTE(SUBSTITUTE(SUBSTITUTE(SUBSTITUTE(SUBSTITUTE(SUBSTITUTE(SUBSTITUTE(TRIM(A752),".",""),"/",""),"-","")," ",""),"(",""),")",""),"+",""))</f>
      </c>
      <c r="H752" s="6">
        <f>IF(G752="","",IF(LEN(G752)&lt;&gt;14,"ERRO: "&amp;LEN(G752)&amp;" dígitos",IF(NOT(ISNUMBER(VALUE(G752))),"ERRO: não numérico",IF(AND(VALUE(MID(G752,13,1))=IF(MOD(SUMPRODUCT(--MID(G752,{1,2,3,4,5,6,7,8,9,10,11,12},1),{5,4,3,2,9,8,7,6,5,4,3,2}),11)&lt;2,0,11-MOD(SUMPRODUCT(--MID(G752,{1,2,3,4,5,6,7,8,9,10,11,12},1),{5,4,3,2,9,8,7,6,5,4,3,2}),11)),VALUE(MID(G752,14,1))=IF(MOD(SUMPRODUCT(--MID(G752,{1,2,3,4,5,6,7,8,9,10,11,12,13},1),{6,5,4,3,2,9,8,7,6,5,4,3,2}),11)&lt;2,0,11-MOD(SUMPRODUCT(--MID(G752,{1,2,3,4,5,6,7,8,9,10,11,12,13},1),{6,5,4,3,2,9,8,7,6,5,4,3,2}),11))),"OK","AVISO: dígito verificador (conferir na org)"))))</f>
      </c>
      <c r="I752" s="6">
        <f>IF(G752="","",IF(COUNTIF($G$2:$G$2001,G752)&gt;1,"DUPLICADO","OK"))</f>
      </c>
      <c r="J752" s="6">
        <f>IF(COUNTA(A752:F752)=0,"",IF(AND(A752&lt;&gt;"",E752&lt;&gt;""),"OK","ERRO: faltam "&amp;IF(A752="","CNPJ; ","")&amp;IF(E752="","Novo gerente; ","")))</f>
      </c>
      <c r="K752" s="6">
        <f>IF(COUNTA(A752:F752)=0,"",IF(AND(LEFT(H752,4)&lt;&gt;"ERRO",I752="OK",J752="OK"),"OK","REVISAR"))</f>
      </c>
    </row>
    <row r="753">
      <c r="A753" s="5"/>
      <c r="B753" s="4"/>
      <c r="C753" s="4"/>
      <c r="D753" s="4"/>
      <c r="E753" s="5"/>
      <c r="F753" s="4"/>
      <c r="G753" s="6">
        <f>IF(A753="","",SUBSTITUTE(SUBSTITUTE(SUBSTITUTE(SUBSTITUTE(SUBSTITUTE(SUBSTITUTE(SUBSTITUTE(TRIM(A753),".",""),"/",""),"-","")," ",""),"(",""),")",""),"+",""))</f>
      </c>
      <c r="H753" s="6">
        <f>IF(G753="","",IF(LEN(G753)&lt;&gt;14,"ERRO: "&amp;LEN(G753)&amp;" dígitos",IF(NOT(ISNUMBER(VALUE(G753))),"ERRO: não numérico",IF(AND(VALUE(MID(G753,13,1))=IF(MOD(SUMPRODUCT(--MID(G753,{1,2,3,4,5,6,7,8,9,10,11,12},1),{5,4,3,2,9,8,7,6,5,4,3,2}),11)&lt;2,0,11-MOD(SUMPRODUCT(--MID(G753,{1,2,3,4,5,6,7,8,9,10,11,12},1),{5,4,3,2,9,8,7,6,5,4,3,2}),11)),VALUE(MID(G753,14,1))=IF(MOD(SUMPRODUCT(--MID(G753,{1,2,3,4,5,6,7,8,9,10,11,12,13},1),{6,5,4,3,2,9,8,7,6,5,4,3,2}),11)&lt;2,0,11-MOD(SUMPRODUCT(--MID(G753,{1,2,3,4,5,6,7,8,9,10,11,12,13},1),{6,5,4,3,2,9,8,7,6,5,4,3,2}),11))),"OK","AVISO: dígito verificador (conferir na org)"))))</f>
      </c>
      <c r="I753" s="6">
        <f>IF(G753="","",IF(COUNTIF($G$2:$G$2001,G753)&gt;1,"DUPLICADO","OK"))</f>
      </c>
      <c r="J753" s="6">
        <f>IF(COUNTA(A753:F753)=0,"",IF(AND(A753&lt;&gt;"",E753&lt;&gt;""),"OK","ERRO: faltam "&amp;IF(A753="","CNPJ; ","")&amp;IF(E753="","Novo gerente; ","")))</f>
      </c>
      <c r="K753" s="6">
        <f>IF(COUNTA(A753:F753)=0,"",IF(AND(LEFT(H753,4)&lt;&gt;"ERRO",I753="OK",J753="OK"),"OK","REVISAR"))</f>
      </c>
    </row>
    <row r="754">
      <c r="A754" s="5"/>
      <c r="B754" s="4"/>
      <c r="C754" s="4"/>
      <c r="D754" s="4"/>
      <c r="E754" s="5"/>
      <c r="F754" s="4"/>
      <c r="G754" s="6">
        <f>IF(A754="","",SUBSTITUTE(SUBSTITUTE(SUBSTITUTE(SUBSTITUTE(SUBSTITUTE(SUBSTITUTE(SUBSTITUTE(TRIM(A754),".",""),"/",""),"-","")," ",""),"(",""),")",""),"+",""))</f>
      </c>
      <c r="H754" s="6">
        <f>IF(G754="","",IF(LEN(G754)&lt;&gt;14,"ERRO: "&amp;LEN(G754)&amp;" dígitos",IF(NOT(ISNUMBER(VALUE(G754))),"ERRO: não numérico",IF(AND(VALUE(MID(G754,13,1))=IF(MOD(SUMPRODUCT(--MID(G754,{1,2,3,4,5,6,7,8,9,10,11,12},1),{5,4,3,2,9,8,7,6,5,4,3,2}),11)&lt;2,0,11-MOD(SUMPRODUCT(--MID(G754,{1,2,3,4,5,6,7,8,9,10,11,12},1),{5,4,3,2,9,8,7,6,5,4,3,2}),11)),VALUE(MID(G754,14,1))=IF(MOD(SUMPRODUCT(--MID(G754,{1,2,3,4,5,6,7,8,9,10,11,12,13},1),{6,5,4,3,2,9,8,7,6,5,4,3,2}),11)&lt;2,0,11-MOD(SUMPRODUCT(--MID(G754,{1,2,3,4,5,6,7,8,9,10,11,12,13},1),{6,5,4,3,2,9,8,7,6,5,4,3,2}),11))),"OK","AVISO: dígito verificador (conferir na org)"))))</f>
      </c>
      <c r="I754" s="6">
        <f>IF(G754="","",IF(COUNTIF($G$2:$G$2001,G754)&gt;1,"DUPLICADO","OK"))</f>
      </c>
      <c r="J754" s="6">
        <f>IF(COUNTA(A754:F754)=0,"",IF(AND(A754&lt;&gt;"",E754&lt;&gt;""),"OK","ERRO: faltam "&amp;IF(A754="","CNPJ; ","")&amp;IF(E754="","Novo gerente; ","")))</f>
      </c>
      <c r="K754" s="6">
        <f>IF(COUNTA(A754:F754)=0,"",IF(AND(LEFT(H754,4)&lt;&gt;"ERRO",I754="OK",J754="OK"),"OK","REVISAR"))</f>
      </c>
    </row>
    <row r="755">
      <c r="A755" s="5"/>
      <c r="B755" s="4"/>
      <c r="C755" s="4"/>
      <c r="D755" s="4"/>
      <c r="E755" s="5"/>
      <c r="F755" s="4"/>
      <c r="G755" s="6">
        <f>IF(A755="","",SUBSTITUTE(SUBSTITUTE(SUBSTITUTE(SUBSTITUTE(SUBSTITUTE(SUBSTITUTE(SUBSTITUTE(TRIM(A755),".",""),"/",""),"-","")," ",""),"(",""),")",""),"+",""))</f>
      </c>
      <c r="H755" s="6">
        <f>IF(G755="","",IF(LEN(G755)&lt;&gt;14,"ERRO: "&amp;LEN(G755)&amp;" dígitos",IF(NOT(ISNUMBER(VALUE(G755))),"ERRO: não numérico",IF(AND(VALUE(MID(G755,13,1))=IF(MOD(SUMPRODUCT(--MID(G755,{1,2,3,4,5,6,7,8,9,10,11,12},1),{5,4,3,2,9,8,7,6,5,4,3,2}),11)&lt;2,0,11-MOD(SUMPRODUCT(--MID(G755,{1,2,3,4,5,6,7,8,9,10,11,12},1),{5,4,3,2,9,8,7,6,5,4,3,2}),11)),VALUE(MID(G755,14,1))=IF(MOD(SUMPRODUCT(--MID(G755,{1,2,3,4,5,6,7,8,9,10,11,12,13},1),{6,5,4,3,2,9,8,7,6,5,4,3,2}),11)&lt;2,0,11-MOD(SUMPRODUCT(--MID(G755,{1,2,3,4,5,6,7,8,9,10,11,12,13},1),{6,5,4,3,2,9,8,7,6,5,4,3,2}),11))),"OK","AVISO: dígito verificador (conferir na org)"))))</f>
      </c>
      <c r="I755" s="6">
        <f>IF(G755="","",IF(COUNTIF($G$2:$G$2001,G755)&gt;1,"DUPLICADO","OK"))</f>
      </c>
      <c r="J755" s="6">
        <f>IF(COUNTA(A755:F755)=0,"",IF(AND(A755&lt;&gt;"",E755&lt;&gt;""),"OK","ERRO: faltam "&amp;IF(A755="","CNPJ; ","")&amp;IF(E755="","Novo gerente; ","")))</f>
      </c>
      <c r="K755" s="6">
        <f>IF(COUNTA(A755:F755)=0,"",IF(AND(LEFT(H755,4)&lt;&gt;"ERRO",I755="OK",J755="OK"),"OK","REVISAR"))</f>
      </c>
    </row>
    <row r="756">
      <c r="A756" s="5"/>
      <c r="B756" s="4"/>
      <c r="C756" s="4"/>
      <c r="D756" s="4"/>
      <c r="E756" s="5"/>
      <c r="F756" s="4"/>
      <c r="G756" s="6">
        <f>IF(A756="","",SUBSTITUTE(SUBSTITUTE(SUBSTITUTE(SUBSTITUTE(SUBSTITUTE(SUBSTITUTE(SUBSTITUTE(TRIM(A756),".",""),"/",""),"-","")," ",""),"(",""),")",""),"+",""))</f>
      </c>
      <c r="H756" s="6">
        <f>IF(G756="","",IF(LEN(G756)&lt;&gt;14,"ERRO: "&amp;LEN(G756)&amp;" dígitos",IF(NOT(ISNUMBER(VALUE(G756))),"ERRO: não numérico",IF(AND(VALUE(MID(G756,13,1))=IF(MOD(SUMPRODUCT(--MID(G756,{1,2,3,4,5,6,7,8,9,10,11,12},1),{5,4,3,2,9,8,7,6,5,4,3,2}),11)&lt;2,0,11-MOD(SUMPRODUCT(--MID(G756,{1,2,3,4,5,6,7,8,9,10,11,12},1),{5,4,3,2,9,8,7,6,5,4,3,2}),11)),VALUE(MID(G756,14,1))=IF(MOD(SUMPRODUCT(--MID(G756,{1,2,3,4,5,6,7,8,9,10,11,12,13},1),{6,5,4,3,2,9,8,7,6,5,4,3,2}),11)&lt;2,0,11-MOD(SUMPRODUCT(--MID(G756,{1,2,3,4,5,6,7,8,9,10,11,12,13},1),{6,5,4,3,2,9,8,7,6,5,4,3,2}),11))),"OK","AVISO: dígito verificador (conferir na org)"))))</f>
      </c>
      <c r="I756" s="6">
        <f>IF(G756="","",IF(COUNTIF($G$2:$G$2001,G756)&gt;1,"DUPLICADO","OK"))</f>
      </c>
      <c r="J756" s="6">
        <f>IF(COUNTA(A756:F756)=0,"",IF(AND(A756&lt;&gt;"",E756&lt;&gt;""),"OK","ERRO: faltam "&amp;IF(A756="","CNPJ; ","")&amp;IF(E756="","Novo gerente; ","")))</f>
      </c>
      <c r="K756" s="6">
        <f>IF(COUNTA(A756:F756)=0,"",IF(AND(LEFT(H756,4)&lt;&gt;"ERRO",I756="OK",J756="OK"),"OK","REVISAR"))</f>
      </c>
    </row>
    <row r="757">
      <c r="A757" s="5"/>
      <c r="B757" s="4"/>
      <c r="C757" s="4"/>
      <c r="D757" s="4"/>
      <c r="E757" s="5"/>
      <c r="F757" s="4"/>
      <c r="G757" s="6">
        <f>IF(A757="","",SUBSTITUTE(SUBSTITUTE(SUBSTITUTE(SUBSTITUTE(SUBSTITUTE(SUBSTITUTE(SUBSTITUTE(TRIM(A757),".",""),"/",""),"-","")," ",""),"(",""),")",""),"+",""))</f>
      </c>
      <c r="H757" s="6">
        <f>IF(G757="","",IF(LEN(G757)&lt;&gt;14,"ERRO: "&amp;LEN(G757)&amp;" dígitos",IF(NOT(ISNUMBER(VALUE(G757))),"ERRO: não numérico",IF(AND(VALUE(MID(G757,13,1))=IF(MOD(SUMPRODUCT(--MID(G757,{1,2,3,4,5,6,7,8,9,10,11,12},1),{5,4,3,2,9,8,7,6,5,4,3,2}),11)&lt;2,0,11-MOD(SUMPRODUCT(--MID(G757,{1,2,3,4,5,6,7,8,9,10,11,12},1),{5,4,3,2,9,8,7,6,5,4,3,2}),11)),VALUE(MID(G757,14,1))=IF(MOD(SUMPRODUCT(--MID(G757,{1,2,3,4,5,6,7,8,9,10,11,12,13},1),{6,5,4,3,2,9,8,7,6,5,4,3,2}),11)&lt;2,0,11-MOD(SUMPRODUCT(--MID(G757,{1,2,3,4,5,6,7,8,9,10,11,12,13},1),{6,5,4,3,2,9,8,7,6,5,4,3,2}),11))),"OK","AVISO: dígito verificador (conferir na org)"))))</f>
      </c>
      <c r="I757" s="6">
        <f>IF(G757="","",IF(COUNTIF($G$2:$G$2001,G757)&gt;1,"DUPLICADO","OK"))</f>
      </c>
      <c r="J757" s="6">
        <f>IF(COUNTA(A757:F757)=0,"",IF(AND(A757&lt;&gt;"",E757&lt;&gt;""),"OK","ERRO: faltam "&amp;IF(A757="","CNPJ; ","")&amp;IF(E757="","Novo gerente; ","")))</f>
      </c>
      <c r="K757" s="6">
        <f>IF(COUNTA(A757:F757)=0,"",IF(AND(LEFT(H757,4)&lt;&gt;"ERRO",I757="OK",J757="OK"),"OK","REVISAR"))</f>
      </c>
    </row>
    <row r="758">
      <c r="A758" s="5"/>
      <c r="B758" s="4"/>
      <c r="C758" s="4"/>
      <c r="D758" s="4"/>
      <c r="E758" s="5"/>
      <c r="F758" s="4"/>
      <c r="G758" s="6">
        <f>IF(A758="","",SUBSTITUTE(SUBSTITUTE(SUBSTITUTE(SUBSTITUTE(SUBSTITUTE(SUBSTITUTE(SUBSTITUTE(TRIM(A758),".",""),"/",""),"-","")," ",""),"(",""),")",""),"+",""))</f>
      </c>
      <c r="H758" s="6">
        <f>IF(G758="","",IF(LEN(G758)&lt;&gt;14,"ERRO: "&amp;LEN(G758)&amp;" dígitos",IF(NOT(ISNUMBER(VALUE(G758))),"ERRO: não numérico",IF(AND(VALUE(MID(G758,13,1))=IF(MOD(SUMPRODUCT(--MID(G758,{1,2,3,4,5,6,7,8,9,10,11,12},1),{5,4,3,2,9,8,7,6,5,4,3,2}),11)&lt;2,0,11-MOD(SUMPRODUCT(--MID(G758,{1,2,3,4,5,6,7,8,9,10,11,12},1),{5,4,3,2,9,8,7,6,5,4,3,2}),11)),VALUE(MID(G758,14,1))=IF(MOD(SUMPRODUCT(--MID(G758,{1,2,3,4,5,6,7,8,9,10,11,12,13},1),{6,5,4,3,2,9,8,7,6,5,4,3,2}),11)&lt;2,0,11-MOD(SUMPRODUCT(--MID(G758,{1,2,3,4,5,6,7,8,9,10,11,12,13},1),{6,5,4,3,2,9,8,7,6,5,4,3,2}),11))),"OK","AVISO: dígito verificador (conferir na org)"))))</f>
      </c>
      <c r="I758" s="6">
        <f>IF(G758="","",IF(COUNTIF($G$2:$G$2001,G758)&gt;1,"DUPLICADO","OK"))</f>
      </c>
      <c r="J758" s="6">
        <f>IF(COUNTA(A758:F758)=0,"",IF(AND(A758&lt;&gt;"",E758&lt;&gt;""),"OK","ERRO: faltam "&amp;IF(A758="","CNPJ; ","")&amp;IF(E758="","Novo gerente; ","")))</f>
      </c>
      <c r="K758" s="6">
        <f>IF(COUNTA(A758:F758)=0,"",IF(AND(LEFT(H758,4)&lt;&gt;"ERRO",I758="OK",J758="OK"),"OK","REVISAR"))</f>
      </c>
    </row>
    <row r="759">
      <c r="A759" s="5"/>
      <c r="B759" s="4"/>
      <c r="C759" s="4"/>
      <c r="D759" s="4"/>
      <c r="E759" s="5"/>
      <c r="F759" s="4"/>
      <c r="G759" s="6">
        <f>IF(A759="","",SUBSTITUTE(SUBSTITUTE(SUBSTITUTE(SUBSTITUTE(SUBSTITUTE(SUBSTITUTE(SUBSTITUTE(TRIM(A759),".",""),"/",""),"-","")," ",""),"(",""),")",""),"+",""))</f>
      </c>
      <c r="H759" s="6">
        <f>IF(G759="","",IF(LEN(G759)&lt;&gt;14,"ERRO: "&amp;LEN(G759)&amp;" dígitos",IF(NOT(ISNUMBER(VALUE(G759))),"ERRO: não numérico",IF(AND(VALUE(MID(G759,13,1))=IF(MOD(SUMPRODUCT(--MID(G759,{1,2,3,4,5,6,7,8,9,10,11,12},1),{5,4,3,2,9,8,7,6,5,4,3,2}),11)&lt;2,0,11-MOD(SUMPRODUCT(--MID(G759,{1,2,3,4,5,6,7,8,9,10,11,12},1),{5,4,3,2,9,8,7,6,5,4,3,2}),11)),VALUE(MID(G759,14,1))=IF(MOD(SUMPRODUCT(--MID(G759,{1,2,3,4,5,6,7,8,9,10,11,12,13},1),{6,5,4,3,2,9,8,7,6,5,4,3,2}),11)&lt;2,0,11-MOD(SUMPRODUCT(--MID(G759,{1,2,3,4,5,6,7,8,9,10,11,12,13},1),{6,5,4,3,2,9,8,7,6,5,4,3,2}),11))),"OK","AVISO: dígito verificador (conferir na org)"))))</f>
      </c>
      <c r="I759" s="6">
        <f>IF(G759="","",IF(COUNTIF($G$2:$G$2001,G759)&gt;1,"DUPLICADO","OK"))</f>
      </c>
      <c r="J759" s="6">
        <f>IF(COUNTA(A759:F759)=0,"",IF(AND(A759&lt;&gt;"",E759&lt;&gt;""),"OK","ERRO: faltam "&amp;IF(A759="","CNPJ; ","")&amp;IF(E759="","Novo gerente; ","")))</f>
      </c>
      <c r="K759" s="6">
        <f>IF(COUNTA(A759:F759)=0,"",IF(AND(LEFT(H759,4)&lt;&gt;"ERRO",I759="OK",J759="OK"),"OK","REVISAR"))</f>
      </c>
    </row>
    <row r="760">
      <c r="A760" s="5"/>
      <c r="B760" s="4"/>
      <c r="C760" s="4"/>
      <c r="D760" s="4"/>
      <c r="E760" s="5"/>
      <c r="F760" s="4"/>
      <c r="G760" s="6">
        <f>IF(A760="","",SUBSTITUTE(SUBSTITUTE(SUBSTITUTE(SUBSTITUTE(SUBSTITUTE(SUBSTITUTE(SUBSTITUTE(TRIM(A760),".",""),"/",""),"-","")," ",""),"(",""),")",""),"+",""))</f>
      </c>
      <c r="H760" s="6">
        <f>IF(G760="","",IF(LEN(G760)&lt;&gt;14,"ERRO: "&amp;LEN(G760)&amp;" dígitos",IF(NOT(ISNUMBER(VALUE(G760))),"ERRO: não numérico",IF(AND(VALUE(MID(G760,13,1))=IF(MOD(SUMPRODUCT(--MID(G760,{1,2,3,4,5,6,7,8,9,10,11,12},1),{5,4,3,2,9,8,7,6,5,4,3,2}),11)&lt;2,0,11-MOD(SUMPRODUCT(--MID(G760,{1,2,3,4,5,6,7,8,9,10,11,12},1),{5,4,3,2,9,8,7,6,5,4,3,2}),11)),VALUE(MID(G760,14,1))=IF(MOD(SUMPRODUCT(--MID(G760,{1,2,3,4,5,6,7,8,9,10,11,12,13},1),{6,5,4,3,2,9,8,7,6,5,4,3,2}),11)&lt;2,0,11-MOD(SUMPRODUCT(--MID(G760,{1,2,3,4,5,6,7,8,9,10,11,12,13},1),{6,5,4,3,2,9,8,7,6,5,4,3,2}),11))),"OK","AVISO: dígito verificador (conferir na org)"))))</f>
      </c>
      <c r="I760" s="6">
        <f>IF(G760="","",IF(COUNTIF($G$2:$G$2001,G760)&gt;1,"DUPLICADO","OK"))</f>
      </c>
      <c r="J760" s="6">
        <f>IF(COUNTA(A760:F760)=0,"",IF(AND(A760&lt;&gt;"",E760&lt;&gt;""),"OK","ERRO: faltam "&amp;IF(A760="","CNPJ; ","")&amp;IF(E760="","Novo gerente; ","")))</f>
      </c>
      <c r="K760" s="6">
        <f>IF(COUNTA(A760:F760)=0,"",IF(AND(LEFT(H760,4)&lt;&gt;"ERRO",I760="OK",J760="OK"),"OK","REVISAR"))</f>
      </c>
    </row>
    <row r="761">
      <c r="A761" s="5"/>
      <c r="B761" s="4"/>
      <c r="C761" s="4"/>
      <c r="D761" s="4"/>
      <c r="E761" s="5"/>
      <c r="F761" s="4"/>
      <c r="G761" s="6">
        <f>IF(A761="","",SUBSTITUTE(SUBSTITUTE(SUBSTITUTE(SUBSTITUTE(SUBSTITUTE(SUBSTITUTE(SUBSTITUTE(TRIM(A761),".",""),"/",""),"-","")," ",""),"(",""),")",""),"+",""))</f>
      </c>
      <c r="H761" s="6">
        <f>IF(G761="","",IF(LEN(G761)&lt;&gt;14,"ERRO: "&amp;LEN(G761)&amp;" dígitos",IF(NOT(ISNUMBER(VALUE(G761))),"ERRO: não numérico",IF(AND(VALUE(MID(G761,13,1))=IF(MOD(SUMPRODUCT(--MID(G761,{1,2,3,4,5,6,7,8,9,10,11,12},1),{5,4,3,2,9,8,7,6,5,4,3,2}),11)&lt;2,0,11-MOD(SUMPRODUCT(--MID(G761,{1,2,3,4,5,6,7,8,9,10,11,12},1),{5,4,3,2,9,8,7,6,5,4,3,2}),11)),VALUE(MID(G761,14,1))=IF(MOD(SUMPRODUCT(--MID(G761,{1,2,3,4,5,6,7,8,9,10,11,12,13},1),{6,5,4,3,2,9,8,7,6,5,4,3,2}),11)&lt;2,0,11-MOD(SUMPRODUCT(--MID(G761,{1,2,3,4,5,6,7,8,9,10,11,12,13},1),{6,5,4,3,2,9,8,7,6,5,4,3,2}),11))),"OK","AVISO: dígito verificador (conferir na org)"))))</f>
      </c>
      <c r="I761" s="6">
        <f>IF(G761="","",IF(COUNTIF($G$2:$G$2001,G761)&gt;1,"DUPLICADO","OK"))</f>
      </c>
      <c r="J761" s="6">
        <f>IF(COUNTA(A761:F761)=0,"",IF(AND(A761&lt;&gt;"",E761&lt;&gt;""),"OK","ERRO: faltam "&amp;IF(A761="","CNPJ; ","")&amp;IF(E761="","Novo gerente; ","")))</f>
      </c>
      <c r="K761" s="6">
        <f>IF(COUNTA(A761:F761)=0,"",IF(AND(LEFT(H761,4)&lt;&gt;"ERRO",I761="OK",J761="OK"),"OK","REVISAR"))</f>
      </c>
    </row>
    <row r="762">
      <c r="A762" s="5"/>
      <c r="B762" s="4"/>
      <c r="C762" s="4"/>
      <c r="D762" s="4"/>
      <c r="E762" s="5"/>
      <c r="F762" s="4"/>
      <c r="G762" s="6">
        <f>IF(A762="","",SUBSTITUTE(SUBSTITUTE(SUBSTITUTE(SUBSTITUTE(SUBSTITUTE(SUBSTITUTE(SUBSTITUTE(TRIM(A762),".",""),"/",""),"-","")," ",""),"(",""),")",""),"+",""))</f>
      </c>
      <c r="H762" s="6">
        <f>IF(G762="","",IF(LEN(G762)&lt;&gt;14,"ERRO: "&amp;LEN(G762)&amp;" dígitos",IF(NOT(ISNUMBER(VALUE(G762))),"ERRO: não numérico",IF(AND(VALUE(MID(G762,13,1))=IF(MOD(SUMPRODUCT(--MID(G762,{1,2,3,4,5,6,7,8,9,10,11,12},1),{5,4,3,2,9,8,7,6,5,4,3,2}),11)&lt;2,0,11-MOD(SUMPRODUCT(--MID(G762,{1,2,3,4,5,6,7,8,9,10,11,12},1),{5,4,3,2,9,8,7,6,5,4,3,2}),11)),VALUE(MID(G762,14,1))=IF(MOD(SUMPRODUCT(--MID(G762,{1,2,3,4,5,6,7,8,9,10,11,12,13},1),{6,5,4,3,2,9,8,7,6,5,4,3,2}),11)&lt;2,0,11-MOD(SUMPRODUCT(--MID(G762,{1,2,3,4,5,6,7,8,9,10,11,12,13},1),{6,5,4,3,2,9,8,7,6,5,4,3,2}),11))),"OK","AVISO: dígito verificador (conferir na org)"))))</f>
      </c>
      <c r="I762" s="6">
        <f>IF(G762="","",IF(COUNTIF($G$2:$G$2001,G762)&gt;1,"DUPLICADO","OK"))</f>
      </c>
      <c r="J762" s="6">
        <f>IF(COUNTA(A762:F762)=0,"",IF(AND(A762&lt;&gt;"",E762&lt;&gt;""),"OK","ERRO: faltam "&amp;IF(A762="","CNPJ; ","")&amp;IF(E762="","Novo gerente; ","")))</f>
      </c>
      <c r="K762" s="6">
        <f>IF(COUNTA(A762:F762)=0,"",IF(AND(LEFT(H762,4)&lt;&gt;"ERRO",I762="OK",J762="OK"),"OK","REVISAR"))</f>
      </c>
    </row>
    <row r="763">
      <c r="A763" s="5"/>
      <c r="B763" s="4"/>
      <c r="C763" s="4"/>
      <c r="D763" s="4"/>
      <c r="E763" s="5"/>
      <c r="F763" s="4"/>
      <c r="G763" s="6">
        <f>IF(A763="","",SUBSTITUTE(SUBSTITUTE(SUBSTITUTE(SUBSTITUTE(SUBSTITUTE(SUBSTITUTE(SUBSTITUTE(TRIM(A763),".",""),"/",""),"-","")," ",""),"(",""),")",""),"+",""))</f>
      </c>
      <c r="H763" s="6">
        <f>IF(G763="","",IF(LEN(G763)&lt;&gt;14,"ERRO: "&amp;LEN(G763)&amp;" dígitos",IF(NOT(ISNUMBER(VALUE(G763))),"ERRO: não numérico",IF(AND(VALUE(MID(G763,13,1))=IF(MOD(SUMPRODUCT(--MID(G763,{1,2,3,4,5,6,7,8,9,10,11,12},1),{5,4,3,2,9,8,7,6,5,4,3,2}),11)&lt;2,0,11-MOD(SUMPRODUCT(--MID(G763,{1,2,3,4,5,6,7,8,9,10,11,12},1),{5,4,3,2,9,8,7,6,5,4,3,2}),11)),VALUE(MID(G763,14,1))=IF(MOD(SUMPRODUCT(--MID(G763,{1,2,3,4,5,6,7,8,9,10,11,12,13},1),{6,5,4,3,2,9,8,7,6,5,4,3,2}),11)&lt;2,0,11-MOD(SUMPRODUCT(--MID(G763,{1,2,3,4,5,6,7,8,9,10,11,12,13},1),{6,5,4,3,2,9,8,7,6,5,4,3,2}),11))),"OK","AVISO: dígito verificador (conferir na org)"))))</f>
      </c>
      <c r="I763" s="6">
        <f>IF(G763="","",IF(COUNTIF($G$2:$G$2001,G763)&gt;1,"DUPLICADO","OK"))</f>
      </c>
      <c r="J763" s="6">
        <f>IF(COUNTA(A763:F763)=0,"",IF(AND(A763&lt;&gt;"",E763&lt;&gt;""),"OK","ERRO: faltam "&amp;IF(A763="","CNPJ; ","")&amp;IF(E763="","Novo gerente; ","")))</f>
      </c>
      <c r="K763" s="6">
        <f>IF(COUNTA(A763:F763)=0,"",IF(AND(LEFT(H763,4)&lt;&gt;"ERRO",I763="OK",J763="OK"),"OK","REVISAR"))</f>
      </c>
    </row>
    <row r="764">
      <c r="A764" s="5"/>
      <c r="B764" s="4"/>
      <c r="C764" s="4"/>
      <c r="D764" s="4"/>
      <c r="E764" s="5"/>
      <c r="F764" s="4"/>
      <c r="G764" s="6">
        <f>IF(A764="","",SUBSTITUTE(SUBSTITUTE(SUBSTITUTE(SUBSTITUTE(SUBSTITUTE(SUBSTITUTE(SUBSTITUTE(TRIM(A764),".",""),"/",""),"-","")," ",""),"(",""),")",""),"+",""))</f>
      </c>
      <c r="H764" s="6">
        <f>IF(G764="","",IF(LEN(G764)&lt;&gt;14,"ERRO: "&amp;LEN(G764)&amp;" dígitos",IF(NOT(ISNUMBER(VALUE(G764))),"ERRO: não numérico",IF(AND(VALUE(MID(G764,13,1))=IF(MOD(SUMPRODUCT(--MID(G764,{1,2,3,4,5,6,7,8,9,10,11,12},1),{5,4,3,2,9,8,7,6,5,4,3,2}),11)&lt;2,0,11-MOD(SUMPRODUCT(--MID(G764,{1,2,3,4,5,6,7,8,9,10,11,12},1),{5,4,3,2,9,8,7,6,5,4,3,2}),11)),VALUE(MID(G764,14,1))=IF(MOD(SUMPRODUCT(--MID(G764,{1,2,3,4,5,6,7,8,9,10,11,12,13},1),{6,5,4,3,2,9,8,7,6,5,4,3,2}),11)&lt;2,0,11-MOD(SUMPRODUCT(--MID(G764,{1,2,3,4,5,6,7,8,9,10,11,12,13},1),{6,5,4,3,2,9,8,7,6,5,4,3,2}),11))),"OK","AVISO: dígito verificador (conferir na org)"))))</f>
      </c>
      <c r="I764" s="6">
        <f>IF(G764="","",IF(COUNTIF($G$2:$G$2001,G764)&gt;1,"DUPLICADO","OK"))</f>
      </c>
      <c r="J764" s="6">
        <f>IF(COUNTA(A764:F764)=0,"",IF(AND(A764&lt;&gt;"",E764&lt;&gt;""),"OK","ERRO: faltam "&amp;IF(A764="","CNPJ; ","")&amp;IF(E764="","Novo gerente; ","")))</f>
      </c>
      <c r="K764" s="6">
        <f>IF(COUNTA(A764:F764)=0,"",IF(AND(LEFT(H764,4)&lt;&gt;"ERRO",I764="OK",J764="OK"),"OK","REVISAR"))</f>
      </c>
    </row>
    <row r="765">
      <c r="A765" s="5"/>
      <c r="B765" s="4"/>
      <c r="C765" s="4"/>
      <c r="D765" s="4"/>
      <c r="E765" s="5"/>
      <c r="F765" s="4"/>
      <c r="G765" s="6">
        <f>IF(A765="","",SUBSTITUTE(SUBSTITUTE(SUBSTITUTE(SUBSTITUTE(SUBSTITUTE(SUBSTITUTE(SUBSTITUTE(TRIM(A765),".",""),"/",""),"-","")," ",""),"(",""),")",""),"+",""))</f>
      </c>
      <c r="H765" s="6">
        <f>IF(G765="","",IF(LEN(G765)&lt;&gt;14,"ERRO: "&amp;LEN(G765)&amp;" dígitos",IF(NOT(ISNUMBER(VALUE(G765))),"ERRO: não numérico",IF(AND(VALUE(MID(G765,13,1))=IF(MOD(SUMPRODUCT(--MID(G765,{1,2,3,4,5,6,7,8,9,10,11,12},1),{5,4,3,2,9,8,7,6,5,4,3,2}),11)&lt;2,0,11-MOD(SUMPRODUCT(--MID(G765,{1,2,3,4,5,6,7,8,9,10,11,12},1),{5,4,3,2,9,8,7,6,5,4,3,2}),11)),VALUE(MID(G765,14,1))=IF(MOD(SUMPRODUCT(--MID(G765,{1,2,3,4,5,6,7,8,9,10,11,12,13},1),{6,5,4,3,2,9,8,7,6,5,4,3,2}),11)&lt;2,0,11-MOD(SUMPRODUCT(--MID(G765,{1,2,3,4,5,6,7,8,9,10,11,12,13},1),{6,5,4,3,2,9,8,7,6,5,4,3,2}),11))),"OK","AVISO: dígito verificador (conferir na org)"))))</f>
      </c>
      <c r="I765" s="6">
        <f>IF(G765="","",IF(COUNTIF($G$2:$G$2001,G765)&gt;1,"DUPLICADO","OK"))</f>
      </c>
      <c r="J765" s="6">
        <f>IF(COUNTA(A765:F765)=0,"",IF(AND(A765&lt;&gt;"",E765&lt;&gt;""),"OK","ERRO: faltam "&amp;IF(A765="","CNPJ; ","")&amp;IF(E765="","Novo gerente; ","")))</f>
      </c>
      <c r="K765" s="6">
        <f>IF(COUNTA(A765:F765)=0,"",IF(AND(LEFT(H765,4)&lt;&gt;"ERRO",I765="OK",J765="OK"),"OK","REVISAR"))</f>
      </c>
    </row>
    <row r="766">
      <c r="A766" s="5"/>
      <c r="B766" s="4"/>
      <c r="C766" s="4"/>
      <c r="D766" s="4"/>
      <c r="E766" s="5"/>
      <c r="F766" s="4"/>
      <c r="G766" s="6">
        <f>IF(A766="","",SUBSTITUTE(SUBSTITUTE(SUBSTITUTE(SUBSTITUTE(SUBSTITUTE(SUBSTITUTE(SUBSTITUTE(TRIM(A766),".",""),"/",""),"-","")," ",""),"(",""),")",""),"+",""))</f>
      </c>
      <c r="H766" s="6">
        <f>IF(G766="","",IF(LEN(G766)&lt;&gt;14,"ERRO: "&amp;LEN(G766)&amp;" dígitos",IF(NOT(ISNUMBER(VALUE(G766))),"ERRO: não numérico",IF(AND(VALUE(MID(G766,13,1))=IF(MOD(SUMPRODUCT(--MID(G766,{1,2,3,4,5,6,7,8,9,10,11,12},1),{5,4,3,2,9,8,7,6,5,4,3,2}),11)&lt;2,0,11-MOD(SUMPRODUCT(--MID(G766,{1,2,3,4,5,6,7,8,9,10,11,12},1),{5,4,3,2,9,8,7,6,5,4,3,2}),11)),VALUE(MID(G766,14,1))=IF(MOD(SUMPRODUCT(--MID(G766,{1,2,3,4,5,6,7,8,9,10,11,12,13},1),{6,5,4,3,2,9,8,7,6,5,4,3,2}),11)&lt;2,0,11-MOD(SUMPRODUCT(--MID(G766,{1,2,3,4,5,6,7,8,9,10,11,12,13},1),{6,5,4,3,2,9,8,7,6,5,4,3,2}),11))),"OK","AVISO: dígito verificador (conferir na org)"))))</f>
      </c>
      <c r="I766" s="6">
        <f>IF(G766="","",IF(COUNTIF($G$2:$G$2001,G766)&gt;1,"DUPLICADO","OK"))</f>
      </c>
      <c r="J766" s="6">
        <f>IF(COUNTA(A766:F766)=0,"",IF(AND(A766&lt;&gt;"",E766&lt;&gt;""),"OK","ERRO: faltam "&amp;IF(A766="","CNPJ; ","")&amp;IF(E766="","Novo gerente; ","")))</f>
      </c>
      <c r="K766" s="6">
        <f>IF(COUNTA(A766:F766)=0,"",IF(AND(LEFT(H766,4)&lt;&gt;"ERRO",I766="OK",J766="OK"),"OK","REVISAR"))</f>
      </c>
    </row>
    <row r="767">
      <c r="A767" s="5"/>
      <c r="B767" s="4"/>
      <c r="C767" s="4"/>
      <c r="D767" s="4"/>
      <c r="E767" s="5"/>
      <c r="F767" s="4"/>
      <c r="G767" s="6">
        <f>IF(A767="","",SUBSTITUTE(SUBSTITUTE(SUBSTITUTE(SUBSTITUTE(SUBSTITUTE(SUBSTITUTE(SUBSTITUTE(TRIM(A767),".",""),"/",""),"-","")," ",""),"(",""),")",""),"+",""))</f>
      </c>
      <c r="H767" s="6">
        <f>IF(G767="","",IF(LEN(G767)&lt;&gt;14,"ERRO: "&amp;LEN(G767)&amp;" dígitos",IF(NOT(ISNUMBER(VALUE(G767))),"ERRO: não numérico",IF(AND(VALUE(MID(G767,13,1))=IF(MOD(SUMPRODUCT(--MID(G767,{1,2,3,4,5,6,7,8,9,10,11,12},1),{5,4,3,2,9,8,7,6,5,4,3,2}),11)&lt;2,0,11-MOD(SUMPRODUCT(--MID(G767,{1,2,3,4,5,6,7,8,9,10,11,12},1),{5,4,3,2,9,8,7,6,5,4,3,2}),11)),VALUE(MID(G767,14,1))=IF(MOD(SUMPRODUCT(--MID(G767,{1,2,3,4,5,6,7,8,9,10,11,12,13},1),{6,5,4,3,2,9,8,7,6,5,4,3,2}),11)&lt;2,0,11-MOD(SUMPRODUCT(--MID(G767,{1,2,3,4,5,6,7,8,9,10,11,12,13},1),{6,5,4,3,2,9,8,7,6,5,4,3,2}),11))),"OK","AVISO: dígito verificador (conferir na org)"))))</f>
      </c>
      <c r="I767" s="6">
        <f>IF(G767="","",IF(COUNTIF($G$2:$G$2001,G767)&gt;1,"DUPLICADO","OK"))</f>
      </c>
      <c r="J767" s="6">
        <f>IF(COUNTA(A767:F767)=0,"",IF(AND(A767&lt;&gt;"",E767&lt;&gt;""),"OK","ERRO: faltam "&amp;IF(A767="","CNPJ; ","")&amp;IF(E767="","Novo gerente; ","")))</f>
      </c>
      <c r="K767" s="6">
        <f>IF(COUNTA(A767:F767)=0,"",IF(AND(LEFT(H767,4)&lt;&gt;"ERRO",I767="OK",J767="OK"),"OK","REVISAR"))</f>
      </c>
    </row>
    <row r="768">
      <c r="A768" s="5"/>
      <c r="B768" s="4"/>
      <c r="C768" s="4"/>
      <c r="D768" s="4"/>
      <c r="E768" s="5"/>
      <c r="F768" s="4"/>
      <c r="G768" s="6">
        <f>IF(A768="","",SUBSTITUTE(SUBSTITUTE(SUBSTITUTE(SUBSTITUTE(SUBSTITUTE(SUBSTITUTE(SUBSTITUTE(TRIM(A768),".",""),"/",""),"-","")," ",""),"(",""),")",""),"+",""))</f>
      </c>
      <c r="H768" s="6">
        <f>IF(G768="","",IF(LEN(G768)&lt;&gt;14,"ERRO: "&amp;LEN(G768)&amp;" dígitos",IF(NOT(ISNUMBER(VALUE(G768))),"ERRO: não numérico",IF(AND(VALUE(MID(G768,13,1))=IF(MOD(SUMPRODUCT(--MID(G768,{1,2,3,4,5,6,7,8,9,10,11,12},1),{5,4,3,2,9,8,7,6,5,4,3,2}),11)&lt;2,0,11-MOD(SUMPRODUCT(--MID(G768,{1,2,3,4,5,6,7,8,9,10,11,12},1),{5,4,3,2,9,8,7,6,5,4,3,2}),11)),VALUE(MID(G768,14,1))=IF(MOD(SUMPRODUCT(--MID(G768,{1,2,3,4,5,6,7,8,9,10,11,12,13},1),{6,5,4,3,2,9,8,7,6,5,4,3,2}),11)&lt;2,0,11-MOD(SUMPRODUCT(--MID(G768,{1,2,3,4,5,6,7,8,9,10,11,12,13},1),{6,5,4,3,2,9,8,7,6,5,4,3,2}),11))),"OK","AVISO: dígito verificador (conferir na org)"))))</f>
      </c>
      <c r="I768" s="6">
        <f>IF(G768="","",IF(COUNTIF($G$2:$G$2001,G768)&gt;1,"DUPLICADO","OK"))</f>
      </c>
      <c r="J768" s="6">
        <f>IF(COUNTA(A768:F768)=0,"",IF(AND(A768&lt;&gt;"",E768&lt;&gt;""),"OK","ERRO: faltam "&amp;IF(A768="","CNPJ; ","")&amp;IF(E768="","Novo gerente; ","")))</f>
      </c>
      <c r="K768" s="6">
        <f>IF(COUNTA(A768:F768)=0,"",IF(AND(LEFT(H768,4)&lt;&gt;"ERRO",I768="OK",J768="OK"),"OK","REVISAR"))</f>
      </c>
    </row>
    <row r="769">
      <c r="A769" s="5"/>
      <c r="B769" s="4"/>
      <c r="C769" s="4"/>
      <c r="D769" s="4"/>
      <c r="E769" s="5"/>
      <c r="F769" s="4"/>
      <c r="G769" s="6">
        <f>IF(A769="","",SUBSTITUTE(SUBSTITUTE(SUBSTITUTE(SUBSTITUTE(SUBSTITUTE(SUBSTITUTE(SUBSTITUTE(TRIM(A769),".",""),"/",""),"-","")," ",""),"(",""),")",""),"+",""))</f>
      </c>
      <c r="H769" s="6">
        <f>IF(G769="","",IF(LEN(G769)&lt;&gt;14,"ERRO: "&amp;LEN(G769)&amp;" dígitos",IF(NOT(ISNUMBER(VALUE(G769))),"ERRO: não numérico",IF(AND(VALUE(MID(G769,13,1))=IF(MOD(SUMPRODUCT(--MID(G769,{1,2,3,4,5,6,7,8,9,10,11,12},1),{5,4,3,2,9,8,7,6,5,4,3,2}),11)&lt;2,0,11-MOD(SUMPRODUCT(--MID(G769,{1,2,3,4,5,6,7,8,9,10,11,12},1),{5,4,3,2,9,8,7,6,5,4,3,2}),11)),VALUE(MID(G769,14,1))=IF(MOD(SUMPRODUCT(--MID(G769,{1,2,3,4,5,6,7,8,9,10,11,12,13},1),{6,5,4,3,2,9,8,7,6,5,4,3,2}),11)&lt;2,0,11-MOD(SUMPRODUCT(--MID(G769,{1,2,3,4,5,6,7,8,9,10,11,12,13},1),{6,5,4,3,2,9,8,7,6,5,4,3,2}),11))),"OK","AVISO: dígito verificador (conferir na org)"))))</f>
      </c>
      <c r="I769" s="6">
        <f>IF(G769="","",IF(COUNTIF($G$2:$G$2001,G769)&gt;1,"DUPLICADO","OK"))</f>
      </c>
      <c r="J769" s="6">
        <f>IF(COUNTA(A769:F769)=0,"",IF(AND(A769&lt;&gt;"",E769&lt;&gt;""),"OK","ERRO: faltam "&amp;IF(A769="","CNPJ; ","")&amp;IF(E769="","Novo gerente; ","")))</f>
      </c>
      <c r="K769" s="6">
        <f>IF(COUNTA(A769:F769)=0,"",IF(AND(LEFT(H769,4)&lt;&gt;"ERRO",I769="OK",J769="OK"),"OK","REVISAR"))</f>
      </c>
    </row>
    <row r="770">
      <c r="A770" s="5"/>
      <c r="B770" s="4"/>
      <c r="C770" s="4"/>
      <c r="D770" s="4"/>
      <c r="E770" s="5"/>
      <c r="F770" s="4"/>
      <c r="G770" s="6">
        <f>IF(A770="","",SUBSTITUTE(SUBSTITUTE(SUBSTITUTE(SUBSTITUTE(SUBSTITUTE(SUBSTITUTE(SUBSTITUTE(TRIM(A770),".",""),"/",""),"-","")," ",""),"(",""),")",""),"+",""))</f>
      </c>
      <c r="H770" s="6">
        <f>IF(G770="","",IF(LEN(G770)&lt;&gt;14,"ERRO: "&amp;LEN(G770)&amp;" dígitos",IF(NOT(ISNUMBER(VALUE(G770))),"ERRO: não numérico",IF(AND(VALUE(MID(G770,13,1))=IF(MOD(SUMPRODUCT(--MID(G770,{1,2,3,4,5,6,7,8,9,10,11,12},1),{5,4,3,2,9,8,7,6,5,4,3,2}),11)&lt;2,0,11-MOD(SUMPRODUCT(--MID(G770,{1,2,3,4,5,6,7,8,9,10,11,12},1),{5,4,3,2,9,8,7,6,5,4,3,2}),11)),VALUE(MID(G770,14,1))=IF(MOD(SUMPRODUCT(--MID(G770,{1,2,3,4,5,6,7,8,9,10,11,12,13},1),{6,5,4,3,2,9,8,7,6,5,4,3,2}),11)&lt;2,0,11-MOD(SUMPRODUCT(--MID(G770,{1,2,3,4,5,6,7,8,9,10,11,12,13},1),{6,5,4,3,2,9,8,7,6,5,4,3,2}),11))),"OK","AVISO: dígito verificador (conferir na org)"))))</f>
      </c>
      <c r="I770" s="6">
        <f>IF(G770="","",IF(COUNTIF($G$2:$G$2001,G770)&gt;1,"DUPLICADO","OK"))</f>
      </c>
      <c r="J770" s="6">
        <f>IF(COUNTA(A770:F770)=0,"",IF(AND(A770&lt;&gt;"",E770&lt;&gt;""),"OK","ERRO: faltam "&amp;IF(A770="","CNPJ; ","")&amp;IF(E770="","Novo gerente; ","")))</f>
      </c>
      <c r="K770" s="6">
        <f>IF(COUNTA(A770:F770)=0,"",IF(AND(LEFT(H770,4)&lt;&gt;"ERRO",I770="OK",J770="OK"),"OK","REVISAR"))</f>
      </c>
    </row>
    <row r="771">
      <c r="A771" s="5"/>
      <c r="B771" s="4"/>
      <c r="C771" s="4"/>
      <c r="D771" s="4"/>
      <c r="E771" s="5"/>
      <c r="F771" s="4"/>
      <c r="G771" s="6">
        <f>IF(A771="","",SUBSTITUTE(SUBSTITUTE(SUBSTITUTE(SUBSTITUTE(SUBSTITUTE(SUBSTITUTE(SUBSTITUTE(TRIM(A771),".",""),"/",""),"-","")," ",""),"(",""),")",""),"+",""))</f>
      </c>
      <c r="H771" s="6">
        <f>IF(G771="","",IF(LEN(G771)&lt;&gt;14,"ERRO: "&amp;LEN(G771)&amp;" dígitos",IF(NOT(ISNUMBER(VALUE(G771))),"ERRO: não numérico",IF(AND(VALUE(MID(G771,13,1))=IF(MOD(SUMPRODUCT(--MID(G771,{1,2,3,4,5,6,7,8,9,10,11,12},1),{5,4,3,2,9,8,7,6,5,4,3,2}),11)&lt;2,0,11-MOD(SUMPRODUCT(--MID(G771,{1,2,3,4,5,6,7,8,9,10,11,12},1),{5,4,3,2,9,8,7,6,5,4,3,2}),11)),VALUE(MID(G771,14,1))=IF(MOD(SUMPRODUCT(--MID(G771,{1,2,3,4,5,6,7,8,9,10,11,12,13},1),{6,5,4,3,2,9,8,7,6,5,4,3,2}),11)&lt;2,0,11-MOD(SUMPRODUCT(--MID(G771,{1,2,3,4,5,6,7,8,9,10,11,12,13},1),{6,5,4,3,2,9,8,7,6,5,4,3,2}),11))),"OK","AVISO: dígito verificador (conferir na org)"))))</f>
      </c>
      <c r="I771" s="6">
        <f>IF(G771="","",IF(COUNTIF($G$2:$G$2001,G771)&gt;1,"DUPLICADO","OK"))</f>
      </c>
      <c r="J771" s="6">
        <f>IF(COUNTA(A771:F771)=0,"",IF(AND(A771&lt;&gt;"",E771&lt;&gt;""),"OK","ERRO: faltam "&amp;IF(A771="","CNPJ; ","")&amp;IF(E771="","Novo gerente; ","")))</f>
      </c>
      <c r="K771" s="6">
        <f>IF(COUNTA(A771:F771)=0,"",IF(AND(LEFT(H771,4)&lt;&gt;"ERRO",I771="OK",J771="OK"),"OK","REVISAR"))</f>
      </c>
    </row>
    <row r="772">
      <c r="A772" s="5"/>
      <c r="B772" s="4"/>
      <c r="C772" s="4"/>
      <c r="D772" s="4"/>
      <c r="E772" s="5"/>
      <c r="F772" s="4"/>
      <c r="G772" s="6">
        <f>IF(A772="","",SUBSTITUTE(SUBSTITUTE(SUBSTITUTE(SUBSTITUTE(SUBSTITUTE(SUBSTITUTE(SUBSTITUTE(TRIM(A772),".",""),"/",""),"-","")," ",""),"(",""),")",""),"+",""))</f>
      </c>
      <c r="H772" s="6">
        <f>IF(G772="","",IF(LEN(G772)&lt;&gt;14,"ERRO: "&amp;LEN(G772)&amp;" dígitos",IF(NOT(ISNUMBER(VALUE(G772))),"ERRO: não numérico",IF(AND(VALUE(MID(G772,13,1))=IF(MOD(SUMPRODUCT(--MID(G772,{1,2,3,4,5,6,7,8,9,10,11,12},1),{5,4,3,2,9,8,7,6,5,4,3,2}),11)&lt;2,0,11-MOD(SUMPRODUCT(--MID(G772,{1,2,3,4,5,6,7,8,9,10,11,12},1),{5,4,3,2,9,8,7,6,5,4,3,2}),11)),VALUE(MID(G772,14,1))=IF(MOD(SUMPRODUCT(--MID(G772,{1,2,3,4,5,6,7,8,9,10,11,12,13},1),{6,5,4,3,2,9,8,7,6,5,4,3,2}),11)&lt;2,0,11-MOD(SUMPRODUCT(--MID(G772,{1,2,3,4,5,6,7,8,9,10,11,12,13},1),{6,5,4,3,2,9,8,7,6,5,4,3,2}),11))),"OK","AVISO: dígito verificador (conferir na org)"))))</f>
      </c>
      <c r="I772" s="6">
        <f>IF(G772="","",IF(COUNTIF($G$2:$G$2001,G772)&gt;1,"DUPLICADO","OK"))</f>
      </c>
      <c r="J772" s="6">
        <f>IF(COUNTA(A772:F772)=0,"",IF(AND(A772&lt;&gt;"",E772&lt;&gt;""),"OK","ERRO: faltam "&amp;IF(A772="","CNPJ; ","")&amp;IF(E772="","Novo gerente; ","")))</f>
      </c>
      <c r="K772" s="6">
        <f>IF(COUNTA(A772:F772)=0,"",IF(AND(LEFT(H772,4)&lt;&gt;"ERRO",I772="OK",J772="OK"),"OK","REVISAR"))</f>
      </c>
    </row>
    <row r="773">
      <c r="A773" s="5"/>
      <c r="B773" s="4"/>
      <c r="C773" s="4"/>
      <c r="D773" s="4"/>
      <c r="E773" s="5"/>
      <c r="F773" s="4"/>
      <c r="G773" s="6">
        <f>IF(A773="","",SUBSTITUTE(SUBSTITUTE(SUBSTITUTE(SUBSTITUTE(SUBSTITUTE(SUBSTITUTE(SUBSTITUTE(TRIM(A773),".",""),"/",""),"-","")," ",""),"(",""),")",""),"+",""))</f>
      </c>
      <c r="H773" s="6">
        <f>IF(G773="","",IF(LEN(G773)&lt;&gt;14,"ERRO: "&amp;LEN(G773)&amp;" dígitos",IF(NOT(ISNUMBER(VALUE(G773))),"ERRO: não numérico",IF(AND(VALUE(MID(G773,13,1))=IF(MOD(SUMPRODUCT(--MID(G773,{1,2,3,4,5,6,7,8,9,10,11,12},1),{5,4,3,2,9,8,7,6,5,4,3,2}),11)&lt;2,0,11-MOD(SUMPRODUCT(--MID(G773,{1,2,3,4,5,6,7,8,9,10,11,12},1),{5,4,3,2,9,8,7,6,5,4,3,2}),11)),VALUE(MID(G773,14,1))=IF(MOD(SUMPRODUCT(--MID(G773,{1,2,3,4,5,6,7,8,9,10,11,12,13},1),{6,5,4,3,2,9,8,7,6,5,4,3,2}),11)&lt;2,0,11-MOD(SUMPRODUCT(--MID(G773,{1,2,3,4,5,6,7,8,9,10,11,12,13},1),{6,5,4,3,2,9,8,7,6,5,4,3,2}),11))),"OK","AVISO: dígito verificador (conferir na org)"))))</f>
      </c>
      <c r="I773" s="6">
        <f>IF(G773="","",IF(COUNTIF($G$2:$G$2001,G773)&gt;1,"DUPLICADO","OK"))</f>
      </c>
      <c r="J773" s="6">
        <f>IF(COUNTA(A773:F773)=0,"",IF(AND(A773&lt;&gt;"",E773&lt;&gt;""),"OK","ERRO: faltam "&amp;IF(A773="","CNPJ; ","")&amp;IF(E773="","Novo gerente; ","")))</f>
      </c>
      <c r="K773" s="6">
        <f>IF(COUNTA(A773:F773)=0,"",IF(AND(LEFT(H773,4)&lt;&gt;"ERRO",I773="OK",J773="OK"),"OK","REVISAR"))</f>
      </c>
    </row>
    <row r="774">
      <c r="A774" s="5"/>
      <c r="B774" s="4"/>
      <c r="C774" s="4"/>
      <c r="D774" s="4"/>
      <c r="E774" s="5"/>
      <c r="F774" s="4"/>
      <c r="G774" s="6">
        <f>IF(A774="","",SUBSTITUTE(SUBSTITUTE(SUBSTITUTE(SUBSTITUTE(SUBSTITUTE(SUBSTITUTE(SUBSTITUTE(TRIM(A774),".",""),"/",""),"-","")," ",""),"(",""),")",""),"+",""))</f>
      </c>
      <c r="H774" s="6">
        <f>IF(G774="","",IF(LEN(G774)&lt;&gt;14,"ERRO: "&amp;LEN(G774)&amp;" dígitos",IF(NOT(ISNUMBER(VALUE(G774))),"ERRO: não numérico",IF(AND(VALUE(MID(G774,13,1))=IF(MOD(SUMPRODUCT(--MID(G774,{1,2,3,4,5,6,7,8,9,10,11,12},1),{5,4,3,2,9,8,7,6,5,4,3,2}),11)&lt;2,0,11-MOD(SUMPRODUCT(--MID(G774,{1,2,3,4,5,6,7,8,9,10,11,12},1),{5,4,3,2,9,8,7,6,5,4,3,2}),11)),VALUE(MID(G774,14,1))=IF(MOD(SUMPRODUCT(--MID(G774,{1,2,3,4,5,6,7,8,9,10,11,12,13},1),{6,5,4,3,2,9,8,7,6,5,4,3,2}),11)&lt;2,0,11-MOD(SUMPRODUCT(--MID(G774,{1,2,3,4,5,6,7,8,9,10,11,12,13},1),{6,5,4,3,2,9,8,7,6,5,4,3,2}),11))),"OK","AVISO: dígito verificador (conferir na org)"))))</f>
      </c>
      <c r="I774" s="6">
        <f>IF(G774="","",IF(COUNTIF($G$2:$G$2001,G774)&gt;1,"DUPLICADO","OK"))</f>
      </c>
      <c r="J774" s="6">
        <f>IF(COUNTA(A774:F774)=0,"",IF(AND(A774&lt;&gt;"",E774&lt;&gt;""),"OK","ERRO: faltam "&amp;IF(A774="","CNPJ; ","")&amp;IF(E774="","Novo gerente; ","")))</f>
      </c>
      <c r="K774" s="6">
        <f>IF(COUNTA(A774:F774)=0,"",IF(AND(LEFT(H774,4)&lt;&gt;"ERRO",I774="OK",J774="OK"),"OK","REVISAR"))</f>
      </c>
    </row>
    <row r="775">
      <c r="A775" s="5"/>
      <c r="B775" s="4"/>
      <c r="C775" s="4"/>
      <c r="D775" s="4"/>
      <c r="E775" s="5"/>
      <c r="F775" s="4"/>
      <c r="G775" s="6">
        <f>IF(A775="","",SUBSTITUTE(SUBSTITUTE(SUBSTITUTE(SUBSTITUTE(SUBSTITUTE(SUBSTITUTE(SUBSTITUTE(TRIM(A775),".",""),"/",""),"-","")," ",""),"(",""),")",""),"+",""))</f>
      </c>
      <c r="H775" s="6">
        <f>IF(G775="","",IF(LEN(G775)&lt;&gt;14,"ERRO: "&amp;LEN(G775)&amp;" dígitos",IF(NOT(ISNUMBER(VALUE(G775))),"ERRO: não numérico",IF(AND(VALUE(MID(G775,13,1))=IF(MOD(SUMPRODUCT(--MID(G775,{1,2,3,4,5,6,7,8,9,10,11,12},1),{5,4,3,2,9,8,7,6,5,4,3,2}),11)&lt;2,0,11-MOD(SUMPRODUCT(--MID(G775,{1,2,3,4,5,6,7,8,9,10,11,12},1),{5,4,3,2,9,8,7,6,5,4,3,2}),11)),VALUE(MID(G775,14,1))=IF(MOD(SUMPRODUCT(--MID(G775,{1,2,3,4,5,6,7,8,9,10,11,12,13},1),{6,5,4,3,2,9,8,7,6,5,4,3,2}),11)&lt;2,0,11-MOD(SUMPRODUCT(--MID(G775,{1,2,3,4,5,6,7,8,9,10,11,12,13},1),{6,5,4,3,2,9,8,7,6,5,4,3,2}),11))),"OK","AVISO: dígito verificador (conferir na org)"))))</f>
      </c>
      <c r="I775" s="6">
        <f>IF(G775="","",IF(COUNTIF($G$2:$G$2001,G775)&gt;1,"DUPLICADO","OK"))</f>
      </c>
      <c r="J775" s="6">
        <f>IF(COUNTA(A775:F775)=0,"",IF(AND(A775&lt;&gt;"",E775&lt;&gt;""),"OK","ERRO: faltam "&amp;IF(A775="","CNPJ; ","")&amp;IF(E775="","Novo gerente; ","")))</f>
      </c>
      <c r="K775" s="6">
        <f>IF(COUNTA(A775:F775)=0,"",IF(AND(LEFT(H775,4)&lt;&gt;"ERRO",I775="OK",J775="OK"),"OK","REVISAR"))</f>
      </c>
    </row>
    <row r="776">
      <c r="A776" s="5"/>
      <c r="B776" s="4"/>
      <c r="C776" s="4"/>
      <c r="D776" s="4"/>
      <c r="E776" s="5"/>
      <c r="F776" s="4"/>
      <c r="G776" s="6">
        <f>IF(A776="","",SUBSTITUTE(SUBSTITUTE(SUBSTITUTE(SUBSTITUTE(SUBSTITUTE(SUBSTITUTE(SUBSTITUTE(TRIM(A776),".",""),"/",""),"-","")," ",""),"(",""),")",""),"+",""))</f>
      </c>
      <c r="H776" s="6">
        <f>IF(G776="","",IF(LEN(G776)&lt;&gt;14,"ERRO: "&amp;LEN(G776)&amp;" dígitos",IF(NOT(ISNUMBER(VALUE(G776))),"ERRO: não numérico",IF(AND(VALUE(MID(G776,13,1))=IF(MOD(SUMPRODUCT(--MID(G776,{1,2,3,4,5,6,7,8,9,10,11,12},1),{5,4,3,2,9,8,7,6,5,4,3,2}),11)&lt;2,0,11-MOD(SUMPRODUCT(--MID(G776,{1,2,3,4,5,6,7,8,9,10,11,12},1),{5,4,3,2,9,8,7,6,5,4,3,2}),11)),VALUE(MID(G776,14,1))=IF(MOD(SUMPRODUCT(--MID(G776,{1,2,3,4,5,6,7,8,9,10,11,12,13},1),{6,5,4,3,2,9,8,7,6,5,4,3,2}),11)&lt;2,0,11-MOD(SUMPRODUCT(--MID(G776,{1,2,3,4,5,6,7,8,9,10,11,12,13},1),{6,5,4,3,2,9,8,7,6,5,4,3,2}),11))),"OK","AVISO: dígito verificador (conferir na org)"))))</f>
      </c>
      <c r="I776" s="6">
        <f>IF(G776="","",IF(COUNTIF($G$2:$G$2001,G776)&gt;1,"DUPLICADO","OK"))</f>
      </c>
      <c r="J776" s="6">
        <f>IF(COUNTA(A776:F776)=0,"",IF(AND(A776&lt;&gt;"",E776&lt;&gt;""),"OK","ERRO: faltam "&amp;IF(A776="","CNPJ; ","")&amp;IF(E776="","Novo gerente; ","")))</f>
      </c>
      <c r="K776" s="6">
        <f>IF(COUNTA(A776:F776)=0,"",IF(AND(LEFT(H776,4)&lt;&gt;"ERRO",I776="OK",J776="OK"),"OK","REVISAR"))</f>
      </c>
    </row>
    <row r="777">
      <c r="A777" s="5"/>
      <c r="B777" s="4"/>
      <c r="C777" s="4"/>
      <c r="D777" s="4"/>
      <c r="E777" s="5"/>
      <c r="F777" s="4"/>
      <c r="G777" s="6">
        <f>IF(A777="","",SUBSTITUTE(SUBSTITUTE(SUBSTITUTE(SUBSTITUTE(SUBSTITUTE(SUBSTITUTE(SUBSTITUTE(TRIM(A777),".",""),"/",""),"-","")," ",""),"(",""),")",""),"+",""))</f>
      </c>
      <c r="H777" s="6">
        <f>IF(G777="","",IF(LEN(G777)&lt;&gt;14,"ERRO: "&amp;LEN(G777)&amp;" dígitos",IF(NOT(ISNUMBER(VALUE(G777))),"ERRO: não numérico",IF(AND(VALUE(MID(G777,13,1))=IF(MOD(SUMPRODUCT(--MID(G777,{1,2,3,4,5,6,7,8,9,10,11,12},1),{5,4,3,2,9,8,7,6,5,4,3,2}),11)&lt;2,0,11-MOD(SUMPRODUCT(--MID(G777,{1,2,3,4,5,6,7,8,9,10,11,12},1),{5,4,3,2,9,8,7,6,5,4,3,2}),11)),VALUE(MID(G777,14,1))=IF(MOD(SUMPRODUCT(--MID(G777,{1,2,3,4,5,6,7,8,9,10,11,12,13},1),{6,5,4,3,2,9,8,7,6,5,4,3,2}),11)&lt;2,0,11-MOD(SUMPRODUCT(--MID(G777,{1,2,3,4,5,6,7,8,9,10,11,12,13},1),{6,5,4,3,2,9,8,7,6,5,4,3,2}),11))),"OK","AVISO: dígito verificador (conferir na org)"))))</f>
      </c>
      <c r="I777" s="6">
        <f>IF(G777="","",IF(COUNTIF($G$2:$G$2001,G777)&gt;1,"DUPLICADO","OK"))</f>
      </c>
      <c r="J777" s="6">
        <f>IF(COUNTA(A777:F777)=0,"",IF(AND(A777&lt;&gt;"",E777&lt;&gt;""),"OK","ERRO: faltam "&amp;IF(A777="","CNPJ; ","")&amp;IF(E777="","Novo gerente; ","")))</f>
      </c>
      <c r="K777" s="6">
        <f>IF(COUNTA(A777:F777)=0,"",IF(AND(LEFT(H777,4)&lt;&gt;"ERRO",I777="OK",J777="OK"),"OK","REVISAR"))</f>
      </c>
    </row>
    <row r="778">
      <c r="A778" s="5"/>
      <c r="B778" s="4"/>
      <c r="C778" s="4"/>
      <c r="D778" s="4"/>
      <c r="E778" s="5"/>
      <c r="F778" s="4"/>
      <c r="G778" s="6">
        <f>IF(A778="","",SUBSTITUTE(SUBSTITUTE(SUBSTITUTE(SUBSTITUTE(SUBSTITUTE(SUBSTITUTE(SUBSTITUTE(TRIM(A778),".",""),"/",""),"-","")," ",""),"(",""),")",""),"+",""))</f>
      </c>
      <c r="H778" s="6">
        <f>IF(G778="","",IF(LEN(G778)&lt;&gt;14,"ERRO: "&amp;LEN(G778)&amp;" dígitos",IF(NOT(ISNUMBER(VALUE(G778))),"ERRO: não numérico",IF(AND(VALUE(MID(G778,13,1))=IF(MOD(SUMPRODUCT(--MID(G778,{1,2,3,4,5,6,7,8,9,10,11,12},1),{5,4,3,2,9,8,7,6,5,4,3,2}),11)&lt;2,0,11-MOD(SUMPRODUCT(--MID(G778,{1,2,3,4,5,6,7,8,9,10,11,12},1),{5,4,3,2,9,8,7,6,5,4,3,2}),11)),VALUE(MID(G778,14,1))=IF(MOD(SUMPRODUCT(--MID(G778,{1,2,3,4,5,6,7,8,9,10,11,12,13},1),{6,5,4,3,2,9,8,7,6,5,4,3,2}),11)&lt;2,0,11-MOD(SUMPRODUCT(--MID(G778,{1,2,3,4,5,6,7,8,9,10,11,12,13},1),{6,5,4,3,2,9,8,7,6,5,4,3,2}),11))),"OK","AVISO: dígito verificador (conferir na org)"))))</f>
      </c>
      <c r="I778" s="6">
        <f>IF(G778="","",IF(COUNTIF($G$2:$G$2001,G778)&gt;1,"DUPLICADO","OK"))</f>
      </c>
      <c r="J778" s="6">
        <f>IF(COUNTA(A778:F778)=0,"",IF(AND(A778&lt;&gt;"",E778&lt;&gt;""),"OK","ERRO: faltam "&amp;IF(A778="","CNPJ; ","")&amp;IF(E778="","Novo gerente; ","")))</f>
      </c>
      <c r="K778" s="6">
        <f>IF(COUNTA(A778:F778)=0,"",IF(AND(LEFT(H778,4)&lt;&gt;"ERRO",I778="OK",J778="OK"),"OK","REVISAR"))</f>
      </c>
    </row>
    <row r="779">
      <c r="A779" s="5"/>
      <c r="B779" s="4"/>
      <c r="C779" s="4"/>
      <c r="D779" s="4"/>
      <c r="E779" s="5"/>
      <c r="F779" s="4"/>
      <c r="G779" s="6">
        <f>IF(A779="","",SUBSTITUTE(SUBSTITUTE(SUBSTITUTE(SUBSTITUTE(SUBSTITUTE(SUBSTITUTE(SUBSTITUTE(TRIM(A779),".",""),"/",""),"-","")," ",""),"(",""),")",""),"+",""))</f>
      </c>
      <c r="H779" s="6">
        <f>IF(G779="","",IF(LEN(G779)&lt;&gt;14,"ERRO: "&amp;LEN(G779)&amp;" dígitos",IF(NOT(ISNUMBER(VALUE(G779))),"ERRO: não numérico",IF(AND(VALUE(MID(G779,13,1))=IF(MOD(SUMPRODUCT(--MID(G779,{1,2,3,4,5,6,7,8,9,10,11,12},1),{5,4,3,2,9,8,7,6,5,4,3,2}),11)&lt;2,0,11-MOD(SUMPRODUCT(--MID(G779,{1,2,3,4,5,6,7,8,9,10,11,12},1),{5,4,3,2,9,8,7,6,5,4,3,2}),11)),VALUE(MID(G779,14,1))=IF(MOD(SUMPRODUCT(--MID(G779,{1,2,3,4,5,6,7,8,9,10,11,12,13},1),{6,5,4,3,2,9,8,7,6,5,4,3,2}),11)&lt;2,0,11-MOD(SUMPRODUCT(--MID(G779,{1,2,3,4,5,6,7,8,9,10,11,12,13},1),{6,5,4,3,2,9,8,7,6,5,4,3,2}),11))),"OK","AVISO: dígito verificador (conferir na org)"))))</f>
      </c>
      <c r="I779" s="6">
        <f>IF(G779="","",IF(COUNTIF($G$2:$G$2001,G779)&gt;1,"DUPLICADO","OK"))</f>
      </c>
      <c r="J779" s="6">
        <f>IF(COUNTA(A779:F779)=0,"",IF(AND(A779&lt;&gt;"",E779&lt;&gt;""),"OK","ERRO: faltam "&amp;IF(A779="","CNPJ; ","")&amp;IF(E779="","Novo gerente; ","")))</f>
      </c>
      <c r="K779" s="6">
        <f>IF(COUNTA(A779:F779)=0,"",IF(AND(LEFT(H779,4)&lt;&gt;"ERRO",I779="OK",J779="OK"),"OK","REVISAR"))</f>
      </c>
    </row>
    <row r="780">
      <c r="A780" s="5"/>
      <c r="B780" s="4"/>
      <c r="C780" s="4"/>
      <c r="D780" s="4"/>
      <c r="E780" s="5"/>
      <c r="F780" s="4"/>
      <c r="G780" s="6">
        <f>IF(A780="","",SUBSTITUTE(SUBSTITUTE(SUBSTITUTE(SUBSTITUTE(SUBSTITUTE(SUBSTITUTE(SUBSTITUTE(TRIM(A780),".",""),"/",""),"-","")," ",""),"(",""),")",""),"+",""))</f>
      </c>
      <c r="H780" s="6">
        <f>IF(G780="","",IF(LEN(G780)&lt;&gt;14,"ERRO: "&amp;LEN(G780)&amp;" dígitos",IF(NOT(ISNUMBER(VALUE(G780))),"ERRO: não numérico",IF(AND(VALUE(MID(G780,13,1))=IF(MOD(SUMPRODUCT(--MID(G780,{1,2,3,4,5,6,7,8,9,10,11,12},1),{5,4,3,2,9,8,7,6,5,4,3,2}),11)&lt;2,0,11-MOD(SUMPRODUCT(--MID(G780,{1,2,3,4,5,6,7,8,9,10,11,12},1),{5,4,3,2,9,8,7,6,5,4,3,2}),11)),VALUE(MID(G780,14,1))=IF(MOD(SUMPRODUCT(--MID(G780,{1,2,3,4,5,6,7,8,9,10,11,12,13},1),{6,5,4,3,2,9,8,7,6,5,4,3,2}),11)&lt;2,0,11-MOD(SUMPRODUCT(--MID(G780,{1,2,3,4,5,6,7,8,9,10,11,12,13},1),{6,5,4,3,2,9,8,7,6,5,4,3,2}),11))),"OK","AVISO: dígito verificador (conferir na org)"))))</f>
      </c>
      <c r="I780" s="6">
        <f>IF(G780="","",IF(COUNTIF($G$2:$G$2001,G780)&gt;1,"DUPLICADO","OK"))</f>
      </c>
      <c r="J780" s="6">
        <f>IF(COUNTA(A780:F780)=0,"",IF(AND(A780&lt;&gt;"",E780&lt;&gt;""),"OK","ERRO: faltam "&amp;IF(A780="","CNPJ; ","")&amp;IF(E780="","Novo gerente; ","")))</f>
      </c>
      <c r="K780" s="6">
        <f>IF(COUNTA(A780:F780)=0,"",IF(AND(LEFT(H780,4)&lt;&gt;"ERRO",I780="OK",J780="OK"),"OK","REVISAR"))</f>
      </c>
    </row>
    <row r="781">
      <c r="A781" s="5"/>
      <c r="B781" s="4"/>
      <c r="C781" s="4"/>
      <c r="D781" s="4"/>
      <c r="E781" s="5"/>
      <c r="F781" s="4"/>
      <c r="G781" s="6">
        <f>IF(A781="","",SUBSTITUTE(SUBSTITUTE(SUBSTITUTE(SUBSTITUTE(SUBSTITUTE(SUBSTITUTE(SUBSTITUTE(TRIM(A781),".",""),"/",""),"-","")," ",""),"(",""),")",""),"+",""))</f>
      </c>
      <c r="H781" s="6">
        <f>IF(G781="","",IF(LEN(G781)&lt;&gt;14,"ERRO: "&amp;LEN(G781)&amp;" dígitos",IF(NOT(ISNUMBER(VALUE(G781))),"ERRO: não numérico",IF(AND(VALUE(MID(G781,13,1))=IF(MOD(SUMPRODUCT(--MID(G781,{1,2,3,4,5,6,7,8,9,10,11,12},1),{5,4,3,2,9,8,7,6,5,4,3,2}),11)&lt;2,0,11-MOD(SUMPRODUCT(--MID(G781,{1,2,3,4,5,6,7,8,9,10,11,12},1),{5,4,3,2,9,8,7,6,5,4,3,2}),11)),VALUE(MID(G781,14,1))=IF(MOD(SUMPRODUCT(--MID(G781,{1,2,3,4,5,6,7,8,9,10,11,12,13},1),{6,5,4,3,2,9,8,7,6,5,4,3,2}),11)&lt;2,0,11-MOD(SUMPRODUCT(--MID(G781,{1,2,3,4,5,6,7,8,9,10,11,12,13},1),{6,5,4,3,2,9,8,7,6,5,4,3,2}),11))),"OK","AVISO: dígito verificador (conferir na org)"))))</f>
      </c>
      <c r="I781" s="6">
        <f>IF(G781="","",IF(COUNTIF($G$2:$G$2001,G781)&gt;1,"DUPLICADO","OK"))</f>
      </c>
      <c r="J781" s="6">
        <f>IF(COUNTA(A781:F781)=0,"",IF(AND(A781&lt;&gt;"",E781&lt;&gt;""),"OK","ERRO: faltam "&amp;IF(A781="","CNPJ; ","")&amp;IF(E781="","Novo gerente; ","")))</f>
      </c>
      <c r="K781" s="6">
        <f>IF(COUNTA(A781:F781)=0,"",IF(AND(LEFT(H781,4)&lt;&gt;"ERRO",I781="OK",J781="OK"),"OK","REVISAR"))</f>
      </c>
    </row>
    <row r="782">
      <c r="A782" s="5"/>
      <c r="B782" s="4"/>
      <c r="C782" s="4"/>
      <c r="D782" s="4"/>
      <c r="E782" s="5"/>
      <c r="F782" s="4"/>
      <c r="G782" s="6">
        <f>IF(A782="","",SUBSTITUTE(SUBSTITUTE(SUBSTITUTE(SUBSTITUTE(SUBSTITUTE(SUBSTITUTE(SUBSTITUTE(TRIM(A782),".",""),"/",""),"-","")," ",""),"(",""),")",""),"+",""))</f>
      </c>
      <c r="H782" s="6">
        <f>IF(G782="","",IF(LEN(G782)&lt;&gt;14,"ERRO: "&amp;LEN(G782)&amp;" dígitos",IF(NOT(ISNUMBER(VALUE(G782))),"ERRO: não numérico",IF(AND(VALUE(MID(G782,13,1))=IF(MOD(SUMPRODUCT(--MID(G782,{1,2,3,4,5,6,7,8,9,10,11,12},1),{5,4,3,2,9,8,7,6,5,4,3,2}),11)&lt;2,0,11-MOD(SUMPRODUCT(--MID(G782,{1,2,3,4,5,6,7,8,9,10,11,12},1),{5,4,3,2,9,8,7,6,5,4,3,2}),11)),VALUE(MID(G782,14,1))=IF(MOD(SUMPRODUCT(--MID(G782,{1,2,3,4,5,6,7,8,9,10,11,12,13},1),{6,5,4,3,2,9,8,7,6,5,4,3,2}),11)&lt;2,0,11-MOD(SUMPRODUCT(--MID(G782,{1,2,3,4,5,6,7,8,9,10,11,12,13},1),{6,5,4,3,2,9,8,7,6,5,4,3,2}),11))),"OK","AVISO: dígito verificador (conferir na org)"))))</f>
      </c>
      <c r="I782" s="6">
        <f>IF(G782="","",IF(COUNTIF($G$2:$G$2001,G782)&gt;1,"DUPLICADO","OK"))</f>
      </c>
      <c r="J782" s="6">
        <f>IF(COUNTA(A782:F782)=0,"",IF(AND(A782&lt;&gt;"",E782&lt;&gt;""),"OK","ERRO: faltam "&amp;IF(A782="","CNPJ; ","")&amp;IF(E782="","Novo gerente; ","")))</f>
      </c>
      <c r="K782" s="6">
        <f>IF(COUNTA(A782:F782)=0,"",IF(AND(LEFT(H782,4)&lt;&gt;"ERRO",I782="OK",J782="OK"),"OK","REVISAR"))</f>
      </c>
    </row>
    <row r="783">
      <c r="A783" s="5"/>
      <c r="B783" s="4"/>
      <c r="C783" s="4"/>
      <c r="D783" s="4"/>
      <c r="E783" s="5"/>
      <c r="F783" s="4"/>
      <c r="G783" s="6">
        <f>IF(A783="","",SUBSTITUTE(SUBSTITUTE(SUBSTITUTE(SUBSTITUTE(SUBSTITUTE(SUBSTITUTE(SUBSTITUTE(TRIM(A783),".",""),"/",""),"-","")," ",""),"(",""),")",""),"+",""))</f>
      </c>
      <c r="H783" s="6">
        <f>IF(G783="","",IF(LEN(G783)&lt;&gt;14,"ERRO: "&amp;LEN(G783)&amp;" dígitos",IF(NOT(ISNUMBER(VALUE(G783))),"ERRO: não numérico",IF(AND(VALUE(MID(G783,13,1))=IF(MOD(SUMPRODUCT(--MID(G783,{1,2,3,4,5,6,7,8,9,10,11,12},1),{5,4,3,2,9,8,7,6,5,4,3,2}),11)&lt;2,0,11-MOD(SUMPRODUCT(--MID(G783,{1,2,3,4,5,6,7,8,9,10,11,12},1),{5,4,3,2,9,8,7,6,5,4,3,2}),11)),VALUE(MID(G783,14,1))=IF(MOD(SUMPRODUCT(--MID(G783,{1,2,3,4,5,6,7,8,9,10,11,12,13},1),{6,5,4,3,2,9,8,7,6,5,4,3,2}),11)&lt;2,0,11-MOD(SUMPRODUCT(--MID(G783,{1,2,3,4,5,6,7,8,9,10,11,12,13},1),{6,5,4,3,2,9,8,7,6,5,4,3,2}),11))),"OK","AVISO: dígito verificador (conferir na org)"))))</f>
      </c>
      <c r="I783" s="6">
        <f>IF(G783="","",IF(COUNTIF($G$2:$G$2001,G783)&gt;1,"DUPLICADO","OK"))</f>
      </c>
      <c r="J783" s="6">
        <f>IF(COUNTA(A783:F783)=0,"",IF(AND(A783&lt;&gt;"",E783&lt;&gt;""),"OK","ERRO: faltam "&amp;IF(A783="","CNPJ; ","")&amp;IF(E783="","Novo gerente; ","")))</f>
      </c>
      <c r="K783" s="6">
        <f>IF(COUNTA(A783:F783)=0,"",IF(AND(LEFT(H783,4)&lt;&gt;"ERRO",I783="OK",J783="OK"),"OK","REVISAR"))</f>
      </c>
    </row>
    <row r="784">
      <c r="A784" s="5"/>
      <c r="B784" s="4"/>
      <c r="C784" s="4"/>
      <c r="D784" s="4"/>
      <c r="E784" s="5"/>
      <c r="F784" s="4"/>
      <c r="G784" s="6">
        <f>IF(A784="","",SUBSTITUTE(SUBSTITUTE(SUBSTITUTE(SUBSTITUTE(SUBSTITUTE(SUBSTITUTE(SUBSTITUTE(TRIM(A784),".",""),"/",""),"-","")," ",""),"(",""),")",""),"+",""))</f>
      </c>
      <c r="H784" s="6">
        <f>IF(G784="","",IF(LEN(G784)&lt;&gt;14,"ERRO: "&amp;LEN(G784)&amp;" dígitos",IF(NOT(ISNUMBER(VALUE(G784))),"ERRO: não numérico",IF(AND(VALUE(MID(G784,13,1))=IF(MOD(SUMPRODUCT(--MID(G784,{1,2,3,4,5,6,7,8,9,10,11,12},1),{5,4,3,2,9,8,7,6,5,4,3,2}),11)&lt;2,0,11-MOD(SUMPRODUCT(--MID(G784,{1,2,3,4,5,6,7,8,9,10,11,12},1),{5,4,3,2,9,8,7,6,5,4,3,2}),11)),VALUE(MID(G784,14,1))=IF(MOD(SUMPRODUCT(--MID(G784,{1,2,3,4,5,6,7,8,9,10,11,12,13},1),{6,5,4,3,2,9,8,7,6,5,4,3,2}),11)&lt;2,0,11-MOD(SUMPRODUCT(--MID(G784,{1,2,3,4,5,6,7,8,9,10,11,12,13},1),{6,5,4,3,2,9,8,7,6,5,4,3,2}),11))),"OK","AVISO: dígito verificador (conferir na org)"))))</f>
      </c>
      <c r="I784" s="6">
        <f>IF(G784="","",IF(COUNTIF($G$2:$G$2001,G784)&gt;1,"DUPLICADO","OK"))</f>
      </c>
      <c r="J784" s="6">
        <f>IF(COUNTA(A784:F784)=0,"",IF(AND(A784&lt;&gt;"",E784&lt;&gt;""),"OK","ERRO: faltam "&amp;IF(A784="","CNPJ; ","")&amp;IF(E784="","Novo gerente; ","")))</f>
      </c>
      <c r="K784" s="6">
        <f>IF(COUNTA(A784:F784)=0,"",IF(AND(LEFT(H784,4)&lt;&gt;"ERRO",I784="OK",J784="OK"),"OK","REVISAR"))</f>
      </c>
    </row>
    <row r="785">
      <c r="A785" s="5"/>
      <c r="B785" s="4"/>
      <c r="C785" s="4"/>
      <c r="D785" s="4"/>
      <c r="E785" s="5"/>
      <c r="F785" s="4"/>
      <c r="G785" s="6">
        <f>IF(A785="","",SUBSTITUTE(SUBSTITUTE(SUBSTITUTE(SUBSTITUTE(SUBSTITUTE(SUBSTITUTE(SUBSTITUTE(TRIM(A785),".",""),"/",""),"-","")," ",""),"(",""),")",""),"+",""))</f>
      </c>
      <c r="H785" s="6">
        <f>IF(G785="","",IF(LEN(G785)&lt;&gt;14,"ERRO: "&amp;LEN(G785)&amp;" dígitos",IF(NOT(ISNUMBER(VALUE(G785))),"ERRO: não numérico",IF(AND(VALUE(MID(G785,13,1))=IF(MOD(SUMPRODUCT(--MID(G785,{1,2,3,4,5,6,7,8,9,10,11,12},1),{5,4,3,2,9,8,7,6,5,4,3,2}),11)&lt;2,0,11-MOD(SUMPRODUCT(--MID(G785,{1,2,3,4,5,6,7,8,9,10,11,12},1),{5,4,3,2,9,8,7,6,5,4,3,2}),11)),VALUE(MID(G785,14,1))=IF(MOD(SUMPRODUCT(--MID(G785,{1,2,3,4,5,6,7,8,9,10,11,12,13},1),{6,5,4,3,2,9,8,7,6,5,4,3,2}),11)&lt;2,0,11-MOD(SUMPRODUCT(--MID(G785,{1,2,3,4,5,6,7,8,9,10,11,12,13},1),{6,5,4,3,2,9,8,7,6,5,4,3,2}),11))),"OK","AVISO: dígito verificador (conferir na org)"))))</f>
      </c>
      <c r="I785" s="6">
        <f>IF(G785="","",IF(COUNTIF($G$2:$G$2001,G785)&gt;1,"DUPLICADO","OK"))</f>
      </c>
      <c r="J785" s="6">
        <f>IF(COUNTA(A785:F785)=0,"",IF(AND(A785&lt;&gt;"",E785&lt;&gt;""),"OK","ERRO: faltam "&amp;IF(A785="","CNPJ; ","")&amp;IF(E785="","Novo gerente; ","")))</f>
      </c>
      <c r="K785" s="6">
        <f>IF(COUNTA(A785:F785)=0,"",IF(AND(LEFT(H785,4)&lt;&gt;"ERRO",I785="OK",J785="OK"),"OK","REVISAR"))</f>
      </c>
    </row>
    <row r="786">
      <c r="A786" s="5"/>
      <c r="B786" s="4"/>
      <c r="C786" s="4"/>
      <c r="D786" s="4"/>
      <c r="E786" s="5"/>
      <c r="F786" s="4"/>
      <c r="G786" s="6">
        <f>IF(A786="","",SUBSTITUTE(SUBSTITUTE(SUBSTITUTE(SUBSTITUTE(SUBSTITUTE(SUBSTITUTE(SUBSTITUTE(TRIM(A786),".",""),"/",""),"-","")," ",""),"(",""),")",""),"+",""))</f>
      </c>
      <c r="H786" s="6">
        <f>IF(G786="","",IF(LEN(G786)&lt;&gt;14,"ERRO: "&amp;LEN(G786)&amp;" dígitos",IF(NOT(ISNUMBER(VALUE(G786))),"ERRO: não numérico",IF(AND(VALUE(MID(G786,13,1))=IF(MOD(SUMPRODUCT(--MID(G786,{1,2,3,4,5,6,7,8,9,10,11,12},1),{5,4,3,2,9,8,7,6,5,4,3,2}),11)&lt;2,0,11-MOD(SUMPRODUCT(--MID(G786,{1,2,3,4,5,6,7,8,9,10,11,12},1),{5,4,3,2,9,8,7,6,5,4,3,2}),11)),VALUE(MID(G786,14,1))=IF(MOD(SUMPRODUCT(--MID(G786,{1,2,3,4,5,6,7,8,9,10,11,12,13},1),{6,5,4,3,2,9,8,7,6,5,4,3,2}),11)&lt;2,0,11-MOD(SUMPRODUCT(--MID(G786,{1,2,3,4,5,6,7,8,9,10,11,12,13},1),{6,5,4,3,2,9,8,7,6,5,4,3,2}),11))),"OK","AVISO: dígito verificador (conferir na org)"))))</f>
      </c>
      <c r="I786" s="6">
        <f>IF(G786="","",IF(COUNTIF($G$2:$G$2001,G786)&gt;1,"DUPLICADO","OK"))</f>
      </c>
      <c r="J786" s="6">
        <f>IF(COUNTA(A786:F786)=0,"",IF(AND(A786&lt;&gt;"",E786&lt;&gt;""),"OK","ERRO: faltam "&amp;IF(A786="","CNPJ; ","")&amp;IF(E786="","Novo gerente; ","")))</f>
      </c>
      <c r="K786" s="6">
        <f>IF(COUNTA(A786:F786)=0,"",IF(AND(LEFT(H786,4)&lt;&gt;"ERRO",I786="OK",J786="OK"),"OK","REVISAR"))</f>
      </c>
    </row>
    <row r="787">
      <c r="A787" s="5"/>
      <c r="B787" s="4"/>
      <c r="C787" s="4"/>
      <c r="D787" s="4"/>
      <c r="E787" s="5"/>
      <c r="F787" s="4"/>
      <c r="G787" s="6">
        <f>IF(A787="","",SUBSTITUTE(SUBSTITUTE(SUBSTITUTE(SUBSTITUTE(SUBSTITUTE(SUBSTITUTE(SUBSTITUTE(TRIM(A787),".",""),"/",""),"-","")," ",""),"(",""),")",""),"+",""))</f>
      </c>
      <c r="H787" s="6">
        <f>IF(G787="","",IF(LEN(G787)&lt;&gt;14,"ERRO: "&amp;LEN(G787)&amp;" dígitos",IF(NOT(ISNUMBER(VALUE(G787))),"ERRO: não numérico",IF(AND(VALUE(MID(G787,13,1))=IF(MOD(SUMPRODUCT(--MID(G787,{1,2,3,4,5,6,7,8,9,10,11,12},1),{5,4,3,2,9,8,7,6,5,4,3,2}),11)&lt;2,0,11-MOD(SUMPRODUCT(--MID(G787,{1,2,3,4,5,6,7,8,9,10,11,12},1),{5,4,3,2,9,8,7,6,5,4,3,2}),11)),VALUE(MID(G787,14,1))=IF(MOD(SUMPRODUCT(--MID(G787,{1,2,3,4,5,6,7,8,9,10,11,12,13},1),{6,5,4,3,2,9,8,7,6,5,4,3,2}),11)&lt;2,0,11-MOD(SUMPRODUCT(--MID(G787,{1,2,3,4,5,6,7,8,9,10,11,12,13},1),{6,5,4,3,2,9,8,7,6,5,4,3,2}),11))),"OK","AVISO: dígito verificador (conferir na org)"))))</f>
      </c>
      <c r="I787" s="6">
        <f>IF(G787="","",IF(COUNTIF($G$2:$G$2001,G787)&gt;1,"DUPLICADO","OK"))</f>
      </c>
      <c r="J787" s="6">
        <f>IF(COUNTA(A787:F787)=0,"",IF(AND(A787&lt;&gt;"",E787&lt;&gt;""),"OK","ERRO: faltam "&amp;IF(A787="","CNPJ; ","")&amp;IF(E787="","Novo gerente; ","")))</f>
      </c>
      <c r="K787" s="6">
        <f>IF(COUNTA(A787:F787)=0,"",IF(AND(LEFT(H787,4)&lt;&gt;"ERRO",I787="OK",J787="OK"),"OK","REVISAR"))</f>
      </c>
    </row>
    <row r="788">
      <c r="A788" s="5"/>
      <c r="B788" s="4"/>
      <c r="C788" s="4"/>
      <c r="D788" s="4"/>
      <c r="E788" s="5"/>
      <c r="F788" s="4"/>
      <c r="G788" s="6">
        <f>IF(A788="","",SUBSTITUTE(SUBSTITUTE(SUBSTITUTE(SUBSTITUTE(SUBSTITUTE(SUBSTITUTE(SUBSTITUTE(TRIM(A788),".",""),"/",""),"-","")," ",""),"(",""),")",""),"+",""))</f>
      </c>
      <c r="H788" s="6">
        <f>IF(G788="","",IF(LEN(G788)&lt;&gt;14,"ERRO: "&amp;LEN(G788)&amp;" dígitos",IF(NOT(ISNUMBER(VALUE(G788))),"ERRO: não numérico",IF(AND(VALUE(MID(G788,13,1))=IF(MOD(SUMPRODUCT(--MID(G788,{1,2,3,4,5,6,7,8,9,10,11,12},1),{5,4,3,2,9,8,7,6,5,4,3,2}),11)&lt;2,0,11-MOD(SUMPRODUCT(--MID(G788,{1,2,3,4,5,6,7,8,9,10,11,12},1),{5,4,3,2,9,8,7,6,5,4,3,2}),11)),VALUE(MID(G788,14,1))=IF(MOD(SUMPRODUCT(--MID(G788,{1,2,3,4,5,6,7,8,9,10,11,12,13},1),{6,5,4,3,2,9,8,7,6,5,4,3,2}),11)&lt;2,0,11-MOD(SUMPRODUCT(--MID(G788,{1,2,3,4,5,6,7,8,9,10,11,12,13},1),{6,5,4,3,2,9,8,7,6,5,4,3,2}),11))),"OK","AVISO: dígito verificador (conferir na org)"))))</f>
      </c>
      <c r="I788" s="6">
        <f>IF(G788="","",IF(COUNTIF($G$2:$G$2001,G788)&gt;1,"DUPLICADO","OK"))</f>
      </c>
      <c r="J788" s="6">
        <f>IF(COUNTA(A788:F788)=0,"",IF(AND(A788&lt;&gt;"",E788&lt;&gt;""),"OK","ERRO: faltam "&amp;IF(A788="","CNPJ; ","")&amp;IF(E788="","Novo gerente; ","")))</f>
      </c>
      <c r="K788" s="6">
        <f>IF(COUNTA(A788:F788)=0,"",IF(AND(LEFT(H788,4)&lt;&gt;"ERRO",I788="OK",J788="OK"),"OK","REVISAR"))</f>
      </c>
    </row>
    <row r="789">
      <c r="A789" s="5"/>
      <c r="B789" s="4"/>
      <c r="C789" s="4"/>
      <c r="D789" s="4"/>
      <c r="E789" s="5"/>
      <c r="F789" s="4"/>
      <c r="G789" s="6">
        <f>IF(A789="","",SUBSTITUTE(SUBSTITUTE(SUBSTITUTE(SUBSTITUTE(SUBSTITUTE(SUBSTITUTE(SUBSTITUTE(TRIM(A789),".",""),"/",""),"-","")," ",""),"(",""),")",""),"+",""))</f>
      </c>
      <c r="H789" s="6">
        <f>IF(G789="","",IF(LEN(G789)&lt;&gt;14,"ERRO: "&amp;LEN(G789)&amp;" dígitos",IF(NOT(ISNUMBER(VALUE(G789))),"ERRO: não numérico",IF(AND(VALUE(MID(G789,13,1))=IF(MOD(SUMPRODUCT(--MID(G789,{1,2,3,4,5,6,7,8,9,10,11,12},1),{5,4,3,2,9,8,7,6,5,4,3,2}),11)&lt;2,0,11-MOD(SUMPRODUCT(--MID(G789,{1,2,3,4,5,6,7,8,9,10,11,12},1),{5,4,3,2,9,8,7,6,5,4,3,2}),11)),VALUE(MID(G789,14,1))=IF(MOD(SUMPRODUCT(--MID(G789,{1,2,3,4,5,6,7,8,9,10,11,12,13},1),{6,5,4,3,2,9,8,7,6,5,4,3,2}),11)&lt;2,0,11-MOD(SUMPRODUCT(--MID(G789,{1,2,3,4,5,6,7,8,9,10,11,12,13},1),{6,5,4,3,2,9,8,7,6,5,4,3,2}),11))),"OK","AVISO: dígito verificador (conferir na org)"))))</f>
      </c>
      <c r="I789" s="6">
        <f>IF(G789="","",IF(COUNTIF($G$2:$G$2001,G789)&gt;1,"DUPLICADO","OK"))</f>
      </c>
      <c r="J789" s="6">
        <f>IF(COUNTA(A789:F789)=0,"",IF(AND(A789&lt;&gt;"",E789&lt;&gt;""),"OK","ERRO: faltam "&amp;IF(A789="","CNPJ; ","")&amp;IF(E789="","Novo gerente; ","")))</f>
      </c>
      <c r="K789" s="6">
        <f>IF(COUNTA(A789:F789)=0,"",IF(AND(LEFT(H789,4)&lt;&gt;"ERRO",I789="OK",J789="OK"),"OK","REVISAR"))</f>
      </c>
    </row>
    <row r="790">
      <c r="A790" s="5"/>
      <c r="B790" s="4"/>
      <c r="C790" s="4"/>
      <c r="D790" s="4"/>
      <c r="E790" s="5"/>
      <c r="F790" s="4"/>
      <c r="G790" s="6">
        <f>IF(A790="","",SUBSTITUTE(SUBSTITUTE(SUBSTITUTE(SUBSTITUTE(SUBSTITUTE(SUBSTITUTE(SUBSTITUTE(TRIM(A790),".",""),"/",""),"-","")," ",""),"(",""),")",""),"+",""))</f>
      </c>
      <c r="H790" s="6">
        <f>IF(G790="","",IF(LEN(G790)&lt;&gt;14,"ERRO: "&amp;LEN(G790)&amp;" dígitos",IF(NOT(ISNUMBER(VALUE(G790))),"ERRO: não numérico",IF(AND(VALUE(MID(G790,13,1))=IF(MOD(SUMPRODUCT(--MID(G790,{1,2,3,4,5,6,7,8,9,10,11,12},1),{5,4,3,2,9,8,7,6,5,4,3,2}),11)&lt;2,0,11-MOD(SUMPRODUCT(--MID(G790,{1,2,3,4,5,6,7,8,9,10,11,12},1),{5,4,3,2,9,8,7,6,5,4,3,2}),11)),VALUE(MID(G790,14,1))=IF(MOD(SUMPRODUCT(--MID(G790,{1,2,3,4,5,6,7,8,9,10,11,12,13},1),{6,5,4,3,2,9,8,7,6,5,4,3,2}),11)&lt;2,0,11-MOD(SUMPRODUCT(--MID(G790,{1,2,3,4,5,6,7,8,9,10,11,12,13},1),{6,5,4,3,2,9,8,7,6,5,4,3,2}),11))),"OK","AVISO: dígito verificador (conferir na org)"))))</f>
      </c>
      <c r="I790" s="6">
        <f>IF(G790="","",IF(COUNTIF($G$2:$G$2001,G790)&gt;1,"DUPLICADO","OK"))</f>
      </c>
      <c r="J790" s="6">
        <f>IF(COUNTA(A790:F790)=0,"",IF(AND(A790&lt;&gt;"",E790&lt;&gt;""),"OK","ERRO: faltam "&amp;IF(A790="","CNPJ; ","")&amp;IF(E790="","Novo gerente; ","")))</f>
      </c>
      <c r="K790" s="6">
        <f>IF(COUNTA(A790:F790)=0,"",IF(AND(LEFT(H790,4)&lt;&gt;"ERRO",I790="OK",J790="OK"),"OK","REVISAR"))</f>
      </c>
    </row>
    <row r="791">
      <c r="A791" s="5"/>
      <c r="B791" s="4"/>
      <c r="C791" s="4"/>
      <c r="D791" s="4"/>
      <c r="E791" s="5"/>
      <c r="F791" s="4"/>
      <c r="G791" s="6">
        <f>IF(A791="","",SUBSTITUTE(SUBSTITUTE(SUBSTITUTE(SUBSTITUTE(SUBSTITUTE(SUBSTITUTE(SUBSTITUTE(TRIM(A791),".",""),"/",""),"-","")," ",""),"(",""),")",""),"+",""))</f>
      </c>
      <c r="H791" s="6">
        <f>IF(G791="","",IF(LEN(G791)&lt;&gt;14,"ERRO: "&amp;LEN(G791)&amp;" dígitos",IF(NOT(ISNUMBER(VALUE(G791))),"ERRO: não numérico",IF(AND(VALUE(MID(G791,13,1))=IF(MOD(SUMPRODUCT(--MID(G791,{1,2,3,4,5,6,7,8,9,10,11,12},1),{5,4,3,2,9,8,7,6,5,4,3,2}),11)&lt;2,0,11-MOD(SUMPRODUCT(--MID(G791,{1,2,3,4,5,6,7,8,9,10,11,12},1),{5,4,3,2,9,8,7,6,5,4,3,2}),11)),VALUE(MID(G791,14,1))=IF(MOD(SUMPRODUCT(--MID(G791,{1,2,3,4,5,6,7,8,9,10,11,12,13},1),{6,5,4,3,2,9,8,7,6,5,4,3,2}),11)&lt;2,0,11-MOD(SUMPRODUCT(--MID(G791,{1,2,3,4,5,6,7,8,9,10,11,12,13},1),{6,5,4,3,2,9,8,7,6,5,4,3,2}),11))),"OK","AVISO: dígito verificador (conferir na org)"))))</f>
      </c>
      <c r="I791" s="6">
        <f>IF(G791="","",IF(COUNTIF($G$2:$G$2001,G791)&gt;1,"DUPLICADO","OK"))</f>
      </c>
      <c r="J791" s="6">
        <f>IF(COUNTA(A791:F791)=0,"",IF(AND(A791&lt;&gt;"",E791&lt;&gt;""),"OK","ERRO: faltam "&amp;IF(A791="","CNPJ; ","")&amp;IF(E791="","Novo gerente; ","")))</f>
      </c>
      <c r="K791" s="6">
        <f>IF(COUNTA(A791:F791)=0,"",IF(AND(LEFT(H791,4)&lt;&gt;"ERRO",I791="OK",J791="OK"),"OK","REVISAR"))</f>
      </c>
    </row>
    <row r="792">
      <c r="A792" s="5"/>
      <c r="B792" s="4"/>
      <c r="C792" s="4"/>
      <c r="D792" s="4"/>
      <c r="E792" s="5"/>
      <c r="F792" s="4"/>
      <c r="G792" s="6">
        <f>IF(A792="","",SUBSTITUTE(SUBSTITUTE(SUBSTITUTE(SUBSTITUTE(SUBSTITUTE(SUBSTITUTE(SUBSTITUTE(TRIM(A792),".",""),"/",""),"-","")," ",""),"(",""),")",""),"+",""))</f>
      </c>
      <c r="H792" s="6">
        <f>IF(G792="","",IF(LEN(G792)&lt;&gt;14,"ERRO: "&amp;LEN(G792)&amp;" dígitos",IF(NOT(ISNUMBER(VALUE(G792))),"ERRO: não numérico",IF(AND(VALUE(MID(G792,13,1))=IF(MOD(SUMPRODUCT(--MID(G792,{1,2,3,4,5,6,7,8,9,10,11,12},1),{5,4,3,2,9,8,7,6,5,4,3,2}),11)&lt;2,0,11-MOD(SUMPRODUCT(--MID(G792,{1,2,3,4,5,6,7,8,9,10,11,12},1),{5,4,3,2,9,8,7,6,5,4,3,2}),11)),VALUE(MID(G792,14,1))=IF(MOD(SUMPRODUCT(--MID(G792,{1,2,3,4,5,6,7,8,9,10,11,12,13},1),{6,5,4,3,2,9,8,7,6,5,4,3,2}),11)&lt;2,0,11-MOD(SUMPRODUCT(--MID(G792,{1,2,3,4,5,6,7,8,9,10,11,12,13},1),{6,5,4,3,2,9,8,7,6,5,4,3,2}),11))),"OK","AVISO: dígito verificador (conferir na org)"))))</f>
      </c>
      <c r="I792" s="6">
        <f>IF(G792="","",IF(COUNTIF($G$2:$G$2001,G792)&gt;1,"DUPLICADO","OK"))</f>
      </c>
      <c r="J792" s="6">
        <f>IF(COUNTA(A792:F792)=0,"",IF(AND(A792&lt;&gt;"",E792&lt;&gt;""),"OK","ERRO: faltam "&amp;IF(A792="","CNPJ; ","")&amp;IF(E792="","Novo gerente; ","")))</f>
      </c>
      <c r="K792" s="6">
        <f>IF(COUNTA(A792:F792)=0,"",IF(AND(LEFT(H792,4)&lt;&gt;"ERRO",I792="OK",J792="OK"),"OK","REVISAR"))</f>
      </c>
    </row>
    <row r="793">
      <c r="A793" s="5"/>
      <c r="B793" s="4"/>
      <c r="C793" s="4"/>
      <c r="D793" s="4"/>
      <c r="E793" s="5"/>
      <c r="F793" s="4"/>
      <c r="G793" s="6">
        <f>IF(A793="","",SUBSTITUTE(SUBSTITUTE(SUBSTITUTE(SUBSTITUTE(SUBSTITUTE(SUBSTITUTE(SUBSTITUTE(TRIM(A793),".",""),"/",""),"-","")," ",""),"(",""),")",""),"+",""))</f>
      </c>
      <c r="H793" s="6">
        <f>IF(G793="","",IF(LEN(G793)&lt;&gt;14,"ERRO: "&amp;LEN(G793)&amp;" dígitos",IF(NOT(ISNUMBER(VALUE(G793))),"ERRO: não numérico",IF(AND(VALUE(MID(G793,13,1))=IF(MOD(SUMPRODUCT(--MID(G793,{1,2,3,4,5,6,7,8,9,10,11,12},1),{5,4,3,2,9,8,7,6,5,4,3,2}),11)&lt;2,0,11-MOD(SUMPRODUCT(--MID(G793,{1,2,3,4,5,6,7,8,9,10,11,12},1),{5,4,3,2,9,8,7,6,5,4,3,2}),11)),VALUE(MID(G793,14,1))=IF(MOD(SUMPRODUCT(--MID(G793,{1,2,3,4,5,6,7,8,9,10,11,12,13},1),{6,5,4,3,2,9,8,7,6,5,4,3,2}),11)&lt;2,0,11-MOD(SUMPRODUCT(--MID(G793,{1,2,3,4,5,6,7,8,9,10,11,12,13},1),{6,5,4,3,2,9,8,7,6,5,4,3,2}),11))),"OK","AVISO: dígito verificador (conferir na org)"))))</f>
      </c>
      <c r="I793" s="6">
        <f>IF(G793="","",IF(COUNTIF($G$2:$G$2001,G793)&gt;1,"DUPLICADO","OK"))</f>
      </c>
      <c r="J793" s="6">
        <f>IF(COUNTA(A793:F793)=0,"",IF(AND(A793&lt;&gt;"",E793&lt;&gt;""),"OK","ERRO: faltam "&amp;IF(A793="","CNPJ; ","")&amp;IF(E793="","Novo gerente; ","")))</f>
      </c>
      <c r="K793" s="6">
        <f>IF(COUNTA(A793:F793)=0,"",IF(AND(LEFT(H793,4)&lt;&gt;"ERRO",I793="OK",J793="OK"),"OK","REVISAR"))</f>
      </c>
    </row>
    <row r="794">
      <c r="A794" s="5"/>
      <c r="B794" s="4"/>
      <c r="C794" s="4"/>
      <c r="D794" s="4"/>
      <c r="E794" s="5"/>
      <c r="F794" s="4"/>
      <c r="G794" s="6">
        <f>IF(A794="","",SUBSTITUTE(SUBSTITUTE(SUBSTITUTE(SUBSTITUTE(SUBSTITUTE(SUBSTITUTE(SUBSTITUTE(TRIM(A794),".",""),"/",""),"-","")," ",""),"(",""),")",""),"+",""))</f>
      </c>
      <c r="H794" s="6">
        <f>IF(G794="","",IF(LEN(G794)&lt;&gt;14,"ERRO: "&amp;LEN(G794)&amp;" dígitos",IF(NOT(ISNUMBER(VALUE(G794))),"ERRO: não numérico",IF(AND(VALUE(MID(G794,13,1))=IF(MOD(SUMPRODUCT(--MID(G794,{1,2,3,4,5,6,7,8,9,10,11,12},1),{5,4,3,2,9,8,7,6,5,4,3,2}),11)&lt;2,0,11-MOD(SUMPRODUCT(--MID(G794,{1,2,3,4,5,6,7,8,9,10,11,12},1),{5,4,3,2,9,8,7,6,5,4,3,2}),11)),VALUE(MID(G794,14,1))=IF(MOD(SUMPRODUCT(--MID(G794,{1,2,3,4,5,6,7,8,9,10,11,12,13},1),{6,5,4,3,2,9,8,7,6,5,4,3,2}),11)&lt;2,0,11-MOD(SUMPRODUCT(--MID(G794,{1,2,3,4,5,6,7,8,9,10,11,12,13},1),{6,5,4,3,2,9,8,7,6,5,4,3,2}),11))),"OK","AVISO: dígito verificador (conferir na org)"))))</f>
      </c>
      <c r="I794" s="6">
        <f>IF(G794="","",IF(COUNTIF($G$2:$G$2001,G794)&gt;1,"DUPLICADO","OK"))</f>
      </c>
      <c r="J794" s="6">
        <f>IF(COUNTA(A794:F794)=0,"",IF(AND(A794&lt;&gt;"",E794&lt;&gt;""),"OK","ERRO: faltam "&amp;IF(A794="","CNPJ; ","")&amp;IF(E794="","Novo gerente; ","")))</f>
      </c>
      <c r="K794" s="6">
        <f>IF(COUNTA(A794:F794)=0,"",IF(AND(LEFT(H794,4)&lt;&gt;"ERRO",I794="OK",J794="OK"),"OK","REVISAR"))</f>
      </c>
    </row>
    <row r="795">
      <c r="A795" s="5"/>
      <c r="B795" s="4"/>
      <c r="C795" s="4"/>
      <c r="D795" s="4"/>
      <c r="E795" s="5"/>
      <c r="F795" s="4"/>
      <c r="G795" s="6">
        <f>IF(A795="","",SUBSTITUTE(SUBSTITUTE(SUBSTITUTE(SUBSTITUTE(SUBSTITUTE(SUBSTITUTE(SUBSTITUTE(TRIM(A795),".",""),"/",""),"-","")," ",""),"(",""),")",""),"+",""))</f>
      </c>
      <c r="H795" s="6">
        <f>IF(G795="","",IF(LEN(G795)&lt;&gt;14,"ERRO: "&amp;LEN(G795)&amp;" dígitos",IF(NOT(ISNUMBER(VALUE(G795))),"ERRO: não numérico",IF(AND(VALUE(MID(G795,13,1))=IF(MOD(SUMPRODUCT(--MID(G795,{1,2,3,4,5,6,7,8,9,10,11,12},1),{5,4,3,2,9,8,7,6,5,4,3,2}),11)&lt;2,0,11-MOD(SUMPRODUCT(--MID(G795,{1,2,3,4,5,6,7,8,9,10,11,12},1),{5,4,3,2,9,8,7,6,5,4,3,2}),11)),VALUE(MID(G795,14,1))=IF(MOD(SUMPRODUCT(--MID(G795,{1,2,3,4,5,6,7,8,9,10,11,12,13},1),{6,5,4,3,2,9,8,7,6,5,4,3,2}),11)&lt;2,0,11-MOD(SUMPRODUCT(--MID(G795,{1,2,3,4,5,6,7,8,9,10,11,12,13},1),{6,5,4,3,2,9,8,7,6,5,4,3,2}),11))),"OK","AVISO: dígito verificador (conferir na org)"))))</f>
      </c>
      <c r="I795" s="6">
        <f>IF(G795="","",IF(COUNTIF($G$2:$G$2001,G795)&gt;1,"DUPLICADO","OK"))</f>
      </c>
      <c r="J795" s="6">
        <f>IF(COUNTA(A795:F795)=0,"",IF(AND(A795&lt;&gt;"",E795&lt;&gt;""),"OK","ERRO: faltam "&amp;IF(A795="","CNPJ; ","")&amp;IF(E795="","Novo gerente; ","")))</f>
      </c>
      <c r="K795" s="6">
        <f>IF(COUNTA(A795:F795)=0,"",IF(AND(LEFT(H795,4)&lt;&gt;"ERRO",I795="OK",J795="OK"),"OK","REVISAR"))</f>
      </c>
    </row>
    <row r="796">
      <c r="A796" s="5"/>
      <c r="B796" s="4"/>
      <c r="C796" s="4"/>
      <c r="D796" s="4"/>
      <c r="E796" s="5"/>
      <c r="F796" s="4"/>
      <c r="G796" s="6">
        <f>IF(A796="","",SUBSTITUTE(SUBSTITUTE(SUBSTITUTE(SUBSTITUTE(SUBSTITUTE(SUBSTITUTE(SUBSTITUTE(TRIM(A796),".",""),"/",""),"-","")," ",""),"(",""),")",""),"+",""))</f>
      </c>
      <c r="H796" s="6">
        <f>IF(G796="","",IF(LEN(G796)&lt;&gt;14,"ERRO: "&amp;LEN(G796)&amp;" dígitos",IF(NOT(ISNUMBER(VALUE(G796))),"ERRO: não numérico",IF(AND(VALUE(MID(G796,13,1))=IF(MOD(SUMPRODUCT(--MID(G796,{1,2,3,4,5,6,7,8,9,10,11,12},1),{5,4,3,2,9,8,7,6,5,4,3,2}),11)&lt;2,0,11-MOD(SUMPRODUCT(--MID(G796,{1,2,3,4,5,6,7,8,9,10,11,12},1),{5,4,3,2,9,8,7,6,5,4,3,2}),11)),VALUE(MID(G796,14,1))=IF(MOD(SUMPRODUCT(--MID(G796,{1,2,3,4,5,6,7,8,9,10,11,12,13},1),{6,5,4,3,2,9,8,7,6,5,4,3,2}),11)&lt;2,0,11-MOD(SUMPRODUCT(--MID(G796,{1,2,3,4,5,6,7,8,9,10,11,12,13},1),{6,5,4,3,2,9,8,7,6,5,4,3,2}),11))),"OK","AVISO: dígito verificador (conferir na org)"))))</f>
      </c>
      <c r="I796" s="6">
        <f>IF(G796="","",IF(COUNTIF($G$2:$G$2001,G796)&gt;1,"DUPLICADO","OK"))</f>
      </c>
      <c r="J796" s="6">
        <f>IF(COUNTA(A796:F796)=0,"",IF(AND(A796&lt;&gt;"",E796&lt;&gt;""),"OK","ERRO: faltam "&amp;IF(A796="","CNPJ; ","")&amp;IF(E796="","Novo gerente; ","")))</f>
      </c>
      <c r="K796" s="6">
        <f>IF(COUNTA(A796:F796)=0,"",IF(AND(LEFT(H796,4)&lt;&gt;"ERRO",I796="OK",J796="OK"),"OK","REVISAR"))</f>
      </c>
    </row>
    <row r="797">
      <c r="A797" s="5"/>
      <c r="B797" s="4"/>
      <c r="C797" s="4"/>
      <c r="D797" s="4"/>
      <c r="E797" s="5"/>
      <c r="F797" s="4"/>
      <c r="G797" s="6">
        <f>IF(A797="","",SUBSTITUTE(SUBSTITUTE(SUBSTITUTE(SUBSTITUTE(SUBSTITUTE(SUBSTITUTE(SUBSTITUTE(TRIM(A797),".",""),"/",""),"-","")," ",""),"(",""),")",""),"+",""))</f>
      </c>
      <c r="H797" s="6">
        <f>IF(G797="","",IF(LEN(G797)&lt;&gt;14,"ERRO: "&amp;LEN(G797)&amp;" dígitos",IF(NOT(ISNUMBER(VALUE(G797))),"ERRO: não numérico",IF(AND(VALUE(MID(G797,13,1))=IF(MOD(SUMPRODUCT(--MID(G797,{1,2,3,4,5,6,7,8,9,10,11,12},1),{5,4,3,2,9,8,7,6,5,4,3,2}),11)&lt;2,0,11-MOD(SUMPRODUCT(--MID(G797,{1,2,3,4,5,6,7,8,9,10,11,12},1),{5,4,3,2,9,8,7,6,5,4,3,2}),11)),VALUE(MID(G797,14,1))=IF(MOD(SUMPRODUCT(--MID(G797,{1,2,3,4,5,6,7,8,9,10,11,12,13},1),{6,5,4,3,2,9,8,7,6,5,4,3,2}),11)&lt;2,0,11-MOD(SUMPRODUCT(--MID(G797,{1,2,3,4,5,6,7,8,9,10,11,12,13},1),{6,5,4,3,2,9,8,7,6,5,4,3,2}),11))),"OK","AVISO: dígito verificador (conferir na org)"))))</f>
      </c>
      <c r="I797" s="6">
        <f>IF(G797="","",IF(COUNTIF($G$2:$G$2001,G797)&gt;1,"DUPLICADO","OK"))</f>
      </c>
      <c r="J797" s="6">
        <f>IF(COUNTA(A797:F797)=0,"",IF(AND(A797&lt;&gt;"",E797&lt;&gt;""),"OK","ERRO: faltam "&amp;IF(A797="","CNPJ; ","")&amp;IF(E797="","Novo gerente; ","")))</f>
      </c>
      <c r="K797" s="6">
        <f>IF(COUNTA(A797:F797)=0,"",IF(AND(LEFT(H797,4)&lt;&gt;"ERRO",I797="OK",J797="OK"),"OK","REVISAR"))</f>
      </c>
    </row>
    <row r="798">
      <c r="A798" s="5"/>
      <c r="B798" s="4"/>
      <c r="C798" s="4"/>
      <c r="D798" s="4"/>
      <c r="E798" s="5"/>
      <c r="F798" s="4"/>
      <c r="G798" s="6">
        <f>IF(A798="","",SUBSTITUTE(SUBSTITUTE(SUBSTITUTE(SUBSTITUTE(SUBSTITUTE(SUBSTITUTE(SUBSTITUTE(TRIM(A798),".",""),"/",""),"-","")," ",""),"(",""),")",""),"+",""))</f>
      </c>
      <c r="H798" s="6">
        <f>IF(G798="","",IF(LEN(G798)&lt;&gt;14,"ERRO: "&amp;LEN(G798)&amp;" dígitos",IF(NOT(ISNUMBER(VALUE(G798))),"ERRO: não numérico",IF(AND(VALUE(MID(G798,13,1))=IF(MOD(SUMPRODUCT(--MID(G798,{1,2,3,4,5,6,7,8,9,10,11,12},1),{5,4,3,2,9,8,7,6,5,4,3,2}),11)&lt;2,0,11-MOD(SUMPRODUCT(--MID(G798,{1,2,3,4,5,6,7,8,9,10,11,12},1),{5,4,3,2,9,8,7,6,5,4,3,2}),11)),VALUE(MID(G798,14,1))=IF(MOD(SUMPRODUCT(--MID(G798,{1,2,3,4,5,6,7,8,9,10,11,12,13},1),{6,5,4,3,2,9,8,7,6,5,4,3,2}),11)&lt;2,0,11-MOD(SUMPRODUCT(--MID(G798,{1,2,3,4,5,6,7,8,9,10,11,12,13},1),{6,5,4,3,2,9,8,7,6,5,4,3,2}),11))),"OK","AVISO: dígito verificador (conferir na org)"))))</f>
      </c>
      <c r="I798" s="6">
        <f>IF(G798="","",IF(COUNTIF($G$2:$G$2001,G798)&gt;1,"DUPLICADO","OK"))</f>
      </c>
      <c r="J798" s="6">
        <f>IF(COUNTA(A798:F798)=0,"",IF(AND(A798&lt;&gt;"",E798&lt;&gt;""),"OK","ERRO: faltam "&amp;IF(A798="","CNPJ; ","")&amp;IF(E798="","Novo gerente; ","")))</f>
      </c>
      <c r="K798" s="6">
        <f>IF(COUNTA(A798:F798)=0,"",IF(AND(LEFT(H798,4)&lt;&gt;"ERRO",I798="OK",J798="OK"),"OK","REVISAR"))</f>
      </c>
    </row>
    <row r="799">
      <c r="A799" s="5"/>
      <c r="B799" s="4"/>
      <c r="C799" s="4"/>
      <c r="D799" s="4"/>
      <c r="E799" s="5"/>
      <c r="F799" s="4"/>
      <c r="G799" s="6">
        <f>IF(A799="","",SUBSTITUTE(SUBSTITUTE(SUBSTITUTE(SUBSTITUTE(SUBSTITUTE(SUBSTITUTE(SUBSTITUTE(TRIM(A799),".",""),"/",""),"-","")," ",""),"(",""),")",""),"+",""))</f>
      </c>
      <c r="H799" s="6">
        <f>IF(G799="","",IF(LEN(G799)&lt;&gt;14,"ERRO: "&amp;LEN(G799)&amp;" dígitos",IF(NOT(ISNUMBER(VALUE(G799))),"ERRO: não numérico",IF(AND(VALUE(MID(G799,13,1))=IF(MOD(SUMPRODUCT(--MID(G799,{1,2,3,4,5,6,7,8,9,10,11,12},1),{5,4,3,2,9,8,7,6,5,4,3,2}),11)&lt;2,0,11-MOD(SUMPRODUCT(--MID(G799,{1,2,3,4,5,6,7,8,9,10,11,12},1),{5,4,3,2,9,8,7,6,5,4,3,2}),11)),VALUE(MID(G799,14,1))=IF(MOD(SUMPRODUCT(--MID(G799,{1,2,3,4,5,6,7,8,9,10,11,12,13},1),{6,5,4,3,2,9,8,7,6,5,4,3,2}),11)&lt;2,0,11-MOD(SUMPRODUCT(--MID(G799,{1,2,3,4,5,6,7,8,9,10,11,12,13},1),{6,5,4,3,2,9,8,7,6,5,4,3,2}),11))),"OK","AVISO: dígito verificador (conferir na org)"))))</f>
      </c>
      <c r="I799" s="6">
        <f>IF(G799="","",IF(COUNTIF($G$2:$G$2001,G799)&gt;1,"DUPLICADO","OK"))</f>
      </c>
      <c r="J799" s="6">
        <f>IF(COUNTA(A799:F799)=0,"",IF(AND(A799&lt;&gt;"",E799&lt;&gt;""),"OK","ERRO: faltam "&amp;IF(A799="","CNPJ; ","")&amp;IF(E799="","Novo gerente; ","")))</f>
      </c>
      <c r="K799" s="6">
        <f>IF(COUNTA(A799:F799)=0,"",IF(AND(LEFT(H799,4)&lt;&gt;"ERRO",I799="OK",J799="OK"),"OK","REVISAR"))</f>
      </c>
    </row>
    <row r="800">
      <c r="A800" s="5"/>
      <c r="B800" s="4"/>
      <c r="C800" s="4"/>
      <c r="D800" s="4"/>
      <c r="E800" s="5"/>
      <c r="F800" s="4"/>
      <c r="G800" s="6">
        <f>IF(A800="","",SUBSTITUTE(SUBSTITUTE(SUBSTITUTE(SUBSTITUTE(SUBSTITUTE(SUBSTITUTE(SUBSTITUTE(TRIM(A800),".",""),"/",""),"-","")," ",""),"(",""),")",""),"+",""))</f>
      </c>
      <c r="H800" s="6">
        <f>IF(G800="","",IF(LEN(G800)&lt;&gt;14,"ERRO: "&amp;LEN(G800)&amp;" dígitos",IF(NOT(ISNUMBER(VALUE(G800))),"ERRO: não numérico",IF(AND(VALUE(MID(G800,13,1))=IF(MOD(SUMPRODUCT(--MID(G800,{1,2,3,4,5,6,7,8,9,10,11,12},1),{5,4,3,2,9,8,7,6,5,4,3,2}),11)&lt;2,0,11-MOD(SUMPRODUCT(--MID(G800,{1,2,3,4,5,6,7,8,9,10,11,12},1),{5,4,3,2,9,8,7,6,5,4,3,2}),11)),VALUE(MID(G800,14,1))=IF(MOD(SUMPRODUCT(--MID(G800,{1,2,3,4,5,6,7,8,9,10,11,12,13},1),{6,5,4,3,2,9,8,7,6,5,4,3,2}),11)&lt;2,0,11-MOD(SUMPRODUCT(--MID(G800,{1,2,3,4,5,6,7,8,9,10,11,12,13},1),{6,5,4,3,2,9,8,7,6,5,4,3,2}),11))),"OK","AVISO: dígito verificador (conferir na org)"))))</f>
      </c>
      <c r="I800" s="6">
        <f>IF(G800="","",IF(COUNTIF($G$2:$G$2001,G800)&gt;1,"DUPLICADO","OK"))</f>
      </c>
      <c r="J800" s="6">
        <f>IF(COUNTA(A800:F800)=0,"",IF(AND(A800&lt;&gt;"",E800&lt;&gt;""),"OK","ERRO: faltam "&amp;IF(A800="","CNPJ; ","")&amp;IF(E800="","Novo gerente; ","")))</f>
      </c>
      <c r="K800" s="6">
        <f>IF(COUNTA(A800:F800)=0,"",IF(AND(LEFT(H800,4)&lt;&gt;"ERRO",I800="OK",J800="OK"),"OK","REVISAR"))</f>
      </c>
    </row>
    <row r="801">
      <c r="A801" s="5"/>
      <c r="B801" s="4"/>
      <c r="C801" s="4"/>
      <c r="D801" s="4"/>
      <c r="E801" s="5"/>
      <c r="F801" s="4"/>
      <c r="G801" s="6">
        <f>IF(A801="","",SUBSTITUTE(SUBSTITUTE(SUBSTITUTE(SUBSTITUTE(SUBSTITUTE(SUBSTITUTE(SUBSTITUTE(TRIM(A801),".",""),"/",""),"-","")," ",""),"(",""),")",""),"+",""))</f>
      </c>
      <c r="H801" s="6">
        <f>IF(G801="","",IF(LEN(G801)&lt;&gt;14,"ERRO: "&amp;LEN(G801)&amp;" dígitos",IF(NOT(ISNUMBER(VALUE(G801))),"ERRO: não numérico",IF(AND(VALUE(MID(G801,13,1))=IF(MOD(SUMPRODUCT(--MID(G801,{1,2,3,4,5,6,7,8,9,10,11,12},1),{5,4,3,2,9,8,7,6,5,4,3,2}),11)&lt;2,0,11-MOD(SUMPRODUCT(--MID(G801,{1,2,3,4,5,6,7,8,9,10,11,12},1),{5,4,3,2,9,8,7,6,5,4,3,2}),11)),VALUE(MID(G801,14,1))=IF(MOD(SUMPRODUCT(--MID(G801,{1,2,3,4,5,6,7,8,9,10,11,12,13},1),{6,5,4,3,2,9,8,7,6,5,4,3,2}),11)&lt;2,0,11-MOD(SUMPRODUCT(--MID(G801,{1,2,3,4,5,6,7,8,9,10,11,12,13},1),{6,5,4,3,2,9,8,7,6,5,4,3,2}),11))),"OK","AVISO: dígito verificador (conferir na org)"))))</f>
      </c>
      <c r="I801" s="6">
        <f>IF(G801="","",IF(COUNTIF($G$2:$G$2001,G801)&gt;1,"DUPLICADO","OK"))</f>
      </c>
      <c r="J801" s="6">
        <f>IF(COUNTA(A801:F801)=0,"",IF(AND(A801&lt;&gt;"",E801&lt;&gt;""),"OK","ERRO: faltam "&amp;IF(A801="","CNPJ; ","")&amp;IF(E801="","Novo gerente; ","")))</f>
      </c>
      <c r="K801" s="6">
        <f>IF(COUNTA(A801:F801)=0,"",IF(AND(LEFT(H801,4)&lt;&gt;"ERRO",I801="OK",J801="OK"),"OK","REVISAR"))</f>
      </c>
    </row>
    <row r="802">
      <c r="A802" s="5"/>
      <c r="B802" s="4"/>
      <c r="C802" s="4"/>
      <c r="D802" s="4"/>
      <c r="E802" s="5"/>
      <c r="F802" s="4"/>
      <c r="G802" s="6">
        <f>IF(A802="","",SUBSTITUTE(SUBSTITUTE(SUBSTITUTE(SUBSTITUTE(SUBSTITUTE(SUBSTITUTE(SUBSTITUTE(TRIM(A802),".",""),"/",""),"-","")," ",""),"(",""),")",""),"+",""))</f>
      </c>
      <c r="H802" s="6">
        <f>IF(G802="","",IF(LEN(G802)&lt;&gt;14,"ERRO: "&amp;LEN(G802)&amp;" dígitos",IF(NOT(ISNUMBER(VALUE(G802))),"ERRO: não numérico",IF(AND(VALUE(MID(G802,13,1))=IF(MOD(SUMPRODUCT(--MID(G802,{1,2,3,4,5,6,7,8,9,10,11,12},1),{5,4,3,2,9,8,7,6,5,4,3,2}),11)&lt;2,0,11-MOD(SUMPRODUCT(--MID(G802,{1,2,3,4,5,6,7,8,9,10,11,12},1),{5,4,3,2,9,8,7,6,5,4,3,2}),11)),VALUE(MID(G802,14,1))=IF(MOD(SUMPRODUCT(--MID(G802,{1,2,3,4,5,6,7,8,9,10,11,12,13},1),{6,5,4,3,2,9,8,7,6,5,4,3,2}),11)&lt;2,0,11-MOD(SUMPRODUCT(--MID(G802,{1,2,3,4,5,6,7,8,9,10,11,12,13},1),{6,5,4,3,2,9,8,7,6,5,4,3,2}),11))),"OK","AVISO: dígito verificador (conferir na org)"))))</f>
      </c>
      <c r="I802" s="6">
        <f>IF(G802="","",IF(COUNTIF($G$2:$G$2001,G802)&gt;1,"DUPLICADO","OK"))</f>
      </c>
      <c r="J802" s="6">
        <f>IF(COUNTA(A802:F802)=0,"",IF(AND(A802&lt;&gt;"",E802&lt;&gt;""),"OK","ERRO: faltam "&amp;IF(A802="","CNPJ; ","")&amp;IF(E802="","Novo gerente; ","")))</f>
      </c>
      <c r="K802" s="6">
        <f>IF(COUNTA(A802:F802)=0,"",IF(AND(LEFT(H802,4)&lt;&gt;"ERRO",I802="OK",J802="OK"),"OK","REVISAR"))</f>
      </c>
    </row>
    <row r="803">
      <c r="A803" s="5"/>
      <c r="B803" s="4"/>
      <c r="C803" s="4"/>
      <c r="D803" s="4"/>
      <c r="E803" s="5"/>
      <c r="F803" s="4"/>
      <c r="G803" s="6">
        <f>IF(A803="","",SUBSTITUTE(SUBSTITUTE(SUBSTITUTE(SUBSTITUTE(SUBSTITUTE(SUBSTITUTE(SUBSTITUTE(TRIM(A803),".",""),"/",""),"-","")," ",""),"(",""),")",""),"+",""))</f>
      </c>
      <c r="H803" s="6">
        <f>IF(G803="","",IF(LEN(G803)&lt;&gt;14,"ERRO: "&amp;LEN(G803)&amp;" dígitos",IF(NOT(ISNUMBER(VALUE(G803))),"ERRO: não numérico",IF(AND(VALUE(MID(G803,13,1))=IF(MOD(SUMPRODUCT(--MID(G803,{1,2,3,4,5,6,7,8,9,10,11,12},1),{5,4,3,2,9,8,7,6,5,4,3,2}),11)&lt;2,0,11-MOD(SUMPRODUCT(--MID(G803,{1,2,3,4,5,6,7,8,9,10,11,12},1),{5,4,3,2,9,8,7,6,5,4,3,2}),11)),VALUE(MID(G803,14,1))=IF(MOD(SUMPRODUCT(--MID(G803,{1,2,3,4,5,6,7,8,9,10,11,12,13},1),{6,5,4,3,2,9,8,7,6,5,4,3,2}),11)&lt;2,0,11-MOD(SUMPRODUCT(--MID(G803,{1,2,3,4,5,6,7,8,9,10,11,12,13},1),{6,5,4,3,2,9,8,7,6,5,4,3,2}),11))),"OK","AVISO: dígito verificador (conferir na org)"))))</f>
      </c>
      <c r="I803" s="6">
        <f>IF(G803="","",IF(COUNTIF($G$2:$G$2001,G803)&gt;1,"DUPLICADO","OK"))</f>
      </c>
      <c r="J803" s="6">
        <f>IF(COUNTA(A803:F803)=0,"",IF(AND(A803&lt;&gt;"",E803&lt;&gt;""),"OK","ERRO: faltam "&amp;IF(A803="","CNPJ; ","")&amp;IF(E803="","Novo gerente; ","")))</f>
      </c>
      <c r="K803" s="6">
        <f>IF(COUNTA(A803:F803)=0,"",IF(AND(LEFT(H803,4)&lt;&gt;"ERRO",I803="OK",J803="OK"),"OK","REVISAR"))</f>
      </c>
    </row>
    <row r="804">
      <c r="A804" s="5"/>
      <c r="B804" s="4"/>
      <c r="C804" s="4"/>
      <c r="D804" s="4"/>
      <c r="E804" s="5"/>
      <c r="F804" s="4"/>
      <c r="G804" s="6">
        <f>IF(A804="","",SUBSTITUTE(SUBSTITUTE(SUBSTITUTE(SUBSTITUTE(SUBSTITUTE(SUBSTITUTE(SUBSTITUTE(TRIM(A804),".",""),"/",""),"-","")," ",""),"(",""),")",""),"+",""))</f>
      </c>
      <c r="H804" s="6">
        <f>IF(G804="","",IF(LEN(G804)&lt;&gt;14,"ERRO: "&amp;LEN(G804)&amp;" dígitos",IF(NOT(ISNUMBER(VALUE(G804))),"ERRO: não numérico",IF(AND(VALUE(MID(G804,13,1))=IF(MOD(SUMPRODUCT(--MID(G804,{1,2,3,4,5,6,7,8,9,10,11,12},1),{5,4,3,2,9,8,7,6,5,4,3,2}),11)&lt;2,0,11-MOD(SUMPRODUCT(--MID(G804,{1,2,3,4,5,6,7,8,9,10,11,12},1),{5,4,3,2,9,8,7,6,5,4,3,2}),11)),VALUE(MID(G804,14,1))=IF(MOD(SUMPRODUCT(--MID(G804,{1,2,3,4,5,6,7,8,9,10,11,12,13},1),{6,5,4,3,2,9,8,7,6,5,4,3,2}),11)&lt;2,0,11-MOD(SUMPRODUCT(--MID(G804,{1,2,3,4,5,6,7,8,9,10,11,12,13},1),{6,5,4,3,2,9,8,7,6,5,4,3,2}),11))),"OK","AVISO: dígito verificador (conferir na org)"))))</f>
      </c>
      <c r="I804" s="6">
        <f>IF(G804="","",IF(COUNTIF($G$2:$G$2001,G804)&gt;1,"DUPLICADO","OK"))</f>
      </c>
      <c r="J804" s="6">
        <f>IF(COUNTA(A804:F804)=0,"",IF(AND(A804&lt;&gt;"",E804&lt;&gt;""),"OK","ERRO: faltam "&amp;IF(A804="","CNPJ; ","")&amp;IF(E804="","Novo gerente; ","")))</f>
      </c>
      <c r="K804" s="6">
        <f>IF(COUNTA(A804:F804)=0,"",IF(AND(LEFT(H804,4)&lt;&gt;"ERRO",I804="OK",J804="OK"),"OK","REVISAR"))</f>
      </c>
    </row>
    <row r="805">
      <c r="A805" s="5"/>
      <c r="B805" s="4"/>
      <c r="C805" s="4"/>
      <c r="D805" s="4"/>
      <c r="E805" s="5"/>
      <c r="F805" s="4"/>
      <c r="G805" s="6">
        <f>IF(A805="","",SUBSTITUTE(SUBSTITUTE(SUBSTITUTE(SUBSTITUTE(SUBSTITUTE(SUBSTITUTE(SUBSTITUTE(TRIM(A805),".",""),"/",""),"-","")," ",""),"(",""),")",""),"+",""))</f>
      </c>
      <c r="H805" s="6">
        <f>IF(G805="","",IF(LEN(G805)&lt;&gt;14,"ERRO: "&amp;LEN(G805)&amp;" dígitos",IF(NOT(ISNUMBER(VALUE(G805))),"ERRO: não numérico",IF(AND(VALUE(MID(G805,13,1))=IF(MOD(SUMPRODUCT(--MID(G805,{1,2,3,4,5,6,7,8,9,10,11,12},1),{5,4,3,2,9,8,7,6,5,4,3,2}),11)&lt;2,0,11-MOD(SUMPRODUCT(--MID(G805,{1,2,3,4,5,6,7,8,9,10,11,12},1),{5,4,3,2,9,8,7,6,5,4,3,2}),11)),VALUE(MID(G805,14,1))=IF(MOD(SUMPRODUCT(--MID(G805,{1,2,3,4,5,6,7,8,9,10,11,12,13},1),{6,5,4,3,2,9,8,7,6,5,4,3,2}),11)&lt;2,0,11-MOD(SUMPRODUCT(--MID(G805,{1,2,3,4,5,6,7,8,9,10,11,12,13},1),{6,5,4,3,2,9,8,7,6,5,4,3,2}),11))),"OK","AVISO: dígito verificador (conferir na org)"))))</f>
      </c>
      <c r="I805" s="6">
        <f>IF(G805="","",IF(COUNTIF($G$2:$G$2001,G805)&gt;1,"DUPLICADO","OK"))</f>
      </c>
      <c r="J805" s="6">
        <f>IF(COUNTA(A805:F805)=0,"",IF(AND(A805&lt;&gt;"",E805&lt;&gt;""),"OK","ERRO: faltam "&amp;IF(A805="","CNPJ; ","")&amp;IF(E805="","Novo gerente; ","")))</f>
      </c>
      <c r="K805" s="6">
        <f>IF(COUNTA(A805:F805)=0,"",IF(AND(LEFT(H805,4)&lt;&gt;"ERRO",I805="OK",J805="OK"),"OK","REVISAR"))</f>
      </c>
    </row>
    <row r="806">
      <c r="A806" s="5"/>
      <c r="B806" s="4"/>
      <c r="C806" s="4"/>
      <c r="D806" s="4"/>
      <c r="E806" s="5"/>
      <c r="F806" s="4"/>
      <c r="G806" s="6">
        <f>IF(A806="","",SUBSTITUTE(SUBSTITUTE(SUBSTITUTE(SUBSTITUTE(SUBSTITUTE(SUBSTITUTE(SUBSTITUTE(TRIM(A806),".",""),"/",""),"-","")," ",""),"(",""),")",""),"+",""))</f>
      </c>
      <c r="H806" s="6">
        <f>IF(G806="","",IF(LEN(G806)&lt;&gt;14,"ERRO: "&amp;LEN(G806)&amp;" dígitos",IF(NOT(ISNUMBER(VALUE(G806))),"ERRO: não numérico",IF(AND(VALUE(MID(G806,13,1))=IF(MOD(SUMPRODUCT(--MID(G806,{1,2,3,4,5,6,7,8,9,10,11,12},1),{5,4,3,2,9,8,7,6,5,4,3,2}),11)&lt;2,0,11-MOD(SUMPRODUCT(--MID(G806,{1,2,3,4,5,6,7,8,9,10,11,12},1),{5,4,3,2,9,8,7,6,5,4,3,2}),11)),VALUE(MID(G806,14,1))=IF(MOD(SUMPRODUCT(--MID(G806,{1,2,3,4,5,6,7,8,9,10,11,12,13},1),{6,5,4,3,2,9,8,7,6,5,4,3,2}),11)&lt;2,0,11-MOD(SUMPRODUCT(--MID(G806,{1,2,3,4,5,6,7,8,9,10,11,12,13},1),{6,5,4,3,2,9,8,7,6,5,4,3,2}),11))),"OK","AVISO: dígito verificador (conferir na org)"))))</f>
      </c>
      <c r="I806" s="6">
        <f>IF(G806="","",IF(COUNTIF($G$2:$G$2001,G806)&gt;1,"DUPLICADO","OK"))</f>
      </c>
      <c r="J806" s="6">
        <f>IF(COUNTA(A806:F806)=0,"",IF(AND(A806&lt;&gt;"",E806&lt;&gt;""),"OK","ERRO: faltam "&amp;IF(A806="","CNPJ; ","")&amp;IF(E806="","Novo gerente; ","")))</f>
      </c>
      <c r="K806" s="6">
        <f>IF(COUNTA(A806:F806)=0,"",IF(AND(LEFT(H806,4)&lt;&gt;"ERRO",I806="OK",J806="OK"),"OK","REVISAR"))</f>
      </c>
    </row>
    <row r="807">
      <c r="A807" s="5"/>
      <c r="B807" s="4"/>
      <c r="C807" s="4"/>
      <c r="D807" s="4"/>
      <c r="E807" s="5"/>
      <c r="F807" s="4"/>
      <c r="G807" s="6">
        <f>IF(A807="","",SUBSTITUTE(SUBSTITUTE(SUBSTITUTE(SUBSTITUTE(SUBSTITUTE(SUBSTITUTE(SUBSTITUTE(TRIM(A807),".",""),"/",""),"-","")," ",""),"(",""),")",""),"+",""))</f>
      </c>
      <c r="H807" s="6">
        <f>IF(G807="","",IF(LEN(G807)&lt;&gt;14,"ERRO: "&amp;LEN(G807)&amp;" dígitos",IF(NOT(ISNUMBER(VALUE(G807))),"ERRO: não numérico",IF(AND(VALUE(MID(G807,13,1))=IF(MOD(SUMPRODUCT(--MID(G807,{1,2,3,4,5,6,7,8,9,10,11,12},1),{5,4,3,2,9,8,7,6,5,4,3,2}),11)&lt;2,0,11-MOD(SUMPRODUCT(--MID(G807,{1,2,3,4,5,6,7,8,9,10,11,12},1),{5,4,3,2,9,8,7,6,5,4,3,2}),11)),VALUE(MID(G807,14,1))=IF(MOD(SUMPRODUCT(--MID(G807,{1,2,3,4,5,6,7,8,9,10,11,12,13},1),{6,5,4,3,2,9,8,7,6,5,4,3,2}),11)&lt;2,0,11-MOD(SUMPRODUCT(--MID(G807,{1,2,3,4,5,6,7,8,9,10,11,12,13},1),{6,5,4,3,2,9,8,7,6,5,4,3,2}),11))),"OK","AVISO: dígito verificador (conferir na org)"))))</f>
      </c>
      <c r="I807" s="6">
        <f>IF(G807="","",IF(COUNTIF($G$2:$G$2001,G807)&gt;1,"DUPLICADO","OK"))</f>
      </c>
      <c r="J807" s="6">
        <f>IF(COUNTA(A807:F807)=0,"",IF(AND(A807&lt;&gt;"",E807&lt;&gt;""),"OK","ERRO: faltam "&amp;IF(A807="","CNPJ; ","")&amp;IF(E807="","Novo gerente; ","")))</f>
      </c>
      <c r="K807" s="6">
        <f>IF(COUNTA(A807:F807)=0,"",IF(AND(LEFT(H807,4)&lt;&gt;"ERRO",I807="OK",J807="OK"),"OK","REVISAR"))</f>
      </c>
    </row>
    <row r="808">
      <c r="A808" s="5"/>
      <c r="B808" s="4"/>
      <c r="C808" s="4"/>
      <c r="D808" s="4"/>
      <c r="E808" s="5"/>
      <c r="F808" s="4"/>
      <c r="G808" s="6">
        <f>IF(A808="","",SUBSTITUTE(SUBSTITUTE(SUBSTITUTE(SUBSTITUTE(SUBSTITUTE(SUBSTITUTE(SUBSTITUTE(TRIM(A808),".",""),"/",""),"-","")," ",""),"(",""),")",""),"+",""))</f>
      </c>
      <c r="H808" s="6">
        <f>IF(G808="","",IF(LEN(G808)&lt;&gt;14,"ERRO: "&amp;LEN(G808)&amp;" dígitos",IF(NOT(ISNUMBER(VALUE(G808))),"ERRO: não numérico",IF(AND(VALUE(MID(G808,13,1))=IF(MOD(SUMPRODUCT(--MID(G808,{1,2,3,4,5,6,7,8,9,10,11,12},1),{5,4,3,2,9,8,7,6,5,4,3,2}),11)&lt;2,0,11-MOD(SUMPRODUCT(--MID(G808,{1,2,3,4,5,6,7,8,9,10,11,12},1),{5,4,3,2,9,8,7,6,5,4,3,2}),11)),VALUE(MID(G808,14,1))=IF(MOD(SUMPRODUCT(--MID(G808,{1,2,3,4,5,6,7,8,9,10,11,12,13},1),{6,5,4,3,2,9,8,7,6,5,4,3,2}),11)&lt;2,0,11-MOD(SUMPRODUCT(--MID(G808,{1,2,3,4,5,6,7,8,9,10,11,12,13},1),{6,5,4,3,2,9,8,7,6,5,4,3,2}),11))),"OK","AVISO: dígito verificador (conferir na org)"))))</f>
      </c>
      <c r="I808" s="6">
        <f>IF(G808="","",IF(COUNTIF($G$2:$G$2001,G808)&gt;1,"DUPLICADO","OK"))</f>
      </c>
      <c r="J808" s="6">
        <f>IF(COUNTA(A808:F808)=0,"",IF(AND(A808&lt;&gt;"",E808&lt;&gt;""),"OK","ERRO: faltam "&amp;IF(A808="","CNPJ; ","")&amp;IF(E808="","Novo gerente; ","")))</f>
      </c>
      <c r="K808" s="6">
        <f>IF(COUNTA(A808:F808)=0,"",IF(AND(LEFT(H808,4)&lt;&gt;"ERRO",I808="OK",J808="OK"),"OK","REVISAR"))</f>
      </c>
    </row>
    <row r="809">
      <c r="A809" s="5"/>
      <c r="B809" s="4"/>
      <c r="C809" s="4"/>
      <c r="D809" s="4"/>
      <c r="E809" s="5"/>
      <c r="F809" s="4"/>
      <c r="G809" s="6">
        <f>IF(A809="","",SUBSTITUTE(SUBSTITUTE(SUBSTITUTE(SUBSTITUTE(SUBSTITUTE(SUBSTITUTE(SUBSTITUTE(TRIM(A809),".",""),"/",""),"-","")," ",""),"(",""),")",""),"+",""))</f>
      </c>
      <c r="H809" s="6">
        <f>IF(G809="","",IF(LEN(G809)&lt;&gt;14,"ERRO: "&amp;LEN(G809)&amp;" dígitos",IF(NOT(ISNUMBER(VALUE(G809))),"ERRO: não numérico",IF(AND(VALUE(MID(G809,13,1))=IF(MOD(SUMPRODUCT(--MID(G809,{1,2,3,4,5,6,7,8,9,10,11,12},1),{5,4,3,2,9,8,7,6,5,4,3,2}),11)&lt;2,0,11-MOD(SUMPRODUCT(--MID(G809,{1,2,3,4,5,6,7,8,9,10,11,12},1),{5,4,3,2,9,8,7,6,5,4,3,2}),11)),VALUE(MID(G809,14,1))=IF(MOD(SUMPRODUCT(--MID(G809,{1,2,3,4,5,6,7,8,9,10,11,12,13},1),{6,5,4,3,2,9,8,7,6,5,4,3,2}),11)&lt;2,0,11-MOD(SUMPRODUCT(--MID(G809,{1,2,3,4,5,6,7,8,9,10,11,12,13},1),{6,5,4,3,2,9,8,7,6,5,4,3,2}),11))),"OK","AVISO: dígito verificador (conferir na org)"))))</f>
      </c>
      <c r="I809" s="6">
        <f>IF(G809="","",IF(COUNTIF($G$2:$G$2001,G809)&gt;1,"DUPLICADO","OK"))</f>
      </c>
      <c r="J809" s="6">
        <f>IF(COUNTA(A809:F809)=0,"",IF(AND(A809&lt;&gt;"",E809&lt;&gt;""),"OK","ERRO: faltam "&amp;IF(A809="","CNPJ; ","")&amp;IF(E809="","Novo gerente; ","")))</f>
      </c>
      <c r="K809" s="6">
        <f>IF(COUNTA(A809:F809)=0,"",IF(AND(LEFT(H809,4)&lt;&gt;"ERRO",I809="OK",J809="OK"),"OK","REVISAR"))</f>
      </c>
    </row>
    <row r="810">
      <c r="A810" s="5"/>
      <c r="B810" s="4"/>
      <c r="C810" s="4"/>
      <c r="D810" s="4"/>
      <c r="E810" s="5"/>
      <c r="F810" s="4"/>
      <c r="G810" s="6">
        <f>IF(A810="","",SUBSTITUTE(SUBSTITUTE(SUBSTITUTE(SUBSTITUTE(SUBSTITUTE(SUBSTITUTE(SUBSTITUTE(TRIM(A810),".",""),"/",""),"-","")," ",""),"(",""),")",""),"+",""))</f>
      </c>
      <c r="H810" s="6">
        <f>IF(G810="","",IF(LEN(G810)&lt;&gt;14,"ERRO: "&amp;LEN(G810)&amp;" dígitos",IF(NOT(ISNUMBER(VALUE(G810))),"ERRO: não numérico",IF(AND(VALUE(MID(G810,13,1))=IF(MOD(SUMPRODUCT(--MID(G810,{1,2,3,4,5,6,7,8,9,10,11,12},1),{5,4,3,2,9,8,7,6,5,4,3,2}),11)&lt;2,0,11-MOD(SUMPRODUCT(--MID(G810,{1,2,3,4,5,6,7,8,9,10,11,12},1),{5,4,3,2,9,8,7,6,5,4,3,2}),11)),VALUE(MID(G810,14,1))=IF(MOD(SUMPRODUCT(--MID(G810,{1,2,3,4,5,6,7,8,9,10,11,12,13},1),{6,5,4,3,2,9,8,7,6,5,4,3,2}),11)&lt;2,0,11-MOD(SUMPRODUCT(--MID(G810,{1,2,3,4,5,6,7,8,9,10,11,12,13},1),{6,5,4,3,2,9,8,7,6,5,4,3,2}),11))),"OK","AVISO: dígito verificador (conferir na org)"))))</f>
      </c>
      <c r="I810" s="6">
        <f>IF(G810="","",IF(COUNTIF($G$2:$G$2001,G810)&gt;1,"DUPLICADO","OK"))</f>
      </c>
      <c r="J810" s="6">
        <f>IF(COUNTA(A810:F810)=0,"",IF(AND(A810&lt;&gt;"",E810&lt;&gt;""),"OK","ERRO: faltam "&amp;IF(A810="","CNPJ; ","")&amp;IF(E810="","Novo gerente; ","")))</f>
      </c>
      <c r="K810" s="6">
        <f>IF(COUNTA(A810:F810)=0,"",IF(AND(LEFT(H810,4)&lt;&gt;"ERRO",I810="OK",J810="OK"),"OK","REVISAR"))</f>
      </c>
    </row>
    <row r="811">
      <c r="A811" s="5"/>
      <c r="B811" s="4"/>
      <c r="C811" s="4"/>
      <c r="D811" s="4"/>
      <c r="E811" s="5"/>
      <c r="F811" s="4"/>
      <c r="G811" s="6">
        <f>IF(A811="","",SUBSTITUTE(SUBSTITUTE(SUBSTITUTE(SUBSTITUTE(SUBSTITUTE(SUBSTITUTE(SUBSTITUTE(TRIM(A811),".",""),"/",""),"-","")," ",""),"(",""),")",""),"+",""))</f>
      </c>
      <c r="H811" s="6">
        <f>IF(G811="","",IF(LEN(G811)&lt;&gt;14,"ERRO: "&amp;LEN(G811)&amp;" dígitos",IF(NOT(ISNUMBER(VALUE(G811))),"ERRO: não numérico",IF(AND(VALUE(MID(G811,13,1))=IF(MOD(SUMPRODUCT(--MID(G811,{1,2,3,4,5,6,7,8,9,10,11,12},1),{5,4,3,2,9,8,7,6,5,4,3,2}),11)&lt;2,0,11-MOD(SUMPRODUCT(--MID(G811,{1,2,3,4,5,6,7,8,9,10,11,12},1),{5,4,3,2,9,8,7,6,5,4,3,2}),11)),VALUE(MID(G811,14,1))=IF(MOD(SUMPRODUCT(--MID(G811,{1,2,3,4,5,6,7,8,9,10,11,12,13},1),{6,5,4,3,2,9,8,7,6,5,4,3,2}),11)&lt;2,0,11-MOD(SUMPRODUCT(--MID(G811,{1,2,3,4,5,6,7,8,9,10,11,12,13},1),{6,5,4,3,2,9,8,7,6,5,4,3,2}),11))),"OK","AVISO: dígito verificador (conferir na org)"))))</f>
      </c>
      <c r="I811" s="6">
        <f>IF(G811="","",IF(COUNTIF($G$2:$G$2001,G811)&gt;1,"DUPLICADO","OK"))</f>
      </c>
      <c r="J811" s="6">
        <f>IF(COUNTA(A811:F811)=0,"",IF(AND(A811&lt;&gt;"",E811&lt;&gt;""),"OK","ERRO: faltam "&amp;IF(A811="","CNPJ; ","")&amp;IF(E811="","Novo gerente; ","")))</f>
      </c>
      <c r="K811" s="6">
        <f>IF(COUNTA(A811:F811)=0,"",IF(AND(LEFT(H811,4)&lt;&gt;"ERRO",I811="OK",J811="OK"),"OK","REVISAR"))</f>
      </c>
    </row>
    <row r="812">
      <c r="A812" s="5"/>
      <c r="B812" s="4"/>
      <c r="C812" s="4"/>
      <c r="D812" s="4"/>
      <c r="E812" s="5"/>
      <c r="F812" s="4"/>
      <c r="G812" s="6">
        <f>IF(A812="","",SUBSTITUTE(SUBSTITUTE(SUBSTITUTE(SUBSTITUTE(SUBSTITUTE(SUBSTITUTE(SUBSTITUTE(TRIM(A812),".",""),"/",""),"-","")," ",""),"(",""),")",""),"+",""))</f>
      </c>
      <c r="H812" s="6">
        <f>IF(G812="","",IF(LEN(G812)&lt;&gt;14,"ERRO: "&amp;LEN(G812)&amp;" dígitos",IF(NOT(ISNUMBER(VALUE(G812))),"ERRO: não numérico",IF(AND(VALUE(MID(G812,13,1))=IF(MOD(SUMPRODUCT(--MID(G812,{1,2,3,4,5,6,7,8,9,10,11,12},1),{5,4,3,2,9,8,7,6,5,4,3,2}),11)&lt;2,0,11-MOD(SUMPRODUCT(--MID(G812,{1,2,3,4,5,6,7,8,9,10,11,12},1),{5,4,3,2,9,8,7,6,5,4,3,2}),11)),VALUE(MID(G812,14,1))=IF(MOD(SUMPRODUCT(--MID(G812,{1,2,3,4,5,6,7,8,9,10,11,12,13},1),{6,5,4,3,2,9,8,7,6,5,4,3,2}),11)&lt;2,0,11-MOD(SUMPRODUCT(--MID(G812,{1,2,3,4,5,6,7,8,9,10,11,12,13},1),{6,5,4,3,2,9,8,7,6,5,4,3,2}),11))),"OK","AVISO: dígito verificador (conferir na org)"))))</f>
      </c>
      <c r="I812" s="6">
        <f>IF(G812="","",IF(COUNTIF($G$2:$G$2001,G812)&gt;1,"DUPLICADO","OK"))</f>
      </c>
      <c r="J812" s="6">
        <f>IF(COUNTA(A812:F812)=0,"",IF(AND(A812&lt;&gt;"",E812&lt;&gt;""),"OK","ERRO: faltam "&amp;IF(A812="","CNPJ; ","")&amp;IF(E812="","Novo gerente; ","")))</f>
      </c>
      <c r="K812" s="6">
        <f>IF(COUNTA(A812:F812)=0,"",IF(AND(LEFT(H812,4)&lt;&gt;"ERRO",I812="OK",J812="OK"),"OK","REVISAR"))</f>
      </c>
    </row>
    <row r="813">
      <c r="A813" s="5"/>
      <c r="B813" s="4"/>
      <c r="C813" s="4"/>
      <c r="D813" s="4"/>
      <c r="E813" s="5"/>
      <c r="F813" s="4"/>
      <c r="G813" s="6">
        <f>IF(A813="","",SUBSTITUTE(SUBSTITUTE(SUBSTITUTE(SUBSTITUTE(SUBSTITUTE(SUBSTITUTE(SUBSTITUTE(TRIM(A813),".",""),"/",""),"-","")," ",""),"(",""),")",""),"+",""))</f>
      </c>
      <c r="H813" s="6">
        <f>IF(G813="","",IF(LEN(G813)&lt;&gt;14,"ERRO: "&amp;LEN(G813)&amp;" dígitos",IF(NOT(ISNUMBER(VALUE(G813))),"ERRO: não numérico",IF(AND(VALUE(MID(G813,13,1))=IF(MOD(SUMPRODUCT(--MID(G813,{1,2,3,4,5,6,7,8,9,10,11,12},1),{5,4,3,2,9,8,7,6,5,4,3,2}),11)&lt;2,0,11-MOD(SUMPRODUCT(--MID(G813,{1,2,3,4,5,6,7,8,9,10,11,12},1),{5,4,3,2,9,8,7,6,5,4,3,2}),11)),VALUE(MID(G813,14,1))=IF(MOD(SUMPRODUCT(--MID(G813,{1,2,3,4,5,6,7,8,9,10,11,12,13},1),{6,5,4,3,2,9,8,7,6,5,4,3,2}),11)&lt;2,0,11-MOD(SUMPRODUCT(--MID(G813,{1,2,3,4,5,6,7,8,9,10,11,12,13},1),{6,5,4,3,2,9,8,7,6,5,4,3,2}),11))),"OK","AVISO: dígito verificador (conferir na org)"))))</f>
      </c>
      <c r="I813" s="6">
        <f>IF(G813="","",IF(COUNTIF($G$2:$G$2001,G813)&gt;1,"DUPLICADO","OK"))</f>
      </c>
      <c r="J813" s="6">
        <f>IF(COUNTA(A813:F813)=0,"",IF(AND(A813&lt;&gt;"",E813&lt;&gt;""),"OK","ERRO: faltam "&amp;IF(A813="","CNPJ; ","")&amp;IF(E813="","Novo gerente; ","")))</f>
      </c>
      <c r="K813" s="6">
        <f>IF(COUNTA(A813:F813)=0,"",IF(AND(LEFT(H813,4)&lt;&gt;"ERRO",I813="OK",J813="OK"),"OK","REVISAR"))</f>
      </c>
    </row>
    <row r="814">
      <c r="A814" s="5"/>
      <c r="B814" s="4"/>
      <c r="C814" s="4"/>
      <c r="D814" s="4"/>
      <c r="E814" s="5"/>
      <c r="F814" s="4"/>
      <c r="G814" s="6">
        <f>IF(A814="","",SUBSTITUTE(SUBSTITUTE(SUBSTITUTE(SUBSTITUTE(SUBSTITUTE(SUBSTITUTE(SUBSTITUTE(TRIM(A814),".",""),"/",""),"-","")," ",""),"(",""),")",""),"+",""))</f>
      </c>
      <c r="H814" s="6">
        <f>IF(G814="","",IF(LEN(G814)&lt;&gt;14,"ERRO: "&amp;LEN(G814)&amp;" dígitos",IF(NOT(ISNUMBER(VALUE(G814))),"ERRO: não numérico",IF(AND(VALUE(MID(G814,13,1))=IF(MOD(SUMPRODUCT(--MID(G814,{1,2,3,4,5,6,7,8,9,10,11,12},1),{5,4,3,2,9,8,7,6,5,4,3,2}),11)&lt;2,0,11-MOD(SUMPRODUCT(--MID(G814,{1,2,3,4,5,6,7,8,9,10,11,12},1),{5,4,3,2,9,8,7,6,5,4,3,2}),11)),VALUE(MID(G814,14,1))=IF(MOD(SUMPRODUCT(--MID(G814,{1,2,3,4,5,6,7,8,9,10,11,12,13},1),{6,5,4,3,2,9,8,7,6,5,4,3,2}),11)&lt;2,0,11-MOD(SUMPRODUCT(--MID(G814,{1,2,3,4,5,6,7,8,9,10,11,12,13},1),{6,5,4,3,2,9,8,7,6,5,4,3,2}),11))),"OK","AVISO: dígito verificador (conferir na org)"))))</f>
      </c>
      <c r="I814" s="6">
        <f>IF(G814="","",IF(COUNTIF($G$2:$G$2001,G814)&gt;1,"DUPLICADO","OK"))</f>
      </c>
      <c r="J814" s="6">
        <f>IF(COUNTA(A814:F814)=0,"",IF(AND(A814&lt;&gt;"",E814&lt;&gt;""),"OK","ERRO: faltam "&amp;IF(A814="","CNPJ; ","")&amp;IF(E814="","Novo gerente; ","")))</f>
      </c>
      <c r="K814" s="6">
        <f>IF(COUNTA(A814:F814)=0,"",IF(AND(LEFT(H814,4)&lt;&gt;"ERRO",I814="OK",J814="OK"),"OK","REVISAR"))</f>
      </c>
    </row>
    <row r="815">
      <c r="A815" s="5"/>
      <c r="B815" s="4"/>
      <c r="C815" s="4"/>
      <c r="D815" s="4"/>
      <c r="E815" s="5"/>
      <c r="F815" s="4"/>
      <c r="G815" s="6">
        <f>IF(A815="","",SUBSTITUTE(SUBSTITUTE(SUBSTITUTE(SUBSTITUTE(SUBSTITUTE(SUBSTITUTE(SUBSTITUTE(TRIM(A815),".",""),"/",""),"-","")," ",""),"(",""),")",""),"+",""))</f>
      </c>
      <c r="H815" s="6">
        <f>IF(G815="","",IF(LEN(G815)&lt;&gt;14,"ERRO: "&amp;LEN(G815)&amp;" dígitos",IF(NOT(ISNUMBER(VALUE(G815))),"ERRO: não numérico",IF(AND(VALUE(MID(G815,13,1))=IF(MOD(SUMPRODUCT(--MID(G815,{1,2,3,4,5,6,7,8,9,10,11,12},1),{5,4,3,2,9,8,7,6,5,4,3,2}),11)&lt;2,0,11-MOD(SUMPRODUCT(--MID(G815,{1,2,3,4,5,6,7,8,9,10,11,12},1),{5,4,3,2,9,8,7,6,5,4,3,2}),11)),VALUE(MID(G815,14,1))=IF(MOD(SUMPRODUCT(--MID(G815,{1,2,3,4,5,6,7,8,9,10,11,12,13},1),{6,5,4,3,2,9,8,7,6,5,4,3,2}),11)&lt;2,0,11-MOD(SUMPRODUCT(--MID(G815,{1,2,3,4,5,6,7,8,9,10,11,12,13},1),{6,5,4,3,2,9,8,7,6,5,4,3,2}),11))),"OK","AVISO: dígito verificador (conferir na org)"))))</f>
      </c>
      <c r="I815" s="6">
        <f>IF(G815="","",IF(COUNTIF($G$2:$G$2001,G815)&gt;1,"DUPLICADO","OK"))</f>
      </c>
      <c r="J815" s="6">
        <f>IF(COUNTA(A815:F815)=0,"",IF(AND(A815&lt;&gt;"",E815&lt;&gt;""),"OK","ERRO: faltam "&amp;IF(A815="","CNPJ; ","")&amp;IF(E815="","Novo gerente; ","")))</f>
      </c>
      <c r="K815" s="6">
        <f>IF(COUNTA(A815:F815)=0,"",IF(AND(LEFT(H815,4)&lt;&gt;"ERRO",I815="OK",J815="OK"),"OK","REVISAR"))</f>
      </c>
    </row>
    <row r="816">
      <c r="A816" s="5"/>
      <c r="B816" s="4"/>
      <c r="C816" s="4"/>
      <c r="D816" s="4"/>
      <c r="E816" s="5"/>
      <c r="F816" s="4"/>
      <c r="G816" s="6">
        <f>IF(A816="","",SUBSTITUTE(SUBSTITUTE(SUBSTITUTE(SUBSTITUTE(SUBSTITUTE(SUBSTITUTE(SUBSTITUTE(TRIM(A816),".",""),"/",""),"-","")," ",""),"(",""),")",""),"+",""))</f>
      </c>
      <c r="H816" s="6">
        <f>IF(G816="","",IF(LEN(G816)&lt;&gt;14,"ERRO: "&amp;LEN(G816)&amp;" dígitos",IF(NOT(ISNUMBER(VALUE(G816))),"ERRO: não numérico",IF(AND(VALUE(MID(G816,13,1))=IF(MOD(SUMPRODUCT(--MID(G816,{1,2,3,4,5,6,7,8,9,10,11,12},1),{5,4,3,2,9,8,7,6,5,4,3,2}),11)&lt;2,0,11-MOD(SUMPRODUCT(--MID(G816,{1,2,3,4,5,6,7,8,9,10,11,12},1),{5,4,3,2,9,8,7,6,5,4,3,2}),11)),VALUE(MID(G816,14,1))=IF(MOD(SUMPRODUCT(--MID(G816,{1,2,3,4,5,6,7,8,9,10,11,12,13},1),{6,5,4,3,2,9,8,7,6,5,4,3,2}),11)&lt;2,0,11-MOD(SUMPRODUCT(--MID(G816,{1,2,3,4,5,6,7,8,9,10,11,12,13},1),{6,5,4,3,2,9,8,7,6,5,4,3,2}),11))),"OK","AVISO: dígito verificador (conferir na org)"))))</f>
      </c>
      <c r="I816" s="6">
        <f>IF(G816="","",IF(COUNTIF($G$2:$G$2001,G816)&gt;1,"DUPLICADO","OK"))</f>
      </c>
      <c r="J816" s="6">
        <f>IF(COUNTA(A816:F816)=0,"",IF(AND(A816&lt;&gt;"",E816&lt;&gt;""),"OK","ERRO: faltam "&amp;IF(A816="","CNPJ; ","")&amp;IF(E816="","Novo gerente; ","")))</f>
      </c>
      <c r="K816" s="6">
        <f>IF(COUNTA(A816:F816)=0,"",IF(AND(LEFT(H816,4)&lt;&gt;"ERRO",I816="OK",J816="OK"),"OK","REVISAR"))</f>
      </c>
    </row>
    <row r="817">
      <c r="A817" s="5"/>
      <c r="B817" s="4"/>
      <c r="C817" s="4"/>
      <c r="D817" s="4"/>
      <c r="E817" s="5"/>
      <c r="F817" s="4"/>
      <c r="G817" s="6">
        <f>IF(A817="","",SUBSTITUTE(SUBSTITUTE(SUBSTITUTE(SUBSTITUTE(SUBSTITUTE(SUBSTITUTE(SUBSTITUTE(TRIM(A817),".",""),"/",""),"-","")," ",""),"(",""),")",""),"+",""))</f>
      </c>
      <c r="H817" s="6">
        <f>IF(G817="","",IF(LEN(G817)&lt;&gt;14,"ERRO: "&amp;LEN(G817)&amp;" dígitos",IF(NOT(ISNUMBER(VALUE(G817))),"ERRO: não numérico",IF(AND(VALUE(MID(G817,13,1))=IF(MOD(SUMPRODUCT(--MID(G817,{1,2,3,4,5,6,7,8,9,10,11,12},1),{5,4,3,2,9,8,7,6,5,4,3,2}),11)&lt;2,0,11-MOD(SUMPRODUCT(--MID(G817,{1,2,3,4,5,6,7,8,9,10,11,12},1),{5,4,3,2,9,8,7,6,5,4,3,2}),11)),VALUE(MID(G817,14,1))=IF(MOD(SUMPRODUCT(--MID(G817,{1,2,3,4,5,6,7,8,9,10,11,12,13},1),{6,5,4,3,2,9,8,7,6,5,4,3,2}),11)&lt;2,0,11-MOD(SUMPRODUCT(--MID(G817,{1,2,3,4,5,6,7,8,9,10,11,12,13},1),{6,5,4,3,2,9,8,7,6,5,4,3,2}),11))),"OK","AVISO: dígito verificador (conferir na org)"))))</f>
      </c>
      <c r="I817" s="6">
        <f>IF(G817="","",IF(COUNTIF($G$2:$G$2001,G817)&gt;1,"DUPLICADO","OK"))</f>
      </c>
      <c r="J817" s="6">
        <f>IF(COUNTA(A817:F817)=0,"",IF(AND(A817&lt;&gt;"",E817&lt;&gt;""),"OK","ERRO: faltam "&amp;IF(A817="","CNPJ; ","")&amp;IF(E817="","Novo gerente; ","")))</f>
      </c>
      <c r="K817" s="6">
        <f>IF(COUNTA(A817:F817)=0,"",IF(AND(LEFT(H817,4)&lt;&gt;"ERRO",I817="OK",J817="OK"),"OK","REVISAR"))</f>
      </c>
    </row>
    <row r="818">
      <c r="A818" s="5"/>
      <c r="B818" s="4"/>
      <c r="C818" s="4"/>
      <c r="D818" s="4"/>
      <c r="E818" s="5"/>
      <c r="F818" s="4"/>
      <c r="G818" s="6">
        <f>IF(A818="","",SUBSTITUTE(SUBSTITUTE(SUBSTITUTE(SUBSTITUTE(SUBSTITUTE(SUBSTITUTE(SUBSTITUTE(TRIM(A818),".",""),"/",""),"-","")," ",""),"(",""),")",""),"+",""))</f>
      </c>
      <c r="H818" s="6">
        <f>IF(G818="","",IF(LEN(G818)&lt;&gt;14,"ERRO: "&amp;LEN(G818)&amp;" dígitos",IF(NOT(ISNUMBER(VALUE(G818))),"ERRO: não numérico",IF(AND(VALUE(MID(G818,13,1))=IF(MOD(SUMPRODUCT(--MID(G818,{1,2,3,4,5,6,7,8,9,10,11,12},1),{5,4,3,2,9,8,7,6,5,4,3,2}),11)&lt;2,0,11-MOD(SUMPRODUCT(--MID(G818,{1,2,3,4,5,6,7,8,9,10,11,12},1),{5,4,3,2,9,8,7,6,5,4,3,2}),11)),VALUE(MID(G818,14,1))=IF(MOD(SUMPRODUCT(--MID(G818,{1,2,3,4,5,6,7,8,9,10,11,12,13},1),{6,5,4,3,2,9,8,7,6,5,4,3,2}),11)&lt;2,0,11-MOD(SUMPRODUCT(--MID(G818,{1,2,3,4,5,6,7,8,9,10,11,12,13},1),{6,5,4,3,2,9,8,7,6,5,4,3,2}),11))),"OK","AVISO: dígito verificador (conferir na org)"))))</f>
      </c>
      <c r="I818" s="6">
        <f>IF(G818="","",IF(COUNTIF($G$2:$G$2001,G818)&gt;1,"DUPLICADO","OK"))</f>
      </c>
      <c r="J818" s="6">
        <f>IF(COUNTA(A818:F818)=0,"",IF(AND(A818&lt;&gt;"",E818&lt;&gt;""),"OK","ERRO: faltam "&amp;IF(A818="","CNPJ; ","")&amp;IF(E818="","Novo gerente; ","")))</f>
      </c>
      <c r="K818" s="6">
        <f>IF(COUNTA(A818:F818)=0,"",IF(AND(LEFT(H818,4)&lt;&gt;"ERRO",I818="OK",J818="OK"),"OK","REVISAR"))</f>
      </c>
    </row>
    <row r="819">
      <c r="A819" s="5"/>
      <c r="B819" s="4"/>
      <c r="C819" s="4"/>
      <c r="D819" s="4"/>
      <c r="E819" s="5"/>
      <c r="F819" s="4"/>
      <c r="G819" s="6">
        <f>IF(A819="","",SUBSTITUTE(SUBSTITUTE(SUBSTITUTE(SUBSTITUTE(SUBSTITUTE(SUBSTITUTE(SUBSTITUTE(TRIM(A819),".",""),"/",""),"-","")," ",""),"(",""),")",""),"+",""))</f>
      </c>
      <c r="H819" s="6">
        <f>IF(G819="","",IF(LEN(G819)&lt;&gt;14,"ERRO: "&amp;LEN(G819)&amp;" dígitos",IF(NOT(ISNUMBER(VALUE(G819))),"ERRO: não numérico",IF(AND(VALUE(MID(G819,13,1))=IF(MOD(SUMPRODUCT(--MID(G819,{1,2,3,4,5,6,7,8,9,10,11,12},1),{5,4,3,2,9,8,7,6,5,4,3,2}),11)&lt;2,0,11-MOD(SUMPRODUCT(--MID(G819,{1,2,3,4,5,6,7,8,9,10,11,12},1),{5,4,3,2,9,8,7,6,5,4,3,2}),11)),VALUE(MID(G819,14,1))=IF(MOD(SUMPRODUCT(--MID(G819,{1,2,3,4,5,6,7,8,9,10,11,12,13},1),{6,5,4,3,2,9,8,7,6,5,4,3,2}),11)&lt;2,0,11-MOD(SUMPRODUCT(--MID(G819,{1,2,3,4,5,6,7,8,9,10,11,12,13},1),{6,5,4,3,2,9,8,7,6,5,4,3,2}),11))),"OK","AVISO: dígito verificador (conferir na org)"))))</f>
      </c>
      <c r="I819" s="6">
        <f>IF(G819="","",IF(COUNTIF($G$2:$G$2001,G819)&gt;1,"DUPLICADO","OK"))</f>
      </c>
      <c r="J819" s="6">
        <f>IF(COUNTA(A819:F819)=0,"",IF(AND(A819&lt;&gt;"",E819&lt;&gt;""),"OK","ERRO: faltam "&amp;IF(A819="","CNPJ; ","")&amp;IF(E819="","Novo gerente; ","")))</f>
      </c>
      <c r="K819" s="6">
        <f>IF(COUNTA(A819:F819)=0,"",IF(AND(LEFT(H819,4)&lt;&gt;"ERRO",I819="OK",J819="OK"),"OK","REVISAR"))</f>
      </c>
    </row>
    <row r="820">
      <c r="A820" s="5"/>
      <c r="B820" s="4"/>
      <c r="C820" s="4"/>
      <c r="D820" s="4"/>
      <c r="E820" s="5"/>
      <c r="F820" s="4"/>
      <c r="G820" s="6">
        <f>IF(A820="","",SUBSTITUTE(SUBSTITUTE(SUBSTITUTE(SUBSTITUTE(SUBSTITUTE(SUBSTITUTE(SUBSTITUTE(TRIM(A820),".",""),"/",""),"-","")," ",""),"(",""),")",""),"+",""))</f>
      </c>
      <c r="H820" s="6">
        <f>IF(G820="","",IF(LEN(G820)&lt;&gt;14,"ERRO: "&amp;LEN(G820)&amp;" dígitos",IF(NOT(ISNUMBER(VALUE(G820))),"ERRO: não numérico",IF(AND(VALUE(MID(G820,13,1))=IF(MOD(SUMPRODUCT(--MID(G820,{1,2,3,4,5,6,7,8,9,10,11,12},1),{5,4,3,2,9,8,7,6,5,4,3,2}),11)&lt;2,0,11-MOD(SUMPRODUCT(--MID(G820,{1,2,3,4,5,6,7,8,9,10,11,12},1),{5,4,3,2,9,8,7,6,5,4,3,2}),11)),VALUE(MID(G820,14,1))=IF(MOD(SUMPRODUCT(--MID(G820,{1,2,3,4,5,6,7,8,9,10,11,12,13},1),{6,5,4,3,2,9,8,7,6,5,4,3,2}),11)&lt;2,0,11-MOD(SUMPRODUCT(--MID(G820,{1,2,3,4,5,6,7,8,9,10,11,12,13},1),{6,5,4,3,2,9,8,7,6,5,4,3,2}),11))),"OK","AVISO: dígito verificador (conferir na org)"))))</f>
      </c>
      <c r="I820" s="6">
        <f>IF(G820="","",IF(COUNTIF($G$2:$G$2001,G820)&gt;1,"DUPLICADO","OK"))</f>
      </c>
      <c r="J820" s="6">
        <f>IF(COUNTA(A820:F820)=0,"",IF(AND(A820&lt;&gt;"",E820&lt;&gt;""),"OK","ERRO: faltam "&amp;IF(A820="","CNPJ; ","")&amp;IF(E820="","Novo gerente; ","")))</f>
      </c>
      <c r="K820" s="6">
        <f>IF(COUNTA(A820:F820)=0,"",IF(AND(LEFT(H820,4)&lt;&gt;"ERRO",I820="OK",J820="OK"),"OK","REVISAR"))</f>
      </c>
    </row>
    <row r="821">
      <c r="A821" s="5"/>
      <c r="B821" s="4"/>
      <c r="C821" s="4"/>
      <c r="D821" s="4"/>
      <c r="E821" s="5"/>
      <c r="F821" s="4"/>
      <c r="G821" s="6">
        <f>IF(A821="","",SUBSTITUTE(SUBSTITUTE(SUBSTITUTE(SUBSTITUTE(SUBSTITUTE(SUBSTITUTE(SUBSTITUTE(TRIM(A821),".",""),"/",""),"-","")," ",""),"(",""),")",""),"+",""))</f>
      </c>
      <c r="H821" s="6">
        <f>IF(G821="","",IF(LEN(G821)&lt;&gt;14,"ERRO: "&amp;LEN(G821)&amp;" dígitos",IF(NOT(ISNUMBER(VALUE(G821))),"ERRO: não numérico",IF(AND(VALUE(MID(G821,13,1))=IF(MOD(SUMPRODUCT(--MID(G821,{1,2,3,4,5,6,7,8,9,10,11,12},1),{5,4,3,2,9,8,7,6,5,4,3,2}),11)&lt;2,0,11-MOD(SUMPRODUCT(--MID(G821,{1,2,3,4,5,6,7,8,9,10,11,12},1),{5,4,3,2,9,8,7,6,5,4,3,2}),11)),VALUE(MID(G821,14,1))=IF(MOD(SUMPRODUCT(--MID(G821,{1,2,3,4,5,6,7,8,9,10,11,12,13},1),{6,5,4,3,2,9,8,7,6,5,4,3,2}),11)&lt;2,0,11-MOD(SUMPRODUCT(--MID(G821,{1,2,3,4,5,6,7,8,9,10,11,12,13},1),{6,5,4,3,2,9,8,7,6,5,4,3,2}),11))),"OK","AVISO: dígito verificador (conferir na org)"))))</f>
      </c>
      <c r="I821" s="6">
        <f>IF(G821="","",IF(COUNTIF($G$2:$G$2001,G821)&gt;1,"DUPLICADO","OK"))</f>
      </c>
      <c r="J821" s="6">
        <f>IF(COUNTA(A821:F821)=0,"",IF(AND(A821&lt;&gt;"",E821&lt;&gt;""),"OK","ERRO: faltam "&amp;IF(A821="","CNPJ; ","")&amp;IF(E821="","Novo gerente; ","")))</f>
      </c>
      <c r="K821" s="6">
        <f>IF(COUNTA(A821:F821)=0,"",IF(AND(LEFT(H821,4)&lt;&gt;"ERRO",I821="OK",J821="OK"),"OK","REVISAR"))</f>
      </c>
    </row>
    <row r="822">
      <c r="A822" s="5"/>
      <c r="B822" s="4"/>
      <c r="C822" s="4"/>
      <c r="D822" s="4"/>
      <c r="E822" s="5"/>
      <c r="F822" s="4"/>
      <c r="G822" s="6">
        <f>IF(A822="","",SUBSTITUTE(SUBSTITUTE(SUBSTITUTE(SUBSTITUTE(SUBSTITUTE(SUBSTITUTE(SUBSTITUTE(TRIM(A822),".",""),"/",""),"-","")," ",""),"(",""),")",""),"+",""))</f>
      </c>
      <c r="H822" s="6">
        <f>IF(G822="","",IF(LEN(G822)&lt;&gt;14,"ERRO: "&amp;LEN(G822)&amp;" dígitos",IF(NOT(ISNUMBER(VALUE(G822))),"ERRO: não numérico",IF(AND(VALUE(MID(G822,13,1))=IF(MOD(SUMPRODUCT(--MID(G822,{1,2,3,4,5,6,7,8,9,10,11,12},1),{5,4,3,2,9,8,7,6,5,4,3,2}),11)&lt;2,0,11-MOD(SUMPRODUCT(--MID(G822,{1,2,3,4,5,6,7,8,9,10,11,12},1),{5,4,3,2,9,8,7,6,5,4,3,2}),11)),VALUE(MID(G822,14,1))=IF(MOD(SUMPRODUCT(--MID(G822,{1,2,3,4,5,6,7,8,9,10,11,12,13},1),{6,5,4,3,2,9,8,7,6,5,4,3,2}),11)&lt;2,0,11-MOD(SUMPRODUCT(--MID(G822,{1,2,3,4,5,6,7,8,9,10,11,12,13},1),{6,5,4,3,2,9,8,7,6,5,4,3,2}),11))),"OK","AVISO: dígito verificador (conferir na org)"))))</f>
      </c>
      <c r="I822" s="6">
        <f>IF(G822="","",IF(COUNTIF($G$2:$G$2001,G822)&gt;1,"DUPLICADO","OK"))</f>
      </c>
      <c r="J822" s="6">
        <f>IF(COUNTA(A822:F822)=0,"",IF(AND(A822&lt;&gt;"",E822&lt;&gt;""),"OK","ERRO: faltam "&amp;IF(A822="","CNPJ; ","")&amp;IF(E822="","Novo gerente; ","")))</f>
      </c>
      <c r="K822" s="6">
        <f>IF(COUNTA(A822:F822)=0,"",IF(AND(LEFT(H822,4)&lt;&gt;"ERRO",I822="OK",J822="OK"),"OK","REVISAR"))</f>
      </c>
    </row>
    <row r="823">
      <c r="A823" s="5"/>
      <c r="B823" s="4"/>
      <c r="C823" s="4"/>
      <c r="D823" s="4"/>
      <c r="E823" s="5"/>
      <c r="F823" s="4"/>
      <c r="G823" s="6">
        <f>IF(A823="","",SUBSTITUTE(SUBSTITUTE(SUBSTITUTE(SUBSTITUTE(SUBSTITUTE(SUBSTITUTE(SUBSTITUTE(TRIM(A823),".",""),"/",""),"-","")," ",""),"(",""),")",""),"+",""))</f>
      </c>
      <c r="H823" s="6">
        <f>IF(G823="","",IF(LEN(G823)&lt;&gt;14,"ERRO: "&amp;LEN(G823)&amp;" dígitos",IF(NOT(ISNUMBER(VALUE(G823))),"ERRO: não numérico",IF(AND(VALUE(MID(G823,13,1))=IF(MOD(SUMPRODUCT(--MID(G823,{1,2,3,4,5,6,7,8,9,10,11,12},1),{5,4,3,2,9,8,7,6,5,4,3,2}),11)&lt;2,0,11-MOD(SUMPRODUCT(--MID(G823,{1,2,3,4,5,6,7,8,9,10,11,12},1),{5,4,3,2,9,8,7,6,5,4,3,2}),11)),VALUE(MID(G823,14,1))=IF(MOD(SUMPRODUCT(--MID(G823,{1,2,3,4,5,6,7,8,9,10,11,12,13},1),{6,5,4,3,2,9,8,7,6,5,4,3,2}),11)&lt;2,0,11-MOD(SUMPRODUCT(--MID(G823,{1,2,3,4,5,6,7,8,9,10,11,12,13},1),{6,5,4,3,2,9,8,7,6,5,4,3,2}),11))),"OK","AVISO: dígito verificador (conferir na org)"))))</f>
      </c>
      <c r="I823" s="6">
        <f>IF(G823="","",IF(COUNTIF($G$2:$G$2001,G823)&gt;1,"DUPLICADO","OK"))</f>
      </c>
      <c r="J823" s="6">
        <f>IF(COUNTA(A823:F823)=0,"",IF(AND(A823&lt;&gt;"",E823&lt;&gt;""),"OK","ERRO: faltam "&amp;IF(A823="","CNPJ; ","")&amp;IF(E823="","Novo gerente; ","")))</f>
      </c>
      <c r="K823" s="6">
        <f>IF(COUNTA(A823:F823)=0,"",IF(AND(LEFT(H823,4)&lt;&gt;"ERRO",I823="OK",J823="OK"),"OK","REVISAR"))</f>
      </c>
    </row>
    <row r="824">
      <c r="A824" s="5"/>
      <c r="B824" s="4"/>
      <c r="C824" s="4"/>
      <c r="D824" s="4"/>
      <c r="E824" s="5"/>
      <c r="F824" s="4"/>
      <c r="G824" s="6">
        <f>IF(A824="","",SUBSTITUTE(SUBSTITUTE(SUBSTITUTE(SUBSTITUTE(SUBSTITUTE(SUBSTITUTE(SUBSTITUTE(TRIM(A824),".",""),"/",""),"-","")," ",""),"(",""),")",""),"+",""))</f>
      </c>
      <c r="H824" s="6">
        <f>IF(G824="","",IF(LEN(G824)&lt;&gt;14,"ERRO: "&amp;LEN(G824)&amp;" dígitos",IF(NOT(ISNUMBER(VALUE(G824))),"ERRO: não numérico",IF(AND(VALUE(MID(G824,13,1))=IF(MOD(SUMPRODUCT(--MID(G824,{1,2,3,4,5,6,7,8,9,10,11,12},1),{5,4,3,2,9,8,7,6,5,4,3,2}),11)&lt;2,0,11-MOD(SUMPRODUCT(--MID(G824,{1,2,3,4,5,6,7,8,9,10,11,12},1),{5,4,3,2,9,8,7,6,5,4,3,2}),11)),VALUE(MID(G824,14,1))=IF(MOD(SUMPRODUCT(--MID(G824,{1,2,3,4,5,6,7,8,9,10,11,12,13},1),{6,5,4,3,2,9,8,7,6,5,4,3,2}),11)&lt;2,0,11-MOD(SUMPRODUCT(--MID(G824,{1,2,3,4,5,6,7,8,9,10,11,12,13},1),{6,5,4,3,2,9,8,7,6,5,4,3,2}),11))),"OK","AVISO: dígito verificador (conferir na org)"))))</f>
      </c>
      <c r="I824" s="6">
        <f>IF(G824="","",IF(COUNTIF($G$2:$G$2001,G824)&gt;1,"DUPLICADO","OK"))</f>
      </c>
      <c r="J824" s="6">
        <f>IF(COUNTA(A824:F824)=0,"",IF(AND(A824&lt;&gt;"",E824&lt;&gt;""),"OK","ERRO: faltam "&amp;IF(A824="","CNPJ; ","")&amp;IF(E824="","Novo gerente; ","")))</f>
      </c>
      <c r="K824" s="6">
        <f>IF(COUNTA(A824:F824)=0,"",IF(AND(LEFT(H824,4)&lt;&gt;"ERRO",I824="OK",J824="OK"),"OK","REVISAR"))</f>
      </c>
    </row>
    <row r="825">
      <c r="A825" s="5"/>
      <c r="B825" s="4"/>
      <c r="C825" s="4"/>
      <c r="D825" s="4"/>
      <c r="E825" s="5"/>
      <c r="F825" s="4"/>
      <c r="G825" s="6">
        <f>IF(A825="","",SUBSTITUTE(SUBSTITUTE(SUBSTITUTE(SUBSTITUTE(SUBSTITUTE(SUBSTITUTE(SUBSTITUTE(TRIM(A825),".",""),"/",""),"-","")," ",""),"(",""),")",""),"+",""))</f>
      </c>
      <c r="H825" s="6">
        <f>IF(G825="","",IF(LEN(G825)&lt;&gt;14,"ERRO: "&amp;LEN(G825)&amp;" dígitos",IF(NOT(ISNUMBER(VALUE(G825))),"ERRO: não numérico",IF(AND(VALUE(MID(G825,13,1))=IF(MOD(SUMPRODUCT(--MID(G825,{1,2,3,4,5,6,7,8,9,10,11,12},1),{5,4,3,2,9,8,7,6,5,4,3,2}),11)&lt;2,0,11-MOD(SUMPRODUCT(--MID(G825,{1,2,3,4,5,6,7,8,9,10,11,12},1),{5,4,3,2,9,8,7,6,5,4,3,2}),11)),VALUE(MID(G825,14,1))=IF(MOD(SUMPRODUCT(--MID(G825,{1,2,3,4,5,6,7,8,9,10,11,12,13},1),{6,5,4,3,2,9,8,7,6,5,4,3,2}),11)&lt;2,0,11-MOD(SUMPRODUCT(--MID(G825,{1,2,3,4,5,6,7,8,9,10,11,12,13},1),{6,5,4,3,2,9,8,7,6,5,4,3,2}),11))),"OK","AVISO: dígito verificador (conferir na org)"))))</f>
      </c>
      <c r="I825" s="6">
        <f>IF(G825="","",IF(COUNTIF($G$2:$G$2001,G825)&gt;1,"DUPLICADO","OK"))</f>
      </c>
      <c r="J825" s="6">
        <f>IF(COUNTA(A825:F825)=0,"",IF(AND(A825&lt;&gt;"",E825&lt;&gt;""),"OK","ERRO: faltam "&amp;IF(A825="","CNPJ; ","")&amp;IF(E825="","Novo gerente; ","")))</f>
      </c>
      <c r="K825" s="6">
        <f>IF(COUNTA(A825:F825)=0,"",IF(AND(LEFT(H825,4)&lt;&gt;"ERRO",I825="OK",J825="OK"),"OK","REVISAR"))</f>
      </c>
    </row>
    <row r="826">
      <c r="A826" s="5"/>
      <c r="B826" s="4"/>
      <c r="C826" s="4"/>
      <c r="D826" s="4"/>
      <c r="E826" s="5"/>
      <c r="F826" s="4"/>
      <c r="G826" s="6">
        <f>IF(A826="","",SUBSTITUTE(SUBSTITUTE(SUBSTITUTE(SUBSTITUTE(SUBSTITUTE(SUBSTITUTE(SUBSTITUTE(TRIM(A826),".",""),"/",""),"-","")," ",""),"(",""),")",""),"+",""))</f>
      </c>
      <c r="H826" s="6">
        <f>IF(G826="","",IF(LEN(G826)&lt;&gt;14,"ERRO: "&amp;LEN(G826)&amp;" dígitos",IF(NOT(ISNUMBER(VALUE(G826))),"ERRO: não numérico",IF(AND(VALUE(MID(G826,13,1))=IF(MOD(SUMPRODUCT(--MID(G826,{1,2,3,4,5,6,7,8,9,10,11,12},1),{5,4,3,2,9,8,7,6,5,4,3,2}),11)&lt;2,0,11-MOD(SUMPRODUCT(--MID(G826,{1,2,3,4,5,6,7,8,9,10,11,12},1),{5,4,3,2,9,8,7,6,5,4,3,2}),11)),VALUE(MID(G826,14,1))=IF(MOD(SUMPRODUCT(--MID(G826,{1,2,3,4,5,6,7,8,9,10,11,12,13},1),{6,5,4,3,2,9,8,7,6,5,4,3,2}),11)&lt;2,0,11-MOD(SUMPRODUCT(--MID(G826,{1,2,3,4,5,6,7,8,9,10,11,12,13},1),{6,5,4,3,2,9,8,7,6,5,4,3,2}),11))),"OK","AVISO: dígito verificador (conferir na org)"))))</f>
      </c>
      <c r="I826" s="6">
        <f>IF(G826="","",IF(COUNTIF($G$2:$G$2001,G826)&gt;1,"DUPLICADO","OK"))</f>
      </c>
      <c r="J826" s="6">
        <f>IF(COUNTA(A826:F826)=0,"",IF(AND(A826&lt;&gt;"",E826&lt;&gt;""),"OK","ERRO: faltam "&amp;IF(A826="","CNPJ; ","")&amp;IF(E826="","Novo gerente; ","")))</f>
      </c>
      <c r="K826" s="6">
        <f>IF(COUNTA(A826:F826)=0,"",IF(AND(LEFT(H826,4)&lt;&gt;"ERRO",I826="OK",J826="OK"),"OK","REVISAR"))</f>
      </c>
    </row>
    <row r="827">
      <c r="A827" s="5"/>
      <c r="B827" s="4"/>
      <c r="C827" s="4"/>
      <c r="D827" s="4"/>
      <c r="E827" s="5"/>
      <c r="F827" s="4"/>
      <c r="G827" s="6">
        <f>IF(A827="","",SUBSTITUTE(SUBSTITUTE(SUBSTITUTE(SUBSTITUTE(SUBSTITUTE(SUBSTITUTE(SUBSTITUTE(TRIM(A827),".",""),"/",""),"-","")," ",""),"(",""),")",""),"+",""))</f>
      </c>
      <c r="H827" s="6">
        <f>IF(G827="","",IF(LEN(G827)&lt;&gt;14,"ERRO: "&amp;LEN(G827)&amp;" dígitos",IF(NOT(ISNUMBER(VALUE(G827))),"ERRO: não numérico",IF(AND(VALUE(MID(G827,13,1))=IF(MOD(SUMPRODUCT(--MID(G827,{1,2,3,4,5,6,7,8,9,10,11,12},1),{5,4,3,2,9,8,7,6,5,4,3,2}),11)&lt;2,0,11-MOD(SUMPRODUCT(--MID(G827,{1,2,3,4,5,6,7,8,9,10,11,12},1),{5,4,3,2,9,8,7,6,5,4,3,2}),11)),VALUE(MID(G827,14,1))=IF(MOD(SUMPRODUCT(--MID(G827,{1,2,3,4,5,6,7,8,9,10,11,12,13},1),{6,5,4,3,2,9,8,7,6,5,4,3,2}),11)&lt;2,0,11-MOD(SUMPRODUCT(--MID(G827,{1,2,3,4,5,6,7,8,9,10,11,12,13},1),{6,5,4,3,2,9,8,7,6,5,4,3,2}),11))),"OK","AVISO: dígito verificador (conferir na org)"))))</f>
      </c>
      <c r="I827" s="6">
        <f>IF(G827="","",IF(COUNTIF($G$2:$G$2001,G827)&gt;1,"DUPLICADO","OK"))</f>
      </c>
      <c r="J827" s="6">
        <f>IF(COUNTA(A827:F827)=0,"",IF(AND(A827&lt;&gt;"",E827&lt;&gt;""),"OK","ERRO: faltam "&amp;IF(A827="","CNPJ; ","")&amp;IF(E827="","Novo gerente; ","")))</f>
      </c>
      <c r="K827" s="6">
        <f>IF(COUNTA(A827:F827)=0,"",IF(AND(LEFT(H827,4)&lt;&gt;"ERRO",I827="OK",J827="OK"),"OK","REVISAR"))</f>
      </c>
    </row>
    <row r="828">
      <c r="A828" s="5"/>
      <c r="B828" s="4"/>
      <c r="C828" s="4"/>
      <c r="D828" s="4"/>
      <c r="E828" s="5"/>
      <c r="F828" s="4"/>
      <c r="G828" s="6">
        <f>IF(A828="","",SUBSTITUTE(SUBSTITUTE(SUBSTITUTE(SUBSTITUTE(SUBSTITUTE(SUBSTITUTE(SUBSTITUTE(TRIM(A828),".",""),"/",""),"-","")," ",""),"(",""),")",""),"+",""))</f>
      </c>
      <c r="H828" s="6">
        <f>IF(G828="","",IF(LEN(G828)&lt;&gt;14,"ERRO: "&amp;LEN(G828)&amp;" dígitos",IF(NOT(ISNUMBER(VALUE(G828))),"ERRO: não numérico",IF(AND(VALUE(MID(G828,13,1))=IF(MOD(SUMPRODUCT(--MID(G828,{1,2,3,4,5,6,7,8,9,10,11,12},1),{5,4,3,2,9,8,7,6,5,4,3,2}),11)&lt;2,0,11-MOD(SUMPRODUCT(--MID(G828,{1,2,3,4,5,6,7,8,9,10,11,12},1),{5,4,3,2,9,8,7,6,5,4,3,2}),11)),VALUE(MID(G828,14,1))=IF(MOD(SUMPRODUCT(--MID(G828,{1,2,3,4,5,6,7,8,9,10,11,12,13},1),{6,5,4,3,2,9,8,7,6,5,4,3,2}),11)&lt;2,0,11-MOD(SUMPRODUCT(--MID(G828,{1,2,3,4,5,6,7,8,9,10,11,12,13},1),{6,5,4,3,2,9,8,7,6,5,4,3,2}),11))),"OK","AVISO: dígito verificador (conferir na org)"))))</f>
      </c>
      <c r="I828" s="6">
        <f>IF(G828="","",IF(COUNTIF($G$2:$G$2001,G828)&gt;1,"DUPLICADO","OK"))</f>
      </c>
      <c r="J828" s="6">
        <f>IF(COUNTA(A828:F828)=0,"",IF(AND(A828&lt;&gt;"",E828&lt;&gt;""),"OK","ERRO: faltam "&amp;IF(A828="","CNPJ; ","")&amp;IF(E828="","Novo gerente; ","")))</f>
      </c>
      <c r="K828" s="6">
        <f>IF(COUNTA(A828:F828)=0,"",IF(AND(LEFT(H828,4)&lt;&gt;"ERRO",I828="OK",J828="OK"),"OK","REVISAR"))</f>
      </c>
    </row>
    <row r="829">
      <c r="A829" s="5"/>
      <c r="B829" s="4"/>
      <c r="C829" s="4"/>
      <c r="D829" s="4"/>
      <c r="E829" s="5"/>
      <c r="F829" s="4"/>
      <c r="G829" s="6">
        <f>IF(A829="","",SUBSTITUTE(SUBSTITUTE(SUBSTITUTE(SUBSTITUTE(SUBSTITUTE(SUBSTITUTE(SUBSTITUTE(TRIM(A829),".",""),"/",""),"-","")," ",""),"(",""),")",""),"+",""))</f>
      </c>
      <c r="H829" s="6">
        <f>IF(G829="","",IF(LEN(G829)&lt;&gt;14,"ERRO: "&amp;LEN(G829)&amp;" dígitos",IF(NOT(ISNUMBER(VALUE(G829))),"ERRO: não numérico",IF(AND(VALUE(MID(G829,13,1))=IF(MOD(SUMPRODUCT(--MID(G829,{1,2,3,4,5,6,7,8,9,10,11,12},1),{5,4,3,2,9,8,7,6,5,4,3,2}),11)&lt;2,0,11-MOD(SUMPRODUCT(--MID(G829,{1,2,3,4,5,6,7,8,9,10,11,12},1),{5,4,3,2,9,8,7,6,5,4,3,2}),11)),VALUE(MID(G829,14,1))=IF(MOD(SUMPRODUCT(--MID(G829,{1,2,3,4,5,6,7,8,9,10,11,12,13},1),{6,5,4,3,2,9,8,7,6,5,4,3,2}),11)&lt;2,0,11-MOD(SUMPRODUCT(--MID(G829,{1,2,3,4,5,6,7,8,9,10,11,12,13},1),{6,5,4,3,2,9,8,7,6,5,4,3,2}),11))),"OK","AVISO: dígito verificador (conferir na org)"))))</f>
      </c>
      <c r="I829" s="6">
        <f>IF(G829="","",IF(COUNTIF($G$2:$G$2001,G829)&gt;1,"DUPLICADO","OK"))</f>
      </c>
      <c r="J829" s="6">
        <f>IF(COUNTA(A829:F829)=0,"",IF(AND(A829&lt;&gt;"",E829&lt;&gt;""),"OK","ERRO: faltam "&amp;IF(A829="","CNPJ; ","")&amp;IF(E829="","Novo gerente; ","")))</f>
      </c>
      <c r="K829" s="6">
        <f>IF(COUNTA(A829:F829)=0,"",IF(AND(LEFT(H829,4)&lt;&gt;"ERRO",I829="OK",J829="OK"),"OK","REVISAR"))</f>
      </c>
    </row>
    <row r="830">
      <c r="A830" s="5"/>
      <c r="B830" s="4"/>
      <c r="C830" s="4"/>
      <c r="D830" s="4"/>
      <c r="E830" s="5"/>
      <c r="F830" s="4"/>
      <c r="G830" s="6">
        <f>IF(A830="","",SUBSTITUTE(SUBSTITUTE(SUBSTITUTE(SUBSTITUTE(SUBSTITUTE(SUBSTITUTE(SUBSTITUTE(TRIM(A830),".",""),"/",""),"-","")," ",""),"(",""),")",""),"+",""))</f>
      </c>
      <c r="H830" s="6">
        <f>IF(G830="","",IF(LEN(G830)&lt;&gt;14,"ERRO: "&amp;LEN(G830)&amp;" dígitos",IF(NOT(ISNUMBER(VALUE(G830))),"ERRO: não numérico",IF(AND(VALUE(MID(G830,13,1))=IF(MOD(SUMPRODUCT(--MID(G830,{1,2,3,4,5,6,7,8,9,10,11,12},1),{5,4,3,2,9,8,7,6,5,4,3,2}),11)&lt;2,0,11-MOD(SUMPRODUCT(--MID(G830,{1,2,3,4,5,6,7,8,9,10,11,12},1),{5,4,3,2,9,8,7,6,5,4,3,2}),11)),VALUE(MID(G830,14,1))=IF(MOD(SUMPRODUCT(--MID(G830,{1,2,3,4,5,6,7,8,9,10,11,12,13},1),{6,5,4,3,2,9,8,7,6,5,4,3,2}),11)&lt;2,0,11-MOD(SUMPRODUCT(--MID(G830,{1,2,3,4,5,6,7,8,9,10,11,12,13},1),{6,5,4,3,2,9,8,7,6,5,4,3,2}),11))),"OK","AVISO: dígito verificador (conferir na org)"))))</f>
      </c>
      <c r="I830" s="6">
        <f>IF(G830="","",IF(COUNTIF($G$2:$G$2001,G830)&gt;1,"DUPLICADO","OK"))</f>
      </c>
      <c r="J830" s="6">
        <f>IF(COUNTA(A830:F830)=0,"",IF(AND(A830&lt;&gt;"",E830&lt;&gt;""),"OK","ERRO: faltam "&amp;IF(A830="","CNPJ; ","")&amp;IF(E830="","Novo gerente; ","")))</f>
      </c>
      <c r="K830" s="6">
        <f>IF(COUNTA(A830:F830)=0,"",IF(AND(LEFT(H830,4)&lt;&gt;"ERRO",I830="OK",J830="OK"),"OK","REVISAR"))</f>
      </c>
    </row>
    <row r="831">
      <c r="A831" s="5"/>
      <c r="B831" s="4"/>
      <c r="C831" s="4"/>
      <c r="D831" s="4"/>
      <c r="E831" s="5"/>
      <c r="F831" s="4"/>
      <c r="G831" s="6">
        <f>IF(A831="","",SUBSTITUTE(SUBSTITUTE(SUBSTITUTE(SUBSTITUTE(SUBSTITUTE(SUBSTITUTE(SUBSTITUTE(TRIM(A831),".",""),"/",""),"-","")," ",""),"(",""),")",""),"+",""))</f>
      </c>
      <c r="H831" s="6">
        <f>IF(G831="","",IF(LEN(G831)&lt;&gt;14,"ERRO: "&amp;LEN(G831)&amp;" dígitos",IF(NOT(ISNUMBER(VALUE(G831))),"ERRO: não numérico",IF(AND(VALUE(MID(G831,13,1))=IF(MOD(SUMPRODUCT(--MID(G831,{1,2,3,4,5,6,7,8,9,10,11,12},1),{5,4,3,2,9,8,7,6,5,4,3,2}),11)&lt;2,0,11-MOD(SUMPRODUCT(--MID(G831,{1,2,3,4,5,6,7,8,9,10,11,12},1),{5,4,3,2,9,8,7,6,5,4,3,2}),11)),VALUE(MID(G831,14,1))=IF(MOD(SUMPRODUCT(--MID(G831,{1,2,3,4,5,6,7,8,9,10,11,12,13},1),{6,5,4,3,2,9,8,7,6,5,4,3,2}),11)&lt;2,0,11-MOD(SUMPRODUCT(--MID(G831,{1,2,3,4,5,6,7,8,9,10,11,12,13},1),{6,5,4,3,2,9,8,7,6,5,4,3,2}),11))),"OK","AVISO: dígito verificador (conferir na org)"))))</f>
      </c>
      <c r="I831" s="6">
        <f>IF(G831="","",IF(COUNTIF($G$2:$G$2001,G831)&gt;1,"DUPLICADO","OK"))</f>
      </c>
      <c r="J831" s="6">
        <f>IF(COUNTA(A831:F831)=0,"",IF(AND(A831&lt;&gt;"",E831&lt;&gt;""),"OK","ERRO: faltam "&amp;IF(A831="","CNPJ; ","")&amp;IF(E831="","Novo gerente; ","")))</f>
      </c>
      <c r="K831" s="6">
        <f>IF(COUNTA(A831:F831)=0,"",IF(AND(LEFT(H831,4)&lt;&gt;"ERRO",I831="OK",J831="OK"),"OK","REVISAR"))</f>
      </c>
    </row>
    <row r="832">
      <c r="A832" s="5"/>
      <c r="B832" s="4"/>
      <c r="C832" s="4"/>
      <c r="D832" s="4"/>
      <c r="E832" s="5"/>
      <c r="F832" s="4"/>
      <c r="G832" s="6">
        <f>IF(A832="","",SUBSTITUTE(SUBSTITUTE(SUBSTITUTE(SUBSTITUTE(SUBSTITUTE(SUBSTITUTE(SUBSTITUTE(TRIM(A832),".",""),"/",""),"-","")," ",""),"(",""),")",""),"+",""))</f>
      </c>
      <c r="H832" s="6">
        <f>IF(G832="","",IF(LEN(G832)&lt;&gt;14,"ERRO: "&amp;LEN(G832)&amp;" dígitos",IF(NOT(ISNUMBER(VALUE(G832))),"ERRO: não numérico",IF(AND(VALUE(MID(G832,13,1))=IF(MOD(SUMPRODUCT(--MID(G832,{1,2,3,4,5,6,7,8,9,10,11,12},1),{5,4,3,2,9,8,7,6,5,4,3,2}),11)&lt;2,0,11-MOD(SUMPRODUCT(--MID(G832,{1,2,3,4,5,6,7,8,9,10,11,12},1),{5,4,3,2,9,8,7,6,5,4,3,2}),11)),VALUE(MID(G832,14,1))=IF(MOD(SUMPRODUCT(--MID(G832,{1,2,3,4,5,6,7,8,9,10,11,12,13},1),{6,5,4,3,2,9,8,7,6,5,4,3,2}),11)&lt;2,0,11-MOD(SUMPRODUCT(--MID(G832,{1,2,3,4,5,6,7,8,9,10,11,12,13},1),{6,5,4,3,2,9,8,7,6,5,4,3,2}),11))),"OK","AVISO: dígito verificador (conferir na org)"))))</f>
      </c>
      <c r="I832" s="6">
        <f>IF(G832="","",IF(COUNTIF($G$2:$G$2001,G832)&gt;1,"DUPLICADO","OK"))</f>
      </c>
      <c r="J832" s="6">
        <f>IF(COUNTA(A832:F832)=0,"",IF(AND(A832&lt;&gt;"",E832&lt;&gt;""),"OK","ERRO: faltam "&amp;IF(A832="","CNPJ; ","")&amp;IF(E832="","Novo gerente; ","")))</f>
      </c>
      <c r="K832" s="6">
        <f>IF(COUNTA(A832:F832)=0,"",IF(AND(LEFT(H832,4)&lt;&gt;"ERRO",I832="OK",J832="OK"),"OK","REVISAR"))</f>
      </c>
    </row>
    <row r="833">
      <c r="A833" s="5"/>
      <c r="B833" s="4"/>
      <c r="C833" s="4"/>
      <c r="D833" s="4"/>
      <c r="E833" s="5"/>
      <c r="F833" s="4"/>
      <c r="G833" s="6">
        <f>IF(A833="","",SUBSTITUTE(SUBSTITUTE(SUBSTITUTE(SUBSTITUTE(SUBSTITUTE(SUBSTITUTE(SUBSTITUTE(TRIM(A833),".",""),"/",""),"-","")," ",""),"(",""),")",""),"+",""))</f>
      </c>
      <c r="H833" s="6">
        <f>IF(G833="","",IF(LEN(G833)&lt;&gt;14,"ERRO: "&amp;LEN(G833)&amp;" dígitos",IF(NOT(ISNUMBER(VALUE(G833))),"ERRO: não numérico",IF(AND(VALUE(MID(G833,13,1))=IF(MOD(SUMPRODUCT(--MID(G833,{1,2,3,4,5,6,7,8,9,10,11,12},1),{5,4,3,2,9,8,7,6,5,4,3,2}),11)&lt;2,0,11-MOD(SUMPRODUCT(--MID(G833,{1,2,3,4,5,6,7,8,9,10,11,12},1),{5,4,3,2,9,8,7,6,5,4,3,2}),11)),VALUE(MID(G833,14,1))=IF(MOD(SUMPRODUCT(--MID(G833,{1,2,3,4,5,6,7,8,9,10,11,12,13},1),{6,5,4,3,2,9,8,7,6,5,4,3,2}),11)&lt;2,0,11-MOD(SUMPRODUCT(--MID(G833,{1,2,3,4,5,6,7,8,9,10,11,12,13},1),{6,5,4,3,2,9,8,7,6,5,4,3,2}),11))),"OK","AVISO: dígito verificador (conferir na org)"))))</f>
      </c>
      <c r="I833" s="6">
        <f>IF(G833="","",IF(COUNTIF($G$2:$G$2001,G833)&gt;1,"DUPLICADO","OK"))</f>
      </c>
      <c r="J833" s="6">
        <f>IF(COUNTA(A833:F833)=0,"",IF(AND(A833&lt;&gt;"",E833&lt;&gt;""),"OK","ERRO: faltam "&amp;IF(A833="","CNPJ; ","")&amp;IF(E833="","Novo gerente; ","")))</f>
      </c>
      <c r="K833" s="6">
        <f>IF(COUNTA(A833:F833)=0,"",IF(AND(LEFT(H833,4)&lt;&gt;"ERRO",I833="OK",J833="OK"),"OK","REVISAR"))</f>
      </c>
    </row>
    <row r="834">
      <c r="A834" s="5"/>
      <c r="B834" s="4"/>
      <c r="C834" s="4"/>
      <c r="D834" s="4"/>
      <c r="E834" s="5"/>
      <c r="F834" s="4"/>
      <c r="G834" s="6">
        <f>IF(A834="","",SUBSTITUTE(SUBSTITUTE(SUBSTITUTE(SUBSTITUTE(SUBSTITUTE(SUBSTITUTE(SUBSTITUTE(TRIM(A834),".",""),"/",""),"-","")," ",""),"(",""),")",""),"+",""))</f>
      </c>
      <c r="H834" s="6">
        <f>IF(G834="","",IF(LEN(G834)&lt;&gt;14,"ERRO: "&amp;LEN(G834)&amp;" dígitos",IF(NOT(ISNUMBER(VALUE(G834))),"ERRO: não numérico",IF(AND(VALUE(MID(G834,13,1))=IF(MOD(SUMPRODUCT(--MID(G834,{1,2,3,4,5,6,7,8,9,10,11,12},1),{5,4,3,2,9,8,7,6,5,4,3,2}),11)&lt;2,0,11-MOD(SUMPRODUCT(--MID(G834,{1,2,3,4,5,6,7,8,9,10,11,12},1),{5,4,3,2,9,8,7,6,5,4,3,2}),11)),VALUE(MID(G834,14,1))=IF(MOD(SUMPRODUCT(--MID(G834,{1,2,3,4,5,6,7,8,9,10,11,12,13},1),{6,5,4,3,2,9,8,7,6,5,4,3,2}),11)&lt;2,0,11-MOD(SUMPRODUCT(--MID(G834,{1,2,3,4,5,6,7,8,9,10,11,12,13},1),{6,5,4,3,2,9,8,7,6,5,4,3,2}),11))),"OK","AVISO: dígito verificador (conferir na org)"))))</f>
      </c>
      <c r="I834" s="6">
        <f>IF(G834="","",IF(COUNTIF($G$2:$G$2001,G834)&gt;1,"DUPLICADO","OK"))</f>
      </c>
      <c r="J834" s="6">
        <f>IF(COUNTA(A834:F834)=0,"",IF(AND(A834&lt;&gt;"",E834&lt;&gt;""),"OK","ERRO: faltam "&amp;IF(A834="","CNPJ; ","")&amp;IF(E834="","Novo gerente; ","")))</f>
      </c>
      <c r="K834" s="6">
        <f>IF(COUNTA(A834:F834)=0,"",IF(AND(LEFT(H834,4)&lt;&gt;"ERRO",I834="OK",J834="OK"),"OK","REVISAR"))</f>
      </c>
    </row>
    <row r="835">
      <c r="A835" s="5"/>
      <c r="B835" s="4"/>
      <c r="C835" s="4"/>
      <c r="D835" s="4"/>
      <c r="E835" s="5"/>
      <c r="F835" s="4"/>
      <c r="G835" s="6">
        <f>IF(A835="","",SUBSTITUTE(SUBSTITUTE(SUBSTITUTE(SUBSTITUTE(SUBSTITUTE(SUBSTITUTE(SUBSTITUTE(TRIM(A835),".",""),"/",""),"-","")," ",""),"(",""),")",""),"+",""))</f>
      </c>
      <c r="H835" s="6">
        <f>IF(G835="","",IF(LEN(G835)&lt;&gt;14,"ERRO: "&amp;LEN(G835)&amp;" dígitos",IF(NOT(ISNUMBER(VALUE(G835))),"ERRO: não numérico",IF(AND(VALUE(MID(G835,13,1))=IF(MOD(SUMPRODUCT(--MID(G835,{1,2,3,4,5,6,7,8,9,10,11,12},1),{5,4,3,2,9,8,7,6,5,4,3,2}),11)&lt;2,0,11-MOD(SUMPRODUCT(--MID(G835,{1,2,3,4,5,6,7,8,9,10,11,12},1),{5,4,3,2,9,8,7,6,5,4,3,2}),11)),VALUE(MID(G835,14,1))=IF(MOD(SUMPRODUCT(--MID(G835,{1,2,3,4,5,6,7,8,9,10,11,12,13},1),{6,5,4,3,2,9,8,7,6,5,4,3,2}),11)&lt;2,0,11-MOD(SUMPRODUCT(--MID(G835,{1,2,3,4,5,6,7,8,9,10,11,12,13},1),{6,5,4,3,2,9,8,7,6,5,4,3,2}),11))),"OK","AVISO: dígito verificador (conferir na org)"))))</f>
      </c>
      <c r="I835" s="6">
        <f>IF(G835="","",IF(COUNTIF($G$2:$G$2001,G835)&gt;1,"DUPLICADO","OK"))</f>
      </c>
      <c r="J835" s="6">
        <f>IF(COUNTA(A835:F835)=0,"",IF(AND(A835&lt;&gt;"",E835&lt;&gt;""),"OK","ERRO: faltam "&amp;IF(A835="","CNPJ; ","")&amp;IF(E835="","Novo gerente; ","")))</f>
      </c>
      <c r="K835" s="6">
        <f>IF(COUNTA(A835:F835)=0,"",IF(AND(LEFT(H835,4)&lt;&gt;"ERRO",I835="OK",J835="OK"),"OK","REVISAR"))</f>
      </c>
    </row>
    <row r="836">
      <c r="A836" s="5"/>
      <c r="B836" s="4"/>
      <c r="C836" s="4"/>
      <c r="D836" s="4"/>
      <c r="E836" s="5"/>
      <c r="F836" s="4"/>
      <c r="G836" s="6">
        <f>IF(A836="","",SUBSTITUTE(SUBSTITUTE(SUBSTITUTE(SUBSTITUTE(SUBSTITUTE(SUBSTITUTE(SUBSTITUTE(TRIM(A836),".",""),"/",""),"-","")," ",""),"(",""),")",""),"+",""))</f>
      </c>
      <c r="H836" s="6">
        <f>IF(G836="","",IF(LEN(G836)&lt;&gt;14,"ERRO: "&amp;LEN(G836)&amp;" dígitos",IF(NOT(ISNUMBER(VALUE(G836))),"ERRO: não numérico",IF(AND(VALUE(MID(G836,13,1))=IF(MOD(SUMPRODUCT(--MID(G836,{1,2,3,4,5,6,7,8,9,10,11,12},1),{5,4,3,2,9,8,7,6,5,4,3,2}),11)&lt;2,0,11-MOD(SUMPRODUCT(--MID(G836,{1,2,3,4,5,6,7,8,9,10,11,12},1),{5,4,3,2,9,8,7,6,5,4,3,2}),11)),VALUE(MID(G836,14,1))=IF(MOD(SUMPRODUCT(--MID(G836,{1,2,3,4,5,6,7,8,9,10,11,12,13},1),{6,5,4,3,2,9,8,7,6,5,4,3,2}),11)&lt;2,0,11-MOD(SUMPRODUCT(--MID(G836,{1,2,3,4,5,6,7,8,9,10,11,12,13},1),{6,5,4,3,2,9,8,7,6,5,4,3,2}),11))),"OK","AVISO: dígito verificador (conferir na org)"))))</f>
      </c>
      <c r="I836" s="6">
        <f>IF(G836="","",IF(COUNTIF($G$2:$G$2001,G836)&gt;1,"DUPLICADO","OK"))</f>
      </c>
      <c r="J836" s="6">
        <f>IF(COUNTA(A836:F836)=0,"",IF(AND(A836&lt;&gt;"",E836&lt;&gt;""),"OK","ERRO: faltam "&amp;IF(A836="","CNPJ; ","")&amp;IF(E836="","Novo gerente; ","")))</f>
      </c>
      <c r="K836" s="6">
        <f>IF(COUNTA(A836:F836)=0,"",IF(AND(LEFT(H836,4)&lt;&gt;"ERRO",I836="OK",J836="OK"),"OK","REVISAR"))</f>
      </c>
    </row>
    <row r="837">
      <c r="A837" s="5"/>
      <c r="B837" s="4"/>
      <c r="C837" s="4"/>
      <c r="D837" s="4"/>
      <c r="E837" s="5"/>
      <c r="F837" s="4"/>
      <c r="G837" s="6">
        <f>IF(A837="","",SUBSTITUTE(SUBSTITUTE(SUBSTITUTE(SUBSTITUTE(SUBSTITUTE(SUBSTITUTE(SUBSTITUTE(TRIM(A837),".",""),"/",""),"-","")," ",""),"(",""),")",""),"+",""))</f>
      </c>
      <c r="H837" s="6">
        <f>IF(G837="","",IF(LEN(G837)&lt;&gt;14,"ERRO: "&amp;LEN(G837)&amp;" dígitos",IF(NOT(ISNUMBER(VALUE(G837))),"ERRO: não numérico",IF(AND(VALUE(MID(G837,13,1))=IF(MOD(SUMPRODUCT(--MID(G837,{1,2,3,4,5,6,7,8,9,10,11,12},1),{5,4,3,2,9,8,7,6,5,4,3,2}),11)&lt;2,0,11-MOD(SUMPRODUCT(--MID(G837,{1,2,3,4,5,6,7,8,9,10,11,12},1),{5,4,3,2,9,8,7,6,5,4,3,2}),11)),VALUE(MID(G837,14,1))=IF(MOD(SUMPRODUCT(--MID(G837,{1,2,3,4,5,6,7,8,9,10,11,12,13},1),{6,5,4,3,2,9,8,7,6,5,4,3,2}),11)&lt;2,0,11-MOD(SUMPRODUCT(--MID(G837,{1,2,3,4,5,6,7,8,9,10,11,12,13},1),{6,5,4,3,2,9,8,7,6,5,4,3,2}),11))),"OK","AVISO: dígito verificador (conferir na org)"))))</f>
      </c>
      <c r="I837" s="6">
        <f>IF(G837="","",IF(COUNTIF($G$2:$G$2001,G837)&gt;1,"DUPLICADO","OK"))</f>
      </c>
      <c r="J837" s="6">
        <f>IF(COUNTA(A837:F837)=0,"",IF(AND(A837&lt;&gt;"",E837&lt;&gt;""),"OK","ERRO: faltam "&amp;IF(A837="","CNPJ; ","")&amp;IF(E837="","Novo gerente; ","")))</f>
      </c>
      <c r="K837" s="6">
        <f>IF(COUNTA(A837:F837)=0,"",IF(AND(LEFT(H837,4)&lt;&gt;"ERRO",I837="OK",J837="OK"),"OK","REVISAR"))</f>
      </c>
    </row>
    <row r="838">
      <c r="A838" s="5"/>
      <c r="B838" s="4"/>
      <c r="C838" s="4"/>
      <c r="D838" s="4"/>
      <c r="E838" s="5"/>
      <c r="F838" s="4"/>
      <c r="G838" s="6">
        <f>IF(A838="","",SUBSTITUTE(SUBSTITUTE(SUBSTITUTE(SUBSTITUTE(SUBSTITUTE(SUBSTITUTE(SUBSTITUTE(TRIM(A838),".",""),"/",""),"-","")," ",""),"(",""),")",""),"+",""))</f>
      </c>
      <c r="H838" s="6">
        <f>IF(G838="","",IF(LEN(G838)&lt;&gt;14,"ERRO: "&amp;LEN(G838)&amp;" dígitos",IF(NOT(ISNUMBER(VALUE(G838))),"ERRO: não numérico",IF(AND(VALUE(MID(G838,13,1))=IF(MOD(SUMPRODUCT(--MID(G838,{1,2,3,4,5,6,7,8,9,10,11,12},1),{5,4,3,2,9,8,7,6,5,4,3,2}),11)&lt;2,0,11-MOD(SUMPRODUCT(--MID(G838,{1,2,3,4,5,6,7,8,9,10,11,12},1),{5,4,3,2,9,8,7,6,5,4,3,2}),11)),VALUE(MID(G838,14,1))=IF(MOD(SUMPRODUCT(--MID(G838,{1,2,3,4,5,6,7,8,9,10,11,12,13},1),{6,5,4,3,2,9,8,7,6,5,4,3,2}),11)&lt;2,0,11-MOD(SUMPRODUCT(--MID(G838,{1,2,3,4,5,6,7,8,9,10,11,12,13},1),{6,5,4,3,2,9,8,7,6,5,4,3,2}),11))),"OK","AVISO: dígito verificador (conferir na org)"))))</f>
      </c>
      <c r="I838" s="6">
        <f>IF(G838="","",IF(COUNTIF($G$2:$G$2001,G838)&gt;1,"DUPLICADO","OK"))</f>
      </c>
      <c r="J838" s="6">
        <f>IF(COUNTA(A838:F838)=0,"",IF(AND(A838&lt;&gt;"",E838&lt;&gt;""),"OK","ERRO: faltam "&amp;IF(A838="","CNPJ; ","")&amp;IF(E838="","Novo gerente; ","")))</f>
      </c>
      <c r="K838" s="6">
        <f>IF(COUNTA(A838:F838)=0,"",IF(AND(LEFT(H838,4)&lt;&gt;"ERRO",I838="OK",J838="OK"),"OK","REVISAR"))</f>
      </c>
    </row>
    <row r="839">
      <c r="A839" s="5"/>
      <c r="B839" s="4"/>
      <c r="C839" s="4"/>
      <c r="D839" s="4"/>
      <c r="E839" s="5"/>
      <c r="F839" s="4"/>
      <c r="G839" s="6">
        <f>IF(A839="","",SUBSTITUTE(SUBSTITUTE(SUBSTITUTE(SUBSTITUTE(SUBSTITUTE(SUBSTITUTE(SUBSTITUTE(TRIM(A839),".",""),"/",""),"-","")," ",""),"(",""),")",""),"+",""))</f>
      </c>
      <c r="H839" s="6">
        <f>IF(G839="","",IF(LEN(G839)&lt;&gt;14,"ERRO: "&amp;LEN(G839)&amp;" dígitos",IF(NOT(ISNUMBER(VALUE(G839))),"ERRO: não numérico",IF(AND(VALUE(MID(G839,13,1))=IF(MOD(SUMPRODUCT(--MID(G839,{1,2,3,4,5,6,7,8,9,10,11,12},1),{5,4,3,2,9,8,7,6,5,4,3,2}),11)&lt;2,0,11-MOD(SUMPRODUCT(--MID(G839,{1,2,3,4,5,6,7,8,9,10,11,12},1),{5,4,3,2,9,8,7,6,5,4,3,2}),11)),VALUE(MID(G839,14,1))=IF(MOD(SUMPRODUCT(--MID(G839,{1,2,3,4,5,6,7,8,9,10,11,12,13},1),{6,5,4,3,2,9,8,7,6,5,4,3,2}),11)&lt;2,0,11-MOD(SUMPRODUCT(--MID(G839,{1,2,3,4,5,6,7,8,9,10,11,12,13},1),{6,5,4,3,2,9,8,7,6,5,4,3,2}),11))),"OK","AVISO: dígito verificador (conferir na org)"))))</f>
      </c>
      <c r="I839" s="6">
        <f>IF(G839="","",IF(COUNTIF($G$2:$G$2001,G839)&gt;1,"DUPLICADO","OK"))</f>
      </c>
      <c r="J839" s="6">
        <f>IF(COUNTA(A839:F839)=0,"",IF(AND(A839&lt;&gt;"",E839&lt;&gt;""),"OK","ERRO: faltam "&amp;IF(A839="","CNPJ; ","")&amp;IF(E839="","Novo gerente; ","")))</f>
      </c>
      <c r="K839" s="6">
        <f>IF(COUNTA(A839:F839)=0,"",IF(AND(LEFT(H839,4)&lt;&gt;"ERRO",I839="OK",J839="OK"),"OK","REVISAR"))</f>
      </c>
    </row>
    <row r="840">
      <c r="A840" s="5"/>
      <c r="B840" s="4"/>
      <c r="C840" s="4"/>
      <c r="D840" s="4"/>
      <c r="E840" s="5"/>
      <c r="F840" s="4"/>
      <c r="G840" s="6">
        <f>IF(A840="","",SUBSTITUTE(SUBSTITUTE(SUBSTITUTE(SUBSTITUTE(SUBSTITUTE(SUBSTITUTE(SUBSTITUTE(TRIM(A840),".",""),"/",""),"-","")," ",""),"(",""),")",""),"+",""))</f>
      </c>
      <c r="H840" s="6">
        <f>IF(G840="","",IF(LEN(G840)&lt;&gt;14,"ERRO: "&amp;LEN(G840)&amp;" dígitos",IF(NOT(ISNUMBER(VALUE(G840))),"ERRO: não numérico",IF(AND(VALUE(MID(G840,13,1))=IF(MOD(SUMPRODUCT(--MID(G840,{1,2,3,4,5,6,7,8,9,10,11,12},1),{5,4,3,2,9,8,7,6,5,4,3,2}),11)&lt;2,0,11-MOD(SUMPRODUCT(--MID(G840,{1,2,3,4,5,6,7,8,9,10,11,12},1),{5,4,3,2,9,8,7,6,5,4,3,2}),11)),VALUE(MID(G840,14,1))=IF(MOD(SUMPRODUCT(--MID(G840,{1,2,3,4,5,6,7,8,9,10,11,12,13},1),{6,5,4,3,2,9,8,7,6,5,4,3,2}),11)&lt;2,0,11-MOD(SUMPRODUCT(--MID(G840,{1,2,3,4,5,6,7,8,9,10,11,12,13},1),{6,5,4,3,2,9,8,7,6,5,4,3,2}),11))),"OK","AVISO: dígito verificador (conferir na org)"))))</f>
      </c>
      <c r="I840" s="6">
        <f>IF(G840="","",IF(COUNTIF($G$2:$G$2001,G840)&gt;1,"DUPLICADO","OK"))</f>
      </c>
      <c r="J840" s="6">
        <f>IF(COUNTA(A840:F840)=0,"",IF(AND(A840&lt;&gt;"",E840&lt;&gt;""),"OK","ERRO: faltam "&amp;IF(A840="","CNPJ; ","")&amp;IF(E840="","Novo gerente; ","")))</f>
      </c>
      <c r="K840" s="6">
        <f>IF(COUNTA(A840:F840)=0,"",IF(AND(LEFT(H840,4)&lt;&gt;"ERRO",I840="OK",J840="OK"),"OK","REVISAR"))</f>
      </c>
    </row>
    <row r="841">
      <c r="A841" s="5"/>
      <c r="B841" s="4"/>
      <c r="C841" s="4"/>
      <c r="D841" s="4"/>
      <c r="E841" s="5"/>
      <c r="F841" s="4"/>
      <c r="G841" s="6">
        <f>IF(A841="","",SUBSTITUTE(SUBSTITUTE(SUBSTITUTE(SUBSTITUTE(SUBSTITUTE(SUBSTITUTE(SUBSTITUTE(TRIM(A841),".",""),"/",""),"-","")," ",""),"(",""),")",""),"+",""))</f>
      </c>
      <c r="H841" s="6">
        <f>IF(G841="","",IF(LEN(G841)&lt;&gt;14,"ERRO: "&amp;LEN(G841)&amp;" dígitos",IF(NOT(ISNUMBER(VALUE(G841))),"ERRO: não numérico",IF(AND(VALUE(MID(G841,13,1))=IF(MOD(SUMPRODUCT(--MID(G841,{1,2,3,4,5,6,7,8,9,10,11,12},1),{5,4,3,2,9,8,7,6,5,4,3,2}),11)&lt;2,0,11-MOD(SUMPRODUCT(--MID(G841,{1,2,3,4,5,6,7,8,9,10,11,12},1),{5,4,3,2,9,8,7,6,5,4,3,2}),11)),VALUE(MID(G841,14,1))=IF(MOD(SUMPRODUCT(--MID(G841,{1,2,3,4,5,6,7,8,9,10,11,12,13},1),{6,5,4,3,2,9,8,7,6,5,4,3,2}),11)&lt;2,0,11-MOD(SUMPRODUCT(--MID(G841,{1,2,3,4,5,6,7,8,9,10,11,12,13},1),{6,5,4,3,2,9,8,7,6,5,4,3,2}),11))),"OK","AVISO: dígito verificador (conferir na org)"))))</f>
      </c>
      <c r="I841" s="6">
        <f>IF(G841="","",IF(COUNTIF($G$2:$G$2001,G841)&gt;1,"DUPLICADO","OK"))</f>
      </c>
      <c r="J841" s="6">
        <f>IF(COUNTA(A841:F841)=0,"",IF(AND(A841&lt;&gt;"",E841&lt;&gt;""),"OK","ERRO: faltam "&amp;IF(A841="","CNPJ; ","")&amp;IF(E841="","Novo gerente; ","")))</f>
      </c>
      <c r="K841" s="6">
        <f>IF(COUNTA(A841:F841)=0,"",IF(AND(LEFT(H841,4)&lt;&gt;"ERRO",I841="OK",J841="OK"),"OK","REVISAR"))</f>
      </c>
    </row>
    <row r="842">
      <c r="A842" s="5"/>
      <c r="B842" s="4"/>
      <c r="C842" s="4"/>
      <c r="D842" s="4"/>
      <c r="E842" s="5"/>
      <c r="F842" s="4"/>
      <c r="G842" s="6">
        <f>IF(A842="","",SUBSTITUTE(SUBSTITUTE(SUBSTITUTE(SUBSTITUTE(SUBSTITUTE(SUBSTITUTE(SUBSTITUTE(TRIM(A842),".",""),"/",""),"-","")," ",""),"(",""),")",""),"+",""))</f>
      </c>
      <c r="H842" s="6">
        <f>IF(G842="","",IF(LEN(G842)&lt;&gt;14,"ERRO: "&amp;LEN(G842)&amp;" dígitos",IF(NOT(ISNUMBER(VALUE(G842))),"ERRO: não numérico",IF(AND(VALUE(MID(G842,13,1))=IF(MOD(SUMPRODUCT(--MID(G842,{1,2,3,4,5,6,7,8,9,10,11,12},1),{5,4,3,2,9,8,7,6,5,4,3,2}),11)&lt;2,0,11-MOD(SUMPRODUCT(--MID(G842,{1,2,3,4,5,6,7,8,9,10,11,12},1),{5,4,3,2,9,8,7,6,5,4,3,2}),11)),VALUE(MID(G842,14,1))=IF(MOD(SUMPRODUCT(--MID(G842,{1,2,3,4,5,6,7,8,9,10,11,12,13},1),{6,5,4,3,2,9,8,7,6,5,4,3,2}),11)&lt;2,0,11-MOD(SUMPRODUCT(--MID(G842,{1,2,3,4,5,6,7,8,9,10,11,12,13},1),{6,5,4,3,2,9,8,7,6,5,4,3,2}),11))),"OK","AVISO: dígito verificador (conferir na org)"))))</f>
      </c>
      <c r="I842" s="6">
        <f>IF(G842="","",IF(COUNTIF($G$2:$G$2001,G842)&gt;1,"DUPLICADO","OK"))</f>
      </c>
      <c r="J842" s="6">
        <f>IF(COUNTA(A842:F842)=0,"",IF(AND(A842&lt;&gt;"",E842&lt;&gt;""),"OK","ERRO: faltam "&amp;IF(A842="","CNPJ; ","")&amp;IF(E842="","Novo gerente; ","")))</f>
      </c>
      <c r="K842" s="6">
        <f>IF(COUNTA(A842:F842)=0,"",IF(AND(LEFT(H842,4)&lt;&gt;"ERRO",I842="OK",J842="OK"),"OK","REVISAR"))</f>
      </c>
    </row>
    <row r="843">
      <c r="A843" s="5"/>
      <c r="B843" s="4"/>
      <c r="C843" s="4"/>
      <c r="D843" s="4"/>
      <c r="E843" s="5"/>
      <c r="F843" s="4"/>
      <c r="G843" s="6">
        <f>IF(A843="","",SUBSTITUTE(SUBSTITUTE(SUBSTITUTE(SUBSTITUTE(SUBSTITUTE(SUBSTITUTE(SUBSTITUTE(TRIM(A843),".",""),"/",""),"-","")," ",""),"(",""),")",""),"+",""))</f>
      </c>
      <c r="H843" s="6">
        <f>IF(G843="","",IF(LEN(G843)&lt;&gt;14,"ERRO: "&amp;LEN(G843)&amp;" dígitos",IF(NOT(ISNUMBER(VALUE(G843))),"ERRO: não numérico",IF(AND(VALUE(MID(G843,13,1))=IF(MOD(SUMPRODUCT(--MID(G843,{1,2,3,4,5,6,7,8,9,10,11,12},1),{5,4,3,2,9,8,7,6,5,4,3,2}),11)&lt;2,0,11-MOD(SUMPRODUCT(--MID(G843,{1,2,3,4,5,6,7,8,9,10,11,12},1),{5,4,3,2,9,8,7,6,5,4,3,2}),11)),VALUE(MID(G843,14,1))=IF(MOD(SUMPRODUCT(--MID(G843,{1,2,3,4,5,6,7,8,9,10,11,12,13},1),{6,5,4,3,2,9,8,7,6,5,4,3,2}),11)&lt;2,0,11-MOD(SUMPRODUCT(--MID(G843,{1,2,3,4,5,6,7,8,9,10,11,12,13},1),{6,5,4,3,2,9,8,7,6,5,4,3,2}),11))),"OK","AVISO: dígito verificador (conferir na org)"))))</f>
      </c>
      <c r="I843" s="6">
        <f>IF(G843="","",IF(COUNTIF($G$2:$G$2001,G843)&gt;1,"DUPLICADO","OK"))</f>
      </c>
      <c r="J843" s="6">
        <f>IF(COUNTA(A843:F843)=0,"",IF(AND(A843&lt;&gt;"",E843&lt;&gt;""),"OK","ERRO: faltam "&amp;IF(A843="","CNPJ; ","")&amp;IF(E843="","Novo gerente; ","")))</f>
      </c>
      <c r="K843" s="6">
        <f>IF(COUNTA(A843:F843)=0,"",IF(AND(LEFT(H843,4)&lt;&gt;"ERRO",I843="OK",J843="OK"),"OK","REVISAR"))</f>
      </c>
    </row>
    <row r="844">
      <c r="A844" s="5"/>
      <c r="B844" s="4"/>
      <c r="C844" s="4"/>
      <c r="D844" s="4"/>
      <c r="E844" s="5"/>
      <c r="F844" s="4"/>
      <c r="G844" s="6">
        <f>IF(A844="","",SUBSTITUTE(SUBSTITUTE(SUBSTITUTE(SUBSTITUTE(SUBSTITUTE(SUBSTITUTE(SUBSTITUTE(TRIM(A844),".",""),"/",""),"-","")," ",""),"(",""),")",""),"+",""))</f>
      </c>
      <c r="H844" s="6">
        <f>IF(G844="","",IF(LEN(G844)&lt;&gt;14,"ERRO: "&amp;LEN(G844)&amp;" dígitos",IF(NOT(ISNUMBER(VALUE(G844))),"ERRO: não numérico",IF(AND(VALUE(MID(G844,13,1))=IF(MOD(SUMPRODUCT(--MID(G844,{1,2,3,4,5,6,7,8,9,10,11,12},1),{5,4,3,2,9,8,7,6,5,4,3,2}),11)&lt;2,0,11-MOD(SUMPRODUCT(--MID(G844,{1,2,3,4,5,6,7,8,9,10,11,12},1),{5,4,3,2,9,8,7,6,5,4,3,2}),11)),VALUE(MID(G844,14,1))=IF(MOD(SUMPRODUCT(--MID(G844,{1,2,3,4,5,6,7,8,9,10,11,12,13},1),{6,5,4,3,2,9,8,7,6,5,4,3,2}),11)&lt;2,0,11-MOD(SUMPRODUCT(--MID(G844,{1,2,3,4,5,6,7,8,9,10,11,12,13},1),{6,5,4,3,2,9,8,7,6,5,4,3,2}),11))),"OK","AVISO: dígito verificador (conferir na org)"))))</f>
      </c>
      <c r="I844" s="6">
        <f>IF(G844="","",IF(COUNTIF($G$2:$G$2001,G844)&gt;1,"DUPLICADO","OK"))</f>
      </c>
      <c r="J844" s="6">
        <f>IF(COUNTA(A844:F844)=0,"",IF(AND(A844&lt;&gt;"",E844&lt;&gt;""),"OK","ERRO: faltam "&amp;IF(A844="","CNPJ; ","")&amp;IF(E844="","Novo gerente; ","")))</f>
      </c>
      <c r="K844" s="6">
        <f>IF(COUNTA(A844:F844)=0,"",IF(AND(LEFT(H844,4)&lt;&gt;"ERRO",I844="OK",J844="OK"),"OK","REVISAR"))</f>
      </c>
    </row>
    <row r="845">
      <c r="A845" s="5"/>
      <c r="B845" s="4"/>
      <c r="C845" s="4"/>
      <c r="D845" s="4"/>
      <c r="E845" s="5"/>
      <c r="F845" s="4"/>
      <c r="G845" s="6">
        <f>IF(A845="","",SUBSTITUTE(SUBSTITUTE(SUBSTITUTE(SUBSTITUTE(SUBSTITUTE(SUBSTITUTE(SUBSTITUTE(TRIM(A845),".",""),"/",""),"-","")," ",""),"(",""),")",""),"+",""))</f>
      </c>
      <c r="H845" s="6">
        <f>IF(G845="","",IF(LEN(G845)&lt;&gt;14,"ERRO: "&amp;LEN(G845)&amp;" dígitos",IF(NOT(ISNUMBER(VALUE(G845))),"ERRO: não numérico",IF(AND(VALUE(MID(G845,13,1))=IF(MOD(SUMPRODUCT(--MID(G845,{1,2,3,4,5,6,7,8,9,10,11,12},1),{5,4,3,2,9,8,7,6,5,4,3,2}),11)&lt;2,0,11-MOD(SUMPRODUCT(--MID(G845,{1,2,3,4,5,6,7,8,9,10,11,12},1),{5,4,3,2,9,8,7,6,5,4,3,2}),11)),VALUE(MID(G845,14,1))=IF(MOD(SUMPRODUCT(--MID(G845,{1,2,3,4,5,6,7,8,9,10,11,12,13},1),{6,5,4,3,2,9,8,7,6,5,4,3,2}),11)&lt;2,0,11-MOD(SUMPRODUCT(--MID(G845,{1,2,3,4,5,6,7,8,9,10,11,12,13},1),{6,5,4,3,2,9,8,7,6,5,4,3,2}),11))),"OK","AVISO: dígito verificador (conferir na org)"))))</f>
      </c>
      <c r="I845" s="6">
        <f>IF(G845="","",IF(COUNTIF($G$2:$G$2001,G845)&gt;1,"DUPLICADO","OK"))</f>
      </c>
      <c r="J845" s="6">
        <f>IF(COUNTA(A845:F845)=0,"",IF(AND(A845&lt;&gt;"",E845&lt;&gt;""),"OK","ERRO: faltam "&amp;IF(A845="","CNPJ; ","")&amp;IF(E845="","Novo gerente; ","")))</f>
      </c>
      <c r="K845" s="6">
        <f>IF(COUNTA(A845:F845)=0,"",IF(AND(LEFT(H845,4)&lt;&gt;"ERRO",I845="OK",J845="OK"),"OK","REVISAR"))</f>
      </c>
    </row>
    <row r="846">
      <c r="A846" s="5"/>
      <c r="B846" s="4"/>
      <c r="C846" s="4"/>
      <c r="D846" s="4"/>
      <c r="E846" s="5"/>
      <c r="F846" s="4"/>
      <c r="G846" s="6">
        <f>IF(A846="","",SUBSTITUTE(SUBSTITUTE(SUBSTITUTE(SUBSTITUTE(SUBSTITUTE(SUBSTITUTE(SUBSTITUTE(TRIM(A846),".",""),"/",""),"-","")," ",""),"(",""),")",""),"+",""))</f>
      </c>
      <c r="H846" s="6">
        <f>IF(G846="","",IF(LEN(G846)&lt;&gt;14,"ERRO: "&amp;LEN(G846)&amp;" dígitos",IF(NOT(ISNUMBER(VALUE(G846))),"ERRO: não numérico",IF(AND(VALUE(MID(G846,13,1))=IF(MOD(SUMPRODUCT(--MID(G846,{1,2,3,4,5,6,7,8,9,10,11,12},1),{5,4,3,2,9,8,7,6,5,4,3,2}),11)&lt;2,0,11-MOD(SUMPRODUCT(--MID(G846,{1,2,3,4,5,6,7,8,9,10,11,12},1),{5,4,3,2,9,8,7,6,5,4,3,2}),11)),VALUE(MID(G846,14,1))=IF(MOD(SUMPRODUCT(--MID(G846,{1,2,3,4,5,6,7,8,9,10,11,12,13},1),{6,5,4,3,2,9,8,7,6,5,4,3,2}),11)&lt;2,0,11-MOD(SUMPRODUCT(--MID(G846,{1,2,3,4,5,6,7,8,9,10,11,12,13},1),{6,5,4,3,2,9,8,7,6,5,4,3,2}),11))),"OK","AVISO: dígito verificador (conferir na org)"))))</f>
      </c>
      <c r="I846" s="6">
        <f>IF(G846="","",IF(COUNTIF($G$2:$G$2001,G846)&gt;1,"DUPLICADO","OK"))</f>
      </c>
      <c r="J846" s="6">
        <f>IF(COUNTA(A846:F846)=0,"",IF(AND(A846&lt;&gt;"",E846&lt;&gt;""),"OK","ERRO: faltam "&amp;IF(A846="","CNPJ; ","")&amp;IF(E846="","Novo gerente; ","")))</f>
      </c>
      <c r="K846" s="6">
        <f>IF(COUNTA(A846:F846)=0,"",IF(AND(LEFT(H846,4)&lt;&gt;"ERRO",I846="OK",J846="OK"),"OK","REVISAR"))</f>
      </c>
    </row>
    <row r="847">
      <c r="A847" s="5"/>
      <c r="B847" s="4"/>
      <c r="C847" s="4"/>
      <c r="D847" s="4"/>
      <c r="E847" s="5"/>
      <c r="F847" s="4"/>
      <c r="G847" s="6">
        <f>IF(A847="","",SUBSTITUTE(SUBSTITUTE(SUBSTITUTE(SUBSTITUTE(SUBSTITUTE(SUBSTITUTE(SUBSTITUTE(TRIM(A847),".",""),"/",""),"-","")," ",""),"(",""),")",""),"+",""))</f>
      </c>
      <c r="H847" s="6">
        <f>IF(G847="","",IF(LEN(G847)&lt;&gt;14,"ERRO: "&amp;LEN(G847)&amp;" dígitos",IF(NOT(ISNUMBER(VALUE(G847))),"ERRO: não numérico",IF(AND(VALUE(MID(G847,13,1))=IF(MOD(SUMPRODUCT(--MID(G847,{1,2,3,4,5,6,7,8,9,10,11,12},1),{5,4,3,2,9,8,7,6,5,4,3,2}),11)&lt;2,0,11-MOD(SUMPRODUCT(--MID(G847,{1,2,3,4,5,6,7,8,9,10,11,12},1),{5,4,3,2,9,8,7,6,5,4,3,2}),11)),VALUE(MID(G847,14,1))=IF(MOD(SUMPRODUCT(--MID(G847,{1,2,3,4,5,6,7,8,9,10,11,12,13},1),{6,5,4,3,2,9,8,7,6,5,4,3,2}),11)&lt;2,0,11-MOD(SUMPRODUCT(--MID(G847,{1,2,3,4,5,6,7,8,9,10,11,12,13},1),{6,5,4,3,2,9,8,7,6,5,4,3,2}),11))),"OK","AVISO: dígito verificador (conferir na org)"))))</f>
      </c>
      <c r="I847" s="6">
        <f>IF(G847="","",IF(COUNTIF($G$2:$G$2001,G847)&gt;1,"DUPLICADO","OK"))</f>
      </c>
      <c r="J847" s="6">
        <f>IF(COUNTA(A847:F847)=0,"",IF(AND(A847&lt;&gt;"",E847&lt;&gt;""),"OK","ERRO: faltam "&amp;IF(A847="","CNPJ; ","")&amp;IF(E847="","Novo gerente; ","")))</f>
      </c>
      <c r="K847" s="6">
        <f>IF(COUNTA(A847:F847)=0,"",IF(AND(LEFT(H847,4)&lt;&gt;"ERRO",I847="OK",J847="OK"),"OK","REVISAR"))</f>
      </c>
    </row>
    <row r="848">
      <c r="A848" s="5"/>
      <c r="B848" s="4"/>
      <c r="C848" s="4"/>
      <c r="D848" s="4"/>
      <c r="E848" s="5"/>
      <c r="F848" s="4"/>
      <c r="G848" s="6">
        <f>IF(A848="","",SUBSTITUTE(SUBSTITUTE(SUBSTITUTE(SUBSTITUTE(SUBSTITUTE(SUBSTITUTE(SUBSTITUTE(TRIM(A848),".",""),"/",""),"-","")," ",""),"(",""),")",""),"+",""))</f>
      </c>
      <c r="H848" s="6">
        <f>IF(G848="","",IF(LEN(G848)&lt;&gt;14,"ERRO: "&amp;LEN(G848)&amp;" dígitos",IF(NOT(ISNUMBER(VALUE(G848))),"ERRO: não numérico",IF(AND(VALUE(MID(G848,13,1))=IF(MOD(SUMPRODUCT(--MID(G848,{1,2,3,4,5,6,7,8,9,10,11,12},1),{5,4,3,2,9,8,7,6,5,4,3,2}),11)&lt;2,0,11-MOD(SUMPRODUCT(--MID(G848,{1,2,3,4,5,6,7,8,9,10,11,12},1),{5,4,3,2,9,8,7,6,5,4,3,2}),11)),VALUE(MID(G848,14,1))=IF(MOD(SUMPRODUCT(--MID(G848,{1,2,3,4,5,6,7,8,9,10,11,12,13},1),{6,5,4,3,2,9,8,7,6,5,4,3,2}),11)&lt;2,0,11-MOD(SUMPRODUCT(--MID(G848,{1,2,3,4,5,6,7,8,9,10,11,12,13},1),{6,5,4,3,2,9,8,7,6,5,4,3,2}),11))),"OK","AVISO: dígito verificador (conferir na org)"))))</f>
      </c>
      <c r="I848" s="6">
        <f>IF(G848="","",IF(COUNTIF($G$2:$G$2001,G848)&gt;1,"DUPLICADO","OK"))</f>
      </c>
      <c r="J848" s="6">
        <f>IF(COUNTA(A848:F848)=0,"",IF(AND(A848&lt;&gt;"",E848&lt;&gt;""),"OK","ERRO: faltam "&amp;IF(A848="","CNPJ; ","")&amp;IF(E848="","Novo gerente; ","")))</f>
      </c>
      <c r="K848" s="6">
        <f>IF(COUNTA(A848:F848)=0,"",IF(AND(LEFT(H848,4)&lt;&gt;"ERRO",I848="OK",J848="OK"),"OK","REVISAR"))</f>
      </c>
    </row>
    <row r="849">
      <c r="A849" s="5"/>
      <c r="B849" s="4"/>
      <c r="C849" s="4"/>
      <c r="D849" s="4"/>
      <c r="E849" s="5"/>
      <c r="F849" s="4"/>
      <c r="G849" s="6">
        <f>IF(A849="","",SUBSTITUTE(SUBSTITUTE(SUBSTITUTE(SUBSTITUTE(SUBSTITUTE(SUBSTITUTE(SUBSTITUTE(TRIM(A849),".",""),"/",""),"-","")," ",""),"(",""),")",""),"+",""))</f>
      </c>
      <c r="H849" s="6">
        <f>IF(G849="","",IF(LEN(G849)&lt;&gt;14,"ERRO: "&amp;LEN(G849)&amp;" dígitos",IF(NOT(ISNUMBER(VALUE(G849))),"ERRO: não numérico",IF(AND(VALUE(MID(G849,13,1))=IF(MOD(SUMPRODUCT(--MID(G849,{1,2,3,4,5,6,7,8,9,10,11,12},1),{5,4,3,2,9,8,7,6,5,4,3,2}),11)&lt;2,0,11-MOD(SUMPRODUCT(--MID(G849,{1,2,3,4,5,6,7,8,9,10,11,12},1),{5,4,3,2,9,8,7,6,5,4,3,2}),11)),VALUE(MID(G849,14,1))=IF(MOD(SUMPRODUCT(--MID(G849,{1,2,3,4,5,6,7,8,9,10,11,12,13},1),{6,5,4,3,2,9,8,7,6,5,4,3,2}),11)&lt;2,0,11-MOD(SUMPRODUCT(--MID(G849,{1,2,3,4,5,6,7,8,9,10,11,12,13},1),{6,5,4,3,2,9,8,7,6,5,4,3,2}),11))),"OK","AVISO: dígito verificador (conferir na org)"))))</f>
      </c>
      <c r="I849" s="6">
        <f>IF(G849="","",IF(COUNTIF($G$2:$G$2001,G849)&gt;1,"DUPLICADO","OK"))</f>
      </c>
      <c r="J849" s="6">
        <f>IF(COUNTA(A849:F849)=0,"",IF(AND(A849&lt;&gt;"",E849&lt;&gt;""),"OK","ERRO: faltam "&amp;IF(A849="","CNPJ; ","")&amp;IF(E849="","Novo gerente; ","")))</f>
      </c>
      <c r="K849" s="6">
        <f>IF(COUNTA(A849:F849)=0,"",IF(AND(LEFT(H849,4)&lt;&gt;"ERRO",I849="OK",J849="OK"),"OK","REVISAR"))</f>
      </c>
    </row>
    <row r="850">
      <c r="A850" s="5"/>
      <c r="B850" s="4"/>
      <c r="C850" s="4"/>
      <c r="D850" s="4"/>
      <c r="E850" s="5"/>
      <c r="F850" s="4"/>
      <c r="G850" s="6">
        <f>IF(A850="","",SUBSTITUTE(SUBSTITUTE(SUBSTITUTE(SUBSTITUTE(SUBSTITUTE(SUBSTITUTE(SUBSTITUTE(TRIM(A850),".",""),"/",""),"-","")," ",""),"(",""),")",""),"+",""))</f>
      </c>
      <c r="H850" s="6">
        <f>IF(G850="","",IF(LEN(G850)&lt;&gt;14,"ERRO: "&amp;LEN(G850)&amp;" dígitos",IF(NOT(ISNUMBER(VALUE(G850))),"ERRO: não numérico",IF(AND(VALUE(MID(G850,13,1))=IF(MOD(SUMPRODUCT(--MID(G850,{1,2,3,4,5,6,7,8,9,10,11,12},1),{5,4,3,2,9,8,7,6,5,4,3,2}),11)&lt;2,0,11-MOD(SUMPRODUCT(--MID(G850,{1,2,3,4,5,6,7,8,9,10,11,12},1),{5,4,3,2,9,8,7,6,5,4,3,2}),11)),VALUE(MID(G850,14,1))=IF(MOD(SUMPRODUCT(--MID(G850,{1,2,3,4,5,6,7,8,9,10,11,12,13},1),{6,5,4,3,2,9,8,7,6,5,4,3,2}),11)&lt;2,0,11-MOD(SUMPRODUCT(--MID(G850,{1,2,3,4,5,6,7,8,9,10,11,12,13},1),{6,5,4,3,2,9,8,7,6,5,4,3,2}),11))),"OK","AVISO: dígito verificador (conferir na org)"))))</f>
      </c>
      <c r="I850" s="6">
        <f>IF(G850="","",IF(COUNTIF($G$2:$G$2001,G850)&gt;1,"DUPLICADO","OK"))</f>
      </c>
      <c r="J850" s="6">
        <f>IF(COUNTA(A850:F850)=0,"",IF(AND(A850&lt;&gt;"",E850&lt;&gt;""),"OK","ERRO: faltam "&amp;IF(A850="","CNPJ; ","")&amp;IF(E850="","Novo gerente; ","")))</f>
      </c>
      <c r="K850" s="6">
        <f>IF(COUNTA(A850:F850)=0,"",IF(AND(LEFT(H850,4)&lt;&gt;"ERRO",I850="OK",J850="OK"),"OK","REVISAR"))</f>
      </c>
    </row>
    <row r="851">
      <c r="A851" s="5"/>
      <c r="B851" s="4"/>
      <c r="C851" s="4"/>
      <c r="D851" s="4"/>
      <c r="E851" s="5"/>
      <c r="F851" s="4"/>
      <c r="G851" s="6">
        <f>IF(A851="","",SUBSTITUTE(SUBSTITUTE(SUBSTITUTE(SUBSTITUTE(SUBSTITUTE(SUBSTITUTE(SUBSTITUTE(TRIM(A851),".",""),"/",""),"-","")," ",""),"(",""),")",""),"+",""))</f>
      </c>
      <c r="H851" s="6">
        <f>IF(G851="","",IF(LEN(G851)&lt;&gt;14,"ERRO: "&amp;LEN(G851)&amp;" dígitos",IF(NOT(ISNUMBER(VALUE(G851))),"ERRO: não numérico",IF(AND(VALUE(MID(G851,13,1))=IF(MOD(SUMPRODUCT(--MID(G851,{1,2,3,4,5,6,7,8,9,10,11,12},1),{5,4,3,2,9,8,7,6,5,4,3,2}),11)&lt;2,0,11-MOD(SUMPRODUCT(--MID(G851,{1,2,3,4,5,6,7,8,9,10,11,12},1),{5,4,3,2,9,8,7,6,5,4,3,2}),11)),VALUE(MID(G851,14,1))=IF(MOD(SUMPRODUCT(--MID(G851,{1,2,3,4,5,6,7,8,9,10,11,12,13},1),{6,5,4,3,2,9,8,7,6,5,4,3,2}),11)&lt;2,0,11-MOD(SUMPRODUCT(--MID(G851,{1,2,3,4,5,6,7,8,9,10,11,12,13},1),{6,5,4,3,2,9,8,7,6,5,4,3,2}),11))),"OK","AVISO: dígito verificador (conferir na org)"))))</f>
      </c>
      <c r="I851" s="6">
        <f>IF(G851="","",IF(COUNTIF($G$2:$G$2001,G851)&gt;1,"DUPLICADO","OK"))</f>
      </c>
      <c r="J851" s="6">
        <f>IF(COUNTA(A851:F851)=0,"",IF(AND(A851&lt;&gt;"",E851&lt;&gt;""),"OK","ERRO: faltam "&amp;IF(A851="","CNPJ; ","")&amp;IF(E851="","Novo gerente; ","")))</f>
      </c>
      <c r="K851" s="6">
        <f>IF(COUNTA(A851:F851)=0,"",IF(AND(LEFT(H851,4)&lt;&gt;"ERRO",I851="OK",J851="OK"),"OK","REVISAR"))</f>
      </c>
    </row>
    <row r="852">
      <c r="A852" s="5"/>
      <c r="B852" s="4"/>
      <c r="C852" s="4"/>
      <c r="D852" s="4"/>
      <c r="E852" s="5"/>
      <c r="F852" s="4"/>
      <c r="G852" s="6">
        <f>IF(A852="","",SUBSTITUTE(SUBSTITUTE(SUBSTITUTE(SUBSTITUTE(SUBSTITUTE(SUBSTITUTE(SUBSTITUTE(TRIM(A852),".",""),"/",""),"-","")," ",""),"(",""),")",""),"+",""))</f>
      </c>
      <c r="H852" s="6">
        <f>IF(G852="","",IF(LEN(G852)&lt;&gt;14,"ERRO: "&amp;LEN(G852)&amp;" dígitos",IF(NOT(ISNUMBER(VALUE(G852))),"ERRO: não numérico",IF(AND(VALUE(MID(G852,13,1))=IF(MOD(SUMPRODUCT(--MID(G852,{1,2,3,4,5,6,7,8,9,10,11,12},1),{5,4,3,2,9,8,7,6,5,4,3,2}),11)&lt;2,0,11-MOD(SUMPRODUCT(--MID(G852,{1,2,3,4,5,6,7,8,9,10,11,12},1),{5,4,3,2,9,8,7,6,5,4,3,2}),11)),VALUE(MID(G852,14,1))=IF(MOD(SUMPRODUCT(--MID(G852,{1,2,3,4,5,6,7,8,9,10,11,12,13},1),{6,5,4,3,2,9,8,7,6,5,4,3,2}),11)&lt;2,0,11-MOD(SUMPRODUCT(--MID(G852,{1,2,3,4,5,6,7,8,9,10,11,12,13},1),{6,5,4,3,2,9,8,7,6,5,4,3,2}),11))),"OK","AVISO: dígito verificador (conferir na org)"))))</f>
      </c>
      <c r="I852" s="6">
        <f>IF(G852="","",IF(COUNTIF($G$2:$G$2001,G852)&gt;1,"DUPLICADO","OK"))</f>
      </c>
      <c r="J852" s="6">
        <f>IF(COUNTA(A852:F852)=0,"",IF(AND(A852&lt;&gt;"",E852&lt;&gt;""),"OK","ERRO: faltam "&amp;IF(A852="","CNPJ; ","")&amp;IF(E852="","Novo gerente; ","")))</f>
      </c>
      <c r="K852" s="6">
        <f>IF(COUNTA(A852:F852)=0,"",IF(AND(LEFT(H852,4)&lt;&gt;"ERRO",I852="OK",J852="OK"),"OK","REVISAR"))</f>
      </c>
    </row>
    <row r="853">
      <c r="A853" s="5"/>
      <c r="B853" s="4"/>
      <c r="C853" s="4"/>
      <c r="D853" s="4"/>
      <c r="E853" s="5"/>
      <c r="F853" s="4"/>
      <c r="G853" s="6">
        <f>IF(A853="","",SUBSTITUTE(SUBSTITUTE(SUBSTITUTE(SUBSTITUTE(SUBSTITUTE(SUBSTITUTE(SUBSTITUTE(TRIM(A853),".",""),"/",""),"-","")," ",""),"(",""),")",""),"+",""))</f>
      </c>
      <c r="H853" s="6">
        <f>IF(G853="","",IF(LEN(G853)&lt;&gt;14,"ERRO: "&amp;LEN(G853)&amp;" dígitos",IF(NOT(ISNUMBER(VALUE(G853))),"ERRO: não numérico",IF(AND(VALUE(MID(G853,13,1))=IF(MOD(SUMPRODUCT(--MID(G853,{1,2,3,4,5,6,7,8,9,10,11,12},1),{5,4,3,2,9,8,7,6,5,4,3,2}),11)&lt;2,0,11-MOD(SUMPRODUCT(--MID(G853,{1,2,3,4,5,6,7,8,9,10,11,12},1),{5,4,3,2,9,8,7,6,5,4,3,2}),11)),VALUE(MID(G853,14,1))=IF(MOD(SUMPRODUCT(--MID(G853,{1,2,3,4,5,6,7,8,9,10,11,12,13},1),{6,5,4,3,2,9,8,7,6,5,4,3,2}),11)&lt;2,0,11-MOD(SUMPRODUCT(--MID(G853,{1,2,3,4,5,6,7,8,9,10,11,12,13},1),{6,5,4,3,2,9,8,7,6,5,4,3,2}),11))),"OK","AVISO: dígito verificador (conferir na org)"))))</f>
      </c>
      <c r="I853" s="6">
        <f>IF(G853="","",IF(COUNTIF($G$2:$G$2001,G853)&gt;1,"DUPLICADO","OK"))</f>
      </c>
      <c r="J853" s="6">
        <f>IF(COUNTA(A853:F853)=0,"",IF(AND(A853&lt;&gt;"",E853&lt;&gt;""),"OK","ERRO: faltam "&amp;IF(A853="","CNPJ; ","")&amp;IF(E853="","Novo gerente; ","")))</f>
      </c>
      <c r="K853" s="6">
        <f>IF(COUNTA(A853:F853)=0,"",IF(AND(LEFT(H853,4)&lt;&gt;"ERRO",I853="OK",J853="OK"),"OK","REVISAR"))</f>
      </c>
    </row>
    <row r="854">
      <c r="A854" s="5"/>
      <c r="B854" s="4"/>
      <c r="C854" s="4"/>
      <c r="D854" s="4"/>
      <c r="E854" s="5"/>
      <c r="F854" s="4"/>
      <c r="G854" s="6">
        <f>IF(A854="","",SUBSTITUTE(SUBSTITUTE(SUBSTITUTE(SUBSTITUTE(SUBSTITUTE(SUBSTITUTE(SUBSTITUTE(TRIM(A854),".",""),"/",""),"-","")," ",""),"(",""),")",""),"+",""))</f>
      </c>
      <c r="H854" s="6">
        <f>IF(G854="","",IF(LEN(G854)&lt;&gt;14,"ERRO: "&amp;LEN(G854)&amp;" dígitos",IF(NOT(ISNUMBER(VALUE(G854))),"ERRO: não numérico",IF(AND(VALUE(MID(G854,13,1))=IF(MOD(SUMPRODUCT(--MID(G854,{1,2,3,4,5,6,7,8,9,10,11,12},1),{5,4,3,2,9,8,7,6,5,4,3,2}),11)&lt;2,0,11-MOD(SUMPRODUCT(--MID(G854,{1,2,3,4,5,6,7,8,9,10,11,12},1),{5,4,3,2,9,8,7,6,5,4,3,2}),11)),VALUE(MID(G854,14,1))=IF(MOD(SUMPRODUCT(--MID(G854,{1,2,3,4,5,6,7,8,9,10,11,12,13},1),{6,5,4,3,2,9,8,7,6,5,4,3,2}),11)&lt;2,0,11-MOD(SUMPRODUCT(--MID(G854,{1,2,3,4,5,6,7,8,9,10,11,12,13},1),{6,5,4,3,2,9,8,7,6,5,4,3,2}),11))),"OK","AVISO: dígito verificador (conferir na org)"))))</f>
      </c>
      <c r="I854" s="6">
        <f>IF(G854="","",IF(COUNTIF($G$2:$G$2001,G854)&gt;1,"DUPLICADO","OK"))</f>
      </c>
      <c r="J854" s="6">
        <f>IF(COUNTA(A854:F854)=0,"",IF(AND(A854&lt;&gt;"",E854&lt;&gt;""),"OK","ERRO: faltam "&amp;IF(A854="","CNPJ; ","")&amp;IF(E854="","Novo gerente; ","")))</f>
      </c>
      <c r="K854" s="6">
        <f>IF(COUNTA(A854:F854)=0,"",IF(AND(LEFT(H854,4)&lt;&gt;"ERRO",I854="OK",J854="OK"),"OK","REVISAR"))</f>
      </c>
    </row>
    <row r="855">
      <c r="A855" s="5"/>
      <c r="B855" s="4"/>
      <c r="C855" s="4"/>
      <c r="D855" s="4"/>
      <c r="E855" s="5"/>
      <c r="F855" s="4"/>
      <c r="G855" s="6">
        <f>IF(A855="","",SUBSTITUTE(SUBSTITUTE(SUBSTITUTE(SUBSTITUTE(SUBSTITUTE(SUBSTITUTE(SUBSTITUTE(TRIM(A855),".",""),"/",""),"-","")," ",""),"(",""),")",""),"+",""))</f>
      </c>
      <c r="H855" s="6">
        <f>IF(G855="","",IF(LEN(G855)&lt;&gt;14,"ERRO: "&amp;LEN(G855)&amp;" dígitos",IF(NOT(ISNUMBER(VALUE(G855))),"ERRO: não numérico",IF(AND(VALUE(MID(G855,13,1))=IF(MOD(SUMPRODUCT(--MID(G855,{1,2,3,4,5,6,7,8,9,10,11,12},1),{5,4,3,2,9,8,7,6,5,4,3,2}),11)&lt;2,0,11-MOD(SUMPRODUCT(--MID(G855,{1,2,3,4,5,6,7,8,9,10,11,12},1),{5,4,3,2,9,8,7,6,5,4,3,2}),11)),VALUE(MID(G855,14,1))=IF(MOD(SUMPRODUCT(--MID(G855,{1,2,3,4,5,6,7,8,9,10,11,12,13},1),{6,5,4,3,2,9,8,7,6,5,4,3,2}),11)&lt;2,0,11-MOD(SUMPRODUCT(--MID(G855,{1,2,3,4,5,6,7,8,9,10,11,12,13},1),{6,5,4,3,2,9,8,7,6,5,4,3,2}),11))),"OK","AVISO: dígito verificador (conferir na org)"))))</f>
      </c>
      <c r="I855" s="6">
        <f>IF(G855="","",IF(COUNTIF($G$2:$G$2001,G855)&gt;1,"DUPLICADO","OK"))</f>
      </c>
      <c r="J855" s="6">
        <f>IF(COUNTA(A855:F855)=0,"",IF(AND(A855&lt;&gt;"",E855&lt;&gt;""),"OK","ERRO: faltam "&amp;IF(A855="","CNPJ; ","")&amp;IF(E855="","Novo gerente; ","")))</f>
      </c>
      <c r="K855" s="6">
        <f>IF(COUNTA(A855:F855)=0,"",IF(AND(LEFT(H855,4)&lt;&gt;"ERRO",I855="OK",J855="OK"),"OK","REVISAR"))</f>
      </c>
    </row>
    <row r="856">
      <c r="A856" s="5"/>
      <c r="B856" s="4"/>
      <c r="C856" s="4"/>
      <c r="D856" s="4"/>
      <c r="E856" s="5"/>
      <c r="F856" s="4"/>
      <c r="G856" s="6">
        <f>IF(A856="","",SUBSTITUTE(SUBSTITUTE(SUBSTITUTE(SUBSTITUTE(SUBSTITUTE(SUBSTITUTE(SUBSTITUTE(TRIM(A856),".",""),"/",""),"-","")," ",""),"(",""),")",""),"+",""))</f>
      </c>
      <c r="H856" s="6">
        <f>IF(G856="","",IF(LEN(G856)&lt;&gt;14,"ERRO: "&amp;LEN(G856)&amp;" dígitos",IF(NOT(ISNUMBER(VALUE(G856))),"ERRO: não numérico",IF(AND(VALUE(MID(G856,13,1))=IF(MOD(SUMPRODUCT(--MID(G856,{1,2,3,4,5,6,7,8,9,10,11,12},1),{5,4,3,2,9,8,7,6,5,4,3,2}),11)&lt;2,0,11-MOD(SUMPRODUCT(--MID(G856,{1,2,3,4,5,6,7,8,9,10,11,12},1),{5,4,3,2,9,8,7,6,5,4,3,2}),11)),VALUE(MID(G856,14,1))=IF(MOD(SUMPRODUCT(--MID(G856,{1,2,3,4,5,6,7,8,9,10,11,12,13},1),{6,5,4,3,2,9,8,7,6,5,4,3,2}),11)&lt;2,0,11-MOD(SUMPRODUCT(--MID(G856,{1,2,3,4,5,6,7,8,9,10,11,12,13},1),{6,5,4,3,2,9,8,7,6,5,4,3,2}),11))),"OK","AVISO: dígito verificador (conferir na org)"))))</f>
      </c>
      <c r="I856" s="6">
        <f>IF(G856="","",IF(COUNTIF($G$2:$G$2001,G856)&gt;1,"DUPLICADO","OK"))</f>
      </c>
      <c r="J856" s="6">
        <f>IF(COUNTA(A856:F856)=0,"",IF(AND(A856&lt;&gt;"",E856&lt;&gt;""),"OK","ERRO: faltam "&amp;IF(A856="","CNPJ; ","")&amp;IF(E856="","Novo gerente; ","")))</f>
      </c>
      <c r="K856" s="6">
        <f>IF(COUNTA(A856:F856)=0,"",IF(AND(LEFT(H856,4)&lt;&gt;"ERRO",I856="OK",J856="OK"),"OK","REVISAR"))</f>
      </c>
    </row>
    <row r="857">
      <c r="A857" s="5"/>
      <c r="B857" s="4"/>
      <c r="C857" s="4"/>
      <c r="D857" s="4"/>
      <c r="E857" s="5"/>
      <c r="F857" s="4"/>
      <c r="G857" s="6">
        <f>IF(A857="","",SUBSTITUTE(SUBSTITUTE(SUBSTITUTE(SUBSTITUTE(SUBSTITUTE(SUBSTITUTE(SUBSTITUTE(TRIM(A857),".",""),"/",""),"-","")," ",""),"(",""),")",""),"+",""))</f>
      </c>
      <c r="H857" s="6">
        <f>IF(G857="","",IF(LEN(G857)&lt;&gt;14,"ERRO: "&amp;LEN(G857)&amp;" dígitos",IF(NOT(ISNUMBER(VALUE(G857))),"ERRO: não numérico",IF(AND(VALUE(MID(G857,13,1))=IF(MOD(SUMPRODUCT(--MID(G857,{1,2,3,4,5,6,7,8,9,10,11,12},1),{5,4,3,2,9,8,7,6,5,4,3,2}),11)&lt;2,0,11-MOD(SUMPRODUCT(--MID(G857,{1,2,3,4,5,6,7,8,9,10,11,12},1),{5,4,3,2,9,8,7,6,5,4,3,2}),11)),VALUE(MID(G857,14,1))=IF(MOD(SUMPRODUCT(--MID(G857,{1,2,3,4,5,6,7,8,9,10,11,12,13},1),{6,5,4,3,2,9,8,7,6,5,4,3,2}),11)&lt;2,0,11-MOD(SUMPRODUCT(--MID(G857,{1,2,3,4,5,6,7,8,9,10,11,12,13},1),{6,5,4,3,2,9,8,7,6,5,4,3,2}),11))),"OK","AVISO: dígito verificador (conferir na org)"))))</f>
      </c>
      <c r="I857" s="6">
        <f>IF(G857="","",IF(COUNTIF($G$2:$G$2001,G857)&gt;1,"DUPLICADO","OK"))</f>
      </c>
      <c r="J857" s="6">
        <f>IF(COUNTA(A857:F857)=0,"",IF(AND(A857&lt;&gt;"",E857&lt;&gt;""),"OK","ERRO: faltam "&amp;IF(A857="","CNPJ; ","")&amp;IF(E857="","Novo gerente; ","")))</f>
      </c>
      <c r="K857" s="6">
        <f>IF(COUNTA(A857:F857)=0,"",IF(AND(LEFT(H857,4)&lt;&gt;"ERRO",I857="OK",J857="OK"),"OK","REVISAR"))</f>
      </c>
    </row>
    <row r="858">
      <c r="A858" s="5"/>
      <c r="B858" s="4"/>
      <c r="C858" s="4"/>
      <c r="D858" s="4"/>
      <c r="E858" s="5"/>
      <c r="F858" s="4"/>
      <c r="G858" s="6">
        <f>IF(A858="","",SUBSTITUTE(SUBSTITUTE(SUBSTITUTE(SUBSTITUTE(SUBSTITUTE(SUBSTITUTE(SUBSTITUTE(TRIM(A858),".",""),"/",""),"-","")," ",""),"(",""),")",""),"+",""))</f>
      </c>
      <c r="H858" s="6">
        <f>IF(G858="","",IF(LEN(G858)&lt;&gt;14,"ERRO: "&amp;LEN(G858)&amp;" dígitos",IF(NOT(ISNUMBER(VALUE(G858))),"ERRO: não numérico",IF(AND(VALUE(MID(G858,13,1))=IF(MOD(SUMPRODUCT(--MID(G858,{1,2,3,4,5,6,7,8,9,10,11,12},1),{5,4,3,2,9,8,7,6,5,4,3,2}),11)&lt;2,0,11-MOD(SUMPRODUCT(--MID(G858,{1,2,3,4,5,6,7,8,9,10,11,12},1),{5,4,3,2,9,8,7,6,5,4,3,2}),11)),VALUE(MID(G858,14,1))=IF(MOD(SUMPRODUCT(--MID(G858,{1,2,3,4,5,6,7,8,9,10,11,12,13},1),{6,5,4,3,2,9,8,7,6,5,4,3,2}),11)&lt;2,0,11-MOD(SUMPRODUCT(--MID(G858,{1,2,3,4,5,6,7,8,9,10,11,12,13},1),{6,5,4,3,2,9,8,7,6,5,4,3,2}),11))),"OK","AVISO: dígito verificador (conferir na org)"))))</f>
      </c>
      <c r="I858" s="6">
        <f>IF(G858="","",IF(COUNTIF($G$2:$G$2001,G858)&gt;1,"DUPLICADO","OK"))</f>
      </c>
      <c r="J858" s="6">
        <f>IF(COUNTA(A858:F858)=0,"",IF(AND(A858&lt;&gt;"",E858&lt;&gt;""),"OK","ERRO: faltam "&amp;IF(A858="","CNPJ; ","")&amp;IF(E858="","Novo gerente; ","")))</f>
      </c>
      <c r="K858" s="6">
        <f>IF(COUNTA(A858:F858)=0,"",IF(AND(LEFT(H858,4)&lt;&gt;"ERRO",I858="OK",J858="OK"),"OK","REVISAR"))</f>
      </c>
    </row>
    <row r="859">
      <c r="A859" s="5"/>
      <c r="B859" s="4"/>
      <c r="C859" s="4"/>
      <c r="D859" s="4"/>
      <c r="E859" s="5"/>
      <c r="F859" s="4"/>
      <c r="G859" s="6">
        <f>IF(A859="","",SUBSTITUTE(SUBSTITUTE(SUBSTITUTE(SUBSTITUTE(SUBSTITUTE(SUBSTITUTE(SUBSTITUTE(TRIM(A859),".",""),"/",""),"-","")," ",""),"(",""),")",""),"+",""))</f>
      </c>
      <c r="H859" s="6">
        <f>IF(G859="","",IF(LEN(G859)&lt;&gt;14,"ERRO: "&amp;LEN(G859)&amp;" dígitos",IF(NOT(ISNUMBER(VALUE(G859))),"ERRO: não numérico",IF(AND(VALUE(MID(G859,13,1))=IF(MOD(SUMPRODUCT(--MID(G859,{1,2,3,4,5,6,7,8,9,10,11,12},1),{5,4,3,2,9,8,7,6,5,4,3,2}),11)&lt;2,0,11-MOD(SUMPRODUCT(--MID(G859,{1,2,3,4,5,6,7,8,9,10,11,12},1),{5,4,3,2,9,8,7,6,5,4,3,2}),11)),VALUE(MID(G859,14,1))=IF(MOD(SUMPRODUCT(--MID(G859,{1,2,3,4,5,6,7,8,9,10,11,12,13},1),{6,5,4,3,2,9,8,7,6,5,4,3,2}),11)&lt;2,0,11-MOD(SUMPRODUCT(--MID(G859,{1,2,3,4,5,6,7,8,9,10,11,12,13},1),{6,5,4,3,2,9,8,7,6,5,4,3,2}),11))),"OK","AVISO: dígito verificador (conferir na org)"))))</f>
      </c>
      <c r="I859" s="6">
        <f>IF(G859="","",IF(COUNTIF($G$2:$G$2001,G859)&gt;1,"DUPLICADO","OK"))</f>
      </c>
      <c r="J859" s="6">
        <f>IF(COUNTA(A859:F859)=0,"",IF(AND(A859&lt;&gt;"",E859&lt;&gt;""),"OK","ERRO: faltam "&amp;IF(A859="","CNPJ; ","")&amp;IF(E859="","Novo gerente; ","")))</f>
      </c>
      <c r="K859" s="6">
        <f>IF(COUNTA(A859:F859)=0,"",IF(AND(LEFT(H859,4)&lt;&gt;"ERRO",I859="OK",J859="OK"),"OK","REVISAR"))</f>
      </c>
    </row>
    <row r="860">
      <c r="A860" s="5"/>
      <c r="B860" s="4"/>
      <c r="C860" s="4"/>
      <c r="D860" s="4"/>
      <c r="E860" s="5"/>
      <c r="F860" s="4"/>
      <c r="G860" s="6">
        <f>IF(A860="","",SUBSTITUTE(SUBSTITUTE(SUBSTITUTE(SUBSTITUTE(SUBSTITUTE(SUBSTITUTE(SUBSTITUTE(TRIM(A860),".",""),"/",""),"-","")," ",""),"(",""),")",""),"+",""))</f>
      </c>
      <c r="H860" s="6">
        <f>IF(G860="","",IF(LEN(G860)&lt;&gt;14,"ERRO: "&amp;LEN(G860)&amp;" dígitos",IF(NOT(ISNUMBER(VALUE(G860))),"ERRO: não numérico",IF(AND(VALUE(MID(G860,13,1))=IF(MOD(SUMPRODUCT(--MID(G860,{1,2,3,4,5,6,7,8,9,10,11,12},1),{5,4,3,2,9,8,7,6,5,4,3,2}),11)&lt;2,0,11-MOD(SUMPRODUCT(--MID(G860,{1,2,3,4,5,6,7,8,9,10,11,12},1),{5,4,3,2,9,8,7,6,5,4,3,2}),11)),VALUE(MID(G860,14,1))=IF(MOD(SUMPRODUCT(--MID(G860,{1,2,3,4,5,6,7,8,9,10,11,12,13},1),{6,5,4,3,2,9,8,7,6,5,4,3,2}),11)&lt;2,0,11-MOD(SUMPRODUCT(--MID(G860,{1,2,3,4,5,6,7,8,9,10,11,12,13},1),{6,5,4,3,2,9,8,7,6,5,4,3,2}),11))),"OK","AVISO: dígito verificador (conferir na org)"))))</f>
      </c>
      <c r="I860" s="6">
        <f>IF(G860="","",IF(COUNTIF($G$2:$G$2001,G860)&gt;1,"DUPLICADO","OK"))</f>
      </c>
      <c r="J860" s="6">
        <f>IF(COUNTA(A860:F860)=0,"",IF(AND(A860&lt;&gt;"",E860&lt;&gt;""),"OK","ERRO: faltam "&amp;IF(A860="","CNPJ; ","")&amp;IF(E860="","Novo gerente; ","")))</f>
      </c>
      <c r="K860" s="6">
        <f>IF(COUNTA(A860:F860)=0,"",IF(AND(LEFT(H860,4)&lt;&gt;"ERRO",I860="OK",J860="OK"),"OK","REVISAR"))</f>
      </c>
    </row>
    <row r="861">
      <c r="A861" s="5"/>
      <c r="B861" s="4"/>
      <c r="C861" s="4"/>
      <c r="D861" s="4"/>
      <c r="E861" s="5"/>
      <c r="F861" s="4"/>
      <c r="G861" s="6">
        <f>IF(A861="","",SUBSTITUTE(SUBSTITUTE(SUBSTITUTE(SUBSTITUTE(SUBSTITUTE(SUBSTITUTE(SUBSTITUTE(TRIM(A861),".",""),"/",""),"-","")," ",""),"(",""),")",""),"+",""))</f>
      </c>
      <c r="H861" s="6">
        <f>IF(G861="","",IF(LEN(G861)&lt;&gt;14,"ERRO: "&amp;LEN(G861)&amp;" dígitos",IF(NOT(ISNUMBER(VALUE(G861))),"ERRO: não numérico",IF(AND(VALUE(MID(G861,13,1))=IF(MOD(SUMPRODUCT(--MID(G861,{1,2,3,4,5,6,7,8,9,10,11,12},1),{5,4,3,2,9,8,7,6,5,4,3,2}),11)&lt;2,0,11-MOD(SUMPRODUCT(--MID(G861,{1,2,3,4,5,6,7,8,9,10,11,12},1),{5,4,3,2,9,8,7,6,5,4,3,2}),11)),VALUE(MID(G861,14,1))=IF(MOD(SUMPRODUCT(--MID(G861,{1,2,3,4,5,6,7,8,9,10,11,12,13},1),{6,5,4,3,2,9,8,7,6,5,4,3,2}),11)&lt;2,0,11-MOD(SUMPRODUCT(--MID(G861,{1,2,3,4,5,6,7,8,9,10,11,12,13},1),{6,5,4,3,2,9,8,7,6,5,4,3,2}),11))),"OK","AVISO: dígito verificador (conferir na org)"))))</f>
      </c>
      <c r="I861" s="6">
        <f>IF(G861="","",IF(COUNTIF($G$2:$G$2001,G861)&gt;1,"DUPLICADO","OK"))</f>
      </c>
      <c r="J861" s="6">
        <f>IF(COUNTA(A861:F861)=0,"",IF(AND(A861&lt;&gt;"",E861&lt;&gt;""),"OK","ERRO: faltam "&amp;IF(A861="","CNPJ; ","")&amp;IF(E861="","Novo gerente; ","")))</f>
      </c>
      <c r="K861" s="6">
        <f>IF(COUNTA(A861:F861)=0,"",IF(AND(LEFT(H861,4)&lt;&gt;"ERRO",I861="OK",J861="OK"),"OK","REVISAR"))</f>
      </c>
    </row>
    <row r="862">
      <c r="A862" s="5"/>
      <c r="B862" s="4"/>
      <c r="C862" s="4"/>
      <c r="D862" s="4"/>
      <c r="E862" s="5"/>
      <c r="F862" s="4"/>
      <c r="G862" s="6">
        <f>IF(A862="","",SUBSTITUTE(SUBSTITUTE(SUBSTITUTE(SUBSTITUTE(SUBSTITUTE(SUBSTITUTE(SUBSTITUTE(TRIM(A862),".",""),"/",""),"-","")," ",""),"(",""),")",""),"+",""))</f>
      </c>
      <c r="H862" s="6">
        <f>IF(G862="","",IF(LEN(G862)&lt;&gt;14,"ERRO: "&amp;LEN(G862)&amp;" dígitos",IF(NOT(ISNUMBER(VALUE(G862))),"ERRO: não numérico",IF(AND(VALUE(MID(G862,13,1))=IF(MOD(SUMPRODUCT(--MID(G862,{1,2,3,4,5,6,7,8,9,10,11,12},1),{5,4,3,2,9,8,7,6,5,4,3,2}),11)&lt;2,0,11-MOD(SUMPRODUCT(--MID(G862,{1,2,3,4,5,6,7,8,9,10,11,12},1),{5,4,3,2,9,8,7,6,5,4,3,2}),11)),VALUE(MID(G862,14,1))=IF(MOD(SUMPRODUCT(--MID(G862,{1,2,3,4,5,6,7,8,9,10,11,12,13},1),{6,5,4,3,2,9,8,7,6,5,4,3,2}),11)&lt;2,0,11-MOD(SUMPRODUCT(--MID(G862,{1,2,3,4,5,6,7,8,9,10,11,12,13},1),{6,5,4,3,2,9,8,7,6,5,4,3,2}),11))),"OK","AVISO: dígito verificador (conferir na org)"))))</f>
      </c>
      <c r="I862" s="6">
        <f>IF(G862="","",IF(COUNTIF($G$2:$G$2001,G862)&gt;1,"DUPLICADO","OK"))</f>
      </c>
      <c r="J862" s="6">
        <f>IF(COUNTA(A862:F862)=0,"",IF(AND(A862&lt;&gt;"",E862&lt;&gt;""),"OK","ERRO: faltam "&amp;IF(A862="","CNPJ; ","")&amp;IF(E862="","Novo gerente; ","")))</f>
      </c>
      <c r="K862" s="6">
        <f>IF(COUNTA(A862:F862)=0,"",IF(AND(LEFT(H862,4)&lt;&gt;"ERRO",I862="OK",J862="OK"),"OK","REVISAR"))</f>
      </c>
    </row>
    <row r="863">
      <c r="A863" s="5"/>
      <c r="B863" s="4"/>
      <c r="C863" s="4"/>
      <c r="D863" s="4"/>
      <c r="E863" s="5"/>
      <c r="F863" s="4"/>
      <c r="G863" s="6">
        <f>IF(A863="","",SUBSTITUTE(SUBSTITUTE(SUBSTITUTE(SUBSTITUTE(SUBSTITUTE(SUBSTITUTE(SUBSTITUTE(TRIM(A863),".",""),"/",""),"-","")," ",""),"(",""),")",""),"+",""))</f>
      </c>
      <c r="H863" s="6">
        <f>IF(G863="","",IF(LEN(G863)&lt;&gt;14,"ERRO: "&amp;LEN(G863)&amp;" dígitos",IF(NOT(ISNUMBER(VALUE(G863))),"ERRO: não numérico",IF(AND(VALUE(MID(G863,13,1))=IF(MOD(SUMPRODUCT(--MID(G863,{1,2,3,4,5,6,7,8,9,10,11,12},1),{5,4,3,2,9,8,7,6,5,4,3,2}),11)&lt;2,0,11-MOD(SUMPRODUCT(--MID(G863,{1,2,3,4,5,6,7,8,9,10,11,12},1),{5,4,3,2,9,8,7,6,5,4,3,2}),11)),VALUE(MID(G863,14,1))=IF(MOD(SUMPRODUCT(--MID(G863,{1,2,3,4,5,6,7,8,9,10,11,12,13},1),{6,5,4,3,2,9,8,7,6,5,4,3,2}),11)&lt;2,0,11-MOD(SUMPRODUCT(--MID(G863,{1,2,3,4,5,6,7,8,9,10,11,12,13},1),{6,5,4,3,2,9,8,7,6,5,4,3,2}),11))),"OK","AVISO: dígito verificador (conferir na org)"))))</f>
      </c>
      <c r="I863" s="6">
        <f>IF(G863="","",IF(COUNTIF($G$2:$G$2001,G863)&gt;1,"DUPLICADO","OK"))</f>
      </c>
      <c r="J863" s="6">
        <f>IF(COUNTA(A863:F863)=0,"",IF(AND(A863&lt;&gt;"",E863&lt;&gt;""),"OK","ERRO: faltam "&amp;IF(A863="","CNPJ; ","")&amp;IF(E863="","Novo gerente; ","")))</f>
      </c>
      <c r="K863" s="6">
        <f>IF(COUNTA(A863:F863)=0,"",IF(AND(LEFT(H863,4)&lt;&gt;"ERRO",I863="OK",J863="OK"),"OK","REVISAR"))</f>
      </c>
    </row>
    <row r="864">
      <c r="A864" s="5"/>
      <c r="B864" s="4"/>
      <c r="C864" s="4"/>
      <c r="D864" s="4"/>
      <c r="E864" s="5"/>
      <c r="F864" s="4"/>
      <c r="G864" s="6">
        <f>IF(A864="","",SUBSTITUTE(SUBSTITUTE(SUBSTITUTE(SUBSTITUTE(SUBSTITUTE(SUBSTITUTE(SUBSTITUTE(TRIM(A864),".",""),"/",""),"-","")," ",""),"(",""),")",""),"+",""))</f>
      </c>
      <c r="H864" s="6">
        <f>IF(G864="","",IF(LEN(G864)&lt;&gt;14,"ERRO: "&amp;LEN(G864)&amp;" dígitos",IF(NOT(ISNUMBER(VALUE(G864))),"ERRO: não numérico",IF(AND(VALUE(MID(G864,13,1))=IF(MOD(SUMPRODUCT(--MID(G864,{1,2,3,4,5,6,7,8,9,10,11,12},1),{5,4,3,2,9,8,7,6,5,4,3,2}),11)&lt;2,0,11-MOD(SUMPRODUCT(--MID(G864,{1,2,3,4,5,6,7,8,9,10,11,12},1),{5,4,3,2,9,8,7,6,5,4,3,2}),11)),VALUE(MID(G864,14,1))=IF(MOD(SUMPRODUCT(--MID(G864,{1,2,3,4,5,6,7,8,9,10,11,12,13},1),{6,5,4,3,2,9,8,7,6,5,4,3,2}),11)&lt;2,0,11-MOD(SUMPRODUCT(--MID(G864,{1,2,3,4,5,6,7,8,9,10,11,12,13},1),{6,5,4,3,2,9,8,7,6,5,4,3,2}),11))),"OK","AVISO: dígito verificador (conferir na org)"))))</f>
      </c>
      <c r="I864" s="6">
        <f>IF(G864="","",IF(COUNTIF($G$2:$G$2001,G864)&gt;1,"DUPLICADO","OK"))</f>
      </c>
      <c r="J864" s="6">
        <f>IF(COUNTA(A864:F864)=0,"",IF(AND(A864&lt;&gt;"",E864&lt;&gt;""),"OK","ERRO: faltam "&amp;IF(A864="","CNPJ; ","")&amp;IF(E864="","Novo gerente; ","")))</f>
      </c>
      <c r="K864" s="6">
        <f>IF(COUNTA(A864:F864)=0,"",IF(AND(LEFT(H864,4)&lt;&gt;"ERRO",I864="OK",J864="OK"),"OK","REVISAR"))</f>
      </c>
    </row>
    <row r="865">
      <c r="A865" s="5"/>
      <c r="B865" s="4"/>
      <c r="C865" s="4"/>
      <c r="D865" s="4"/>
      <c r="E865" s="5"/>
      <c r="F865" s="4"/>
      <c r="G865" s="6">
        <f>IF(A865="","",SUBSTITUTE(SUBSTITUTE(SUBSTITUTE(SUBSTITUTE(SUBSTITUTE(SUBSTITUTE(SUBSTITUTE(TRIM(A865),".",""),"/",""),"-","")," ",""),"(",""),")",""),"+",""))</f>
      </c>
      <c r="H865" s="6">
        <f>IF(G865="","",IF(LEN(G865)&lt;&gt;14,"ERRO: "&amp;LEN(G865)&amp;" dígitos",IF(NOT(ISNUMBER(VALUE(G865))),"ERRO: não numérico",IF(AND(VALUE(MID(G865,13,1))=IF(MOD(SUMPRODUCT(--MID(G865,{1,2,3,4,5,6,7,8,9,10,11,12},1),{5,4,3,2,9,8,7,6,5,4,3,2}),11)&lt;2,0,11-MOD(SUMPRODUCT(--MID(G865,{1,2,3,4,5,6,7,8,9,10,11,12},1),{5,4,3,2,9,8,7,6,5,4,3,2}),11)),VALUE(MID(G865,14,1))=IF(MOD(SUMPRODUCT(--MID(G865,{1,2,3,4,5,6,7,8,9,10,11,12,13},1),{6,5,4,3,2,9,8,7,6,5,4,3,2}),11)&lt;2,0,11-MOD(SUMPRODUCT(--MID(G865,{1,2,3,4,5,6,7,8,9,10,11,12,13},1),{6,5,4,3,2,9,8,7,6,5,4,3,2}),11))),"OK","AVISO: dígito verificador (conferir na org)"))))</f>
      </c>
      <c r="I865" s="6">
        <f>IF(G865="","",IF(COUNTIF($G$2:$G$2001,G865)&gt;1,"DUPLICADO","OK"))</f>
      </c>
      <c r="J865" s="6">
        <f>IF(COUNTA(A865:F865)=0,"",IF(AND(A865&lt;&gt;"",E865&lt;&gt;""),"OK","ERRO: faltam "&amp;IF(A865="","CNPJ; ","")&amp;IF(E865="","Novo gerente; ","")))</f>
      </c>
      <c r="K865" s="6">
        <f>IF(COUNTA(A865:F865)=0,"",IF(AND(LEFT(H865,4)&lt;&gt;"ERRO",I865="OK",J865="OK"),"OK","REVISAR"))</f>
      </c>
    </row>
    <row r="866">
      <c r="A866" s="5"/>
      <c r="B866" s="4"/>
      <c r="C866" s="4"/>
      <c r="D866" s="4"/>
      <c r="E866" s="5"/>
      <c r="F866" s="4"/>
      <c r="G866" s="6">
        <f>IF(A866="","",SUBSTITUTE(SUBSTITUTE(SUBSTITUTE(SUBSTITUTE(SUBSTITUTE(SUBSTITUTE(SUBSTITUTE(TRIM(A866),".",""),"/",""),"-","")," ",""),"(",""),")",""),"+",""))</f>
      </c>
      <c r="H866" s="6">
        <f>IF(G866="","",IF(LEN(G866)&lt;&gt;14,"ERRO: "&amp;LEN(G866)&amp;" dígitos",IF(NOT(ISNUMBER(VALUE(G866))),"ERRO: não numérico",IF(AND(VALUE(MID(G866,13,1))=IF(MOD(SUMPRODUCT(--MID(G866,{1,2,3,4,5,6,7,8,9,10,11,12},1),{5,4,3,2,9,8,7,6,5,4,3,2}),11)&lt;2,0,11-MOD(SUMPRODUCT(--MID(G866,{1,2,3,4,5,6,7,8,9,10,11,12},1),{5,4,3,2,9,8,7,6,5,4,3,2}),11)),VALUE(MID(G866,14,1))=IF(MOD(SUMPRODUCT(--MID(G866,{1,2,3,4,5,6,7,8,9,10,11,12,13},1),{6,5,4,3,2,9,8,7,6,5,4,3,2}),11)&lt;2,0,11-MOD(SUMPRODUCT(--MID(G866,{1,2,3,4,5,6,7,8,9,10,11,12,13},1),{6,5,4,3,2,9,8,7,6,5,4,3,2}),11))),"OK","AVISO: dígito verificador (conferir na org)"))))</f>
      </c>
      <c r="I866" s="6">
        <f>IF(G866="","",IF(COUNTIF($G$2:$G$2001,G866)&gt;1,"DUPLICADO","OK"))</f>
      </c>
      <c r="J866" s="6">
        <f>IF(COUNTA(A866:F866)=0,"",IF(AND(A866&lt;&gt;"",E866&lt;&gt;""),"OK","ERRO: faltam "&amp;IF(A866="","CNPJ; ","")&amp;IF(E866="","Novo gerente; ","")))</f>
      </c>
      <c r="K866" s="6">
        <f>IF(COUNTA(A866:F866)=0,"",IF(AND(LEFT(H866,4)&lt;&gt;"ERRO",I866="OK",J866="OK"),"OK","REVISAR"))</f>
      </c>
    </row>
    <row r="867">
      <c r="A867" s="5"/>
      <c r="B867" s="4"/>
      <c r="C867" s="4"/>
      <c r="D867" s="4"/>
      <c r="E867" s="5"/>
      <c r="F867" s="4"/>
      <c r="G867" s="6">
        <f>IF(A867="","",SUBSTITUTE(SUBSTITUTE(SUBSTITUTE(SUBSTITUTE(SUBSTITUTE(SUBSTITUTE(SUBSTITUTE(TRIM(A867),".",""),"/",""),"-","")," ",""),"(",""),")",""),"+",""))</f>
      </c>
      <c r="H867" s="6">
        <f>IF(G867="","",IF(LEN(G867)&lt;&gt;14,"ERRO: "&amp;LEN(G867)&amp;" dígitos",IF(NOT(ISNUMBER(VALUE(G867))),"ERRO: não numérico",IF(AND(VALUE(MID(G867,13,1))=IF(MOD(SUMPRODUCT(--MID(G867,{1,2,3,4,5,6,7,8,9,10,11,12},1),{5,4,3,2,9,8,7,6,5,4,3,2}),11)&lt;2,0,11-MOD(SUMPRODUCT(--MID(G867,{1,2,3,4,5,6,7,8,9,10,11,12},1),{5,4,3,2,9,8,7,6,5,4,3,2}),11)),VALUE(MID(G867,14,1))=IF(MOD(SUMPRODUCT(--MID(G867,{1,2,3,4,5,6,7,8,9,10,11,12,13},1),{6,5,4,3,2,9,8,7,6,5,4,3,2}),11)&lt;2,0,11-MOD(SUMPRODUCT(--MID(G867,{1,2,3,4,5,6,7,8,9,10,11,12,13},1),{6,5,4,3,2,9,8,7,6,5,4,3,2}),11))),"OK","AVISO: dígito verificador (conferir na org)"))))</f>
      </c>
      <c r="I867" s="6">
        <f>IF(G867="","",IF(COUNTIF($G$2:$G$2001,G867)&gt;1,"DUPLICADO","OK"))</f>
      </c>
      <c r="J867" s="6">
        <f>IF(COUNTA(A867:F867)=0,"",IF(AND(A867&lt;&gt;"",E867&lt;&gt;""),"OK","ERRO: faltam "&amp;IF(A867="","CNPJ; ","")&amp;IF(E867="","Novo gerente; ","")))</f>
      </c>
      <c r="K867" s="6">
        <f>IF(COUNTA(A867:F867)=0,"",IF(AND(LEFT(H867,4)&lt;&gt;"ERRO",I867="OK",J867="OK"),"OK","REVISAR"))</f>
      </c>
    </row>
    <row r="868">
      <c r="A868" s="5"/>
      <c r="B868" s="4"/>
      <c r="C868" s="4"/>
      <c r="D868" s="4"/>
      <c r="E868" s="5"/>
      <c r="F868" s="4"/>
      <c r="G868" s="6">
        <f>IF(A868="","",SUBSTITUTE(SUBSTITUTE(SUBSTITUTE(SUBSTITUTE(SUBSTITUTE(SUBSTITUTE(SUBSTITUTE(TRIM(A868),".",""),"/",""),"-","")," ",""),"(",""),")",""),"+",""))</f>
      </c>
      <c r="H868" s="6">
        <f>IF(G868="","",IF(LEN(G868)&lt;&gt;14,"ERRO: "&amp;LEN(G868)&amp;" dígitos",IF(NOT(ISNUMBER(VALUE(G868))),"ERRO: não numérico",IF(AND(VALUE(MID(G868,13,1))=IF(MOD(SUMPRODUCT(--MID(G868,{1,2,3,4,5,6,7,8,9,10,11,12},1),{5,4,3,2,9,8,7,6,5,4,3,2}),11)&lt;2,0,11-MOD(SUMPRODUCT(--MID(G868,{1,2,3,4,5,6,7,8,9,10,11,12},1),{5,4,3,2,9,8,7,6,5,4,3,2}),11)),VALUE(MID(G868,14,1))=IF(MOD(SUMPRODUCT(--MID(G868,{1,2,3,4,5,6,7,8,9,10,11,12,13},1),{6,5,4,3,2,9,8,7,6,5,4,3,2}),11)&lt;2,0,11-MOD(SUMPRODUCT(--MID(G868,{1,2,3,4,5,6,7,8,9,10,11,12,13},1),{6,5,4,3,2,9,8,7,6,5,4,3,2}),11))),"OK","AVISO: dígito verificador (conferir na org)"))))</f>
      </c>
      <c r="I868" s="6">
        <f>IF(G868="","",IF(COUNTIF($G$2:$G$2001,G868)&gt;1,"DUPLICADO","OK"))</f>
      </c>
      <c r="J868" s="6">
        <f>IF(COUNTA(A868:F868)=0,"",IF(AND(A868&lt;&gt;"",E868&lt;&gt;""),"OK","ERRO: faltam "&amp;IF(A868="","CNPJ; ","")&amp;IF(E868="","Novo gerente; ","")))</f>
      </c>
      <c r="K868" s="6">
        <f>IF(COUNTA(A868:F868)=0,"",IF(AND(LEFT(H868,4)&lt;&gt;"ERRO",I868="OK",J868="OK"),"OK","REVISAR"))</f>
      </c>
    </row>
    <row r="869">
      <c r="A869" s="5"/>
      <c r="B869" s="4"/>
      <c r="C869" s="4"/>
      <c r="D869" s="4"/>
      <c r="E869" s="5"/>
      <c r="F869" s="4"/>
      <c r="G869" s="6">
        <f>IF(A869="","",SUBSTITUTE(SUBSTITUTE(SUBSTITUTE(SUBSTITUTE(SUBSTITUTE(SUBSTITUTE(SUBSTITUTE(TRIM(A869),".",""),"/",""),"-","")," ",""),"(",""),")",""),"+",""))</f>
      </c>
      <c r="H869" s="6">
        <f>IF(G869="","",IF(LEN(G869)&lt;&gt;14,"ERRO: "&amp;LEN(G869)&amp;" dígitos",IF(NOT(ISNUMBER(VALUE(G869))),"ERRO: não numérico",IF(AND(VALUE(MID(G869,13,1))=IF(MOD(SUMPRODUCT(--MID(G869,{1,2,3,4,5,6,7,8,9,10,11,12},1),{5,4,3,2,9,8,7,6,5,4,3,2}),11)&lt;2,0,11-MOD(SUMPRODUCT(--MID(G869,{1,2,3,4,5,6,7,8,9,10,11,12},1),{5,4,3,2,9,8,7,6,5,4,3,2}),11)),VALUE(MID(G869,14,1))=IF(MOD(SUMPRODUCT(--MID(G869,{1,2,3,4,5,6,7,8,9,10,11,12,13},1),{6,5,4,3,2,9,8,7,6,5,4,3,2}),11)&lt;2,0,11-MOD(SUMPRODUCT(--MID(G869,{1,2,3,4,5,6,7,8,9,10,11,12,13},1),{6,5,4,3,2,9,8,7,6,5,4,3,2}),11))),"OK","AVISO: dígito verificador (conferir na org)"))))</f>
      </c>
      <c r="I869" s="6">
        <f>IF(G869="","",IF(COUNTIF($G$2:$G$2001,G869)&gt;1,"DUPLICADO","OK"))</f>
      </c>
      <c r="J869" s="6">
        <f>IF(COUNTA(A869:F869)=0,"",IF(AND(A869&lt;&gt;"",E869&lt;&gt;""),"OK","ERRO: faltam "&amp;IF(A869="","CNPJ; ","")&amp;IF(E869="","Novo gerente; ","")))</f>
      </c>
      <c r="K869" s="6">
        <f>IF(COUNTA(A869:F869)=0,"",IF(AND(LEFT(H869,4)&lt;&gt;"ERRO",I869="OK",J869="OK"),"OK","REVISAR"))</f>
      </c>
    </row>
    <row r="870">
      <c r="A870" s="5"/>
      <c r="B870" s="4"/>
      <c r="C870" s="4"/>
      <c r="D870" s="4"/>
      <c r="E870" s="5"/>
      <c r="F870" s="4"/>
      <c r="G870" s="6">
        <f>IF(A870="","",SUBSTITUTE(SUBSTITUTE(SUBSTITUTE(SUBSTITUTE(SUBSTITUTE(SUBSTITUTE(SUBSTITUTE(TRIM(A870),".",""),"/",""),"-","")," ",""),"(",""),")",""),"+",""))</f>
      </c>
      <c r="H870" s="6">
        <f>IF(G870="","",IF(LEN(G870)&lt;&gt;14,"ERRO: "&amp;LEN(G870)&amp;" dígitos",IF(NOT(ISNUMBER(VALUE(G870))),"ERRO: não numérico",IF(AND(VALUE(MID(G870,13,1))=IF(MOD(SUMPRODUCT(--MID(G870,{1,2,3,4,5,6,7,8,9,10,11,12},1),{5,4,3,2,9,8,7,6,5,4,3,2}),11)&lt;2,0,11-MOD(SUMPRODUCT(--MID(G870,{1,2,3,4,5,6,7,8,9,10,11,12},1),{5,4,3,2,9,8,7,6,5,4,3,2}),11)),VALUE(MID(G870,14,1))=IF(MOD(SUMPRODUCT(--MID(G870,{1,2,3,4,5,6,7,8,9,10,11,12,13},1),{6,5,4,3,2,9,8,7,6,5,4,3,2}),11)&lt;2,0,11-MOD(SUMPRODUCT(--MID(G870,{1,2,3,4,5,6,7,8,9,10,11,12,13},1),{6,5,4,3,2,9,8,7,6,5,4,3,2}),11))),"OK","AVISO: dígito verificador (conferir na org)"))))</f>
      </c>
      <c r="I870" s="6">
        <f>IF(G870="","",IF(COUNTIF($G$2:$G$2001,G870)&gt;1,"DUPLICADO","OK"))</f>
      </c>
      <c r="J870" s="6">
        <f>IF(COUNTA(A870:F870)=0,"",IF(AND(A870&lt;&gt;"",E870&lt;&gt;""),"OK","ERRO: faltam "&amp;IF(A870="","CNPJ; ","")&amp;IF(E870="","Novo gerente; ","")))</f>
      </c>
      <c r="K870" s="6">
        <f>IF(COUNTA(A870:F870)=0,"",IF(AND(LEFT(H870,4)&lt;&gt;"ERRO",I870="OK",J870="OK"),"OK","REVISAR"))</f>
      </c>
    </row>
    <row r="871">
      <c r="A871" s="5"/>
      <c r="B871" s="4"/>
      <c r="C871" s="4"/>
      <c r="D871" s="4"/>
      <c r="E871" s="5"/>
      <c r="F871" s="4"/>
      <c r="G871" s="6">
        <f>IF(A871="","",SUBSTITUTE(SUBSTITUTE(SUBSTITUTE(SUBSTITUTE(SUBSTITUTE(SUBSTITUTE(SUBSTITUTE(TRIM(A871),".",""),"/",""),"-","")," ",""),"(",""),")",""),"+",""))</f>
      </c>
      <c r="H871" s="6">
        <f>IF(G871="","",IF(LEN(G871)&lt;&gt;14,"ERRO: "&amp;LEN(G871)&amp;" dígitos",IF(NOT(ISNUMBER(VALUE(G871))),"ERRO: não numérico",IF(AND(VALUE(MID(G871,13,1))=IF(MOD(SUMPRODUCT(--MID(G871,{1,2,3,4,5,6,7,8,9,10,11,12},1),{5,4,3,2,9,8,7,6,5,4,3,2}),11)&lt;2,0,11-MOD(SUMPRODUCT(--MID(G871,{1,2,3,4,5,6,7,8,9,10,11,12},1),{5,4,3,2,9,8,7,6,5,4,3,2}),11)),VALUE(MID(G871,14,1))=IF(MOD(SUMPRODUCT(--MID(G871,{1,2,3,4,5,6,7,8,9,10,11,12,13},1),{6,5,4,3,2,9,8,7,6,5,4,3,2}),11)&lt;2,0,11-MOD(SUMPRODUCT(--MID(G871,{1,2,3,4,5,6,7,8,9,10,11,12,13},1),{6,5,4,3,2,9,8,7,6,5,4,3,2}),11))),"OK","AVISO: dígito verificador (conferir na org)"))))</f>
      </c>
      <c r="I871" s="6">
        <f>IF(G871="","",IF(COUNTIF($G$2:$G$2001,G871)&gt;1,"DUPLICADO","OK"))</f>
      </c>
      <c r="J871" s="6">
        <f>IF(COUNTA(A871:F871)=0,"",IF(AND(A871&lt;&gt;"",E871&lt;&gt;""),"OK","ERRO: faltam "&amp;IF(A871="","CNPJ; ","")&amp;IF(E871="","Novo gerente; ","")))</f>
      </c>
      <c r="K871" s="6">
        <f>IF(COUNTA(A871:F871)=0,"",IF(AND(LEFT(H871,4)&lt;&gt;"ERRO",I871="OK",J871="OK"),"OK","REVISAR"))</f>
      </c>
    </row>
    <row r="872">
      <c r="A872" s="5"/>
      <c r="B872" s="4"/>
      <c r="C872" s="4"/>
      <c r="D872" s="4"/>
      <c r="E872" s="5"/>
      <c r="F872" s="4"/>
      <c r="G872" s="6">
        <f>IF(A872="","",SUBSTITUTE(SUBSTITUTE(SUBSTITUTE(SUBSTITUTE(SUBSTITUTE(SUBSTITUTE(SUBSTITUTE(TRIM(A872),".",""),"/",""),"-","")," ",""),"(",""),")",""),"+",""))</f>
      </c>
      <c r="H872" s="6">
        <f>IF(G872="","",IF(LEN(G872)&lt;&gt;14,"ERRO: "&amp;LEN(G872)&amp;" dígitos",IF(NOT(ISNUMBER(VALUE(G872))),"ERRO: não numérico",IF(AND(VALUE(MID(G872,13,1))=IF(MOD(SUMPRODUCT(--MID(G872,{1,2,3,4,5,6,7,8,9,10,11,12},1),{5,4,3,2,9,8,7,6,5,4,3,2}),11)&lt;2,0,11-MOD(SUMPRODUCT(--MID(G872,{1,2,3,4,5,6,7,8,9,10,11,12},1),{5,4,3,2,9,8,7,6,5,4,3,2}),11)),VALUE(MID(G872,14,1))=IF(MOD(SUMPRODUCT(--MID(G872,{1,2,3,4,5,6,7,8,9,10,11,12,13},1),{6,5,4,3,2,9,8,7,6,5,4,3,2}),11)&lt;2,0,11-MOD(SUMPRODUCT(--MID(G872,{1,2,3,4,5,6,7,8,9,10,11,12,13},1),{6,5,4,3,2,9,8,7,6,5,4,3,2}),11))),"OK","AVISO: dígito verificador (conferir na org)"))))</f>
      </c>
      <c r="I872" s="6">
        <f>IF(G872="","",IF(COUNTIF($G$2:$G$2001,G872)&gt;1,"DUPLICADO","OK"))</f>
      </c>
      <c r="J872" s="6">
        <f>IF(COUNTA(A872:F872)=0,"",IF(AND(A872&lt;&gt;"",E872&lt;&gt;""),"OK","ERRO: faltam "&amp;IF(A872="","CNPJ; ","")&amp;IF(E872="","Novo gerente; ","")))</f>
      </c>
      <c r="K872" s="6">
        <f>IF(COUNTA(A872:F872)=0,"",IF(AND(LEFT(H872,4)&lt;&gt;"ERRO",I872="OK",J872="OK"),"OK","REVISAR"))</f>
      </c>
    </row>
    <row r="873">
      <c r="A873" s="5"/>
      <c r="B873" s="4"/>
      <c r="C873" s="4"/>
      <c r="D873" s="4"/>
      <c r="E873" s="5"/>
      <c r="F873" s="4"/>
      <c r="G873" s="6">
        <f>IF(A873="","",SUBSTITUTE(SUBSTITUTE(SUBSTITUTE(SUBSTITUTE(SUBSTITUTE(SUBSTITUTE(SUBSTITUTE(TRIM(A873),".",""),"/",""),"-","")," ",""),"(",""),")",""),"+",""))</f>
      </c>
      <c r="H873" s="6">
        <f>IF(G873="","",IF(LEN(G873)&lt;&gt;14,"ERRO: "&amp;LEN(G873)&amp;" dígitos",IF(NOT(ISNUMBER(VALUE(G873))),"ERRO: não numérico",IF(AND(VALUE(MID(G873,13,1))=IF(MOD(SUMPRODUCT(--MID(G873,{1,2,3,4,5,6,7,8,9,10,11,12},1),{5,4,3,2,9,8,7,6,5,4,3,2}),11)&lt;2,0,11-MOD(SUMPRODUCT(--MID(G873,{1,2,3,4,5,6,7,8,9,10,11,12},1),{5,4,3,2,9,8,7,6,5,4,3,2}),11)),VALUE(MID(G873,14,1))=IF(MOD(SUMPRODUCT(--MID(G873,{1,2,3,4,5,6,7,8,9,10,11,12,13},1),{6,5,4,3,2,9,8,7,6,5,4,3,2}),11)&lt;2,0,11-MOD(SUMPRODUCT(--MID(G873,{1,2,3,4,5,6,7,8,9,10,11,12,13},1),{6,5,4,3,2,9,8,7,6,5,4,3,2}),11))),"OK","AVISO: dígito verificador (conferir na org)"))))</f>
      </c>
      <c r="I873" s="6">
        <f>IF(G873="","",IF(COUNTIF($G$2:$G$2001,G873)&gt;1,"DUPLICADO","OK"))</f>
      </c>
      <c r="J873" s="6">
        <f>IF(COUNTA(A873:F873)=0,"",IF(AND(A873&lt;&gt;"",E873&lt;&gt;""),"OK","ERRO: faltam "&amp;IF(A873="","CNPJ; ","")&amp;IF(E873="","Novo gerente; ","")))</f>
      </c>
      <c r="K873" s="6">
        <f>IF(COUNTA(A873:F873)=0,"",IF(AND(LEFT(H873,4)&lt;&gt;"ERRO",I873="OK",J873="OK"),"OK","REVISAR"))</f>
      </c>
    </row>
    <row r="874">
      <c r="A874" s="5"/>
      <c r="B874" s="4"/>
      <c r="C874" s="4"/>
      <c r="D874" s="4"/>
      <c r="E874" s="5"/>
      <c r="F874" s="4"/>
      <c r="G874" s="6">
        <f>IF(A874="","",SUBSTITUTE(SUBSTITUTE(SUBSTITUTE(SUBSTITUTE(SUBSTITUTE(SUBSTITUTE(SUBSTITUTE(TRIM(A874),".",""),"/",""),"-","")," ",""),"(",""),")",""),"+",""))</f>
      </c>
      <c r="H874" s="6">
        <f>IF(G874="","",IF(LEN(G874)&lt;&gt;14,"ERRO: "&amp;LEN(G874)&amp;" dígitos",IF(NOT(ISNUMBER(VALUE(G874))),"ERRO: não numérico",IF(AND(VALUE(MID(G874,13,1))=IF(MOD(SUMPRODUCT(--MID(G874,{1,2,3,4,5,6,7,8,9,10,11,12},1),{5,4,3,2,9,8,7,6,5,4,3,2}),11)&lt;2,0,11-MOD(SUMPRODUCT(--MID(G874,{1,2,3,4,5,6,7,8,9,10,11,12},1),{5,4,3,2,9,8,7,6,5,4,3,2}),11)),VALUE(MID(G874,14,1))=IF(MOD(SUMPRODUCT(--MID(G874,{1,2,3,4,5,6,7,8,9,10,11,12,13},1),{6,5,4,3,2,9,8,7,6,5,4,3,2}),11)&lt;2,0,11-MOD(SUMPRODUCT(--MID(G874,{1,2,3,4,5,6,7,8,9,10,11,12,13},1),{6,5,4,3,2,9,8,7,6,5,4,3,2}),11))),"OK","AVISO: dígito verificador (conferir na org)"))))</f>
      </c>
      <c r="I874" s="6">
        <f>IF(G874="","",IF(COUNTIF($G$2:$G$2001,G874)&gt;1,"DUPLICADO","OK"))</f>
      </c>
      <c r="J874" s="6">
        <f>IF(COUNTA(A874:F874)=0,"",IF(AND(A874&lt;&gt;"",E874&lt;&gt;""),"OK","ERRO: faltam "&amp;IF(A874="","CNPJ; ","")&amp;IF(E874="","Novo gerente; ","")))</f>
      </c>
      <c r="K874" s="6">
        <f>IF(COUNTA(A874:F874)=0,"",IF(AND(LEFT(H874,4)&lt;&gt;"ERRO",I874="OK",J874="OK"),"OK","REVISAR"))</f>
      </c>
    </row>
    <row r="875">
      <c r="A875" s="5"/>
      <c r="B875" s="4"/>
      <c r="C875" s="4"/>
      <c r="D875" s="4"/>
      <c r="E875" s="5"/>
      <c r="F875" s="4"/>
      <c r="G875" s="6">
        <f>IF(A875="","",SUBSTITUTE(SUBSTITUTE(SUBSTITUTE(SUBSTITUTE(SUBSTITUTE(SUBSTITUTE(SUBSTITUTE(TRIM(A875),".",""),"/",""),"-","")," ",""),"(",""),")",""),"+",""))</f>
      </c>
      <c r="H875" s="6">
        <f>IF(G875="","",IF(LEN(G875)&lt;&gt;14,"ERRO: "&amp;LEN(G875)&amp;" dígitos",IF(NOT(ISNUMBER(VALUE(G875))),"ERRO: não numérico",IF(AND(VALUE(MID(G875,13,1))=IF(MOD(SUMPRODUCT(--MID(G875,{1,2,3,4,5,6,7,8,9,10,11,12},1),{5,4,3,2,9,8,7,6,5,4,3,2}),11)&lt;2,0,11-MOD(SUMPRODUCT(--MID(G875,{1,2,3,4,5,6,7,8,9,10,11,12},1),{5,4,3,2,9,8,7,6,5,4,3,2}),11)),VALUE(MID(G875,14,1))=IF(MOD(SUMPRODUCT(--MID(G875,{1,2,3,4,5,6,7,8,9,10,11,12,13},1),{6,5,4,3,2,9,8,7,6,5,4,3,2}),11)&lt;2,0,11-MOD(SUMPRODUCT(--MID(G875,{1,2,3,4,5,6,7,8,9,10,11,12,13},1),{6,5,4,3,2,9,8,7,6,5,4,3,2}),11))),"OK","AVISO: dígito verificador (conferir na org)"))))</f>
      </c>
      <c r="I875" s="6">
        <f>IF(G875="","",IF(COUNTIF($G$2:$G$2001,G875)&gt;1,"DUPLICADO","OK"))</f>
      </c>
      <c r="J875" s="6">
        <f>IF(COUNTA(A875:F875)=0,"",IF(AND(A875&lt;&gt;"",E875&lt;&gt;""),"OK","ERRO: faltam "&amp;IF(A875="","CNPJ; ","")&amp;IF(E875="","Novo gerente; ","")))</f>
      </c>
      <c r="K875" s="6">
        <f>IF(COUNTA(A875:F875)=0,"",IF(AND(LEFT(H875,4)&lt;&gt;"ERRO",I875="OK",J875="OK"),"OK","REVISAR"))</f>
      </c>
    </row>
    <row r="876">
      <c r="A876" s="5"/>
      <c r="B876" s="4"/>
      <c r="C876" s="4"/>
      <c r="D876" s="4"/>
      <c r="E876" s="5"/>
      <c r="F876" s="4"/>
      <c r="G876" s="6">
        <f>IF(A876="","",SUBSTITUTE(SUBSTITUTE(SUBSTITUTE(SUBSTITUTE(SUBSTITUTE(SUBSTITUTE(SUBSTITUTE(TRIM(A876),".",""),"/",""),"-","")," ",""),"(",""),")",""),"+",""))</f>
      </c>
      <c r="H876" s="6">
        <f>IF(G876="","",IF(LEN(G876)&lt;&gt;14,"ERRO: "&amp;LEN(G876)&amp;" dígitos",IF(NOT(ISNUMBER(VALUE(G876))),"ERRO: não numérico",IF(AND(VALUE(MID(G876,13,1))=IF(MOD(SUMPRODUCT(--MID(G876,{1,2,3,4,5,6,7,8,9,10,11,12},1),{5,4,3,2,9,8,7,6,5,4,3,2}),11)&lt;2,0,11-MOD(SUMPRODUCT(--MID(G876,{1,2,3,4,5,6,7,8,9,10,11,12},1),{5,4,3,2,9,8,7,6,5,4,3,2}),11)),VALUE(MID(G876,14,1))=IF(MOD(SUMPRODUCT(--MID(G876,{1,2,3,4,5,6,7,8,9,10,11,12,13},1),{6,5,4,3,2,9,8,7,6,5,4,3,2}),11)&lt;2,0,11-MOD(SUMPRODUCT(--MID(G876,{1,2,3,4,5,6,7,8,9,10,11,12,13},1),{6,5,4,3,2,9,8,7,6,5,4,3,2}),11))),"OK","AVISO: dígito verificador (conferir na org)"))))</f>
      </c>
      <c r="I876" s="6">
        <f>IF(G876="","",IF(COUNTIF($G$2:$G$2001,G876)&gt;1,"DUPLICADO","OK"))</f>
      </c>
      <c r="J876" s="6">
        <f>IF(COUNTA(A876:F876)=0,"",IF(AND(A876&lt;&gt;"",E876&lt;&gt;""),"OK","ERRO: faltam "&amp;IF(A876="","CNPJ; ","")&amp;IF(E876="","Novo gerente; ","")))</f>
      </c>
      <c r="K876" s="6">
        <f>IF(COUNTA(A876:F876)=0,"",IF(AND(LEFT(H876,4)&lt;&gt;"ERRO",I876="OK",J876="OK"),"OK","REVISAR"))</f>
      </c>
    </row>
    <row r="877">
      <c r="A877" s="5"/>
      <c r="B877" s="4"/>
      <c r="C877" s="4"/>
      <c r="D877" s="4"/>
      <c r="E877" s="5"/>
      <c r="F877" s="4"/>
      <c r="G877" s="6">
        <f>IF(A877="","",SUBSTITUTE(SUBSTITUTE(SUBSTITUTE(SUBSTITUTE(SUBSTITUTE(SUBSTITUTE(SUBSTITUTE(TRIM(A877),".",""),"/",""),"-","")," ",""),"(",""),")",""),"+",""))</f>
      </c>
      <c r="H877" s="6">
        <f>IF(G877="","",IF(LEN(G877)&lt;&gt;14,"ERRO: "&amp;LEN(G877)&amp;" dígitos",IF(NOT(ISNUMBER(VALUE(G877))),"ERRO: não numérico",IF(AND(VALUE(MID(G877,13,1))=IF(MOD(SUMPRODUCT(--MID(G877,{1,2,3,4,5,6,7,8,9,10,11,12},1),{5,4,3,2,9,8,7,6,5,4,3,2}),11)&lt;2,0,11-MOD(SUMPRODUCT(--MID(G877,{1,2,3,4,5,6,7,8,9,10,11,12},1),{5,4,3,2,9,8,7,6,5,4,3,2}),11)),VALUE(MID(G877,14,1))=IF(MOD(SUMPRODUCT(--MID(G877,{1,2,3,4,5,6,7,8,9,10,11,12,13},1),{6,5,4,3,2,9,8,7,6,5,4,3,2}),11)&lt;2,0,11-MOD(SUMPRODUCT(--MID(G877,{1,2,3,4,5,6,7,8,9,10,11,12,13},1),{6,5,4,3,2,9,8,7,6,5,4,3,2}),11))),"OK","AVISO: dígito verificador (conferir na org)"))))</f>
      </c>
      <c r="I877" s="6">
        <f>IF(G877="","",IF(COUNTIF($G$2:$G$2001,G877)&gt;1,"DUPLICADO","OK"))</f>
      </c>
      <c r="J877" s="6">
        <f>IF(COUNTA(A877:F877)=0,"",IF(AND(A877&lt;&gt;"",E877&lt;&gt;""),"OK","ERRO: faltam "&amp;IF(A877="","CNPJ; ","")&amp;IF(E877="","Novo gerente; ","")))</f>
      </c>
      <c r="K877" s="6">
        <f>IF(COUNTA(A877:F877)=0,"",IF(AND(LEFT(H877,4)&lt;&gt;"ERRO",I877="OK",J877="OK"),"OK","REVISAR"))</f>
      </c>
    </row>
    <row r="878">
      <c r="A878" s="5"/>
      <c r="B878" s="4"/>
      <c r="C878" s="4"/>
      <c r="D878" s="4"/>
      <c r="E878" s="5"/>
      <c r="F878" s="4"/>
      <c r="G878" s="6">
        <f>IF(A878="","",SUBSTITUTE(SUBSTITUTE(SUBSTITUTE(SUBSTITUTE(SUBSTITUTE(SUBSTITUTE(SUBSTITUTE(TRIM(A878),".",""),"/",""),"-","")," ",""),"(",""),")",""),"+",""))</f>
      </c>
      <c r="H878" s="6">
        <f>IF(G878="","",IF(LEN(G878)&lt;&gt;14,"ERRO: "&amp;LEN(G878)&amp;" dígitos",IF(NOT(ISNUMBER(VALUE(G878))),"ERRO: não numérico",IF(AND(VALUE(MID(G878,13,1))=IF(MOD(SUMPRODUCT(--MID(G878,{1,2,3,4,5,6,7,8,9,10,11,12},1),{5,4,3,2,9,8,7,6,5,4,3,2}),11)&lt;2,0,11-MOD(SUMPRODUCT(--MID(G878,{1,2,3,4,5,6,7,8,9,10,11,12},1),{5,4,3,2,9,8,7,6,5,4,3,2}),11)),VALUE(MID(G878,14,1))=IF(MOD(SUMPRODUCT(--MID(G878,{1,2,3,4,5,6,7,8,9,10,11,12,13},1),{6,5,4,3,2,9,8,7,6,5,4,3,2}),11)&lt;2,0,11-MOD(SUMPRODUCT(--MID(G878,{1,2,3,4,5,6,7,8,9,10,11,12,13},1),{6,5,4,3,2,9,8,7,6,5,4,3,2}),11))),"OK","AVISO: dígito verificador (conferir na org)"))))</f>
      </c>
      <c r="I878" s="6">
        <f>IF(G878="","",IF(COUNTIF($G$2:$G$2001,G878)&gt;1,"DUPLICADO","OK"))</f>
      </c>
      <c r="J878" s="6">
        <f>IF(COUNTA(A878:F878)=0,"",IF(AND(A878&lt;&gt;"",E878&lt;&gt;""),"OK","ERRO: faltam "&amp;IF(A878="","CNPJ; ","")&amp;IF(E878="","Novo gerente; ","")))</f>
      </c>
      <c r="K878" s="6">
        <f>IF(COUNTA(A878:F878)=0,"",IF(AND(LEFT(H878,4)&lt;&gt;"ERRO",I878="OK",J878="OK"),"OK","REVISAR"))</f>
      </c>
    </row>
    <row r="879">
      <c r="A879" s="5"/>
      <c r="B879" s="4"/>
      <c r="C879" s="4"/>
      <c r="D879" s="4"/>
      <c r="E879" s="5"/>
      <c r="F879" s="4"/>
      <c r="G879" s="6">
        <f>IF(A879="","",SUBSTITUTE(SUBSTITUTE(SUBSTITUTE(SUBSTITUTE(SUBSTITUTE(SUBSTITUTE(SUBSTITUTE(TRIM(A879),".",""),"/",""),"-","")," ",""),"(",""),")",""),"+",""))</f>
      </c>
      <c r="H879" s="6">
        <f>IF(G879="","",IF(LEN(G879)&lt;&gt;14,"ERRO: "&amp;LEN(G879)&amp;" dígitos",IF(NOT(ISNUMBER(VALUE(G879))),"ERRO: não numérico",IF(AND(VALUE(MID(G879,13,1))=IF(MOD(SUMPRODUCT(--MID(G879,{1,2,3,4,5,6,7,8,9,10,11,12},1),{5,4,3,2,9,8,7,6,5,4,3,2}),11)&lt;2,0,11-MOD(SUMPRODUCT(--MID(G879,{1,2,3,4,5,6,7,8,9,10,11,12},1),{5,4,3,2,9,8,7,6,5,4,3,2}),11)),VALUE(MID(G879,14,1))=IF(MOD(SUMPRODUCT(--MID(G879,{1,2,3,4,5,6,7,8,9,10,11,12,13},1),{6,5,4,3,2,9,8,7,6,5,4,3,2}),11)&lt;2,0,11-MOD(SUMPRODUCT(--MID(G879,{1,2,3,4,5,6,7,8,9,10,11,12,13},1),{6,5,4,3,2,9,8,7,6,5,4,3,2}),11))),"OK","AVISO: dígito verificador (conferir na org)"))))</f>
      </c>
      <c r="I879" s="6">
        <f>IF(G879="","",IF(COUNTIF($G$2:$G$2001,G879)&gt;1,"DUPLICADO","OK"))</f>
      </c>
      <c r="J879" s="6">
        <f>IF(COUNTA(A879:F879)=0,"",IF(AND(A879&lt;&gt;"",E879&lt;&gt;""),"OK","ERRO: faltam "&amp;IF(A879="","CNPJ; ","")&amp;IF(E879="","Novo gerente; ","")))</f>
      </c>
      <c r="K879" s="6">
        <f>IF(COUNTA(A879:F879)=0,"",IF(AND(LEFT(H879,4)&lt;&gt;"ERRO",I879="OK",J879="OK"),"OK","REVISAR"))</f>
      </c>
    </row>
    <row r="880">
      <c r="A880" s="5"/>
      <c r="B880" s="4"/>
      <c r="C880" s="4"/>
      <c r="D880" s="4"/>
      <c r="E880" s="5"/>
      <c r="F880" s="4"/>
      <c r="G880" s="6">
        <f>IF(A880="","",SUBSTITUTE(SUBSTITUTE(SUBSTITUTE(SUBSTITUTE(SUBSTITUTE(SUBSTITUTE(SUBSTITUTE(TRIM(A880),".",""),"/",""),"-","")," ",""),"(",""),")",""),"+",""))</f>
      </c>
      <c r="H880" s="6">
        <f>IF(G880="","",IF(LEN(G880)&lt;&gt;14,"ERRO: "&amp;LEN(G880)&amp;" dígitos",IF(NOT(ISNUMBER(VALUE(G880))),"ERRO: não numérico",IF(AND(VALUE(MID(G880,13,1))=IF(MOD(SUMPRODUCT(--MID(G880,{1,2,3,4,5,6,7,8,9,10,11,12},1),{5,4,3,2,9,8,7,6,5,4,3,2}),11)&lt;2,0,11-MOD(SUMPRODUCT(--MID(G880,{1,2,3,4,5,6,7,8,9,10,11,12},1),{5,4,3,2,9,8,7,6,5,4,3,2}),11)),VALUE(MID(G880,14,1))=IF(MOD(SUMPRODUCT(--MID(G880,{1,2,3,4,5,6,7,8,9,10,11,12,13},1),{6,5,4,3,2,9,8,7,6,5,4,3,2}),11)&lt;2,0,11-MOD(SUMPRODUCT(--MID(G880,{1,2,3,4,5,6,7,8,9,10,11,12,13},1),{6,5,4,3,2,9,8,7,6,5,4,3,2}),11))),"OK","AVISO: dígito verificador (conferir na org)"))))</f>
      </c>
      <c r="I880" s="6">
        <f>IF(G880="","",IF(COUNTIF($G$2:$G$2001,G880)&gt;1,"DUPLICADO","OK"))</f>
      </c>
      <c r="J880" s="6">
        <f>IF(COUNTA(A880:F880)=0,"",IF(AND(A880&lt;&gt;"",E880&lt;&gt;""),"OK","ERRO: faltam "&amp;IF(A880="","CNPJ; ","")&amp;IF(E880="","Novo gerente; ","")))</f>
      </c>
      <c r="K880" s="6">
        <f>IF(COUNTA(A880:F880)=0,"",IF(AND(LEFT(H880,4)&lt;&gt;"ERRO",I880="OK",J880="OK"),"OK","REVISAR"))</f>
      </c>
    </row>
    <row r="881">
      <c r="A881" s="5"/>
      <c r="B881" s="4"/>
      <c r="C881" s="4"/>
      <c r="D881" s="4"/>
      <c r="E881" s="5"/>
      <c r="F881" s="4"/>
      <c r="G881" s="6">
        <f>IF(A881="","",SUBSTITUTE(SUBSTITUTE(SUBSTITUTE(SUBSTITUTE(SUBSTITUTE(SUBSTITUTE(SUBSTITUTE(TRIM(A881),".",""),"/",""),"-","")," ",""),"(",""),")",""),"+",""))</f>
      </c>
      <c r="H881" s="6">
        <f>IF(G881="","",IF(LEN(G881)&lt;&gt;14,"ERRO: "&amp;LEN(G881)&amp;" dígitos",IF(NOT(ISNUMBER(VALUE(G881))),"ERRO: não numérico",IF(AND(VALUE(MID(G881,13,1))=IF(MOD(SUMPRODUCT(--MID(G881,{1,2,3,4,5,6,7,8,9,10,11,12},1),{5,4,3,2,9,8,7,6,5,4,3,2}),11)&lt;2,0,11-MOD(SUMPRODUCT(--MID(G881,{1,2,3,4,5,6,7,8,9,10,11,12},1),{5,4,3,2,9,8,7,6,5,4,3,2}),11)),VALUE(MID(G881,14,1))=IF(MOD(SUMPRODUCT(--MID(G881,{1,2,3,4,5,6,7,8,9,10,11,12,13},1),{6,5,4,3,2,9,8,7,6,5,4,3,2}),11)&lt;2,0,11-MOD(SUMPRODUCT(--MID(G881,{1,2,3,4,5,6,7,8,9,10,11,12,13},1),{6,5,4,3,2,9,8,7,6,5,4,3,2}),11))),"OK","AVISO: dígito verificador (conferir na org)"))))</f>
      </c>
      <c r="I881" s="6">
        <f>IF(G881="","",IF(COUNTIF($G$2:$G$2001,G881)&gt;1,"DUPLICADO","OK"))</f>
      </c>
      <c r="J881" s="6">
        <f>IF(COUNTA(A881:F881)=0,"",IF(AND(A881&lt;&gt;"",E881&lt;&gt;""),"OK","ERRO: faltam "&amp;IF(A881="","CNPJ; ","")&amp;IF(E881="","Novo gerente; ","")))</f>
      </c>
      <c r="K881" s="6">
        <f>IF(COUNTA(A881:F881)=0,"",IF(AND(LEFT(H881,4)&lt;&gt;"ERRO",I881="OK",J881="OK"),"OK","REVISAR"))</f>
      </c>
    </row>
    <row r="882">
      <c r="A882" s="5"/>
      <c r="B882" s="4"/>
      <c r="C882" s="4"/>
      <c r="D882" s="4"/>
      <c r="E882" s="5"/>
      <c r="F882" s="4"/>
      <c r="G882" s="6">
        <f>IF(A882="","",SUBSTITUTE(SUBSTITUTE(SUBSTITUTE(SUBSTITUTE(SUBSTITUTE(SUBSTITUTE(SUBSTITUTE(TRIM(A882),".",""),"/",""),"-","")," ",""),"(",""),")",""),"+",""))</f>
      </c>
      <c r="H882" s="6">
        <f>IF(G882="","",IF(LEN(G882)&lt;&gt;14,"ERRO: "&amp;LEN(G882)&amp;" dígitos",IF(NOT(ISNUMBER(VALUE(G882))),"ERRO: não numérico",IF(AND(VALUE(MID(G882,13,1))=IF(MOD(SUMPRODUCT(--MID(G882,{1,2,3,4,5,6,7,8,9,10,11,12},1),{5,4,3,2,9,8,7,6,5,4,3,2}),11)&lt;2,0,11-MOD(SUMPRODUCT(--MID(G882,{1,2,3,4,5,6,7,8,9,10,11,12},1),{5,4,3,2,9,8,7,6,5,4,3,2}),11)),VALUE(MID(G882,14,1))=IF(MOD(SUMPRODUCT(--MID(G882,{1,2,3,4,5,6,7,8,9,10,11,12,13},1),{6,5,4,3,2,9,8,7,6,5,4,3,2}),11)&lt;2,0,11-MOD(SUMPRODUCT(--MID(G882,{1,2,3,4,5,6,7,8,9,10,11,12,13},1),{6,5,4,3,2,9,8,7,6,5,4,3,2}),11))),"OK","AVISO: dígito verificador (conferir na org)"))))</f>
      </c>
      <c r="I882" s="6">
        <f>IF(G882="","",IF(COUNTIF($G$2:$G$2001,G882)&gt;1,"DUPLICADO","OK"))</f>
      </c>
      <c r="J882" s="6">
        <f>IF(COUNTA(A882:F882)=0,"",IF(AND(A882&lt;&gt;"",E882&lt;&gt;""),"OK","ERRO: faltam "&amp;IF(A882="","CNPJ; ","")&amp;IF(E882="","Novo gerente; ","")))</f>
      </c>
      <c r="K882" s="6">
        <f>IF(COUNTA(A882:F882)=0,"",IF(AND(LEFT(H882,4)&lt;&gt;"ERRO",I882="OK",J882="OK"),"OK","REVISAR"))</f>
      </c>
    </row>
    <row r="883">
      <c r="A883" s="5"/>
      <c r="B883" s="4"/>
      <c r="C883" s="4"/>
      <c r="D883" s="4"/>
      <c r="E883" s="5"/>
      <c r="F883" s="4"/>
      <c r="G883" s="6">
        <f>IF(A883="","",SUBSTITUTE(SUBSTITUTE(SUBSTITUTE(SUBSTITUTE(SUBSTITUTE(SUBSTITUTE(SUBSTITUTE(TRIM(A883),".",""),"/",""),"-","")," ",""),"(",""),")",""),"+",""))</f>
      </c>
      <c r="H883" s="6">
        <f>IF(G883="","",IF(LEN(G883)&lt;&gt;14,"ERRO: "&amp;LEN(G883)&amp;" dígitos",IF(NOT(ISNUMBER(VALUE(G883))),"ERRO: não numérico",IF(AND(VALUE(MID(G883,13,1))=IF(MOD(SUMPRODUCT(--MID(G883,{1,2,3,4,5,6,7,8,9,10,11,12},1),{5,4,3,2,9,8,7,6,5,4,3,2}),11)&lt;2,0,11-MOD(SUMPRODUCT(--MID(G883,{1,2,3,4,5,6,7,8,9,10,11,12},1),{5,4,3,2,9,8,7,6,5,4,3,2}),11)),VALUE(MID(G883,14,1))=IF(MOD(SUMPRODUCT(--MID(G883,{1,2,3,4,5,6,7,8,9,10,11,12,13},1),{6,5,4,3,2,9,8,7,6,5,4,3,2}),11)&lt;2,0,11-MOD(SUMPRODUCT(--MID(G883,{1,2,3,4,5,6,7,8,9,10,11,12,13},1),{6,5,4,3,2,9,8,7,6,5,4,3,2}),11))),"OK","AVISO: dígito verificador (conferir na org)"))))</f>
      </c>
      <c r="I883" s="6">
        <f>IF(G883="","",IF(COUNTIF($G$2:$G$2001,G883)&gt;1,"DUPLICADO","OK"))</f>
      </c>
      <c r="J883" s="6">
        <f>IF(COUNTA(A883:F883)=0,"",IF(AND(A883&lt;&gt;"",E883&lt;&gt;""),"OK","ERRO: faltam "&amp;IF(A883="","CNPJ; ","")&amp;IF(E883="","Novo gerente; ","")))</f>
      </c>
      <c r="K883" s="6">
        <f>IF(COUNTA(A883:F883)=0,"",IF(AND(LEFT(H883,4)&lt;&gt;"ERRO",I883="OK",J883="OK"),"OK","REVISAR"))</f>
      </c>
    </row>
    <row r="884">
      <c r="A884" s="5"/>
      <c r="B884" s="4"/>
      <c r="C884" s="4"/>
      <c r="D884" s="4"/>
      <c r="E884" s="5"/>
      <c r="F884" s="4"/>
      <c r="G884" s="6">
        <f>IF(A884="","",SUBSTITUTE(SUBSTITUTE(SUBSTITUTE(SUBSTITUTE(SUBSTITUTE(SUBSTITUTE(SUBSTITUTE(TRIM(A884),".",""),"/",""),"-","")," ",""),"(",""),")",""),"+",""))</f>
      </c>
      <c r="H884" s="6">
        <f>IF(G884="","",IF(LEN(G884)&lt;&gt;14,"ERRO: "&amp;LEN(G884)&amp;" dígitos",IF(NOT(ISNUMBER(VALUE(G884))),"ERRO: não numérico",IF(AND(VALUE(MID(G884,13,1))=IF(MOD(SUMPRODUCT(--MID(G884,{1,2,3,4,5,6,7,8,9,10,11,12},1),{5,4,3,2,9,8,7,6,5,4,3,2}),11)&lt;2,0,11-MOD(SUMPRODUCT(--MID(G884,{1,2,3,4,5,6,7,8,9,10,11,12},1),{5,4,3,2,9,8,7,6,5,4,3,2}),11)),VALUE(MID(G884,14,1))=IF(MOD(SUMPRODUCT(--MID(G884,{1,2,3,4,5,6,7,8,9,10,11,12,13},1),{6,5,4,3,2,9,8,7,6,5,4,3,2}),11)&lt;2,0,11-MOD(SUMPRODUCT(--MID(G884,{1,2,3,4,5,6,7,8,9,10,11,12,13},1),{6,5,4,3,2,9,8,7,6,5,4,3,2}),11))),"OK","AVISO: dígito verificador (conferir na org)"))))</f>
      </c>
      <c r="I884" s="6">
        <f>IF(G884="","",IF(COUNTIF($G$2:$G$2001,G884)&gt;1,"DUPLICADO","OK"))</f>
      </c>
      <c r="J884" s="6">
        <f>IF(COUNTA(A884:F884)=0,"",IF(AND(A884&lt;&gt;"",E884&lt;&gt;""),"OK","ERRO: faltam "&amp;IF(A884="","CNPJ; ","")&amp;IF(E884="","Novo gerente; ","")))</f>
      </c>
      <c r="K884" s="6">
        <f>IF(COUNTA(A884:F884)=0,"",IF(AND(LEFT(H884,4)&lt;&gt;"ERRO",I884="OK",J884="OK"),"OK","REVISAR"))</f>
      </c>
    </row>
    <row r="885">
      <c r="A885" s="5"/>
      <c r="B885" s="4"/>
      <c r="C885" s="4"/>
      <c r="D885" s="4"/>
      <c r="E885" s="5"/>
      <c r="F885" s="4"/>
      <c r="G885" s="6">
        <f>IF(A885="","",SUBSTITUTE(SUBSTITUTE(SUBSTITUTE(SUBSTITUTE(SUBSTITUTE(SUBSTITUTE(SUBSTITUTE(TRIM(A885),".",""),"/",""),"-","")," ",""),"(",""),")",""),"+",""))</f>
      </c>
      <c r="H885" s="6">
        <f>IF(G885="","",IF(LEN(G885)&lt;&gt;14,"ERRO: "&amp;LEN(G885)&amp;" dígitos",IF(NOT(ISNUMBER(VALUE(G885))),"ERRO: não numérico",IF(AND(VALUE(MID(G885,13,1))=IF(MOD(SUMPRODUCT(--MID(G885,{1,2,3,4,5,6,7,8,9,10,11,12},1),{5,4,3,2,9,8,7,6,5,4,3,2}),11)&lt;2,0,11-MOD(SUMPRODUCT(--MID(G885,{1,2,3,4,5,6,7,8,9,10,11,12},1),{5,4,3,2,9,8,7,6,5,4,3,2}),11)),VALUE(MID(G885,14,1))=IF(MOD(SUMPRODUCT(--MID(G885,{1,2,3,4,5,6,7,8,9,10,11,12,13},1),{6,5,4,3,2,9,8,7,6,5,4,3,2}),11)&lt;2,0,11-MOD(SUMPRODUCT(--MID(G885,{1,2,3,4,5,6,7,8,9,10,11,12,13},1),{6,5,4,3,2,9,8,7,6,5,4,3,2}),11))),"OK","AVISO: dígito verificador (conferir na org)"))))</f>
      </c>
      <c r="I885" s="6">
        <f>IF(G885="","",IF(COUNTIF($G$2:$G$2001,G885)&gt;1,"DUPLICADO","OK"))</f>
      </c>
      <c r="J885" s="6">
        <f>IF(COUNTA(A885:F885)=0,"",IF(AND(A885&lt;&gt;"",E885&lt;&gt;""),"OK","ERRO: faltam "&amp;IF(A885="","CNPJ; ","")&amp;IF(E885="","Novo gerente; ","")))</f>
      </c>
      <c r="K885" s="6">
        <f>IF(COUNTA(A885:F885)=0,"",IF(AND(LEFT(H885,4)&lt;&gt;"ERRO",I885="OK",J885="OK"),"OK","REVISAR"))</f>
      </c>
    </row>
    <row r="886">
      <c r="A886" s="5"/>
      <c r="B886" s="4"/>
      <c r="C886" s="4"/>
      <c r="D886" s="4"/>
      <c r="E886" s="5"/>
      <c r="F886" s="4"/>
      <c r="G886" s="6">
        <f>IF(A886="","",SUBSTITUTE(SUBSTITUTE(SUBSTITUTE(SUBSTITUTE(SUBSTITUTE(SUBSTITUTE(SUBSTITUTE(TRIM(A886),".",""),"/",""),"-","")," ",""),"(",""),")",""),"+",""))</f>
      </c>
      <c r="H886" s="6">
        <f>IF(G886="","",IF(LEN(G886)&lt;&gt;14,"ERRO: "&amp;LEN(G886)&amp;" dígitos",IF(NOT(ISNUMBER(VALUE(G886))),"ERRO: não numérico",IF(AND(VALUE(MID(G886,13,1))=IF(MOD(SUMPRODUCT(--MID(G886,{1,2,3,4,5,6,7,8,9,10,11,12},1),{5,4,3,2,9,8,7,6,5,4,3,2}),11)&lt;2,0,11-MOD(SUMPRODUCT(--MID(G886,{1,2,3,4,5,6,7,8,9,10,11,12},1),{5,4,3,2,9,8,7,6,5,4,3,2}),11)),VALUE(MID(G886,14,1))=IF(MOD(SUMPRODUCT(--MID(G886,{1,2,3,4,5,6,7,8,9,10,11,12,13},1),{6,5,4,3,2,9,8,7,6,5,4,3,2}),11)&lt;2,0,11-MOD(SUMPRODUCT(--MID(G886,{1,2,3,4,5,6,7,8,9,10,11,12,13},1),{6,5,4,3,2,9,8,7,6,5,4,3,2}),11))),"OK","AVISO: dígito verificador (conferir na org)"))))</f>
      </c>
      <c r="I886" s="6">
        <f>IF(G886="","",IF(COUNTIF($G$2:$G$2001,G886)&gt;1,"DUPLICADO","OK"))</f>
      </c>
      <c r="J886" s="6">
        <f>IF(COUNTA(A886:F886)=0,"",IF(AND(A886&lt;&gt;"",E886&lt;&gt;""),"OK","ERRO: faltam "&amp;IF(A886="","CNPJ; ","")&amp;IF(E886="","Novo gerente; ","")))</f>
      </c>
      <c r="K886" s="6">
        <f>IF(COUNTA(A886:F886)=0,"",IF(AND(LEFT(H886,4)&lt;&gt;"ERRO",I886="OK",J886="OK"),"OK","REVISAR"))</f>
      </c>
    </row>
    <row r="887">
      <c r="A887" s="5"/>
      <c r="B887" s="4"/>
      <c r="C887" s="4"/>
      <c r="D887" s="4"/>
      <c r="E887" s="5"/>
      <c r="F887" s="4"/>
      <c r="G887" s="6">
        <f>IF(A887="","",SUBSTITUTE(SUBSTITUTE(SUBSTITUTE(SUBSTITUTE(SUBSTITUTE(SUBSTITUTE(SUBSTITUTE(TRIM(A887),".",""),"/",""),"-","")," ",""),"(",""),")",""),"+",""))</f>
      </c>
      <c r="H887" s="6">
        <f>IF(G887="","",IF(LEN(G887)&lt;&gt;14,"ERRO: "&amp;LEN(G887)&amp;" dígitos",IF(NOT(ISNUMBER(VALUE(G887))),"ERRO: não numérico",IF(AND(VALUE(MID(G887,13,1))=IF(MOD(SUMPRODUCT(--MID(G887,{1,2,3,4,5,6,7,8,9,10,11,12},1),{5,4,3,2,9,8,7,6,5,4,3,2}),11)&lt;2,0,11-MOD(SUMPRODUCT(--MID(G887,{1,2,3,4,5,6,7,8,9,10,11,12},1),{5,4,3,2,9,8,7,6,5,4,3,2}),11)),VALUE(MID(G887,14,1))=IF(MOD(SUMPRODUCT(--MID(G887,{1,2,3,4,5,6,7,8,9,10,11,12,13},1),{6,5,4,3,2,9,8,7,6,5,4,3,2}),11)&lt;2,0,11-MOD(SUMPRODUCT(--MID(G887,{1,2,3,4,5,6,7,8,9,10,11,12,13},1),{6,5,4,3,2,9,8,7,6,5,4,3,2}),11))),"OK","AVISO: dígito verificador (conferir na org)"))))</f>
      </c>
      <c r="I887" s="6">
        <f>IF(G887="","",IF(COUNTIF($G$2:$G$2001,G887)&gt;1,"DUPLICADO","OK"))</f>
      </c>
      <c r="J887" s="6">
        <f>IF(COUNTA(A887:F887)=0,"",IF(AND(A887&lt;&gt;"",E887&lt;&gt;""),"OK","ERRO: faltam "&amp;IF(A887="","CNPJ; ","")&amp;IF(E887="","Novo gerente; ","")))</f>
      </c>
      <c r="K887" s="6">
        <f>IF(COUNTA(A887:F887)=0,"",IF(AND(LEFT(H887,4)&lt;&gt;"ERRO",I887="OK",J887="OK"),"OK","REVISAR"))</f>
      </c>
    </row>
    <row r="888">
      <c r="A888" s="5"/>
      <c r="B888" s="4"/>
      <c r="C888" s="4"/>
      <c r="D888" s="4"/>
      <c r="E888" s="5"/>
      <c r="F888" s="4"/>
      <c r="G888" s="6">
        <f>IF(A888="","",SUBSTITUTE(SUBSTITUTE(SUBSTITUTE(SUBSTITUTE(SUBSTITUTE(SUBSTITUTE(SUBSTITUTE(TRIM(A888),".",""),"/",""),"-","")," ",""),"(",""),")",""),"+",""))</f>
      </c>
      <c r="H888" s="6">
        <f>IF(G888="","",IF(LEN(G888)&lt;&gt;14,"ERRO: "&amp;LEN(G888)&amp;" dígitos",IF(NOT(ISNUMBER(VALUE(G888))),"ERRO: não numérico",IF(AND(VALUE(MID(G888,13,1))=IF(MOD(SUMPRODUCT(--MID(G888,{1,2,3,4,5,6,7,8,9,10,11,12},1),{5,4,3,2,9,8,7,6,5,4,3,2}),11)&lt;2,0,11-MOD(SUMPRODUCT(--MID(G888,{1,2,3,4,5,6,7,8,9,10,11,12},1),{5,4,3,2,9,8,7,6,5,4,3,2}),11)),VALUE(MID(G888,14,1))=IF(MOD(SUMPRODUCT(--MID(G888,{1,2,3,4,5,6,7,8,9,10,11,12,13},1),{6,5,4,3,2,9,8,7,6,5,4,3,2}),11)&lt;2,0,11-MOD(SUMPRODUCT(--MID(G888,{1,2,3,4,5,6,7,8,9,10,11,12,13},1),{6,5,4,3,2,9,8,7,6,5,4,3,2}),11))),"OK","AVISO: dígito verificador (conferir na org)"))))</f>
      </c>
      <c r="I888" s="6">
        <f>IF(G888="","",IF(COUNTIF($G$2:$G$2001,G888)&gt;1,"DUPLICADO","OK"))</f>
      </c>
      <c r="J888" s="6">
        <f>IF(COUNTA(A888:F888)=0,"",IF(AND(A888&lt;&gt;"",E888&lt;&gt;""),"OK","ERRO: faltam "&amp;IF(A888="","CNPJ; ","")&amp;IF(E888="","Novo gerente; ","")))</f>
      </c>
      <c r="K888" s="6">
        <f>IF(COUNTA(A888:F888)=0,"",IF(AND(LEFT(H888,4)&lt;&gt;"ERRO",I888="OK",J888="OK"),"OK","REVISAR"))</f>
      </c>
    </row>
    <row r="889">
      <c r="A889" s="5"/>
      <c r="B889" s="4"/>
      <c r="C889" s="4"/>
      <c r="D889" s="4"/>
      <c r="E889" s="5"/>
      <c r="F889" s="4"/>
      <c r="G889" s="6">
        <f>IF(A889="","",SUBSTITUTE(SUBSTITUTE(SUBSTITUTE(SUBSTITUTE(SUBSTITUTE(SUBSTITUTE(SUBSTITUTE(TRIM(A889),".",""),"/",""),"-","")," ",""),"(",""),")",""),"+",""))</f>
      </c>
      <c r="H889" s="6">
        <f>IF(G889="","",IF(LEN(G889)&lt;&gt;14,"ERRO: "&amp;LEN(G889)&amp;" dígitos",IF(NOT(ISNUMBER(VALUE(G889))),"ERRO: não numérico",IF(AND(VALUE(MID(G889,13,1))=IF(MOD(SUMPRODUCT(--MID(G889,{1,2,3,4,5,6,7,8,9,10,11,12},1),{5,4,3,2,9,8,7,6,5,4,3,2}),11)&lt;2,0,11-MOD(SUMPRODUCT(--MID(G889,{1,2,3,4,5,6,7,8,9,10,11,12},1),{5,4,3,2,9,8,7,6,5,4,3,2}),11)),VALUE(MID(G889,14,1))=IF(MOD(SUMPRODUCT(--MID(G889,{1,2,3,4,5,6,7,8,9,10,11,12,13},1),{6,5,4,3,2,9,8,7,6,5,4,3,2}),11)&lt;2,0,11-MOD(SUMPRODUCT(--MID(G889,{1,2,3,4,5,6,7,8,9,10,11,12,13},1),{6,5,4,3,2,9,8,7,6,5,4,3,2}),11))),"OK","AVISO: dígito verificador (conferir na org)"))))</f>
      </c>
      <c r="I889" s="6">
        <f>IF(G889="","",IF(COUNTIF($G$2:$G$2001,G889)&gt;1,"DUPLICADO","OK"))</f>
      </c>
      <c r="J889" s="6">
        <f>IF(COUNTA(A889:F889)=0,"",IF(AND(A889&lt;&gt;"",E889&lt;&gt;""),"OK","ERRO: faltam "&amp;IF(A889="","CNPJ; ","")&amp;IF(E889="","Novo gerente; ","")))</f>
      </c>
      <c r="K889" s="6">
        <f>IF(COUNTA(A889:F889)=0,"",IF(AND(LEFT(H889,4)&lt;&gt;"ERRO",I889="OK",J889="OK"),"OK","REVISAR"))</f>
      </c>
    </row>
    <row r="890">
      <c r="A890" s="5"/>
      <c r="B890" s="4"/>
      <c r="C890" s="4"/>
      <c r="D890" s="4"/>
      <c r="E890" s="5"/>
      <c r="F890" s="4"/>
      <c r="G890" s="6">
        <f>IF(A890="","",SUBSTITUTE(SUBSTITUTE(SUBSTITUTE(SUBSTITUTE(SUBSTITUTE(SUBSTITUTE(SUBSTITUTE(TRIM(A890),".",""),"/",""),"-","")," ",""),"(",""),")",""),"+",""))</f>
      </c>
      <c r="H890" s="6">
        <f>IF(G890="","",IF(LEN(G890)&lt;&gt;14,"ERRO: "&amp;LEN(G890)&amp;" dígitos",IF(NOT(ISNUMBER(VALUE(G890))),"ERRO: não numérico",IF(AND(VALUE(MID(G890,13,1))=IF(MOD(SUMPRODUCT(--MID(G890,{1,2,3,4,5,6,7,8,9,10,11,12},1),{5,4,3,2,9,8,7,6,5,4,3,2}),11)&lt;2,0,11-MOD(SUMPRODUCT(--MID(G890,{1,2,3,4,5,6,7,8,9,10,11,12},1),{5,4,3,2,9,8,7,6,5,4,3,2}),11)),VALUE(MID(G890,14,1))=IF(MOD(SUMPRODUCT(--MID(G890,{1,2,3,4,5,6,7,8,9,10,11,12,13},1),{6,5,4,3,2,9,8,7,6,5,4,3,2}),11)&lt;2,0,11-MOD(SUMPRODUCT(--MID(G890,{1,2,3,4,5,6,7,8,9,10,11,12,13},1),{6,5,4,3,2,9,8,7,6,5,4,3,2}),11))),"OK","AVISO: dígito verificador (conferir na org)"))))</f>
      </c>
      <c r="I890" s="6">
        <f>IF(G890="","",IF(COUNTIF($G$2:$G$2001,G890)&gt;1,"DUPLICADO","OK"))</f>
      </c>
      <c r="J890" s="6">
        <f>IF(COUNTA(A890:F890)=0,"",IF(AND(A890&lt;&gt;"",E890&lt;&gt;""),"OK","ERRO: faltam "&amp;IF(A890="","CNPJ; ","")&amp;IF(E890="","Novo gerente; ","")))</f>
      </c>
      <c r="K890" s="6">
        <f>IF(COUNTA(A890:F890)=0,"",IF(AND(LEFT(H890,4)&lt;&gt;"ERRO",I890="OK",J890="OK"),"OK","REVISAR"))</f>
      </c>
    </row>
    <row r="891">
      <c r="A891" s="5"/>
      <c r="B891" s="4"/>
      <c r="C891" s="4"/>
      <c r="D891" s="4"/>
      <c r="E891" s="5"/>
      <c r="F891" s="4"/>
      <c r="G891" s="6">
        <f>IF(A891="","",SUBSTITUTE(SUBSTITUTE(SUBSTITUTE(SUBSTITUTE(SUBSTITUTE(SUBSTITUTE(SUBSTITUTE(TRIM(A891),".",""),"/",""),"-","")," ",""),"(",""),")",""),"+",""))</f>
      </c>
      <c r="H891" s="6">
        <f>IF(G891="","",IF(LEN(G891)&lt;&gt;14,"ERRO: "&amp;LEN(G891)&amp;" dígitos",IF(NOT(ISNUMBER(VALUE(G891))),"ERRO: não numérico",IF(AND(VALUE(MID(G891,13,1))=IF(MOD(SUMPRODUCT(--MID(G891,{1,2,3,4,5,6,7,8,9,10,11,12},1),{5,4,3,2,9,8,7,6,5,4,3,2}),11)&lt;2,0,11-MOD(SUMPRODUCT(--MID(G891,{1,2,3,4,5,6,7,8,9,10,11,12},1),{5,4,3,2,9,8,7,6,5,4,3,2}),11)),VALUE(MID(G891,14,1))=IF(MOD(SUMPRODUCT(--MID(G891,{1,2,3,4,5,6,7,8,9,10,11,12,13},1),{6,5,4,3,2,9,8,7,6,5,4,3,2}),11)&lt;2,0,11-MOD(SUMPRODUCT(--MID(G891,{1,2,3,4,5,6,7,8,9,10,11,12,13},1),{6,5,4,3,2,9,8,7,6,5,4,3,2}),11))),"OK","AVISO: dígito verificador (conferir na org)"))))</f>
      </c>
      <c r="I891" s="6">
        <f>IF(G891="","",IF(COUNTIF($G$2:$G$2001,G891)&gt;1,"DUPLICADO","OK"))</f>
      </c>
      <c r="J891" s="6">
        <f>IF(COUNTA(A891:F891)=0,"",IF(AND(A891&lt;&gt;"",E891&lt;&gt;""),"OK","ERRO: faltam "&amp;IF(A891="","CNPJ; ","")&amp;IF(E891="","Novo gerente; ","")))</f>
      </c>
      <c r="K891" s="6">
        <f>IF(COUNTA(A891:F891)=0,"",IF(AND(LEFT(H891,4)&lt;&gt;"ERRO",I891="OK",J891="OK"),"OK","REVISAR"))</f>
      </c>
    </row>
    <row r="892">
      <c r="A892" s="5"/>
      <c r="B892" s="4"/>
      <c r="C892" s="4"/>
      <c r="D892" s="4"/>
      <c r="E892" s="5"/>
      <c r="F892" s="4"/>
      <c r="G892" s="6">
        <f>IF(A892="","",SUBSTITUTE(SUBSTITUTE(SUBSTITUTE(SUBSTITUTE(SUBSTITUTE(SUBSTITUTE(SUBSTITUTE(TRIM(A892),".",""),"/",""),"-","")," ",""),"(",""),")",""),"+",""))</f>
      </c>
      <c r="H892" s="6">
        <f>IF(G892="","",IF(LEN(G892)&lt;&gt;14,"ERRO: "&amp;LEN(G892)&amp;" dígitos",IF(NOT(ISNUMBER(VALUE(G892))),"ERRO: não numérico",IF(AND(VALUE(MID(G892,13,1))=IF(MOD(SUMPRODUCT(--MID(G892,{1,2,3,4,5,6,7,8,9,10,11,12},1),{5,4,3,2,9,8,7,6,5,4,3,2}),11)&lt;2,0,11-MOD(SUMPRODUCT(--MID(G892,{1,2,3,4,5,6,7,8,9,10,11,12},1),{5,4,3,2,9,8,7,6,5,4,3,2}),11)),VALUE(MID(G892,14,1))=IF(MOD(SUMPRODUCT(--MID(G892,{1,2,3,4,5,6,7,8,9,10,11,12,13},1),{6,5,4,3,2,9,8,7,6,5,4,3,2}),11)&lt;2,0,11-MOD(SUMPRODUCT(--MID(G892,{1,2,3,4,5,6,7,8,9,10,11,12,13},1),{6,5,4,3,2,9,8,7,6,5,4,3,2}),11))),"OK","AVISO: dígito verificador (conferir na org)"))))</f>
      </c>
      <c r="I892" s="6">
        <f>IF(G892="","",IF(COUNTIF($G$2:$G$2001,G892)&gt;1,"DUPLICADO","OK"))</f>
      </c>
      <c r="J892" s="6">
        <f>IF(COUNTA(A892:F892)=0,"",IF(AND(A892&lt;&gt;"",E892&lt;&gt;""),"OK","ERRO: faltam "&amp;IF(A892="","CNPJ; ","")&amp;IF(E892="","Novo gerente; ","")))</f>
      </c>
      <c r="K892" s="6">
        <f>IF(COUNTA(A892:F892)=0,"",IF(AND(LEFT(H892,4)&lt;&gt;"ERRO",I892="OK",J892="OK"),"OK","REVISAR"))</f>
      </c>
    </row>
    <row r="893">
      <c r="A893" s="5"/>
      <c r="B893" s="4"/>
      <c r="C893" s="4"/>
      <c r="D893" s="4"/>
      <c r="E893" s="5"/>
      <c r="F893" s="4"/>
      <c r="G893" s="6">
        <f>IF(A893="","",SUBSTITUTE(SUBSTITUTE(SUBSTITUTE(SUBSTITUTE(SUBSTITUTE(SUBSTITUTE(SUBSTITUTE(TRIM(A893),".",""),"/",""),"-","")," ",""),"(",""),")",""),"+",""))</f>
      </c>
      <c r="H893" s="6">
        <f>IF(G893="","",IF(LEN(G893)&lt;&gt;14,"ERRO: "&amp;LEN(G893)&amp;" dígitos",IF(NOT(ISNUMBER(VALUE(G893))),"ERRO: não numérico",IF(AND(VALUE(MID(G893,13,1))=IF(MOD(SUMPRODUCT(--MID(G893,{1,2,3,4,5,6,7,8,9,10,11,12},1),{5,4,3,2,9,8,7,6,5,4,3,2}),11)&lt;2,0,11-MOD(SUMPRODUCT(--MID(G893,{1,2,3,4,5,6,7,8,9,10,11,12},1),{5,4,3,2,9,8,7,6,5,4,3,2}),11)),VALUE(MID(G893,14,1))=IF(MOD(SUMPRODUCT(--MID(G893,{1,2,3,4,5,6,7,8,9,10,11,12,13},1),{6,5,4,3,2,9,8,7,6,5,4,3,2}),11)&lt;2,0,11-MOD(SUMPRODUCT(--MID(G893,{1,2,3,4,5,6,7,8,9,10,11,12,13},1),{6,5,4,3,2,9,8,7,6,5,4,3,2}),11))),"OK","AVISO: dígito verificador (conferir na org)"))))</f>
      </c>
      <c r="I893" s="6">
        <f>IF(G893="","",IF(COUNTIF($G$2:$G$2001,G893)&gt;1,"DUPLICADO","OK"))</f>
      </c>
      <c r="J893" s="6">
        <f>IF(COUNTA(A893:F893)=0,"",IF(AND(A893&lt;&gt;"",E893&lt;&gt;""),"OK","ERRO: faltam "&amp;IF(A893="","CNPJ; ","")&amp;IF(E893="","Novo gerente; ","")))</f>
      </c>
      <c r="K893" s="6">
        <f>IF(COUNTA(A893:F893)=0,"",IF(AND(LEFT(H893,4)&lt;&gt;"ERRO",I893="OK",J893="OK"),"OK","REVISAR"))</f>
      </c>
    </row>
    <row r="894">
      <c r="A894" s="5"/>
      <c r="B894" s="4"/>
      <c r="C894" s="4"/>
      <c r="D894" s="4"/>
      <c r="E894" s="5"/>
      <c r="F894" s="4"/>
      <c r="G894" s="6">
        <f>IF(A894="","",SUBSTITUTE(SUBSTITUTE(SUBSTITUTE(SUBSTITUTE(SUBSTITUTE(SUBSTITUTE(SUBSTITUTE(TRIM(A894),".",""),"/",""),"-","")," ",""),"(",""),")",""),"+",""))</f>
      </c>
      <c r="H894" s="6">
        <f>IF(G894="","",IF(LEN(G894)&lt;&gt;14,"ERRO: "&amp;LEN(G894)&amp;" dígitos",IF(NOT(ISNUMBER(VALUE(G894))),"ERRO: não numérico",IF(AND(VALUE(MID(G894,13,1))=IF(MOD(SUMPRODUCT(--MID(G894,{1,2,3,4,5,6,7,8,9,10,11,12},1),{5,4,3,2,9,8,7,6,5,4,3,2}),11)&lt;2,0,11-MOD(SUMPRODUCT(--MID(G894,{1,2,3,4,5,6,7,8,9,10,11,12},1),{5,4,3,2,9,8,7,6,5,4,3,2}),11)),VALUE(MID(G894,14,1))=IF(MOD(SUMPRODUCT(--MID(G894,{1,2,3,4,5,6,7,8,9,10,11,12,13},1),{6,5,4,3,2,9,8,7,6,5,4,3,2}),11)&lt;2,0,11-MOD(SUMPRODUCT(--MID(G894,{1,2,3,4,5,6,7,8,9,10,11,12,13},1),{6,5,4,3,2,9,8,7,6,5,4,3,2}),11))),"OK","AVISO: dígito verificador (conferir na org)"))))</f>
      </c>
      <c r="I894" s="6">
        <f>IF(G894="","",IF(COUNTIF($G$2:$G$2001,G894)&gt;1,"DUPLICADO","OK"))</f>
      </c>
      <c r="J894" s="6">
        <f>IF(COUNTA(A894:F894)=0,"",IF(AND(A894&lt;&gt;"",E894&lt;&gt;""),"OK","ERRO: faltam "&amp;IF(A894="","CNPJ; ","")&amp;IF(E894="","Novo gerente; ","")))</f>
      </c>
      <c r="K894" s="6">
        <f>IF(COUNTA(A894:F894)=0,"",IF(AND(LEFT(H894,4)&lt;&gt;"ERRO",I894="OK",J894="OK"),"OK","REVISAR"))</f>
      </c>
    </row>
    <row r="895">
      <c r="A895" s="5"/>
      <c r="B895" s="4"/>
      <c r="C895" s="4"/>
      <c r="D895" s="4"/>
      <c r="E895" s="5"/>
      <c r="F895" s="4"/>
      <c r="G895" s="6">
        <f>IF(A895="","",SUBSTITUTE(SUBSTITUTE(SUBSTITUTE(SUBSTITUTE(SUBSTITUTE(SUBSTITUTE(SUBSTITUTE(TRIM(A895),".",""),"/",""),"-","")," ",""),"(",""),")",""),"+",""))</f>
      </c>
      <c r="H895" s="6">
        <f>IF(G895="","",IF(LEN(G895)&lt;&gt;14,"ERRO: "&amp;LEN(G895)&amp;" dígitos",IF(NOT(ISNUMBER(VALUE(G895))),"ERRO: não numérico",IF(AND(VALUE(MID(G895,13,1))=IF(MOD(SUMPRODUCT(--MID(G895,{1,2,3,4,5,6,7,8,9,10,11,12},1),{5,4,3,2,9,8,7,6,5,4,3,2}),11)&lt;2,0,11-MOD(SUMPRODUCT(--MID(G895,{1,2,3,4,5,6,7,8,9,10,11,12},1),{5,4,3,2,9,8,7,6,5,4,3,2}),11)),VALUE(MID(G895,14,1))=IF(MOD(SUMPRODUCT(--MID(G895,{1,2,3,4,5,6,7,8,9,10,11,12,13},1),{6,5,4,3,2,9,8,7,6,5,4,3,2}),11)&lt;2,0,11-MOD(SUMPRODUCT(--MID(G895,{1,2,3,4,5,6,7,8,9,10,11,12,13},1),{6,5,4,3,2,9,8,7,6,5,4,3,2}),11))),"OK","AVISO: dígito verificador (conferir na org)"))))</f>
      </c>
      <c r="I895" s="6">
        <f>IF(G895="","",IF(COUNTIF($G$2:$G$2001,G895)&gt;1,"DUPLICADO","OK"))</f>
      </c>
      <c r="J895" s="6">
        <f>IF(COUNTA(A895:F895)=0,"",IF(AND(A895&lt;&gt;"",E895&lt;&gt;""),"OK","ERRO: faltam "&amp;IF(A895="","CNPJ; ","")&amp;IF(E895="","Novo gerente; ","")))</f>
      </c>
      <c r="K895" s="6">
        <f>IF(COUNTA(A895:F895)=0,"",IF(AND(LEFT(H895,4)&lt;&gt;"ERRO",I895="OK",J895="OK"),"OK","REVISAR"))</f>
      </c>
    </row>
    <row r="896">
      <c r="A896" s="5"/>
      <c r="B896" s="4"/>
      <c r="C896" s="4"/>
      <c r="D896" s="4"/>
      <c r="E896" s="5"/>
      <c r="F896" s="4"/>
      <c r="G896" s="6">
        <f>IF(A896="","",SUBSTITUTE(SUBSTITUTE(SUBSTITUTE(SUBSTITUTE(SUBSTITUTE(SUBSTITUTE(SUBSTITUTE(TRIM(A896),".",""),"/",""),"-","")," ",""),"(",""),")",""),"+",""))</f>
      </c>
      <c r="H896" s="6">
        <f>IF(G896="","",IF(LEN(G896)&lt;&gt;14,"ERRO: "&amp;LEN(G896)&amp;" dígitos",IF(NOT(ISNUMBER(VALUE(G896))),"ERRO: não numérico",IF(AND(VALUE(MID(G896,13,1))=IF(MOD(SUMPRODUCT(--MID(G896,{1,2,3,4,5,6,7,8,9,10,11,12},1),{5,4,3,2,9,8,7,6,5,4,3,2}),11)&lt;2,0,11-MOD(SUMPRODUCT(--MID(G896,{1,2,3,4,5,6,7,8,9,10,11,12},1),{5,4,3,2,9,8,7,6,5,4,3,2}),11)),VALUE(MID(G896,14,1))=IF(MOD(SUMPRODUCT(--MID(G896,{1,2,3,4,5,6,7,8,9,10,11,12,13},1),{6,5,4,3,2,9,8,7,6,5,4,3,2}),11)&lt;2,0,11-MOD(SUMPRODUCT(--MID(G896,{1,2,3,4,5,6,7,8,9,10,11,12,13},1),{6,5,4,3,2,9,8,7,6,5,4,3,2}),11))),"OK","AVISO: dígito verificador (conferir na org)"))))</f>
      </c>
      <c r="I896" s="6">
        <f>IF(G896="","",IF(COUNTIF($G$2:$G$2001,G896)&gt;1,"DUPLICADO","OK"))</f>
      </c>
      <c r="J896" s="6">
        <f>IF(COUNTA(A896:F896)=0,"",IF(AND(A896&lt;&gt;"",E896&lt;&gt;""),"OK","ERRO: faltam "&amp;IF(A896="","CNPJ; ","")&amp;IF(E896="","Novo gerente; ","")))</f>
      </c>
      <c r="K896" s="6">
        <f>IF(COUNTA(A896:F896)=0,"",IF(AND(LEFT(H896,4)&lt;&gt;"ERRO",I896="OK",J896="OK"),"OK","REVISAR"))</f>
      </c>
    </row>
    <row r="897">
      <c r="A897" s="5"/>
      <c r="B897" s="4"/>
      <c r="C897" s="4"/>
      <c r="D897" s="4"/>
      <c r="E897" s="5"/>
      <c r="F897" s="4"/>
      <c r="G897" s="6">
        <f>IF(A897="","",SUBSTITUTE(SUBSTITUTE(SUBSTITUTE(SUBSTITUTE(SUBSTITUTE(SUBSTITUTE(SUBSTITUTE(TRIM(A897),".",""),"/",""),"-","")," ",""),"(",""),")",""),"+",""))</f>
      </c>
      <c r="H897" s="6">
        <f>IF(G897="","",IF(LEN(G897)&lt;&gt;14,"ERRO: "&amp;LEN(G897)&amp;" dígitos",IF(NOT(ISNUMBER(VALUE(G897))),"ERRO: não numérico",IF(AND(VALUE(MID(G897,13,1))=IF(MOD(SUMPRODUCT(--MID(G897,{1,2,3,4,5,6,7,8,9,10,11,12},1),{5,4,3,2,9,8,7,6,5,4,3,2}),11)&lt;2,0,11-MOD(SUMPRODUCT(--MID(G897,{1,2,3,4,5,6,7,8,9,10,11,12},1),{5,4,3,2,9,8,7,6,5,4,3,2}),11)),VALUE(MID(G897,14,1))=IF(MOD(SUMPRODUCT(--MID(G897,{1,2,3,4,5,6,7,8,9,10,11,12,13},1),{6,5,4,3,2,9,8,7,6,5,4,3,2}),11)&lt;2,0,11-MOD(SUMPRODUCT(--MID(G897,{1,2,3,4,5,6,7,8,9,10,11,12,13},1),{6,5,4,3,2,9,8,7,6,5,4,3,2}),11))),"OK","AVISO: dígito verificador (conferir na org)"))))</f>
      </c>
      <c r="I897" s="6">
        <f>IF(G897="","",IF(COUNTIF($G$2:$G$2001,G897)&gt;1,"DUPLICADO","OK"))</f>
      </c>
      <c r="J897" s="6">
        <f>IF(COUNTA(A897:F897)=0,"",IF(AND(A897&lt;&gt;"",E897&lt;&gt;""),"OK","ERRO: faltam "&amp;IF(A897="","CNPJ; ","")&amp;IF(E897="","Novo gerente; ","")))</f>
      </c>
      <c r="K897" s="6">
        <f>IF(COUNTA(A897:F897)=0,"",IF(AND(LEFT(H897,4)&lt;&gt;"ERRO",I897="OK",J897="OK"),"OK","REVISAR"))</f>
      </c>
    </row>
    <row r="898">
      <c r="A898" s="5"/>
      <c r="B898" s="4"/>
      <c r="C898" s="4"/>
      <c r="D898" s="4"/>
      <c r="E898" s="5"/>
      <c r="F898" s="4"/>
      <c r="G898" s="6">
        <f>IF(A898="","",SUBSTITUTE(SUBSTITUTE(SUBSTITUTE(SUBSTITUTE(SUBSTITUTE(SUBSTITUTE(SUBSTITUTE(TRIM(A898),".",""),"/",""),"-","")," ",""),"(",""),")",""),"+",""))</f>
      </c>
      <c r="H898" s="6">
        <f>IF(G898="","",IF(LEN(G898)&lt;&gt;14,"ERRO: "&amp;LEN(G898)&amp;" dígitos",IF(NOT(ISNUMBER(VALUE(G898))),"ERRO: não numérico",IF(AND(VALUE(MID(G898,13,1))=IF(MOD(SUMPRODUCT(--MID(G898,{1,2,3,4,5,6,7,8,9,10,11,12},1),{5,4,3,2,9,8,7,6,5,4,3,2}),11)&lt;2,0,11-MOD(SUMPRODUCT(--MID(G898,{1,2,3,4,5,6,7,8,9,10,11,12},1),{5,4,3,2,9,8,7,6,5,4,3,2}),11)),VALUE(MID(G898,14,1))=IF(MOD(SUMPRODUCT(--MID(G898,{1,2,3,4,5,6,7,8,9,10,11,12,13},1),{6,5,4,3,2,9,8,7,6,5,4,3,2}),11)&lt;2,0,11-MOD(SUMPRODUCT(--MID(G898,{1,2,3,4,5,6,7,8,9,10,11,12,13},1),{6,5,4,3,2,9,8,7,6,5,4,3,2}),11))),"OK","AVISO: dígito verificador (conferir na org)"))))</f>
      </c>
      <c r="I898" s="6">
        <f>IF(G898="","",IF(COUNTIF($G$2:$G$2001,G898)&gt;1,"DUPLICADO","OK"))</f>
      </c>
      <c r="J898" s="6">
        <f>IF(COUNTA(A898:F898)=0,"",IF(AND(A898&lt;&gt;"",E898&lt;&gt;""),"OK","ERRO: faltam "&amp;IF(A898="","CNPJ; ","")&amp;IF(E898="","Novo gerente; ","")))</f>
      </c>
      <c r="K898" s="6">
        <f>IF(COUNTA(A898:F898)=0,"",IF(AND(LEFT(H898,4)&lt;&gt;"ERRO",I898="OK",J898="OK"),"OK","REVISAR"))</f>
      </c>
    </row>
    <row r="899">
      <c r="A899" s="5"/>
      <c r="B899" s="4"/>
      <c r="C899" s="4"/>
      <c r="D899" s="4"/>
      <c r="E899" s="5"/>
      <c r="F899" s="4"/>
      <c r="G899" s="6">
        <f>IF(A899="","",SUBSTITUTE(SUBSTITUTE(SUBSTITUTE(SUBSTITUTE(SUBSTITUTE(SUBSTITUTE(SUBSTITUTE(TRIM(A899),".",""),"/",""),"-","")," ",""),"(",""),")",""),"+",""))</f>
      </c>
      <c r="H899" s="6">
        <f>IF(G899="","",IF(LEN(G899)&lt;&gt;14,"ERRO: "&amp;LEN(G899)&amp;" dígitos",IF(NOT(ISNUMBER(VALUE(G899))),"ERRO: não numérico",IF(AND(VALUE(MID(G899,13,1))=IF(MOD(SUMPRODUCT(--MID(G899,{1,2,3,4,5,6,7,8,9,10,11,12},1),{5,4,3,2,9,8,7,6,5,4,3,2}),11)&lt;2,0,11-MOD(SUMPRODUCT(--MID(G899,{1,2,3,4,5,6,7,8,9,10,11,12},1),{5,4,3,2,9,8,7,6,5,4,3,2}),11)),VALUE(MID(G899,14,1))=IF(MOD(SUMPRODUCT(--MID(G899,{1,2,3,4,5,6,7,8,9,10,11,12,13},1),{6,5,4,3,2,9,8,7,6,5,4,3,2}),11)&lt;2,0,11-MOD(SUMPRODUCT(--MID(G899,{1,2,3,4,5,6,7,8,9,10,11,12,13},1),{6,5,4,3,2,9,8,7,6,5,4,3,2}),11))),"OK","AVISO: dígito verificador (conferir na org)"))))</f>
      </c>
      <c r="I899" s="6">
        <f>IF(G899="","",IF(COUNTIF($G$2:$G$2001,G899)&gt;1,"DUPLICADO","OK"))</f>
      </c>
      <c r="J899" s="6">
        <f>IF(COUNTA(A899:F899)=0,"",IF(AND(A899&lt;&gt;"",E899&lt;&gt;""),"OK","ERRO: faltam "&amp;IF(A899="","CNPJ; ","")&amp;IF(E899="","Novo gerente; ","")))</f>
      </c>
      <c r="K899" s="6">
        <f>IF(COUNTA(A899:F899)=0,"",IF(AND(LEFT(H899,4)&lt;&gt;"ERRO",I899="OK",J899="OK"),"OK","REVISAR"))</f>
      </c>
    </row>
    <row r="900">
      <c r="A900" s="5"/>
      <c r="B900" s="4"/>
      <c r="C900" s="4"/>
      <c r="D900" s="4"/>
      <c r="E900" s="5"/>
      <c r="F900" s="4"/>
      <c r="G900" s="6">
        <f>IF(A900="","",SUBSTITUTE(SUBSTITUTE(SUBSTITUTE(SUBSTITUTE(SUBSTITUTE(SUBSTITUTE(SUBSTITUTE(TRIM(A900),".",""),"/",""),"-","")," ",""),"(",""),")",""),"+",""))</f>
      </c>
      <c r="H900" s="6">
        <f>IF(G900="","",IF(LEN(G900)&lt;&gt;14,"ERRO: "&amp;LEN(G900)&amp;" dígitos",IF(NOT(ISNUMBER(VALUE(G900))),"ERRO: não numérico",IF(AND(VALUE(MID(G900,13,1))=IF(MOD(SUMPRODUCT(--MID(G900,{1,2,3,4,5,6,7,8,9,10,11,12},1),{5,4,3,2,9,8,7,6,5,4,3,2}),11)&lt;2,0,11-MOD(SUMPRODUCT(--MID(G900,{1,2,3,4,5,6,7,8,9,10,11,12},1),{5,4,3,2,9,8,7,6,5,4,3,2}),11)),VALUE(MID(G900,14,1))=IF(MOD(SUMPRODUCT(--MID(G900,{1,2,3,4,5,6,7,8,9,10,11,12,13},1),{6,5,4,3,2,9,8,7,6,5,4,3,2}),11)&lt;2,0,11-MOD(SUMPRODUCT(--MID(G900,{1,2,3,4,5,6,7,8,9,10,11,12,13},1),{6,5,4,3,2,9,8,7,6,5,4,3,2}),11))),"OK","AVISO: dígito verificador (conferir na org)"))))</f>
      </c>
      <c r="I900" s="6">
        <f>IF(G900="","",IF(COUNTIF($G$2:$G$2001,G900)&gt;1,"DUPLICADO","OK"))</f>
      </c>
      <c r="J900" s="6">
        <f>IF(COUNTA(A900:F900)=0,"",IF(AND(A900&lt;&gt;"",E900&lt;&gt;""),"OK","ERRO: faltam "&amp;IF(A900="","CNPJ; ","")&amp;IF(E900="","Novo gerente; ","")))</f>
      </c>
      <c r="K900" s="6">
        <f>IF(COUNTA(A900:F900)=0,"",IF(AND(LEFT(H900,4)&lt;&gt;"ERRO",I900="OK",J900="OK"),"OK","REVISAR"))</f>
      </c>
    </row>
    <row r="901">
      <c r="A901" s="5"/>
      <c r="B901" s="4"/>
      <c r="C901" s="4"/>
      <c r="D901" s="4"/>
      <c r="E901" s="5"/>
      <c r="F901" s="4"/>
      <c r="G901" s="6">
        <f>IF(A901="","",SUBSTITUTE(SUBSTITUTE(SUBSTITUTE(SUBSTITUTE(SUBSTITUTE(SUBSTITUTE(SUBSTITUTE(TRIM(A901),".",""),"/",""),"-","")," ",""),"(",""),")",""),"+",""))</f>
      </c>
      <c r="H901" s="6">
        <f>IF(G901="","",IF(LEN(G901)&lt;&gt;14,"ERRO: "&amp;LEN(G901)&amp;" dígitos",IF(NOT(ISNUMBER(VALUE(G901))),"ERRO: não numérico",IF(AND(VALUE(MID(G901,13,1))=IF(MOD(SUMPRODUCT(--MID(G901,{1,2,3,4,5,6,7,8,9,10,11,12},1),{5,4,3,2,9,8,7,6,5,4,3,2}),11)&lt;2,0,11-MOD(SUMPRODUCT(--MID(G901,{1,2,3,4,5,6,7,8,9,10,11,12},1),{5,4,3,2,9,8,7,6,5,4,3,2}),11)),VALUE(MID(G901,14,1))=IF(MOD(SUMPRODUCT(--MID(G901,{1,2,3,4,5,6,7,8,9,10,11,12,13},1),{6,5,4,3,2,9,8,7,6,5,4,3,2}),11)&lt;2,0,11-MOD(SUMPRODUCT(--MID(G901,{1,2,3,4,5,6,7,8,9,10,11,12,13},1),{6,5,4,3,2,9,8,7,6,5,4,3,2}),11))),"OK","AVISO: dígito verificador (conferir na org)"))))</f>
      </c>
      <c r="I901" s="6">
        <f>IF(G901="","",IF(COUNTIF($G$2:$G$2001,G901)&gt;1,"DUPLICADO","OK"))</f>
      </c>
      <c r="J901" s="6">
        <f>IF(COUNTA(A901:F901)=0,"",IF(AND(A901&lt;&gt;"",E901&lt;&gt;""),"OK","ERRO: faltam "&amp;IF(A901="","CNPJ; ","")&amp;IF(E901="","Novo gerente; ","")))</f>
      </c>
      <c r="K901" s="6">
        <f>IF(COUNTA(A901:F901)=0,"",IF(AND(LEFT(H901,4)&lt;&gt;"ERRO",I901="OK",J901="OK"),"OK","REVISAR"))</f>
      </c>
    </row>
    <row r="902">
      <c r="A902" s="5"/>
      <c r="B902" s="4"/>
      <c r="C902" s="4"/>
      <c r="D902" s="4"/>
      <c r="E902" s="5"/>
      <c r="F902" s="4"/>
      <c r="G902" s="6">
        <f>IF(A902="","",SUBSTITUTE(SUBSTITUTE(SUBSTITUTE(SUBSTITUTE(SUBSTITUTE(SUBSTITUTE(SUBSTITUTE(TRIM(A902),".",""),"/",""),"-","")," ",""),"(",""),")",""),"+",""))</f>
      </c>
      <c r="H902" s="6">
        <f>IF(G902="","",IF(LEN(G902)&lt;&gt;14,"ERRO: "&amp;LEN(G902)&amp;" dígitos",IF(NOT(ISNUMBER(VALUE(G902))),"ERRO: não numérico",IF(AND(VALUE(MID(G902,13,1))=IF(MOD(SUMPRODUCT(--MID(G902,{1,2,3,4,5,6,7,8,9,10,11,12},1),{5,4,3,2,9,8,7,6,5,4,3,2}),11)&lt;2,0,11-MOD(SUMPRODUCT(--MID(G902,{1,2,3,4,5,6,7,8,9,10,11,12},1),{5,4,3,2,9,8,7,6,5,4,3,2}),11)),VALUE(MID(G902,14,1))=IF(MOD(SUMPRODUCT(--MID(G902,{1,2,3,4,5,6,7,8,9,10,11,12,13},1),{6,5,4,3,2,9,8,7,6,5,4,3,2}),11)&lt;2,0,11-MOD(SUMPRODUCT(--MID(G902,{1,2,3,4,5,6,7,8,9,10,11,12,13},1),{6,5,4,3,2,9,8,7,6,5,4,3,2}),11))),"OK","AVISO: dígito verificador (conferir na org)"))))</f>
      </c>
      <c r="I902" s="6">
        <f>IF(G902="","",IF(COUNTIF($G$2:$G$2001,G902)&gt;1,"DUPLICADO","OK"))</f>
      </c>
      <c r="J902" s="6">
        <f>IF(COUNTA(A902:F902)=0,"",IF(AND(A902&lt;&gt;"",E902&lt;&gt;""),"OK","ERRO: faltam "&amp;IF(A902="","CNPJ; ","")&amp;IF(E902="","Novo gerente; ","")))</f>
      </c>
      <c r="K902" s="6">
        <f>IF(COUNTA(A902:F902)=0,"",IF(AND(LEFT(H902,4)&lt;&gt;"ERRO",I902="OK",J902="OK"),"OK","REVISAR"))</f>
      </c>
    </row>
    <row r="903">
      <c r="A903" s="5"/>
      <c r="B903" s="4"/>
      <c r="C903" s="4"/>
      <c r="D903" s="4"/>
      <c r="E903" s="5"/>
      <c r="F903" s="4"/>
      <c r="G903" s="6">
        <f>IF(A903="","",SUBSTITUTE(SUBSTITUTE(SUBSTITUTE(SUBSTITUTE(SUBSTITUTE(SUBSTITUTE(SUBSTITUTE(TRIM(A903),".",""),"/",""),"-","")," ",""),"(",""),")",""),"+",""))</f>
      </c>
      <c r="H903" s="6">
        <f>IF(G903="","",IF(LEN(G903)&lt;&gt;14,"ERRO: "&amp;LEN(G903)&amp;" dígitos",IF(NOT(ISNUMBER(VALUE(G903))),"ERRO: não numérico",IF(AND(VALUE(MID(G903,13,1))=IF(MOD(SUMPRODUCT(--MID(G903,{1,2,3,4,5,6,7,8,9,10,11,12},1),{5,4,3,2,9,8,7,6,5,4,3,2}),11)&lt;2,0,11-MOD(SUMPRODUCT(--MID(G903,{1,2,3,4,5,6,7,8,9,10,11,12},1),{5,4,3,2,9,8,7,6,5,4,3,2}),11)),VALUE(MID(G903,14,1))=IF(MOD(SUMPRODUCT(--MID(G903,{1,2,3,4,5,6,7,8,9,10,11,12,13},1),{6,5,4,3,2,9,8,7,6,5,4,3,2}),11)&lt;2,0,11-MOD(SUMPRODUCT(--MID(G903,{1,2,3,4,5,6,7,8,9,10,11,12,13},1),{6,5,4,3,2,9,8,7,6,5,4,3,2}),11))),"OK","AVISO: dígito verificador (conferir na org)"))))</f>
      </c>
      <c r="I903" s="6">
        <f>IF(G903="","",IF(COUNTIF($G$2:$G$2001,G903)&gt;1,"DUPLICADO","OK"))</f>
      </c>
      <c r="J903" s="6">
        <f>IF(COUNTA(A903:F903)=0,"",IF(AND(A903&lt;&gt;"",E903&lt;&gt;""),"OK","ERRO: faltam "&amp;IF(A903="","CNPJ; ","")&amp;IF(E903="","Novo gerente; ","")))</f>
      </c>
      <c r="K903" s="6">
        <f>IF(COUNTA(A903:F903)=0,"",IF(AND(LEFT(H903,4)&lt;&gt;"ERRO",I903="OK",J903="OK"),"OK","REVISAR"))</f>
      </c>
    </row>
    <row r="904">
      <c r="A904" s="5"/>
      <c r="B904" s="4"/>
      <c r="C904" s="4"/>
      <c r="D904" s="4"/>
      <c r="E904" s="5"/>
      <c r="F904" s="4"/>
      <c r="G904" s="6">
        <f>IF(A904="","",SUBSTITUTE(SUBSTITUTE(SUBSTITUTE(SUBSTITUTE(SUBSTITUTE(SUBSTITUTE(SUBSTITUTE(TRIM(A904),".",""),"/",""),"-","")," ",""),"(",""),")",""),"+",""))</f>
      </c>
      <c r="H904" s="6">
        <f>IF(G904="","",IF(LEN(G904)&lt;&gt;14,"ERRO: "&amp;LEN(G904)&amp;" dígitos",IF(NOT(ISNUMBER(VALUE(G904))),"ERRO: não numérico",IF(AND(VALUE(MID(G904,13,1))=IF(MOD(SUMPRODUCT(--MID(G904,{1,2,3,4,5,6,7,8,9,10,11,12},1),{5,4,3,2,9,8,7,6,5,4,3,2}),11)&lt;2,0,11-MOD(SUMPRODUCT(--MID(G904,{1,2,3,4,5,6,7,8,9,10,11,12},1),{5,4,3,2,9,8,7,6,5,4,3,2}),11)),VALUE(MID(G904,14,1))=IF(MOD(SUMPRODUCT(--MID(G904,{1,2,3,4,5,6,7,8,9,10,11,12,13},1),{6,5,4,3,2,9,8,7,6,5,4,3,2}),11)&lt;2,0,11-MOD(SUMPRODUCT(--MID(G904,{1,2,3,4,5,6,7,8,9,10,11,12,13},1),{6,5,4,3,2,9,8,7,6,5,4,3,2}),11))),"OK","AVISO: dígito verificador (conferir na org)"))))</f>
      </c>
      <c r="I904" s="6">
        <f>IF(G904="","",IF(COUNTIF($G$2:$G$2001,G904)&gt;1,"DUPLICADO","OK"))</f>
      </c>
      <c r="J904" s="6">
        <f>IF(COUNTA(A904:F904)=0,"",IF(AND(A904&lt;&gt;"",E904&lt;&gt;""),"OK","ERRO: faltam "&amp;IF(A904="","CNPJ; ","")&amp;IF(E904="","Novo gerente; ","")))</f>
      </c>
      <c r="K904" s="6">
        <f>IF(COUNTA(A904:F904)=0,"",IF(AND(LEFT(H904,4)&lt;&gt;"ERRO",I904="OK",J904="OK"),"OK","REVISAR"))</f>
      </c>
    </row>
    <row r="905">
      <c r="A905" s="5"/>
      <c r="B905" s="4"/>
      <c r="C905" s="4"/>
      <c r="D905" s="4"/>
      <c r="E905" s="5"/>
      <c r="F905" s="4"/>
      <c r="G905" s="6">
        <f>IF(A905="","",SUBSTITUTE(SUBSTITUTE(SUBSTITUTE(SUBSTITUTE(SUBSTITUTE(SUBSTITUTE(SUBSTITUTE(TRIM(A905),".",""),"/",""),"-","")," ",""),"(",""),")",""),"+",""))</f>
      </c>
      <c r="H905" s="6">
        <f>IF(G905="","",IF(LEN(G905)&lt;&gt;14,"ERRO: "&amp;LEN(G905)&amp;" dígitos",IF(NOT(ISNUMBER(VALUE(G905))),"ERRO: não numérico",IF(AND(VALUE(MID(G905,13,1))=IF(MOD(SUMPRODUCT(--MID(G905,{1,2,3,4,5,6,7,8,9,10,11,12},1),{5,4,3,2,9,8,7,6,5,4,3,2}),11)&lt;2,0,11-MOD(SUMPRODUCT(--MID(G905,{1,2,3,4,5,6,7,8,9,10,11,12},1),{5,4,3,2,9,8,7,6,5,4,3,2}),11)),VALUE(MID(G905,14,1))=IF(MOD(SUMPRODUCT(--MID(G905,{1,2,3,4,5,6,7,8,9,10,11,12,13},1),{6,5,4,3,2,9,8,7,6,5,4,3,2}),11)&lt;2,0,11-MOD(SUMPRODUCT(--MID(G905,{1,2,3,4,5,6,7,8,9,10,11,12,13},1),{6,5,4,3,2,9,8,7,6,5,4,3,2}),11))),"OK","AVISO: dígito verificador (conferir na org)"))))</f>
      </c>
      <c r="I905" s="6">
        <f>IF(G905="","",IF(COUNTIF($G$2:$G$2001,G905)&gt;1,"DUPLICADO","OK"))</f>
      </c>
      <c r="J905" s="6">
        <f>IF(COUNTA(A905:F905)=0,"",IF(AND(A905&lt;&gt;"",E905&lt;&gt;""),"OK","ERRO: faltam "&amp;IF(A905="","CNPJ; ","")&amp;IF(E905="","Novo gerente; ","")))</f>
      </c>
      <c r="K905" s="6">
        <f>IF(COUNTA(A905:F905)=0,"",IF(AND(LEFT(H905,4)&lt;&gt;"ERRO",I905="OK",J905="OK"),"OK","REVISAR"))</f>
      </c>
    </row>
    <row r="906">
      <c r="A906" s="5"/>
      <c r="B906" s="4"/>
      <c r="C906" s="4"/>
      <c r="D906" s="4"/>
      <c r="E906" s="5"/>
      <c r="F906" s="4"/>
      <c r="G906" s="6">
        <f>IF(A906="","",SUBSTITUTE(SUBSTITUTE(SUBSTITUTE(SUBSTITUTE(SUBSTITUTE(SUBSTITUTE(SUBSTITUTE(TRIM(A906),".",""),"/",""),"-","")," ",""),"(",""),")",""),"+",""))</f>
      </c>
      <c r="H906" s="6">
        <f>IF(G906="","",IF(LEN(G906)&lt;&gt;14,"ERRO: "&amp;LEN(G906)&amp;" dígitos",IF(NOT(ISNUMBER(VALUE(G906))),"ERRO: não numérico",IF(AND(VALUE(MID(G906,13,1))=IF(MOD(SUMPRODUCT(--MID(G906,{1,2,3,4,5,6,7,8,9,10,11,12},1),{5,4,3,2,9,8,7,6,5,4,3,2}),11)&lt;2,0,11-MOD(SUMPRODUCT(--MID(G906,{1,2,3,4,5,6,7,8,9,10,11,12},1),{5,4,3,2,9,8,7,6,5,4,3,2}),11)),VALUE(MID(G906,14,1))=IF(MOD(SUMPRODUCT(--MID(G906,{1,2,3,4,5,6,7,8,9,10,11,12,13},1),{6,5,4,3,2,9,8,7,6,5,4,3,2}),11)&lt;2,0,11-MOD(SUMPRODUCT(--MID(G906,{1,2,3,4,5,6,7,8,9,10,11,12,13},1),{6,5,4,3,2,9,8,7,6,5,4,3,2}),11))),"OK","AVISO: dígito verificador (conferir na org)"))))</f>
      </c>
      <c r="I906" s="6">
        <f>IF(G906="","",IF(COUNTIF($G$2:$G$2001,G906)&gt;1,"DUPLICADO","OK"))</f>
      </c>
      <c r="J906" s="6">
        <f>IF(COUNTA(A906:F906)=0,"",IF(AND(A906&lt;&gt;"",E906&lt;&gt;""),"OK","ERRO: faltam "&amp;IF(A906="","CNPJ; ","")&amp;IF(E906="","Novo gerente; ","")))</f>
      </c>
      <c r="K906" s="6">
        <f>IF(COUNTA(A906:F906)=0,"",IF(AND(LEFT(H906,4)&lt;&gt;"ERRO",I906="OK",J906="OK"),"OK","REVISAR"))</f>
      </c>
    </row>
    <row r="907">
      <c r="A907" s="5"/>
      <c r="B907" s="4"/>
      <c r="C907" s="4"/>
      <c r="D907" s="4"/>
      <c r="E907" s="5"/>
      <c r="F907" s="4"/>
      <c r="G907" s="6">
        <f>IF(A907="","",SUBSTITUTE(SUBSTITUTE(SUBSTITUTE(SUBSTITUTE(SUBSTITUTE(SUBSTITUTE(SUBSTITUTE(TRIM(A907),".",""),"/",""),"-","")," ",""),"(",""),")",""),"+",""))</f>
      </c>
      <c r="H907" s="6">
        <f>IF(G907="","",IF(LEN(G907)&lt;&gt;14,"ERRO: "&amp;LEN(G907)&amp;" dígitos",IF(NOT(ISNUMBER(VALUE(G907))),"ERRO: não numérico",IF(AND(VALUE(MID(G907,13,1))=IF(MOD(SUMPRODUCT(--MID(G907,{1,2,3,4,5,6,7,8,9,10,11,12},1),{5,4,3,2,9,8,7,6,5,4,3,2}),11)&lt;2,0,11-MOD(SUMPRODUCT(--MID(G907,{1,2,3,4,5,6,7,8,9,10,11,12},1),{5,4,3,2,9,8,7,6,5,4,3,2}),11)),VALUE(MID(G907,14,1))=IF(MOD(SUMPRODUCT(--MID(G907,{1,2,3,4,5,6,7,8,9,10,11,12,13},1),{6,5,4,3,2,9,8,7,6,5,4,3,2}),11)&lt;2,0,11-MOD(SUMPRODUCT(--MID(G907,{1,2,3,4,5,6,7,8,9,10,11,12,13},1),{6,5,4,3,2,9,8,7,6,5,4,3,2}),11))),"OK","AVISO: dígito verificador (conferir na org)"))))</f>
      </c>
      <c r="I907" s="6">
        <f>IF(G907="","",IF(COUNTIF($G$2:$G$2001,G907)&gt;1,"DUPLICADO","OK"))</f>
      </c>
      <c r="J907" s="6">
        <f>IF(COUNTA(A907:F907)=0,"",IF(AND(A907&lt;&gt;"",E907&lt;&gt;""),"OK","ERRO: faltam "&amp;IF(A907="","CNPJ; ","")&amp;IF(E907="","Novo gerente; ","")))</f>
      </c>
      <c r="K907" s="6">
        <f>IF(COUNTA(A907:F907)=0,"",IF(AND(LEFT(H907,4)&lt;&gt;"ERRO",I907="OK",J907="OK"),"OK","REVISAR"))</f>
      </c>
    </row>
    <row r="908">
      <c r="A908" s="5"/>
      <c r="B908" s="4"/>
      <c r="C908" s="4"/>
      <c r="D908" s="4"/>
      <c r="E908" s="5"/>
      <c r="F908" s="4"/>
      <c r="G908" s="6">
        <f>IF(A908="","",SUBSTITUTE(SUBSTITUTE(SUBSTITUTE(SUBSTITUTE(SUBSTITUTE(SUBSTITUTE(SUBSTITUTE(TRIM(A908),".",""),"/",""),"-","")," ",""),"(",""),")",""),"+",""))</f>
      </c>
      <c r="H908" s="6">
        <f>IF(G908="","",IF(LEN(G908)&lt;&gt;14,"ERRO: "&amp;LEN(G908)&amp;" dígitos",IF(NOT(ISNUMBER(VALUE(G908))),"ERRO: não numérico",IF(AND(VALUE(MID(G908,13,1))=IF(MOD(SUMPRODUCT(--MID(G908,{1,2,3,4,5,6,7,8,9,10,11,12},1),{5,4,3,2,9,8,7,6,5,4,3,2}),11)&lt;2,0,11-MOD(SUMPRODUCT(--MID(G908,{1,2,3,4,5,6,7,8,9,10,11,12},1),{5,4,3,2,9,8,7,6,5,4,3,2}),11)),VALUE(MID(G908,14,1))=IF(MOD(SUMPRODUCT(--MID(G908,{1,2,3,4,5,6,7,8,9,10,11,12,13},1),{6,5,4,3,2,9,8,7,6,5,4,3,2}),11)&lt;2,0,11-MOD(SUMPRODUCT(--MID(G908,{1,2,3,4,5,6,7,8,9,10,11,12,13},1),{6,5,4,3,2,9,8,7,6,5,4,3,2}),11))),"OK","AVISO: dígito verificador (conferir na org)"))))</f>
      </c>
      <c r="I908" s="6">
        <f>IF(G908="","",IF(COUNTIF($G$2:$G$2001,G908)&gt;1,"DUPLICADO","OK"))</f>
      </c>
      <c r="J908" s="6">
        <f>IF(COUNTA(A908:F908)=0,"",IF(AND(A908&lt;&gt;"",E908&lt;&gt;""),"OK","ERRO: faltam "&amp;IF(A908="","CNPJ; ","")&amp;IF(E908="","Novo gerente; ","")))</f>
      </c>
      <c r="K908" s="6">
        <f>IF(COUNTA(A908:F908)=0,"",IF(AND(LEFT(H908,4)&lt;&gt;"ERRO",I908="OK",J908="OK"),"OK","REVISAR"))</f>
      </c>
    </row>
    <row r="909">
      <c r="A909" s="5"/>
      <c r="B909" s="4"/>
      <c r="C909" s="4"/>
      <c r="D909" s="4"/>
      <c r="E909" s="5"/>
      <c r="F909" s="4"/>
      <c r="G909" s="6">
        <f>IF(A909="","",SUBSTITUTE(SUBSTITUTE(SUBSTITUTE(SUBSTITUTE(SUBSTITUTE(SUBSTITUTE(SUBSTITUTE(TRIM(A909),".",""),"/",""),"-","")," ",""),"(",""),")",""),"+",""))</f>
      </c>
      <c r="H909" s="6">
        <f>IF(G909="","",IF(LEN(G909)&lt;&gt;14,"ERRO: "&amp;LEN(G909)&amp;" dígitos",IF(NOT(ISNUMBER(VALUE(G909))),"ERRO: não numérico",IF(AND(VALUE(MID(G909,13,1))=IF(MOD(SUMPRODUCT(--MID(G909,{1,2,3,4,5,6,7,8,9,10,11,12},1),{5,4,3,2,9,8,7,6,5,4,3,2}),11)&lt;2,0,11-MOD(SUMPRODUCT(--MID(G909,{1,2,3,4,5,6,7,8,9,10,11,12},1),{5,4,3,2,9,8,7,6,5,4,3,2}),11)),VALUE(MID(G909,14,1))=IF(MOD(SUMPRODUCT(--MID(G909,{1,2,3,4,5,6,7,8,9,10,11,12,13},1),{6,5,4,3,2,9,8,7,6,5,4,3,2}),11)&lt;2,0,11-MOD(SUMPRODUCT(--MID(G909,{1,2,3,4,5,6,7,8,9,10,11,12,13},1),{6,5,4,3,2,9,8,7,6,5,4,3,2}),11))),"OK","AVISO: dígito verificador (conferir na org)"))))</f>
      </c>
      <c r="I909" s="6">
        <f>IF(G909="","",IF(COUNTIF($G$2:$G$2001,G909)&gt;1,"DUPLICADO","OK"))</f>
      </c>
      <c r="J909" s="6">
        <f>IF(COUNTA(A909:F909)=0,"",IF(AND(A909&lt;&gt;"",E909&lt;&gt;""),"OK","ERRO: faltam "&amp;IF(A909="","CNPJ; ","")&amp;IF(E909="","Novo gerente; ","")))</f>
      </c>
      <c r="K909" s="6">
        <f>IF(COUNTA(A909:F909)=0,"",IF(AND(LEFT(H909,4)&lt;&gt;"ERRO",I909="OK",J909="OK"),"OK","REVISAR"))</f>
      </c>
    </row>
    <row r="910">
      <c r="A910" s="5"/>
      <c r="B910" s="4"/>
      <c r="C910" s="4"/>
      <c r="D910" s="4"/>
      <c r="E910" s="5"/>
      <c r="F910" s="4"/>
      <c r="G910" s="6">
        <f>IF(A910="","",SUBSTITUTE(SUBSTITUTE(SUBSTITUTE(SUBSTITUTE(SUBSTITUTE(SUBSTITUTE(SUBSTITUTE(TRIM(A910),".",""),"/",""),"-","")," ",""),"(",""),")",""),"+",""))</f>
      </c>
      <c r="H910" s="6">
        <f>IF(G910="","",IF(LEN(G910)&lt;&gt;14,"ERRO: "&amp;LEN(G910)&amp;" dígitos",IF(NOT(ISNUMBER(VALUE(G910))),"ERRO: não numérico",IF(AND(VALUE(MID(G910,13,1))=IF(MOD(SUMPRODUCT(--MID(G910,{1,2,3,4,5,6,7,8,9,10,11,12},1),{5,4,3,2,9,8,7,6,5,4,3,2}),11)&lt;2,0,11-MOD(SUMPRODUCT(--MID(G910,{1,2,3,4,5,6,7,8,9,10,11,12},1),{5,4,3,2,9,8,7,6,5,4,3,2}),11)),VALUE(MID(G910,14,1))=IF(MOD(SUMPRODUCT(--MID(G910,{1,2,3,4,5,6,7,8,9,10,11,12,13},1),{6,5,4,3,2,9,8,7,6,5,4,3,2}),11)&lt;2,0,11-MOD(SUMPRODUCT(--MID(G910,{1,2,3,4,5,6,7,8,9,10,11,12,13},1),{6,5,4,3,2,9,8,7,6,5,4,3,2}),11))),"OK","AVISO: dígito verificador (conferir na org)"))))</f>
      </c>
      <c r="I910" s="6">
        <f>IF(G910="","",IF(COUNTIF($G$2:$G$2001,G910)&gt;1,"DUPLICADO","OK"))</f>
      </c>
      <c r="J910" s="6">
        <f>IF(COUNTA(A910:F910)=0,"",IF(AND(A910&lt;&gt;"",E910&lt;&gt;""),"OK","ERRO: faltam "&amp;IF(A910="","CNPJ; ","")&amp;IF(E910="","Novo gerente; ","")))</f>
      </c>
      <c r="K910" s="6">
        <f>IF(COUNTA(A910:F910)=0,"",IF(AND(LEFT(H910,4)&lt;&gt;"ERRO",I910="OK",J910="OK"),"OK","REVISAR"))</f>
      </c>
    </row>
    <row r="911">
      <c r="A911" s="5"/>
      <c r="B911" s="4"/>
      <c r="C911" s="4"/>
      <c r="D911" s="4"/>
      <c r="E911" s="5"/>
      <c r="F911" s="4"/>
      <c r="G911" s="6">
        <f>IF(A911="","",SUBSTITUTE(SUBSTITUTE(SUBSTITUTE(SUBSTITUTE(SUBSTITUTE(SUBSTITUTE(SUBSTITUTE(TRIM(A911),".",""),"/",""),"-","")," ",""),"(",""),")",""),"+",""))</f>
      </c>
      <c r="H911" s="6">
        <f>IF(G911="","",IF(LEN(G911)&lt;&gt;14,"ERRO: "&amp;LEN(G911)&amp;" dígitos",IF(NOT(ISNUMBER(VALUE(G911))),"ERRO: não numérico",IF(AND(VALUE(MID(G911,13,1))=IF(MOD(SUMPRODUCT(--MID(G911,{1,2,3,4,5,6,7,8,9,10,11,12},1),{5,4,3,2,9,8,7,6,5,4,3,2}),11)&lt;2,0,11-MOD(SUMPRODUCT(--MID(G911,{1,2,3,4,5,6,7,8,9,10,11,12},1),{5,4,3,2,9,8,7,6,5,4,3,2}),11)),VALUE(MID(G911,14,1))=IF(MOD(SUMPRODUCT(--MID(G911,{1,2,3,4,5,6,7,8,9,10,11,12,13},1),{6,5,4,3,2,9,8,7,6,5,4,3,2}),11)&lt;2,0,11-MOD(SUMPRODUCT(--MID(G911,{1,2,3,4,5,6,7,8,9,10,11,12,13},1),{6,5,4,3,2,9,8,7,6,5,4,3,2}),11))),"OK","AVISO: dígito verificador (conferir na org)"))))</f>
      </c>
      <c r="I911" s="6">
        <f>IF(G911="","",IF(COUNTIF($G$2:$G$2001,G911)&gt;1,"DUPLICADO","OK"))</f>
      </c>
      <c r="J911" s="6">
        <f>IF(COUNTA(A911:F911)=0,"",IF(AND(A911&lt;&gt;"",E911&lt;&gt;""),"OK","ERRO: faltam "&amp;IF(A911="","CNPJ; ","")&amp;IF(E911="","Novo gerente; ","")))</f>
      </c>
      <c r="K911" s="6">
        <f>IF(COUNTA(A911:F911)=0,"",IF(AND(LEFT(H911,4)&lt;&gt;"ERRO",I911="OK",J911="OK"),"OK","REVISAR"))</f>
      </c>
    </row>
    <row r="912">
      <c r="A912" s="5"/>
      <c r="B912" s="4"/>
      <c r="C912" s="4"/>
      <c r="D912" s="4"/>
      <c r="E912" s="5"/>
      <c r="F912" s="4"/>
      <c r="G912" s="6">
        <f>IF(A912="","",SUBSTITUTE(SUBSTITUTE(SUBSTITUTE(SUBSTITUTE(SUBSTITUTE(SUBSTITUTE(SUBSTITUTE(TRIM(A912),".",""),"/",""),"-","")," ",""),"(",""),")",""),"+",""))</f>
      </c>
      <c r="H912" s="6">
        <f>IF(G912="","",IF(LEN(G912)&lt;&gt;14,"ERRO: "&amp;LEN(G912)&amp;" dígitos",IF(NOT(ISNUMBER(VALUE(G912))),"ERRO: não numérico",IF(AND(VALUE(MID(G912,13,1))=IF(MOD(SUMPRODUCT(--MID(G912,{1,2,3,4,5,6,7,8,9,10,11,12},1),{5,4,3,2,9,8,7,6,5,4,3,2}),11)&lt;2,0,11-MOD(SUMPRODUCT(--MID(G912,{1,2,3,4,5,6,7,8,9,10,11,12},1),{5,4,3,2,9,8,7,6,5,4,3,2}),11)),VALUE(MID(G912,14,1))=IF(MOD(SUMPRODUCT(--MID(G912,{1,2,3,4,5,6,7,8,9,10,11,12,13},1),{6,5,4,3,2,9,8,7,6,5,4,3,2}),11)&lt;2,0,11-MOD(SUMPRODUCT(--MID(G912,{1,2,3,4,5,6,7,8,9,10,11,12,13},1),{6,5,4,3,2,9,8,7,6,5,4,3,2}),11))),"OK","AVISO: dígito verificador (conferir na org)"))))</f>
      </c>
      <c r="I912" s="6">
        <f>IF(G912="","",IF(COUNTIF($G$2:$G$2001,G912)&gt;1,"DUPLICADO","OK"))</f>
      </c>
      <c r="J912" s="6">
        <f>IF(COUNTA(A912:F912)=0,"",IF(AND(A912&lt;&gt;"",E912&lt;&gt;""),"OK","ERRO: faltam "&amp;IF(A912="","CNPJ; ","")&amp;IF(E912="","Novo gerente; ","")))</f>
      </c>
      <c r="K912" s="6">
        <f>IF(COUNTA(A912:F912)=0,"",IF(AND(LEFT(H912,4)&lt;&gt;"ERRO",I912="OK",J912="OK"),"OK","REVISAR"))</f>
      </c>
    </row>
    <row r="913">
      <c r="A913" s="5"/>
      <c r="B913" s="4"/>
      <c r="C913" s="4"/>
      <c r="D913" s="4"/>
      <c r="E913" s="5"/>
      <c r="F913" s="4"/>
      <c r="G913" s="6">
        <f>IF(A913="","",SUBSTITUTE(SUBSTITUTE(SUBSTITUTE(SUBSTITUTE(SUBSTITUTE(SUBSTITUTE(SUBSTITUTE(TRIM(A913),".",""),"/",""),"-","")," ",""),"(",""),")",""),"+",""))</f>
      </c>
      <c r="H913" s="6">
        <f>IF(G913="","",IF(LEN(G913)&lt;&gt;14,"ERRO: "&amp;LEN(G913)&amp;" dígitos",IF(NOT(ISNUMBER(VALUE(G913))),"ERRO: não numérico",IF(AND(VALUE(MID(G913,13,1))=IF(MOD(SUMPRODUCT(--MID(G913,{1,2,3,4,5,6,7,8,9,10,11,12},1),{5,4,3,2,9,8,7,6,5,4,3,2}),11)&lt;2,0,11-MOD(SUMPRODUCT(--MID(G913,{1,2,3,4,5,6,7,8,9,10,11,12},1),{5,4,3,2,9,8,7,6,5,4,3,2}),11)),VALUE(MID(G913,14,1))=IF(MOD(SUMPRODUCT(--MID(G913,{1,2,3,4,5,6,7,8,9,10,11,12,13},1),{6,5,4,3,2,9,8,7,6,5,4,3,2}),11)&lt;2,0,11-MOD(SUMPRODUCT(--MID(G913,{1,2,3,4,5,6,7,8,9,10,11,12,13},1),{6,5,4,3,2,9,8,7,6,5,4,3,2}),11))),"OK","AVISO: dígito verificador (conferir na org)"))))</f>
      </c>
      <c r="I913" s="6">
        <f>IF(G913="","",IF(COUNTIF($G$2:$G$2001,G913)&gt;1,"DUPLICADO","OK"))</f>
      </c>
      <c r="J913" s="6">
        <f>IF(COUNTA(A913:F913)=0,"",IF(AND(A913&lt;&gt;"",E913&lt;&gt;""),"OK","ERRO: faltam "&amp;IF(A913="","CNPJ; ","")&amp;IF(E913="","Novo gerente; ","")))</f>
      </c>
      <c r="K913" s="6">
        <f>IF(COUNTA(A913:F913)=0,"",IF(AND(LEFT(H913,4)&lt;&gt;"ERRO",I913="OK",J913="OK"),"OK","REVISAR"))</f>
      </c>
    </row>
    <row r="914">
      <c r="A914" s="5"/>
      <c r="B914" s="4"/>
      <c r="C914" s="4"/>
      <c r="D914" s="4"/>
      <c r="E914" s="5"/>
      <c r="F914" s="4"/>
      <c r="G914" s="6">
        <f>IF(A914="","",SUBSTITUTE(SUBSTITUTE(SUBSTITUTE(SUBSTITUTE(SUBSTITUTE(SUBSTITUTE(SUBSTITUTE(TRIM(A914),".",""),"/",""),"-","")," ",""),"(",""),")",""),"+",""))</f>
      </c>
      <c r="H914" s="6">
        <f>IF(G914="","",IF(LEN(G914)&lt;&gt;14,"ERRO: "&amp;LEN(G914)&amp;" dígitos",IF(NOT(ISNUMBER(VALUE(G914))),"ERRO: não numérico",IF(AND(VALUE(MID(G914,13,1))=IF(MOD(SUMPRODUCT(--MID(G914,{1,2,3,4,5,6,7,8,9,10,11,12},1),{5,4,3,2,9,8,7,6,5,4,3,2}),11)&lt;2,0,11-MOD(SUMPRODUCT(--MID(G914,{1,2,3,4,5,6,7,8,9,10,11,12},1),{5,4,3,2,9,8,7,6,5,4,3,2}),11)),VALUE(MID(G914,14,1))=IF(MOD(SUMPRODUCT(--MID(G914,{1,2,3,4,5,6,7,8,9,10,11,12,13},1),{6,5,4,3,2,9,8,7,6,5,4,3,2}),11)&lt;2,0,11-MOD(SUMPRODUCT(--MID(G914,{1,2,3,4,5,6,7,8,9,10,11,12,13},1),{6,5,4,3,2,9,8,7,6,5,4,3,2}),11))),"OK","AVISO: dígito verificador (conferir na org)"))))</f>
      </c>
      <c r="I914" s="6">
        <f>IF(G914="","",IF(COUNTIF($G$2:$G$2001,G914)&gt;1,"DUPLICADO","OK"))</f>
      </c>
      <c r="J914" s="6">
        <f>IF(COUNTA(A914:F914)=0,"",IF(AND(A914&lt;&gt;"",E914&lt;&gt;""),"OK","ERRO: faltam "&amp;IF(A914="","CNPJ; ","")&amp;IF(E914="","Novo gerente; ","")))</f>
      </c>
      <c r="K914" s="6">
        <f>IF(COUNTA(A914:F914)=0,"",IF(AND(LEFT(H914,4)&lt;&gt;"ERRO",I914="OK",J914="OK"),"OK","REVISAR"))</f>
      </c>
    </row>
    <row r="915">
      <c r="A915" s="5"/>
      <c r="B915" s="4"/>
      <c r="C915" s="4"/>
      <c r="D915" s="4"/>
      <c r="E915" s="5"/>
      <c r="F915" s="4"/>
      <c r="G915" s="6">
        <f>IF(A915="","",SUBSTITUTE(SUBSTITUTE(SUBSTITUTE(SUBSTITUTE(SUBSTITUTE(SUBSTITUTE(SUBSTITUTE(TRIM(A915),".",""),"/",""),"-","")," ",""),"(",""),")",""),"+",""))</f>
      </c>
      <c r="H915" s="6">
        <f>IF(G915="","",IF(LEN(G915)&lt;&gt;14,"ERRO: "&amp;LEN(G915)&amp;" dígitos",IF(NOT(ISNUMBER(VALUE(G915))),"ERRO: não numérico",IF(AND(VALUE(MID(G915,13,1))=IF(MOD(SUMPRODUCT(--MID(G915,{1,2,3,4,5,6,7,8,9,10,11,12},1),{5,4,3,2,9,8,7,6,5,4,3,2}),11)&lt;2,0,11-MOD(SUMPRODUCT(--MID(G915,{1,2,3,4,5,6,7,8,9,10,11,12},1),{5,4,3,2,9,8,7,6,5,4,3,2}),11)),VALUE(MID(G915,14,1))=IF(MOD(SUMPRODUCT(--MID(G915,{1,2,3,4,5,6,7,8,9,10,11,12,13},1),{6,5,4,3,2,9,8,7,6,5,4,3,2}),11)&lt;2,0,11-MOD(SUMPRODUCT(--MID(G915,{1,2,3,4,5,6,7,8,9,10,11,12,13},1),{6,5,4,3,2,9,8,7,6,5,4,3,2}),11))),"OK","AVISO: dígito verificador (conferir na org)"))))</f>
      </c>
      <c r="I915" s="6">
        <f>IF(G915="","",IF(COUNTIF($G$2:$G$2001,G915)&gt;1,"DUPLICADO","OK"))</f>
      </c>
      <c r="J915" s="6">
        <f>IF(COUNTA(A915:F915)=0,"",IF(AND(A915&lt;&gt;"",E915&lt;&gt;""),"OK","ERRO: faltam "&amp;IF(A915="","CNPJ; ","")&amp;IF(E915="","Novo gerente; ","")))</f>
      </c>
      <c r="K915" s="6">
        <f>IF(COUNTA(A915:F915)=0,"",IF(AND(LEFT(H915,4)&lt;&gt;"ERRO",I915="OK",J915="OK"),"OK","REVISAR"))</f>
      </c>
    </row>
    <row r="916">
      <c r="A916" s="5"/>
      <c r="B916" s="4"/>
      <c r="C916" s="4"/>
      <c r="D916" s="4"/>
      <c r="E916" s="5"/>
      <c r="F916" s="4"/>
      <c r="G916" s="6">
        <f>IF(A916="","",SUBSTITUTE(SUBSTITUTE(SUBSTITUTE(SUBSTITUTE(SUBSTITUTE(SUBSTITUTE(SUBSTITUTE(TRIM(A916),".",""),"/",""),"-","")," ",""),"(",""),")",""),"+",""))</f>
      </c>
      <c r="H916" s="6">
        <f>IF(G916="","",IF(LEN(G916)&lt;&gt;14,"ERRO: "&amp;LEN(G916)&amp;" dígitos",IF(NOT(ISNUMBER(VALUE(G916))),"ERRO: não numérico",IF(AND(VALUE(MID(G916,13,1))=IF(MOD(SUMPRODUCT(--MID(G916,{1,2,3,4,5,6,7,8,9,10,11,12},1),{5,4,3,2,9,8,7,6,5,4,3,2}),11)&lt;2,0,11-MOD(SUMPRODUCT(--MID(G916,{1,2,3,4,5,6,7,8,9,10,11,12},1),{5,4,3,2,9,8,7,6,5,4,3,2}),11)),VALUE(MID(G916,14,1))=IF(MOD(SUMPRODUCT(--MID(G916,{1,2,3,4,5,6,7,8,9,10,11,12,13},1),{6,5,4,3,2,9,8,7,6,5,4,3,2}),11)&lt;2,0,11-MOD(SUMPRODUCT(--MID(G916,{1,2,3,4,5,6,7,8,9,10,11,12,13},1),{6,5,4,3,2,9,8,7,6,5,4,3,2}),11))),"OK","AVISO: dígito verificador (conferir na org)"))))</f>
      </c>
      <c r="I916" s="6">
        <f>IF(G916="","",IF(COUNTIF($G$2:$G$2001,G916)&gt;1,"DUPLICADO","OK"))</f>
      </c>
      <c r="J916" s="6">
        <f>IF(COUNTA(A916:F916)=0,"",IF(AND(A916&lt;&gt;"",E916&lt;&gt;""),"OK","ERRO: faltam "&amp;IF(A916="","CNPJ; ","")&amp;IF(E916="","Novo gerente; ","")))</f>
      </c>
      <c r="K916" s="6">
        <f>IF(COUNTA(A916:F916)=0,"",IF(AND(LEFT(H916,4)&lt;&gt;"ERRO",I916="OK",J916="OK"),"OK","REVISAR"))</f>
      </c>
    </row>
    <row r="917">
      <c r="A917" s="5"/>
      <c r="B917" s="4"/>
      <c r="C917" s="4"/>
      <c r="D917" s="4"/>
      <c r="E917" s="5"/>
      <c r="F917" s="4"/>
      <c r="G917" s="6">
        <f>IF(A917="","",SUBSTITUTE(SUBSTITUTE(SUBSTITUTE(SUBSTITUTE(SUBSTITUTE(SUBSTITUTE(SUBSTITUTE(TRIM(A917),".",""),"/",""),"-","")," ",""),"(",""),")",""),"+",""))</f>
      </c>
      <c r="H917" s="6">
        <f>IF(G917="","",IF(LEN(G917)&lt;&gt;14,"ERRO: "&amp;LEN(G917)&amp;" dígitos",IF(NOT(ISNUMBER(VALUE(G917))),"ERRO: não numérico",IF(AND(VALUE(MID(G917,13,1))=IF(MOD(SUMPRODUCT(--MID(G917,{1,2,3,4,5,6,7,8,9,10,11,12},1),{5,4,3,2,9,8,7,6,5,4,3,2}),11)&lt;2,0,11-MOD(SUMPRODUCT(--MID(G917,{1,2,3,4,5,6,7,8,9,10,11,12},1),{5,4,3,2,9,8,7,6,5,4,3,2}),11)),VALUE(MID(G917,14,1))=IF(MOD(SUMPRODUCT(--MID(G917,{1,2,3,4,5,6,7,8,9,10,11,12,13},1),{6,5,4,3,2,9,8,7,6,5,4,3,2}),11)&lt;2,0,11-MOD(SUMPRODUCT(--MID(G917,{1,2,3,4,5,6,7,8,9,10,11,12,13},1),{6,5,4,3,2,9,8,7,6,5,4,3,2}),11))),"OK","AVISO: dígito verificador (conferir na org)"))))</f>
      </c>
      <c r="I917" s="6">
        <f>IF(G917="","",IF(COUNTIF($G$2:$G$2001,G917)&gt;1,"DUPLICADO","OK"))</f>
      </c>
      <c r="J917" s="6">
        <f>IF(COUNTA(A917:F917)=0,"",IF(AND(A917&lt;&gt;"",E917&lt;&gt;""),"OK","ERRO: faltam "&amp;IF(A917="","CNPJ; ","")&amp;IF(E917="","Novo gerente; ","")))</f>
      </c>
      <c r="K917" s="6">
        <f>IF(COUNTA(A917:F917)=0,"",IF(AND(LEFT(H917,4)&lt;&gt;"ERRO",I917="OK",J917="OK"),"OK","REVISAR"))</f>
      </c>
    </row>
    <row r="918">
      <c r="A918" s="5"/>
      <c r="B918" s="4"/>
      <c r="C918" s="4"/>
      <c r="D918" s="4"/>
      <c r="E918" s="5"/>
      <c r="F918" s="4"/>
      <c r="G918" s="6">
        <f>IF(A918="","",SUBSTITUTE(SUBSTITUTE(SUBSTITUTE(SUBSTITUTE(SUBSTITUTE(SUBSTITUTE(SUBSTITUTE(TRIM(A918),".",""),"/",""),"-","")," ",""),"(",""),")",""),"+",""))</f>
      </c>
      <c r="H918" s="6">
        <f>IF(G918="","",IF(LEN(G918)&lt;&gt;14,"ERRO: "&amp;LEN(G918)&amp;" dígitos",IF(NOT(ISNUMBER(VALUE(G918))),"ERRO: não numérico",IF(AND(VALUE(MID(G918,13,1))=IF(MOD(SUMPRODUCT(--MID(G918,{1,2,3,4,5,6,7,8,9,10,11,12},1),{5,4,3,2,9,8,7,6,5,4,3,2}),11)&lt;2,0,11-MOD(SUMPRODUCT(--MID(G918,{1,2,3,4,5,6,7,8,9,10,11,12},1),{5,4,3,2,9,8,7,6,5,4,3,2}),11)),VALUE(MID(G918,14,1))=IF(MOD(SUMPRODUCT(--MID(G918,{1,2,3,4,5,6,7,8,9,10,11,12,13},1),{6,5,4,3,2,9,8,7,6,5,4,3,2}),11)&lt;2,0,11-MOD(SUMPRODUCT(--MID(G918,{1,2,3,4,5,6,7,8,9,10,11,12,13},1),{6,5,4,3,2,9,8,7,6,5,4,3,2}),11))),"OK","AVISO: dígito verificador (conferir na org)"))))</f>
      </c>
      <c r="I918" s="6">
        <f>IF(G918="","",IF(COUNTIF($G$2:$G$2001,G918)&gt;1,"DUPLICADO","OK"))</f>
      </c>
      <c r="J918" s="6">
        <f>IF(COUNTA(A918:F918)=0,"",IF(AND(A918&lt;&gt;"",E918&lt;&gt;""),"OK","ERRO: faltam "&amp;IF(A918="","CNPJ; ","")&amp;IF(E918="","Novo gerente; ","")))</f>
      </c>
      <c r="K918" s="6">
        <f>IF(COUNTA(A918:F918)=0,"",IF(AND(LEFT(H918,4)&lt;&gt;"ERRO",I918="OK",J918="OK"),"OK","REVISAR"))</f>
      </c>
    </row>
    <row r="919">
      <c r="A919" s="5"/>
      <c r="B919" s="4"/>
      <c r="C919" s="4"/>
      <c r="D919" s="4"/>
      <c r="E919" s="5"/>
      <c r="F919" s="4"/>
      <c r="G919" s="6">
        <f>IF(A919="","",SUBSTITUTE(SUBSTITUTE(SUBSTITUTE(SUBSTITUTE(SUBSTITUTE(SUBSTITUTE(SUBSTITUTE(TRIM(A919),".",""),"/",""),"-","")," ",""),"(",""),")",""),"+",""))</f>
      </c>
      <c r="H919" s="6">
        <f>IF(G919="","",IF(LEN(G919)&lt;&gt;14,"ERRO: "&amp;LEN(G919)&amp;" dígitos",IF(NOT(ISNUMBER(VALUE(G919))),"ERRO: não numérico",IF(AND(VALUE(MID(G919,13,1))=IF(MOD(SUMPRODUCT(--MID(G919,{1,2,3,4,5,6,7,8,9,10,11,12},1),{5,4,3,2,9,8,7,6,5,4,3,2}),11)&lt;2,0,11-MOD(SUMPRODUCT(--MID(G919,{1,2,3,4,5,6,7,8,9,10,11,12},1),{5,4,3,2,9,8,7,6,5,4,3,2}),11)),VALUE(MID(G919,14,1))=IF(MOD(SUMPRODUCT(--MID(G919,{1,2,3,4,5,6,7,8,9,10,11,12,13},1),{6,5,4,3,2,9,8,7,6,5,4,3,2}),11)&lt;2,0,11-MOD(SUMPRODUCT(--MID(G919,{1,2,3,4,5,6,7,8,9,10,11,12,13},1),{6,5,4,3,2,9,8,7,6,5,4,3,2}),11))),"OK","AVISO: dígito verificador (conferir na org)"))))</f>
      </c>
      <c r="I919" s="6">
        <f>IF(G919="","",IF(COUNTIF($G$2:$G$2001,G919)&gt;1,"DUPLICADO","OK"))</f>
      </c>
      <c r="J919" s="6">
        <f>IF(COUNTA(A919:F919)=0,"",IF(AND(A919&lt;&gt;"",E919&lt;&gt;""),"OK","ERRO: faltam "&amp;IF(A919="","CNPJ; ","")&amp;IF(E919="","Novo gerente; ","")))</f>
      </c>
      <c r="K919" s="6">
        <f>IF(COUNTA(A919:F919)=0,"",IF(AND(LEFT(H919,4)&lt;&gt;"ERRO",I919="OK",J919="OK"),"OK","REVISAR"))</f>
      </c>
    </row>
    <row r="920">
      <c r="A920" s="5"/>
      <c r="B920" s="4"/>
      <c r="C920" s="4"/>
      <c r="D920" s="4"/>
      <c r="E920" s="5"/>
      <c r="F920" s="4"/>
      <c r="G920" s="6">
        <f>IF(A920="","",SUBSTITUTE(SUBSTITUTE(SUBSTITUTE(SUBSTITUTE(SUBSTITUTE(SUBSTITUTE(SUBSTITUTE(TRIM(A920),".",""),"/",""),"-","")," ",""),"(",""),")",""),"+",""))</f>
      </c>
      <c r="H920" s="6">
        <f>IF(G920="","",IF(LEN(G920)&lt;&gt;14,"ERRO: "&amp;LEN(G920)&amp;" dígitos",IF(NOT(ISNUMBER(VALUE(G920))),"ERRO: não numérico",IF(AND(VALUE(MID(G920,13,1))=IF(MOD(SUMPRODUCT(--MID(G920,{1,2,3,4,5,6,7,8,9,10,11,12},1),{5,4,3,2,9,8,7,6,5,4,3,2}),11)&lt;2,0,11-MOD(SUMPRODUCT(--MID(G920,{1,2,3,4,5,6,7,8,9,10,11,12},1),{5,4,3,2,9,8,7,6,5,4,3,2}),11)),VALUE(MID(G920,14,1))=IF(MOD(SUMPRODUCT(--MID(G920,{1,2,3,4,5,6,7,8,9,10,11,12,13},1),{6,5,4,3,2,9,8,7,6,5,4,3,2}),11)&lt;2,0,11-MOD(SUMPRODUCT(--MID(G920,{1,2,3,4,5,6,7,8,9,10,11,12,13},1),{6,5,4,3,2,9,8,7,6,5,4,3,2}),11))),"OK","AVISO: dígito verificador (conferir na org)"))))</f>
      </c>
      <c r="I920" s="6">
        <f>IF(G920="","",IF(COUNTIF($G$2:$G$2001,G920)&gt;1,"DUPLICADO","OK"))</f>
      </c>
      <c r="J920" s="6">
        <f>IF(COUNTA(A920:F920)=0,"",IF(AND(A920&lt;&gt;"",E920&lt;&gt;""),"OK","ERRO: faltam "&amp;IF(A920="","CNPJ; ","")&amp;IF(E920="","Novo gerente; ","")))</f>
      </c>
      <c r="K920" s="6">
        <f>IF(COUNTA(A920:F920)=0,"",IF(AND(LEFT(H920,4)&lt;&gt;"ERRO",I920="OK",J920="OK"),"OK","REVISAR"))</f>
      </c>
    </row>
    <row r="921">
      <c r="A921" s="5"/>
      <c r="B921" s="4"/>
      <c r="C921" s="4"/>
      <c r="D921" s="4"/>
      <c r="E921" s="5"/>
      <c r="F921" s="4"/>
      <c r="G921" s="6">
        <f>IF(A921="","",SUBSTITUTE(SUBSTITUTE(SUBSTITUTE(SUBSTITUTE(SUBSTITUTE(SUBSTITUTE(SUBSTITUTE(TRIM(A921),".",""),"/",""),"-","")," ",""),"(",""),")",""),"+",""))</f>
      </c>
      <c r="H921" s="6">
        <f>IF(G921="","",IF(LEN(G921)&lt;&gt;14,"ERRO: "&amp;LEN(G921)&amp;" dígitos",IF(NOT(ISNUMBER(VALUE(G921))),"ERRO: não numérico",IF(AND(VALUE(MID(G921,13,1))=IF(MOD(SUMPRODUCT(--MID(G921,{1,2,3,4,5,6,7,8,9,10,11,12},1),{5,4,3,2,9,8,7,6,5,4,3,2}),11)&lt;2,0,11-MOD(SUMPRODUCT(--MID(G921,{1,2,3,4,5,6,7,8,9,10,11,12},1),{5,4,3,2,9,8,7,6,5,4,3,2}),11)),VALUE(MID(G921,14,1))=IF(MOD(SUMPRODUCT(--MID(G921,{1,2,3,4,5,6,7,8,9,10,11,12,13},1),{6,5,4,3,2,9,8,7,6,5,4,3,2}),11)&lt;2,0,11-MOD(SUMPRODUCT(--MID(G921,{1,2,3,4,5,6,7,8,9,10,11,12,13},1),{6,5,4,3,2,9,8,7,6,5,4,3,2}),11))),"OK","AVISO: dígito verificador (conferir na org)"))))</f>
      </c>
      <c r="I921" s="6">
        <f>IF(G921="","",IF(COUNTIF($G$2:$G$2001,G921)&gt;1,"DUPLICADO","OK"))</f>
      </c>
      <c r="J921" s="6">
        <f>IF(COUNTA(A921:F921)=0,"",IF(AND(A921&lt;&gt;"",E921&lt;&gt;""),"OK","ERRO: faltam "&amp;IF(A921="","CNPJ; ","")&amp;IF(E921="","Novo gerente; ","")))</f>
      </c>
      <c r="K921" s="6">
        <f>IF(COUNTA(A921:F921)=0,"",IF(AND(LEFT(H921,4)&lt;&gt;"ERRO",I921="OK",J921="OK"),"OK","REVISAR"))</f>
      </c>
    </row>
    <row r="922">
      <c r="A922" s="5"/>
      <c r="B922" s="4"/>
      <c r="C922" s="4"/>
      <c r="D922" s="4"/>
      <c r="E922" s="5"/>
      <c r="F922" s="4"/>
      <c r="G922" s="6">
        <f>IF(A922="","",SUBSTITUTE(SUBSTITUTE(SUBSTITUTE(SUBSTITUTE(SUBSTITUTE(SUBSTITUTE(SUBSTITUTE(TRIM(A922),".",""),"/",""),"-","")," ",""),"(",""),")",""),"+",""))</f>
      </c>
      <c r="H922" s="6">
        <f>IF(G922="","",IF(LEN(G922)&lt;&gt;14,"ERRO: "&amp;LEN(G922)&amp;" dígitos",IF(NOT(ISNUMBER(VALUE(G922))),"ERRO: não numérico",IF(AND(VALUE(MID(G922,13,1))=IF(MOD(SUMPRODUCT(--MID(G922,{1,2,3,4,5,6,7,8,9,10,11,12},1),{5,4,3,2,9,8,7,6,5,4,3,2}),11)&lt;2,0,11-MOD(SUMPRODUCT(--MID(G922,{1,2,3,4,5,6,7,8,9,10,11,12},1),{5,4,3,2,9,8,7,6,5,4,3,2}),11)),VALUE(MID(G922,14,1))=IF(MOD(SUMPRODUCT(--MID(G922,{1,2,3,4,5,6,7,8,9,10,11,12,13},1),{6,5,4,3,2,9,8,7,6,5,4,3,2}),11)&lt;2,0,11-MOD(SUMPRODUCT(--MID(G922,{1,2,3,4,5,6,7,8,9,10,11,12,13},1),{6,5,4,3,2,9,8,7,6,5,4,3,2}),11))),"OK","AVISO: dígito verificador (conferir na org)"))))</f>
      </c>
      <c r="I922" s="6">
        <f>IF(G922="","",IF(COUNTIF($G$2:$G$2001,G922)&gt;1,"DUPLICADO","OK"))</f>
      </c>
      <c r="J922" s="6">
        <f>IF(COUNTA(A922:F922)=0,"",IF(AND(A922&lt;&gt;"",E922&lt;&gt;""),"OK","ERRO: faltam "&amp;IF(A922="","CNPJ; ","")&amp;IF(E922="","Novo gerente; ","")))</f>
      </c>
      <c r="K922" s="6">
        <f>IF(COUNTA(A922:F922)=0,"",IF(AND(LEFT(H922,4)&lt;&gt;"ERRO",I922="OK",J922="OK"),"OK","REVISAR"))</f>
      </c>
    </row>
    <row r="923">
      <c r="A923" s="5"/>
      <c r="B923" s="4"/>
      <c r="C923" s="4"/>
      <c r="D923" s="4"/>
      <c r="E923" s="5"/>
      <c r="F923" s="4"/>
      <c r="G923" s="6">
        <f>IF(A923="","",SUBSTITUTE(SUBSTITUTE(SUBSTITUTE(SUBSTITUTE(SUBSTITUTE(SUBSTITUTE(SUBSTITUTE(TRIM(A923),".",""),"/",""),"-","")," ",""),"(",""),")",""),"+",""))</f>
      </c>
      <c r="H923" s="6">
        <f>IF(G923="","",IF(LEN(G923)&lt;&gt;14,"ERRO: "&amp;LEN(G923)&amp;" dígitos",IF(NOT(ISNUMBER(VALUE(G923))),"ERRO: não numérico",IF(AND(VALUE(MID(G923,13,1))=IF(MOD(SUMPRODUCT(--MID(G923,{1,2,3,4,5,6,7,8,9,10,11,12},1),{5,4,3,2,9,8,7,6,5,4,3,2}),11)&lt;2,0,11-MOD(SUMPRODUCT(--MID(G923,{1,2,3,4,5,6,7,8,9,10,11,12},1),{5,4,3,2,9,8,7,6,5,4,3,2}),11)),VALUE(MID(G923,14,1))=IF(MOD(SUMPRODUCT(--MID(G923,{1,2,3,4,5,6,7,8,9,10,11,12,13},1),{6,5,4,3,2,9,8,7,6,5,4,3,2}),11)&lt;2,0,11-MOD(SUMPRODUCT(--MID(G923,{1,2,3,4,5,6,7,8,9,10,11,12,13},1),{6,5,4,3,2,9,8,7,6,5,4,3,2}),11))),"OK","AVISO: dígito verificador (conferir na org)"))))</f>
      </c>
      <c r="I923" s="6">
        <f>IF(G923="","",IF(COUNTIF($G$2:$G$2001,G923)&gt;1,"DUPLICADO","OK"))</f>
      </c>
      <c r="J923" s="6">
        <f>IF(COUNTA(A923:F923)=0,"",IF(AND(A923&lt;&gt;"",E923&lt;&gt;""),"OK","ERRO: faltam "&amp;IF(A923="","CNPJ; ","")&amp;IF(E923="","Novo gerente; ","")))</f>
      </c>
      <c r="K923" s="6">
        <f>IF(COUNTA(A923:F923)=0,"",IF(AND(LEFT(H923,4)&lt;&gt;"ERRO",I923="OK",J923="OK"),"OK","REVISAR"))</f>
      </c>
    </row>
    <row r="924">
      <c r="A924" s="5"/>
      <c r="B924" s="4"/>
      <c r="C924" s="4"/>
      <c r="D924" s="4"/>
      <c r="E924" s="5"/>
      <c r="F924" s="4"/>
      <c r="G924" s="6">
        <f>IF(A924="","",SUBSTITUTE(SUBSTITUTE(SUBSTITUTE(SUBSTITUTE(SUBSTITUTE(SUBSTITUTE(SUBSTITUTE(TRIM(A924),".",""),"/",""),"-","")," ",""),"(",""),")",""),"+",""))</f>
      </c>
      <c r="H924" s="6">
        <f>IF(G924="","",IF(LEN(G924)&lt;&gt;14,"ERRO: "&amp;LEN(G924)&amp;" dígitos",IF(NOT(ISNUMBER(VALUE(G924))),"ERRO: não numérico",IF(AND(VALUE(MID(G924,13,1))=IF(MOD(SUMPRODUCT(--MID(G924,{1,2,3,4,5,6,7,8,9,10,11,12},1),{5,4,3,2,9,8,7,6,5,4,3,2}),11)&lt;2,0,11-MOD(SUMPRODUCT(--MID(G924,{1,2,3,4,5,6,7,8,9,10,11,12},1),{5,4,3,2,9,8,7,6,5,4,3,2}),11)),VALUE(MID(G924,14,1))=IF(MOD(SUMPRODUCT(--MID(G924,{1,2,3,4,5,6,7,8,9,10,11,12,13},1),{6,5,4,3,2,9,8,7,6,5,4,3,2}),11)&lt;2,0,11-MOD(SUMPRODUCT(--MID(G924,{1,2,3,4,5,6,7,8,9,10,11,12,13},1),{6,5,4,3,2,9,8,7,6,5,4,3,2}),11))),"OK","AVISO: dígito verificador (conferir na org)"))))</f>
      </c>
      <c r="I924" s="6">
        <f>IF(G924="","",IF(COUNTIF($G$2:$G$2001,G924)&gt;1,"DUPLICADO","OK"))</f>
      </c>
      <c r="J924" s="6">
        <f>IF(COUNTA(A924:F924)=0,"",IF(AND(A924&lt;&gt;"",E924&lt;&gt;""),"OK","ERRO: faltam "&amp;IF(A924="","CNPJ; ","")&amp;IF(E924="","Novo gerente; ","")))</f>
      </c>
      <c r="K924" s="6">
        <f>IF(COUNTA(A924:F924)=0,"",IF(AND(LEFT(H924,4)&lt;&gt;"ERRO",I924="OK",J924="OK"),"OK","REVISAR"))</f>
      </c>
    </row>
    <row r="925">
      <c r="A925" s="5"/>
      <c r="B925" s="4"/>
      <c r="C925" s="4"/>
      <c r="D925" s="4"/>
      <c r="E925" s="5"/>
      <c r="F925" s="4"/>
      <c r="G925" s="6">
        <f>IF(A925="","",SUBSTITUTE(SUBSTITUTE(SUBSTITUTE(SUBSTITUTE(SUBSTITUTE(SUBSTITUTE(SUBSTITUTE(TRIM(A925),".",""),"/",""),"-","")," ",""),"(",""),")",""),"+",""))</f>
      </c>
      <c r="H925" s="6">
        <f>IF(G925="","",IF(LEN(G925)&lt;&gt;14,"ERRO: "&amp;LEN(G925)&amp;" dígitos",IF(NOT(ISNUMBER(VALUE(G925))),"ERRO: não numérico",IF(AND(VALUE(MID(G925,13,1))=IF(MOD(SUMPRODUCT(--MID(G925,{1,2,3,4,5,6,7,8,9,10,11,12},1),{5,4,3,2,9,8,7,6,5,4,3,2}),11)&lt;2,0,11-MOD(SUMPRODUCT(--MID(G925,{1,2,3,4,5,6,7,8,9,10,11,12},1),{5,4,3,2,9,8,7,6,5,4,3,2}),11)),VALUE(MID(G925,14,1))=IF(MOD(SUMPRODUCT(--MID(G925,{1,2,3,4,5,6,7,8,9,10,11,12,13},1),{6,5,4,3,2,9,8,7,6,5,4,3,2}),11)&lt;2,0,11-MOD(SUMPRODUCT(--MID(G925,{1,2,3,4,5,6,7,8,9,10,11,12,13},1),{6,5,4,3,2,9,8,7,6,5,4,3,2}),11))),"OK","AVISO: dígito verificador (conferir na org)"))))</f>
      </c>
      <c r="I925" s="6">
        <f>IF(G925="","",IF(COUNTIF($G$2:$G$2001,G925)&gt;1,"DUPLICADO","OK"))</f>
      </c>
      <c r="J925" s="6">
        <f>IF(COUNTA(A925:F925)=0,"",IF(AND(A925&lt;&gt;"",E925&lt;&gt;""),"OK","ERRO: faltam "&amp;IF(A925="","CNPJ; ","")&amp;IF(E925="","Novo gerente; ","")))</f>
      </c>
      <c r="K925" s="6">
        <f>IF(COUNTA(A925:F925)=0,"",IF(AND(LEFT(H925,4)&lt;&gt;"ERRO",I925="OK",J925="OK"),"OK","REVISAR"))</f>
      </c>
    </row>
    <row r="926">
      <c r="A926" s="5"/>
      <c r="B926" s="4"/>
      <c r="C926" s="4"/>
      <c r="D926" s="4"/>
      <c r="E926" s="5"/>
      <c r="F926" s="4"/>
      <c r="G926" s="6">
        <f>IF(A926="","",SUBSTITUTE(SUBSTITUTE(SUBSTITUTE(SUBSTITUTE(SUBSTITUTE(SUBSTITUTE(SUBSTITUTE(TRIM(A926),".",""),"/",""),"-","")," ",""),"(",""),")",""),"+",""))</f>
      </c>
      <c r="H926" s="6">
        <f>IF(G926="","",IF(LEN(G926)&lt;&gt;14,"ERRO: "&amp;LEN(G926)&amp;" dígitos",IF(NOT(ISNUMBER(VALUE(G926))),"ERRO: não numérico",IF(AND(VALUE(MID(G926,13,1))=IF(MOD(SUMPRODUCT(--MID(G926,{1,2,3,4,5,6,7,8,9,10,11,12},1),{5,4,3,2,9,8,7,6,5,4,3,2}),11)&lt;2,0,11-MOD(SUMPRODUCT(--MID(G926,{1,2,3,4,5,6,7,8,9,10,11,12},1),{5,4,3,2,9,8,7,6,5,4,3,2}),11)),VALUE(MID(G926,14,1))=IF(MOD(SUMPRODUCT(--MID(G926,{1,2,3,4,5,6,7,8,9,10,11,12,13},1),{6,5,4,3,2,9,8,7,6,5,4,3,2}),11)&lt;2,0,11-MOD(SUMPRODUCT(--MID(G926,{1,2,3,4,5,6,7,8,9,10,11,12,13},1),{6,5,4,3,2,9,8,7,6,5,4,3,2}),11))),"OK","AVISO: dígito verificador (conferir na org)"))))</f>
      </c>
      <c r="I926" s="6">
        <f>IF(G926="","",IF(COUNTIF($G$2:$G$2001,G926)&gt;1,"DUPLICADO","OK"))</f>
      </c>
      <c r="J926" s="6">
        <f>IF(COUNTA(A926:F926)=0,"",IF(AND(A926&lt;&gt;"",E926&lt;&gt;""),"OK","ERRO: faltam "&amp;IF(A926="","CNPJ; ","")&amp;IF(E926="","Novo gerente; ","")))</f>
      </c>
      <c r="K926" s="6">
        <f>IF(COUNTA(A926:F926)=0,"",IF(AND(LEFT(H926,4)&lt;&gt;"ERRO",I926="OK",J926="OK"),"OK","REVISAR"))</f>
      </c>
    </row>
    <row r="927">
      <c r="A927" s="5"/>
      <c r="B927" s="4"/>
      <c r="C927" s="4"/>
      <c r="D927" s="4"/>
      <c r="E927" s="5"/>
      <c r="F927" s="4"/>
      <c r="G927" s="6">
        <f>IF(A927="","",SUBSTITUTE(SUBSTITUTE(SUBSTITUTE(SUBSTITUTE(SUBSTITUTE(SUBSTITUTE(SUBSTITUTE(TRIM(A927),".",""),"/",""),"-","")," ",""),"(",""),")",""),"+",""))</f>
      </c>
      <c r="H927" s="6">
        <f>IF(G927="","",IF(LEN(G927)&lt;&gt;14,"ERRO: "&amp;LEN(G927)&amp;" dígitos",IF(NOT(ISNUMBER(VALUE(G927))),"ERRO: não numérico",IF(AND(VALUE(MID(G927,13,1))=IF(MOD(SUMPRODUCT(--MID(G927,{1,2,3,4,5,6,7,8,9,10,11,12},1),{5,4,3,2,9,8,7,6,5,4,3,2}),11)&lt;2,0,11-MOD(SUMPRODUCT(--MID(G927,{1,2,3,4,5,6,7,8,9,10,11,12},1),{5,4,3,2,9,8,7,6,5,4,3,2}),11)),VALUE(MID(G927,14,1))=IF(MOD(SUMPRODUCT(--MID(G927,{1,2,3,4,5,6,7,8,9,10,11,12,13},1),{6,5,4,3,2,9,8,7,6,5,4,3,2}),11)&lt;2,0,11-MOD(SUMPRODUCT(--MID(G927,{1,2,3,4,5,6,7,8,9,10,11,12,13},1),{6,5,4,3,2,9,8,7,6,5,4,3,2}),11))),"OK","AVISO: dígito verificador (conferir na org)"))))</f>
      </c>
      <c r="I927" s="6">
        <f>IF(G927="","",IF(COUNTIF($G$2:$G$2001,G927)&gt;1,"DUPLICADO","OK"))</f>
      </c>
      <c r="J927" s="6">
        <f>IF(COUNTA(A927:F927)=0,"",IF(AND(A927&lt;&gt;"",E927&lt;&gt;""),"OK","ERRO: faltam "&amp;IF(A927="","CNPJ; ","")&amp;IF(E927="","Novo gerente; ","")))</f>
      </c>
      <c r="K927" s="6">
        <f>IF(COUNTA(A927:F927)=0,"",IF(AND(LEFT(H927,4)&lt;&gt;"ERRO",I927="OK",J927="OK"),"OK","REVISAR"))</f>
      </c>
    </row>
    <row r="928">
      <c r="A928" s="5"/>
      <c r="B928" s="4"/>
      <c r="C928" s="4"/>
      <c r="D928" s="4"/>
      <c r="E928" s="5"/>
      <c r="F928" s="4"/>
      <c r="G928" s="6">
        <f>IF(A928="","",SUBSTITUTE(SUBSTITUTE(SUBSTITUTE(SUBSTITUTE(SUBSTITUTE(SUBSTITUTE(SUBSTITUTE(TRIM(A928),".",""),"/",""),"-","")," ",""),"(",""),")",""),"+",""))</f>
      </c>
      <c r="H928" s="6">
        <f>IF(G928="","",IF(LEN(G928)&lt;&gt;14,"ERRO: "&amp;LEN(G928)&amp;" dígitos",IF(NOT(ISNUMBER(VALUE(G928))),"ERRO: não numérico",IF(AND(VALUE(MID(G928,13,1))=IF(MOD(SUMPRODUCT(--MID(G928,{1,2,3,4,5,6,7,8,9,10,11,12},1),{5,4,3,2,9,8,7,6,5,4,3,2}),11)&lt;2,0,11-MOD(SUMPRODUCT(--MID(G928,{1,2,3,4,5,6,7,8,9,10,11,12},1),{5,4,3,2,9,8,7,6,5,4,3,2}),11)),VALUE(MID(G928,14,1))=IF(MOD(SUMPRODUCT(--MID(G928,{1,2,3,4,5,6,7,8,9,10,11,12,13},1),{6,5,4,3,2,9,8,7,6,5,4,3,2}),11)&lt;2,0,11-MOD(SUMPRODUCT(--MID(G928,{1,2,3,4,5,6,7,8,9,10,11,12,13},1),{6,5,4,3,2,9,8,7,6,5,4,3,2}),11))),"OK","AVISO: dígito verificador (conferir na org)"))))</f>
      </c>
      <c r="I928" s="6">
        <f>IF(G928="","",IF(COUNTIF($G$2:$G$2001,G928)&gt;1,"DUPLICADO","OK"))</f>
      </c>
      <c r="J928" s="6">
        <f>IF(COUNTA(A928:F928)=0,"",IF(AND(A928&lt;&gt;"",E928&lt;&gt;""),"OK","ERRO: faltam "&amp;IF(A928="","CNPJ; ","")&amp;IF(E928="","Novo gerente; ","")))</f>
      </c>
      <c r="K928" s="6">
        <f>IF(COUNTA(A928:F928)=0,"",IF(AND(LEFT(H928,4)&lt;&gt;"ERRO",I928="OK",J928="OK"),"OK","REVISAR"))</f>
      </c>
    </row>
    <row r="929">
      <c r="A929" s="5"/>
      <c r="B929" s="4"/>
      <c r="C929" s="4"/>
      <c r="D929" s="4"/>
      <c r="E929" s="5"/>
      <c r="F929" s="4"/>
      <c r="G929" s="6">
        <f>IF(A929="","",SUBSTITUTE(SUBSTITUTE(SUBSTITUTE(SUBSTITUTE(SUBSTITUTE(SUBSTITUTE(SUBSTITUTE(TRIM(A929),".",""),"/",""),"-","")," ",""),"(",""),")",""),"+",""))</f>
      </c>
      <c r="H929" s="6">
        <f>IF(G929="","",IF(LEN(G929)&lt;&gt;14,"ERRO: "&amp;LEN(G929)&amp;" dígitos",IF(NOT(ISNUMBER(VALUE(G929))),"ERRO: não numérico",IF(AND(VALUE(MID(G929,13,1))=IF(MOD(SUMPRODUCT(--MID(G929,{1,2,3,4,5,6,7,8,9,10,11,12},1),{5,4,3,2,9,8,7,6,5,4,3,2}),11)&lt;2,0,11-MOD(SUMPRODUCT(--MID(G929,{1,2,3,4,5,6,7,8,9,10,11,12},1),{5,4,3,2,9,8,7,6,5,4,3,2}),11)),VALUE(MID(G929,14,1))=IF(MOD(SUMPRODUCT(--MID(G929,{1,2,3,4,5,6,7,8,9,10,11,12,13},1),{6,5,4,3,2,9,8,7,6,5,4,3,2}),11)&lt;2,0,11-MOD(SUMPRODUCT(--MID(G929,{1,2,3,4,5,6,7,8,9,10,11,12,13},1),{6,5,4,3,2,9,8,7,6,5,4,3,2}),11))),"OK","AVISO: dígito verificador (conferir na org)"))))</f>
      </c>
      <c r="I929" s="6">
        <f>IF(G929="","",IF(COUNTIF($G$2:$G$2001,G929)&gt;1,"DUPLICADO","OK"))</f>
      </c>
      <c r="J929" s="6">
        <f>IF(COUNTA(A929:F929)=0,"",IF(AND(A929&lt;&gt;"",E929&lt;&gt;""),"OK","ERRO: faltam "&amp;IF(A929="","CNPJ; ","")&amp;IF(E929="","Novo gerente; ","")))</f>
      </c>
      <c r="K929" s="6">
        <f>IF(COUNTA(A929:F929)=0,"",IF(AND(LEFT(H929,4)&lt;&gt;"ERRO",I929="OK",J929="OK"),"OK","REVISAR"))</f>
      </c>
    </row>
    <row r="930">
      <c r="A930" s="5"/>
      <c r="B930" s="4"/>
      <c r="C930" s="4"/>
      <c r="D930" s="4"/>
      <c r="E930" s="5"/>
      <c r="F930" s="4"/>
      <c r="G930" s="6">
        <f>IF(A930="","",SUBSTITUTE(SUBSTITUTE(SUBSTITUTE(SUBSTITUTE(SUBSTITUTE(SUBSTITUTE(SUBSTITUTE(TRIM(A930),".",""),"/",""),"-","")," ",""),"(",""),")",""),"+",""))</f>
      </c>
      <c r="H930" s="6">
        <f>IF(G930="","",IF(LEN(G930)&lt;&gt;14,"ERRO: "&amp;LEN(G930)&amp;" dígitos",IF(NOT(ISNUMBER(VALUE(G930))),"ERRO: não numérico",IF(AND(VALUE(MID(G930,13,1))=IF(MOD(SUMPRODUCT(--MID(G930,{1,2,3,4,5,6,7,8,9,10,11,12},1),{5,4,3,2,9,8,7,6,5,4,3,2}),11)&lt;2,0,11-MOD(SUMPRODUCT(--MID(G930,{1,2,3,4,5,6,7,8,9,10,11,12},1),{5,4,3,2,9,8,7,6,5,4,3,2}),11)),VALUE(MID(G930,14,1))=IF(MOD(SUMPRODUCT(--MID(G930,{1,2,3,4,5,6,7,8,9,10,11,12,13},1),{6,5,4,3,2,9,8,7,6,5,4,3,2}),11)&lt;2,0,11-MOD(SUMPRODUCT(--MID(G930,{1,2,3,4,5,6,7,8,9,10,11,12,13},1),{6,5,4,3,2,9,8,7,6,5,4,3,2}),11))),"OK","AVISO: dígito verificador (conferir na org)"))))</f>
      </c>
      <c r="I930" s="6">
        <f>IF(G930="","",IF(COUNTIF($G$2:$G$2001,G930)&gt;1,"DUPLICADO","OK"))</f>
      </c>
      <c r="J930" s="6">
        <f>IF(COUNTA(A930:F930)=0,"",IF(AND(A930&lt;&gt;"",E930&lt;&gt;""),"OK","ERRO: faltam "&amp;IF(A930="","CNPJ; ","")&amp;IF(E930="","Novo gerente; ","")))</f>
      </c>
      <c r="K930" s="6">
        <f>IF(COUNTA(A930:F930)=0,"",IF(AND(LEFT(H930,4)&lt;&gt;"ERRO",I930="OK",J930="OK"),"OK","REVISAR"))</f>
      </c>
    </row>
    <row r="931">
      <c r="A931" s="5"/>
      <c r="B931" s="4"/>
      <c r="C931" s="4"/>
      <c r="D931" s="4"/>
      <c r="E931" s="5"/>
      <c r="F931" s="4"/>
      <c r="G931" s="6">
        <f>IF(A931="","",SUBSTITUTE(SUBSTITUTE(SUBSTITUTE(SUBSTITUTE(SUBSTITUTE(SUBSTITUTE(SUBSTITUTE(TRIM(A931),".",""),"/",""),"-","")," ",""),"(",""),")",""),"+",""))</f>
      </c>
      <c r="H931" s="6">
        <f>IF(G931="","",IF(LEN(G931)&lt;&gt;14,"ERRO: "&amp;LEN(G931)&amp;" dígitos",IF(NOT(ISNUMBER(VALUE(G931))),"ERRO: não numérico",IF(AND(VALUE(MID(G931,13,1))=IF(MOD(SUMPRODUCT(--MID(G931,{1,2,3,4,5,6,7,8,9,10,11,12},1),{5,4,3,2,9,8,7,6,5,4,3,2}),11)&lt;2,0,11-MOD(SUMPRODUCT(--MID(G931,{1,2,3,4,5,6,7,8,9,10,11,12},1),{5,4,3,2,9,8,7,6,5,4,3,2}),11)),VALUE(MID(G931,14,1))=IF(MOD(SUMPRODUCT(--MID(G931,{1,2,3,4,5,6,7,8,9,10,11,12,13},1),{6,5,4,3,2,9,8,7,6,5,4,3,2}),11)&lt;2,0,11-MOD(SUMPRODUCT(--MID(G931,{1,2,3,4,5,6,7,8,9,10,11,12,13},1),{6,5,4,3,2,9,8,7,6,5,4,3,2}),11))),"OK","AVISO: dígito verificador (conferir na org)"))))</f>
      </c>
      <c r="I931" s="6">
        <f>IF(G931="","",IF(COUNTIF($G$2:$G$2001,G931)&gt;1,"DUPLICADO","OK"))</f>
      </c>
      <c r="J931" s="6">
        <f>IF(COUNTA(A931:F931)=0,"",IF(AND(A931&lt;&gt;"",E931&lt;&gt;""),"OK","ERRO: faltam "&amp;IF(A931="","CNPJ; ","")&amp;IF(E931="","Novo gerente; ","")))</f>
      </c>
      <c r="K931" s="6">
        <f>IF(COUNTA(A931:F931)=0,"",IF(AND(LEFT(H931,4)&lt;&gt;"ERRO",I931="OK",J931="OK"),"OK","REVISAR"))</f>
      </c>
    </row>
    <row r="932">
      <c r="A932" s="5"/>
      <c r="B932" s="4"/>
      <c r="C932" s="4"/>
      <c r="D932" s="4"/>
      <c r="E932" s="5"/>
      <c r="F932" s="4"/>
      <c r="G932" s="6">
        <f>IF(A932="","",SUBSTITUTE(SUBSTITUTE(SUBSTITUTE(SUBSTITUTE(SUBSTITUTE(SUBSTITUTE(SUBSTITUTE(TRIM(A932),".",""),"/",""),"-","")," ",""),"(",""),")",""),"+",""))</f>
      </c>
      <c r="H932" s="6">
        <f>IF(G932="","",IF(LEN(G932)&lt;&gt;14,"ERRO: "&amp;LEN(G932)&amp;" dígitos",IF(NOT(ISNUMBER(VALUE(G932))),"ERRO: não numérico",IF(AND(VALUE(MID(G932,13,1))=IF(MOD(SUMPRODUCT(--MID(G932,{1,2,3,4,5,6,7,8,9,10,11,12},1),{5,4,3,2,9,8,7,6,5,4,3,2}),11)&lt;2,0,11-MOD(SUMPRODUCT(--MID(G932,{1,2,3,4,5,6,7,8,9,10,11,12},1),{5,4,3,2,9,8,7,6,5,4,3,2}),11)),VALUE(MID(G932,14,1))=IF(MOD(SUMPRODUCT(--MID(G932,{1,2,3,4,5,6,7,8,9,10,11,12,13},1),{6,5,4,3,2,9,8,7,6,5,4,3,2}),11)&lt;2,0,11-MOD(SUMPRODUCT(--MID(G932,{1,2,3,4,5,6,7,8,9,10,11,12,13},1),{6,5,4,3,2,9,8,7,6,5,4,3,2}),11))),"OK","AVISO: dígito verificador (conferir na org)"))))</f>
      </c>
      <c r="I932" s="6">
        <f>IF(G932="","",IF(COUNTIF($G$2:$G$2001,G932)&gt;1,"DUPLICADO","OK"))</f>
      </c>
      <c r="J932" s="6">
        <f>IF(COUNTA(A932:F932)=0,"",IF(AND(A932&lt;&gt;"",E932&lt;&gt;""),"OK","ERRO: faltam "&amp;IF(A932="","CNPJ; ","")&amp;IF(E932="","Novo gerente; ","")))</f>
      </c>
      <c r="K932" s="6">
        <f>IF(COUNTA(A932:F932)=0,"",IF(AND(LEFT(H932,4)&lt;&gt;"ERRO",I932="OK",J932="OK"),"OK","REVISAR"))</f>
      </c>
    </row>
    <row r="933">
      <c r="A933" s="5"/>
      <c r="B933" s="4"/>
      <c r="C933" s="4"/>
      <c r="D933" s="4"/>
      <c r="E933" s="5"/>
      <c r="F933" s="4"/>
      <c r="G933" s="6">
        <f>IF(A933="","",SUBSTITUTE(SUBSTITUTE(SUBSTITUTE(SUBSTITUTE(SUBSTITUTE(SUBSTITUTE(SUBSTITUTE(TRIM(A933),".",""),"/",""),"-","")," ",""),"(",""),")",""),"+",""))</f>
      </c>
      <c r="H933" s="6">
        <f>IF(G933="","",IF(LEN(G933)&lt;&gt;14,"ERRO: "&amp;LEN(G933)&amp;" dígitos",IF(NOT(ISNUMBER(VALUE(G933))),"ERRO: não numérico",IF(AND(VALUE(MID(G933,13,1))=IF(MOD(SUMPRODUCT(--MID(G933,{1,2,3,4,5,6,7,8,9,10,11,12},1),{5,4,3,2,9,8,7,6,5,4,3,2}),11)&lt;2,0,11-MOD(SUMPRODUCT(--MID(G933,{1,2,3,4,5,6,7,8,9,10,11,12},1),{5,4,3,2,9,8,7,6,5,4,3,2}),11)),VALUE(MID(G933,14,1))=IF(MOD(SUMPRODUCT(--MID(G933,{1,2,3,4,5,6,7,8,9,10,11,12,13},1),{6,5,4,3,2,9,8,7,6,5,4,3,2}),11)&lt;2,0,11-MOD(SUMPRODUCT(--MID(G933,{1,2,3,4,5,6,7,8,9,10,11,12,13},1),{6,5,4,3,2,9,8,7,6,5,4,3,2}),11))),"OK","AVISO: dígito verificador (conferir na org)"))))</f>
      </c>
      <c r="I933" s="6">
        <f>IF(G933="","",IF(COUNTIF($G$2:$G$2001,G933)&gt;1,"DUPLICADO","OK"))</f>
      </c>
      <c r="J933" s="6">
        <f>IF(COUNTA(A933:F933)=0,"",IF(AND(A933&lt;&gt;"",E933&lt;&gt;""),"OK","ERRO: faltam "&amp;IF(A933="","CNPJ; ","")&amp;IF(E933="","Novo gerente; ","")))</f>
      </c>
      <c r="K933" s="6">
        <f>IF(COUNTA(A933:F933)=0,"",IF(AND(LEFT(H933,4)&lt;&gt;"ERRO",I933="OK",J933="OK"),"OK","REVISAR"))</f>
      </c>
    </row>
    <row r="934">
      <c r="A934" s="5"/>
      <c r="B934" s="4"/>
      <c r="C934" s="4"/>
      <c r="D934" s="4"/>
      <c r="E934" s="5"/>
      <c r="F934" s="4"/>
      <c r="G934" s="6">
        <f>IF(A934="","",SUBSTITUTE(SUBSTITUTE(SUBSTITUTE(SUBSTITUTE(SUBSTITUTE(SUBSTITUTE(SUBSTITUTE(TRIM(A934),".",""),"/",""),"-","")," ",""),"(",""),")",""),"+",""))</f>
      </c>
      <c r="H934" s="6">
        <f>IF(G934="","",IF(LEN(G934)&lt;&gt;14,"ERRO: "&amp;LEN(G934)&amp;" dígitos",IF(NOT(ISNUMBER(VALUE(G934))),"ERRO: não numérico",IF(AND(VALUE(MID(G934,13,1))=IF(MOD(SUMPRODUCT(--MID(G934,{1,2,3,4,5,6,7,8,9,10,11,12},1),{5,4,3,2,9,8,7,6,5,4,3,2}),11)&lt;2,0,11-MOD(SUMPRODUCT(--MID(G934,{1,2,3,4,5,6,7,8,9,10,11,12},1),{5,4,3,2,9,8,7,6,5,4,3,2}),11)),VALUE(MID(G934,14,1))=IF(MOD(SUMPRODUCT(--MID(G934,{1,2,3,4,5,6,7,8,9,10,11,12,13},1),{6,5,4,3,2,9,8,7,6,5,4,3,2}),11)&lt;2,0,11-MOD(SUMPRODUCT(--MID(G934,{1,2,3,4,5,6,7,8,9,10,11,12,13},1),{6,5,4,3,2,9,8,7,6,5,4,3,2}),11))),"OK","AVISO: dígito verificador (conferir na org)"))))</f>
      </c>
      <c r="I934" s="6">
        <f>IF(G934="","",IF(COUNTIF($G$2:$G$2001,G934)&gt;1,"DUPLICADO","OK"))</f>
      </c>
      <c r="J934" s="6">
        <f>IF(COUNTA(A934:F934)=0,"",IF(AND(A934&lt;&gt;"",E934&lt;&gt;""),"OK","ERRO: faltam "&amp;IF(A934="","CNPJ; ","")&amp;IF(E934="","Novo gerente; ","")))</f>
      </c>
      <c r="K934" s="6">
        <f>IF(COUNTA(A934:F934)=0,"",IF(AND(LEFT(H934,4)&lt;&gt;"ERRO",I934="OK",J934="OK"),"OK","REVISAR"))</f>
      </c>
    </row>
    <row r="935">
      <c r="A935" s="5"/>
      <c r="B935" s="4"/>
      <c r="C935" s="4"/>
      <c r="D935" s="4"/>
      <c r="E935" s="5"/>
      <c r="F935" s="4"/>
      <c r="G935" s="6">
        <f>IF(A935="","",SUBSTITUTE(SUBSTITUTE(SUBSTITUTE(SUBSTITUTE(SUBSTITUTE(SUBSTITUTE(SUBSTITUTE(TRIM(A935),".",""),"/",""),"-","")," ",""),"(",""),")",""),"+",""))</f>
      </c>
      <c r="H935" s="6">
        <f>IF(G935="","",IF(LEN(G935)&lt;&gt;14,"ERRO: "&amp;LEN(G935)&amp;" dígitos",IF(NOT(ISNUMBER(VALUE(G935))),"ERRO: não numérico",IF(AND(VALUE(MID(G935,13,1))=IF(MOD(SUMPRODUCT(--MID(G935,{1,2,3,4,5,6,7,8,9,10,11,12},1),{5,4,3,2,9,8,7,6,5,4,3,2}),11)&lt;2,0,11-MOD(SUMPRODUCT(--MID(G935,{1,2,3,4,5,6,7,8,9,10,11,12},1),{5,4,3,2,9,8,7,6,5,4,3,2}),11)),VALUE(MID(G935,14,1))=IF(MOD(SUMPRODUCT(--MID(G935,{1,2,3,4,5,6,7,8,9,10,11,12,13},1),{6,5,4,3,2,9,8,7,6,5,4,3,2}),11)&lt;2,0,11-MOD(SUMPRODUCT(--MID(G935,{1,2,3,4,5,6,7,8,9,10,11,12,13},1),{6,5,4,3,2,9,8,7,6,5,4,3,2}),11))),"OK","AVISO: dígito verificador (conferir na org)"))))</f>
      </c>
      <c r="I935" s="6">
        <f>IF(G935="","",IF(COUNTIF($G$2:$G$2001,G935)&gt;1,"DUPLICADO","OK"))</f>
      </c>
      <c r="J935" s="6">
        <f>IF(COUNTA(A935:F935)=0,"",IF(AND(A935&lt;&gt;"",E935&lt;&gt;""),"OK","ERRO: faltam "&amp;IF(A935="","CNPJ; ","")&amp;IF(E935="","Novo gerente; ","")))</f>
      </c>
      <c r="K935" s="6">
        <f>IF(COUNTA(A935:F935)=0,"",IF(AND(LEFT(H935,4)&lt;&gt;"ERRO",I935="OK",J935="OK"),"OK","REVISAR"))</f>
      </c>
    </row>
    <row r="936">
      <c r="A936" s="5"/>
      <c r="B936" s="4"/>
      <c r="C936" s="4"/>
      <c r="D936" s="4"/>
      <c r="E936" s="5"/>
      <c r="F936" s="4"/>
      <c r="G936" s="6">
        <f>IF(A936="","",SUBSTITUTE(SUBSTITUTE(SUBSTITUTE(SUBSTITUTE(SUBSTITUTE(SUBSTITUTE(SUBSTITUTE(TRIM(A936),".",""),"/",""),"-","")," ",""),"(",""),")",""),"+",""))</f>
      </c>
      <c r="H936" s="6">
        <f>IF(G936="","",IF(LEN(G936)&lt;&gt;14,"ERRO: "&amp;LEN(G936)&amp;" dígitos",IF(NOT(ISNUMBER(VALUE(G936))),"ERRO: não numérico",IF(AND(VALUE(MID(G936,13,1))=IF(MOD(SUMPRODUCT(--MID(G936,{1,2,3,4,5,6,7,8,9,10,11,12},1),{5,4,3,2,9,8,7,6,5,4,3,2}),11)&lt;2,0,11-MOD(SUMPRODUCT(--MID(G936,{1,2,3,4,5,6,7,8,9,10,11,12},1),{5,4,3,2,9,8,7,6,5,4,3,2}),11)),VALUE(MID(G936,14,1))=IF(MOD(SUMPRODUCT(--MID(G936,{1,2,3,4,5,6,7,8,9,10,11,12,13},1),{6,5,4,3,2,9,8,7,6,5,4,3,2}),11)&lt;2,0,11-MOD(SUMPRODUCT(--MID(G936,{1,2,3,4,5,6,7,8,9,10,11,12,13},1),{6,5,4,3,2,9,8,7,6,5,4,3,2}),11))),"OK","AVISO: dígito verificador (conferir na org)"))))</f>
      </c>
      <c r="I936" s="6">
        <f>IF(G936="","",IF(COUNTIF($G$2:$G$2001,G936)&gt;1,"DUPLICADO","OK"))</f>
      </c>
      <c r="J936" s="6">
        <f>IF(COUNTA(A936:F936)=0,"",IF(AND(A936&lt;&gt;"",E936&lt;&gt;""),"OK","ERRO: faltam "&amp;IF(A936="","CNPJ; ","")&amp;IF(E936="","Novo gerente; ","")))</f>
      </c>
      <c r="K936" s="6">
        <f>IF(COUNTA(A936:F936)=0,"",IF(AND(LEFT(H936,4)&lt;&gt;"ERRO",I936="OK",J936="OK"),"OK","REVISAR"))</f>
      </c>
    </row>
    <row r="937">
      <c r="A937" s="5"/>
      <c r="B937" s="4"/>
      <c r="C937" s="4"/>
      <c r="D937" s="4"/>
      <c r="E937" s="5"/>
      <c r="F937" s="4"/>
      <c r="G937" s="6">
        <f>IF(A937="","",SUBSTITUTE(SUBSTITUTE(SUBSTITUTE(SUBSTITUTE(SUBSTITUTE(SUBSTITUTE(SUBSTITUTE(TRIM(A937),".",""),"/",""),"-","")," ",""),"(",""),")",""),"+",""))</f>
      </c>
      <c r="H937" s="6">
        <f>IF(G937="","",IF(LEN(G937)&lt;&gt;14,"ERRO: "&amp;LEN(G937)&amp;" dígitos",IF(NOT(ISNUMBER(VALUE(G937))),"ERRO: não numérico",IF(AND(VALUE(MID(G937,13,1))=IF(MOD(SUMPRODUCT(--MID(G937,{1,2,3,4,5,6,7,8,9,10,11,12},1),{5,4,3,2,9,8,7,6,5,4,3,2}),11)&lt;2,0,11-MOD(SUMPRODUCT(--MID(G937,{1,2,3,4,5,6,7,8,9,10,11,12},1),{5,4,3,2,9,8,7,6,5,4,3,2}),11)),VALUE(MID(G937,14,1))=IF(MOD(SUMPRODUCT(--MID(G937,{1,2,3,4,5,6,7,8,9,10,11,12,13},1),{6,5,4,3,2,9,8,7,6,5,4,3,2}),11)&lt;2,0,11-MOD(SUMPRODUCT(--MID(G937,{1,2,3,4,5,6,7,8,9,10,11,12,13},1),{6,5,4,3,2,9,8,7,6,5,4,3,2}),11))),"OK","AVISO: dígito verificador (conferir na org)"))))</f>
      </c>
      <c r="I937" s="6">
        <f>IF(G937="","",IF(COUNTIF($G$2:$G$2001,G937)&gt;1,"DUPLICADO","OK"))</f>
      </c>
      <c r="J937" s="6">
        <f>IF(COUNTA(A937:F937)=0,"",IF(AND(A937&lt;&gt;"",E937&lt;&gt;""),"OK","ERRO: faltam "&amp;IF(A937="","CNPJ; ","")&amp;IF(E937="","Novo gerente; ","")))</f>
      </c>
      <c r="K937" s="6">
        <f>IF(COUNTA(A937:F937)=0,"",IF(AND(LEFT(H937,4)&lt;&gt;"ERRO",I937="OK",J937="OK"),"OK","REVISAR"))</f>
      </c>
    </row>
    <row r="938">
      <c r="A938" s="5"/>
      <c r="B938" s="4"/>
      <c r="C938" s="4"/>
      <c r="D938" s="4"/>
      <c r="E938" s="5"/>
      <c r="F938" s="4"/>
      <c r="G938" s="6">
        <f>IF(A938="","",SUBSTITUTE(SUBSTITUTE(SUBSTITUTE(SUBSTITUTE(SUBSTITUTE(SUBSTITUTE(SUBSTITUTE(TRIM(A938),".",""),"/",""),"-","")," ",""),"(",""),")",""),"+",""))</f>
      </c>
      <c r="H938" s="6">
        <f>IF(G938="","",IF(LEN(G938)&lt;&gt;14,"ERRO: "&amp;LEN(G938)&amp;" dígitos",IF(NOT(ISNUMBER(VALUE(G938))),"ERRO: não numérico",IF(AND(VALUE(MID(G938,13,1))=IF(MOD(SUMPRODUCT(--MID(G938,{1,2,3,4,5,6,7,8,9,10,11,12},1),{5,4,3,2,9,8,7,6,5,4,3,2}),11)&lt;2,0,11-MOD(SUMPRODUCT(--MID(G938,{1,2,3,4,5,6,7,8,9,10,11,12},1),{5,4,3,2,9,8,7,6,5,4,3,2}),11)),VALUE(MID(G938,14,1))=IF(MOD(SUMPRODUCT(--MID(G938,{1,2,3,4,5,6,7,8,9,10,11,12,13},1),{6,5,4,3,2,9,8,7,6,5,4,3,2}),11)&lt;2,0,11-MOD(SUMPRODUCT(--MID(G938,{1,2,3,4,5,6,7,8,9,10,11,12,13},1),{6,5,4,3,2,9,8,7,6,5,4,3,2}),11))),"OK","AVISO: dígito verificador (conferir na org)"))))</f>
      </c>
      <c r="I938" s="6">
        <f>IF(G938="","",IF(COUNTIF($G$2:$G$2001,G938)&gt;1,"DUPLICADO","OK"))</f>
      </c>
      <c r="J938" s="6">
        <f>IF(COUNTA(A938:F938)=0,"",IF(AND(A938&lt;&gt;"",E938&lt;&gt;""),"OK","ERRO: faltam "&amp;IF(A938="","CNPJ; ","")&amp;IF(E938="","Novo gerente; ","")))</f>
      </c>
      <c r="K938" s="6">
        <f>IF(COUNTA(A938:F938)=0,"",IF(AND(LEFT(H938,4)&lt;&gt;"ERRO",I938="OK",J938="OK"),"OK","REVISAR"))</f>
      </c>
    </row>
    <row r="939">
      <c r="A939" s="5"/>
      <c r="B939" s="4"/>
      <c r="C939" s="4"/>
      <c r="D939" s="4"/>
      <c r="E939" s="5"/>
      <c r="F939" s="4"/>
      <c r="G939" s="6">
        <f>IF(A939="","",SUBSTITUTE(SUBSTITUTE(SUBSTITUTE(SUBSTITUTE(SUBSTITUTE(SUBSTITUTE(SUBSTITUTE(TRIM(A939),".",""),"/",""),"-","")," ",""),"(",""),")",""),"+",""))</f>
      </c>
      <c r="H939" s="6">
        <f>IF(G939="","",IF(LEN(G939)&lt;&gt;14,"ERRO: "&amp;LEN(G939)&amp;" dígitos",IF(NOT(ISNUMBER(VALUE(G939))),"ERRO: não numérico",IF(AND(VALUE(MID(G939,13,1))=IF(MOD(SUMPRODUCT(--MID(G939,{1,2,3,4,5,6,7,8,9,10,11,12},1),{5,4,3,2,9,8,7,6,5,4,3,2}),11)&lt;2,0,11-MOD(SUMPRODUCT(--MID(G939,{1,2,3,4,5,6,7,8,9,10,11,12},1),{5,4,3,2,9,8,7,6,5,4,3,2}),11)),VALUE(MID(G939,14,1))=IF(MOD(SUMPRODUCT(--MID(G939,{1,2,3,4,5,6,7,8,9,10,11,12,13},1),{6,5,4,3,2,9,8,7,6,5,4,3,2}),11)&lt;2,0,11-MOD(SUMPRODUCT(--MID(G939,{1,2,3,4,5,6,7,8,9,10,11,12,13},1),{6,5,4,3,2,9,8,7,6,5,4,3,2}),11))),"OK","AVISO: dígito verificador (conferir na org)"))))</f>
      </c>
      <c r="I939" s="6">
        <f>IF(G939="","",IF(COUNTIF($G$2:$G$2001,G939)&gt;1,"DUPLICADO","OK"))</f>
      </c>
      <c r="J939" s="6">
        <f>IF(COUNTA(A939:F939)=0,"",IF(AND(A939&lt;&gt;"",E939&lt;&gt;""),"OK","ERRO: faltam "&amp;IF(A939="","CNPJ; ","")&amp;IF(E939="","Novo gerente; ","")))</f>
      </c>
      <c r="K939" s="6">
        <f>IF(COUNTA(A939:F939)=0,"",IF(AND(LEFT(H939,4)&lt;&gt;"ERRO",I939="OK",J939="OK"),"OK","REVISAR"))</f>
      </c>
    </row>
    <row r="940">
      <c r="A940" s="5"/>
      <c r="B940" s="4"/>
      <c r="C940" s="4"/>
      <c r="D940" s="4"/>
      <c r="E940" s="5"/>
      <c r="F940" s="4"/>
      <c r="G940" s="6">
        <f>IF(A940="","",SUBSTITUTE(SUBSTITUTE(SUBSTITUTE(SUBSTITUTE(SUBSTITUTE(SUBSTITUTE(SUBSTITUTE(TRIM(A940),".",""),"/",""),"-","")," ",""),"(",""),")",""),"+",""))</f>
      </c>
      <c r="H940" s="6">
        <f>IF(G940="","",IF(LEN(G940)&lt;&gt;14,"ERRO: "&amp;LEN(G940)&amp;" dígitos",IF(NOT(ISNUMBER(VALUE(G940))),"ERRO: não numérico",IF(AND(VALUE(MID(G940,13,1))=IF(MOD(SUMPRODUCT(--MID(G940,{1,2,3,4,5,6,7,8,9,10,11,12},1),{5,4,3,2,9,8,7,6,5,4,3,2}),11)&lt;2,0,11-MOD(SUMPRODUCT(--MID(G940,{1,2,3,4,5,6,7,8,9,10,11,12},1),{5,4,3,2,9,8,7,6,5,4,3,2}),11)),VALUE(MID(G940,14,1))=IF(MOD(SUMPRODUCT(--MID(G940,{1,2,3,4,5,6,7,8,9,10,11,12,13},1),{6,5,4,3,2,9,8,7,6,5,4,3,2}),11)&lt;2,0,11-MOD(SUMPRODUCT(--MID(G940,{1,2,3,4,5,6,7,8,9,10,11,12,13},1),{6,5,4,3,2,9,8,7,6,5,4,3,2}),11))),"OK","AVISO: dígito verificador (conferir na org)"))))</f>
      </c>
      <c r="I940" s="6">
        <f>IF(G940="","",IF(COUNTIF($G$2:$G$2001,G940)&gt;1,"DUPLICADO","OK"))</f>
      </c>
      <c r="J940" s="6">
        <f>IF(COUNTA(A940:F940)=0,"",IF(AND(A940&lt;&gt;"",E940&lt;&gt;""),"OK","ERRO: faltam "&amp;IF(A940="","CNPJ; ","")&amp;IF(E940="","Novo gerente; ","")))</f>
      </c>
      <c r="K940" s="6">
        <f>IF(COUNTA(A940:F940)=0,"",IF(AND(LEFT(H940,4)&lt;&gt;"ERRO",I940="OK",J940="OK"),"OK","REVISAR"))</f>
      </c>
    </row>
    <row r="941">
      <c r="A941" s="5"/>
      <c r="B941" s="4"/>
      <c r="C941" s="4"/>
      <c r="D941" s="4"/>
      <c r="E941" s="5"/>
      <c r="F941" s="4"/>
      <c r="G941" s="6">
        <f>IF(A941="","",SUBSTITUTE(SUBSTITUTE(SUBSTITUTE(SUBSTITUTE(SUBSTITUTE(SUBSTITUTE(SUBSTITUTE(TRIM(A941),".",""),"/",""),"-","")," ",""),"(",""),")",""),"+",""))</f>
      </c>
      <c r="H941" s="6">
        <f>IF(G941="","",IF(LEN(G941)&lt;&gt;14,"ERRO: "&amp;LEN(G941)&amp;" dígitos",IF(NOT(ISNUMBER(VALUE(G941))),"ERRO: não numérico",IF(AND(VALUE(MID(G941,13,1))=IF(MOD(SUMPRODUCT(--MID(G941,{1,2,3,4,5,6,7,8,9,10,11,12},1),{5,4,3,2,9,8,7,6,5,4,3,2}),11)&lt;2,0,11-MOD(SUMPRODUCT(--MID(G941,{1,2,3,4,5,6,7,8,9,10,11,12},1),{5,4,3,2,9,8,7,6,5,4,3,2}),11)),VALUE(MID(G941,14,1))=IF(MOD(SUMPRODUCT(--MID(G941,{1,2,3,4,5,6,7,8,9,10,11,12,13},1),{6,5,4,3,2,9,8,7,6,5,4,3,2}),11)&lt;2,0,11-MOD(SUMPRODUCT(--MID(G941,{1,2,3,4,5,6,7,8,9,10,11,12,13},1),{6,5,4,3,2,9,8,7,6,5,4,3,2}),11))),"OK","AVISO: dígito verificador (conferir na org)"))))</f>
      </c>
      <c r="I941" s="6">
        <f>IF(G941="","",IF(COUNTIF($G$2:$G$2001,G941)&gt;1,"DUPLICADO","OK"))</f>
      </c>
      <c r="J941" s="6">
        <f>IF(COUNTA(A941:F941)=0,"",IF(AND(A941&lt;&gt;"",E941&lt;&gt;""),"OK","ERRO: faltam "&amp;IF(A941="","CNPJ; ","")&amp;IF(E941="","Novo gerente; ","")))</f>
      </c>
      <c r="K941" s="6">
        <f>IF(COUNTA(A941:F941)=0,"",IF(AND(LEFT(H941,4)&lt;&gt;"ERRO",I941="OK",J941="OK"),"OK","REVISAR"))</f>
      </c>
    </row>
    <row r="942">
      <c r="A942" s="5"/>
      <c r="B942" s="4"/>
      <c r="C942" s="4"/>
      <c r="D942" s="4"/>
      <c r="E942" s="5"/>
      <c r="F942" s="4"/>
      <c r="G942" s="6">
        <f>IF(A942="","",SUBSTITUTE(SUBSTITUTE(SUBSTITUTE(SUBSTITUTE(SUBSTITUTE(SUBSTITUTE(SUBSTITUTE(TRIM(A942),".",""),"/",""),"-","")," ",""),"(",""),")",""),"+",""))</f>
      </c>
      <c r="H942" s="6">
        <f>IF(G942="","",IF(LEN(G942)&lt;&gt;14,"ERRO: "&amp;LEN(G942)&amp;" dígitos",IF(NOT(ISNUMBER(VALUE(G942))),"ERRO: não numérico",IF(AND(VALUE(MID(G942,13,1))=IF(MOD(SUMPRODUCT(--MID(G942,{1,2,3,4,5,6,7,8,9,10,11,12},1),{5,4,3,2,9,8,7,6,5,4,3,2}),11)&lt;2,0,11-MOD(SUMPRODUCT(--MID(G942,{1,2,3,4,5,6,7,8,9,10,11,12},1),{5,4,3,2,9,8,7,6,5,4,3,2}),11)),VALUE(MID(G942,14,1))=IF(MOD(SUMPRODUCT(--MID(G942,{1,2,3,4,5,6,7,8,9,10,11,12,13},1),{6,5,4,3,2,9,8,7,6,5,4,3,2}),11)&lt;2,0,11-MOD(SUMPRODUCT(--MID(G942,{1,2,3,4,5,6,7,8,9,10,11,12,13},1),{6,5,4,3,2,9,8,7,6,5,4,3,2}),11))),"OK","AVISO: dígito verificador (conferir na org)"))))</f>
      </c>
      <c r="I942" s="6">
        <f>IF(G942="","",IF(COUNTIF($G$2:$G$2001,G942)&gt;1,"DUPLICADO","OK"))</f>
      </c>
      <c r="J942" s="6">
        <f>IF(COUNTA(A942:F942)=0,"",IF(AND(A942&lt;&gt;"",E942&lt;&gt;""),"OK","ERRO: faltam "&amp;IF(A942="","CNPJ; ","")&amp;IF(E942="","Novo gerente; ","")))</f>
      </c>
      <c r="K942" s="6">
        <f>IF(COUNTA(A942:F942)=0,"",IF(AND(LEFT(H942,4)&lt;&gt;"ERRO",I942="OK",J942="OK"),"OK","REVISAR"))</f>
      </c>
    </row>
    <row r="943">
      <c r="A943" s="5"/>
      <c r="B943" s="4"/>
      <c r="C943" s="4"/>
      <c r="D943" s="4"/>
      <c r="E943" s="5"/>
      <c r="F943" s="4"/>
      <c r="G943" s="6">
        <f>IF(A943="","",SUBSTITUTE(SUBSTITUTE(SUBSTITUTE(SUBSTITUTE(SUBSTITUTE(SUBSTITUTE(SUBSTITUTE(TRIM(A943),".",""),"/",""),"-","")," ",""),"(",""),")",""),"+",""))</f>
      </c>
      <c r="H943" s="6">
        <f>IF(G943="","",IF(LEN(G943)&lt;&gt;14,"ERRO: "&amp;LEN(G943)&amp;" dígitos",IF(NOT(ISNUMBER(VALUE(G943))),"ERRO: não numérico",IF(AND(VALUE(MID(G943,13,1))=IF(MOD(SUMPRODUCT(--MID(G943,{1,2,3,4,5,6,7,8,9,10,11,12},1),{5,4,3,2,9,8,7,6,5,4,3,2}),11)&lt;2,0,11-MOD(SUMPRODUCT(--MID(G943,{1,2,3,4,5,6,7,8,9,10,11,12},1),{5,4,3,2,9,8,7,6,5,4,3,2}),11)),VALUE(MID(G943,14,1))=IF(MOD(SUMPRODUCT(--MID(G943,{1,2,3,4,5,6,7,8,9,10,11,12,13},1),{6,5,4,3,2,9,8,7,6,5,4,3,2}),11)&lt;2,0,11-MOD(SUMPRODUCT(--MID(G943,{1,2,3,4,5,6,7,8,9,10,11,12,13},1),{6,5,4,3,2,9,8,7,6,5,4,3,2}),11))),"OK","AVISO: dígito verificador (conferir na org)"))))</f>
      </c>
      <c r="I943" s="6">
        <f>IF(G943="","",IF(COUNTIF($G$2:$G$2001,G943)&gt;1,"DUPLICADO","OK"))</f>
      </c>
      <c r="J943" s="6">
        <f>IF(COUNTA(A943:F943)=0,"",IF(AND(A943&lt;&gt;"",E943&lt;&gt;""),"OK","ERRO: faltam "&amp;IF(A943="","CNPJ; ","")&amp;IF(E943="","Novo gerente; ","")))</f>
      </c>
      <c r="K943" s="6">
        <f>IF(COUNTA(A943:F943)=0,"",IF(AND(LEFT(H943,4)&lt;&gt;"ERRO",I943="OK",J943="OK"),"OK","REVISAR"))</f>
      </c>
    </row>
    <row r="944">
      <c r="A944" s="5"/>
      <c r="B944" s="4"/>
      <c r="C944" s="4"/>
      <c r="D944" s="4"/>
      <c r="E944" s="5"/>
      <c r="F944" s="4"/>
      <c r="G944" s="6">
        <f>IF(A944="","",SUBSTITUTE(SUBSTITUTE(SUBSTITUTE(SUBSTITUTE(SUBSTITUTE(SUBSTITUTE(SUBSTITUTE(TRIM(A944),".",""),"/",""),"-","")," ",""),"(",""),")",""),"+",""))</f>
      </c>
      <c r="H944" s="6">
        <f>IF(G944="","",IF(LEN(G944)&lt;&gt;14,"ERRO: "&amp;LEN(G944)&amp;" dígitos",IF(NOT(ISNUMBER(VALUE(G944))),"ERRO: não numérico",IF(AND(VALUE(MID(G944,13,1))=IF(MOD(SUMPRODUCT(--MID(G944,{1,2,3,4,5,6,7,8,9,10,11,12},1),{5,4,3,2,9,8,7,6,5,4,3,2}),11)&lt;2,0,11-MOD(SUMPRODUCT(--MID(G944,{1,2,3,4,5,6,7,8,9,10,11,12},1),{5,4,3,2,9,8,7,6,5,4,3,2}),11)),VALUE(MID(G944,14,1))=IF(MOD(SUMPRODUCT(--MID(G944,{1,2,3,4,5,6,7,8,9,10,11,12,13},1),{6,5,4,3,2,9,8,7,6,5,4,3,2}),11)&lt;2,0,11-MOD(SUMPRODUCT(--MID(G944,{1,2,3,4,5,6,7,8,9,10,11,12,13},1),{6,5,4,3,2,9,8,7,6,5,4,3,2}),11))),"OK","AVISO: dígito verificador (conferir na org)"))))</f>
      </c>
      <c r="I944" s="6">
        <f>IF(G944="","",IF(COUNTIF($G$2:$G$2001,G944)&gt;1,"DUPLICADO","OK"))</f>
      </c>
      <c r="J944" s="6">
        <f>IF(COUNTA(A944:F944)=0,"",IF(AND(A944&lt;&gt;"",E944&lt;&gt;""),"OK","ERRO: faltam "&amp;IF(A944="","CNPJ; ","")&amp;IF(E944="","Novo gerente; ","")))</f>
      </c>
      <c r="K944" s="6">
        <f>IF(COUNTA(A944:F944)=0,"",IF(AND(LEFT(H944,4)&lt;&gt;"ERRO",I944="OK",J944="OK"),"OK","REVISAR"))</f>
      </c>
    </row>
    <row r="945">
      <c r="A945" s="5"/>
      <c r="B945" s="4"/>
      <c r="C945" s="4"/>
      <c r="D945" s="4"/>
      <c r="E945" s="5"/>
      <c r="F945" s="4"/>
      <c r="G945" s="6">
        <f>IF(A945="","",SUBSTITUTE(SUBSTITUTE(SUBSTITUTE(SUBSTITUTE(SUBSTITUTE(SUBSTITUTE(SUBSTITUTE(TRIM(A945),".",""),"/",""),"-","")," ",""),"(",""),")",""),"+",""))</f>
      </c>
      <c r="H945" s="6">
        <f>IF(G945="","",IF(LEN(G945)&lt;&gt;14,"ERRO: "&amp;LEN(G945)&amp;" dígitos",IF(NOT(ISNUMBER(VALUE(G945))),"ERRO: não numérico",IF(AND(VALUE(MID(G945,13,1))=IF(MOD(SUMPRODUCT(--MID(G945,{1,2,3,4,5,6,7,8,9,10,11,12},1),{5,4,3,2,9,8,7,6,5,4,3,2}),11)&lt;2,0,11-MOD(SUMPRODUCT(--MID(G945,{1,2,3,4,5,6,7,8,9,10,11,12},1),{5,4,3,2,9,8,7,6,5,4,3,2}),11)),VALUE(MID(G945,14,1))=IF(MOD(SUMPRODUCT(--MID(G945,{1,2,3,4,5,6,7,8,9,10,11,12,13},1),{6,5,4,3,2,9,8,7,6,5,4,3,2}),11)&lt;2,0,11-MOD(SUMPRODUCT(--MID(G945,{1,2,3,4,5,6,7,8,9,10,11,12,13},1),{6,5,4,3,2,9,8,7,6,5,4,3,2}),11))),"OK","AVISO: dígito verificador (conferir na org)"))))</f>
      </c>
      <c r="I945" s="6">
        <f>IF(G945="","",IF(COUNTIF($G$2:$G$2001,G945)&gt;1,"DUPLICADO","OK"))</f>
      </c>
      <c r="J945" s="6">
        <f>IF(COUNTA(A945:F945)=0,"",IF(AND(A945&lt;&gt;"",E945&lt;&gt;""),"OK","ERRO: faltam "&amp;IF(A945="","CNPJ; ","")&amp;IF(E945="","Novo gerente; ","")))</f>
      </c>
      <c r="K945" s="6">
        <f>IF(COUNTA(A945:F945)=0,"",IF(AND(LEFT(H945,4)&lt;&gt;"ERRO",I945="OK",J945="OK"),"OK","REVISAR"))</f>
      </c>
    </row>
    <row r="946">
      <c r="A946" s="5"/>
      <c r="B946" s="4"/>
      <c r="C946" s="4"/>
      <c r="D946" s="4"/>
      <c r="E946" s="5"/>
      <c r="F946" s="4"/>
      <c r="G946" s="6">
        <f>IF(A946="","",SUBSTITUTE(SUBSTITUTE(SUBSTITUTE(SUBSTITUTE(SUBSTITUTE(SUBSTITUTE(SUBSTITUTE(TRIM(A946),".",""),"/",""),"-","")," ",""),"(",""),")",""),"+",""))</f>
      </c>
      <c r="H946" s="6">
        <f>IF(G946="","",IF(LEN(G946)&lt;&gt;14,"ERRO: "&amp;LEN(G946)&amp;" dígitos",IF(NOT(ISNUMBER(VALUE(G946))),"ERRO: não numérico",IF(AND(VALUE(MID(G946,13,1))=IF(MOD(SUMPRODUCT(--MID(G946,{1,2,3,4,5,6,7,8,9,10,11,12},1),{5,4,3,2,9,8,7,6,5,4,3,2}),11)&lt;2,0,11-MOD(SUMPRODUCT(--MID(G946,{1,2,3,4,5,6,7,8,9,10,11,12},1),{5,4,3,2,9,8,7,6,5,4,3,2}),11)),VALUE(MID(G946,14,1))=IF(MOD(SUMPRODUCT(--MID(G946,{1,2,3,4,5,6,7,8,9,10,11,12,13},1),{6,5,4,3,2,9,8,7,6,5,4,3,2}),11)&lt;2,0,11-MOD(SUMPRODUCT(--MID(G946,{1,2,3,4,5,6,7,8,9,10,11,12,13},1),{6,5,4,3,2,9,8,7,6,5,4,3,2}),11))),"OK","AVISO: dígito verificador (conferir na org)"))))</f>
      </c>
      <c r="I946" s="6">
        <f>IF(G946="","",IF(COUNTIF($G$2:$G$2001,G946)&gt;1,"DUPLICADO","OK"))</f>
      </c>
      <c r="J946" s="6">
        <f>IF(COUNTA(A946:F946)=0,"",IF(AND(A946&lt;&gt;"",E946&lt;&gt;""),"OK","ERRO: faltam "&amp;IF(A946="","CNPJ; ","")&amp;IF(E946="","Novo gerente; ","")))</f>
      </c>
      <c r="K946" s="6">
        <f>IF(COUNTA(A946:F946)=0,"",IF(AND(LEFT(H946,4)&lt;&gt;"ERRO",I946="OK",J946="OK"),"OK","REVISAR"))</f>
      </c>
    </row>
    <row r="947">
      <c r="A947" s="5"/>
      <c r="B947" s="4"/>
      <c r="C947" s="4"/>
      <c r="D947" s="4"/>
      <c r="E947" s="5"/>
      <c r="F947" s="4"/>
      <c r="G947" s="6">
        <f>IF(A947="","",SUBSTITUTE(SUBSTITUTE(SUBSTITUTE(SUBSTITUTE(SUBSTITUTE(SUBSTITUTE(SUBSTITUTE(TRIM(A947),".",""),"/",""),"-","")," ",""),"(",""),")",""),"+",""))</f>
      </c>
      <c r="H947" s="6">
        <f>IF(G947="","",IF(LEN(G947)&lt;&gt;14,"ERRO: "&amp;LEN(G947)&amp;" dígitos",IF(NOT(ISNUMBER(VALUE(G947))),"ERRO: não numérico",IF(AND(VALUE(MID(G947,13,1))=IF(MOD(SUMPRODUCT(--MID(G947,{1,2,3,4,5,6,7,8,9,10,11,12},1),{5,4,3,2,9,8,7,6,5,4,3,2}),11)&lt;2,0,11-MOD(SUMPRODUCT(--MID(G947,{1,2,3,4,5,6,7,8,9,10,11,12},1),{5,4,3,2,9,8,7,6,5,4,3,2}),11)),VALUE(MID(G947,14,1))=IF(MOD(SUMPRODUCT(--MID(G947,{1,2,3,4,5,6,7,8,9,10,11,12,13},1),{6,5,4,3,2,9,8,7,6,5,4,3,2}),11)&lt;2,0,11-MOD(SUMPRODUCT(--MID(G947,{1,2,3,4,5,6,7,8,9,10,11,12,13},1),{6,5,4,3,2,9,8,7,6,5,4,3,2}),11))),"OK","AVISO: dígito verificador (conferir na org)"))))</f>
      </c>
      <c r="I947" s="6">
        <f>IF(G947="","",IF(COUNTIF($G$2:$G$2001,G947)&gt;1,"DUPLICADO","OK"))</f>
      </c>
      <c r="J947" s="6">
        <f>IF(COUNTA(A947:F947)=0,"",IF(AND(A947&lt;&gt;"",E947&lt;&gt;""),"OK","ERRO: faltam "&amp;IF(A947="","CNPJ; ","")&amp;IF(E947="","Novo gerente; ","")))</f>
      </c>
      <c r="K947" s="6">
        <f>IF(COUNTA(A947:F947)=0,"",IF(AND(LEFT(H947,4)&lt;&gt;"ERRO",I947="OK",J947="OK"),"OK","REVISAR"))</f>
      </c>
    </row>
    <row r="948">
      <c r="A948" s="5"/>
      <c r="B948" s="4"/>
      <c r="C948" s="4"/>
      <c r="D948" s="4"/>
      <c r="E948" s="5"/>
      <c r="F948" s="4"/>
      <c r="G948" s="6">
        <f>IF(A948="","",SUBSTITUTE(SUBSTITUTE(SUBSTITUTE(SUBSTITUTE(SUBSTITUTE(SUBSTITUTE(SUBSTITUTE(TRIM(A948),".",""),"/",""),"-","")," ",""),"(",""),")",""),"+",""))</f>
      </c>
      <c r="H948" s="6">
        <f>IF(G948="","",IF(LEN(G948)&lt;&gt;14,"ERRO: "&amp;LEN(G948)&amp;" dígitos",IF(NOT(ISNUMBER(VALUE(G948))),"ERRO: não numérico",IF(AND(VALUE(MID(G948,13,1))=IF(MOD(SUMPRODUCT(--MID(G948,{1,2,3,4,5,6,7,8,9,10,11,12},1),{5,4,3,2,9,8,7,6,5,4,3,2}),11)&lt;2,0,11-MOD(SUMPRODUCT(--MID(G948,{1,2,3,4,5,6,7,8,9,10,11,12},1),{5,4,3,2,9,8,7,6,5,4,3,2}),11)),VALUE(MID(G948,14,1))=IF(MOD(SUMPRODUCT(--MID(G948,{1,2,3,4,5,6,7,8,9,10,11,12,13},1),{6,5,4,3,2,9,8,7,6,5,4,3,2}),11)&lt;2,0,11-MOD(SUMPRODUCT(--MID(G948,{1,2,3,4,5,6,7,8,9,10,11,12,13},1),{6,5,4,3,2,9,8,7,6,5,4,3,2}),11))),"OK","AVISO: dígito verificador (conferir na org)"))))</f>
      </c>
      <c r="I948" s="6">
        <f>IF(G948="","",IF(COUNTIF($G$2:$G$2001,G948)&gt;1,"DUPLICADO","OK"))</f>
      </c>
      <c r="J948" s="6">
        <f>IF(COUNTA(A948:F948)=0,"",IF(AND(A948&lt;&gt;"",E948&lt;&gt;""),"OK","ERRO: faltam "&amp;IF(A948="","CNPJ; ","")&amp;IF(E948="","Novo gerente; ","")))</f>
      </c>
      <c r="K948" s="6">
        <f>IF(COUNTA(A948:F948)=0,"",IF(AND(LEFT(H948,4)&lt;&gt;"ERRO",I948="OK",J948="OK"),"OK","REVISAR"))</f>
      </c>
    </row>
    <row r="949">
      <c r="A949" s="5"/>
      <c r="B949" s="4"/>
      <c r="C949" s="4"/>
      <c r="D949" s="4"/>
      <c r="E949" s="5"/>
      <c r="F949" s="4"/>
      <c r="G949" s="6">
        <f>IF(A949="","",SUBSTITUTE(SUBSTITUTE(SUBSTITUTE(SUBSTITUTE(SUBSTITUTE(SUBSTITUTE(SUBSTITUTE(TRIM(A949),".",""),"/",""),"-","")," ",""),"(",""),")",""),"+",""))</f>
      </c>
      <c r="H949" s="6">
        <f>IF(G949="","",IF(LEN(G949)&lt;&gt;14,"ERRO: "&amp;LEN(G949)&amp;" dígitos",IF(NOT(ISNUMBER(VALUE(G949))),"ERRO: não numérico",IF(AND(VALUE(MID(G949,13,1))=IF(MOD(SUMPRODUCT(--MID(G949,{1,2,3,4,5,6,7,8,9,10,11,12},1),{5,4,3,2,9,8,7,6,5,4,3,2}),11)&lt;2,0,11-MOD(SUMPRODUCT(--MID(G949,{1,2,3,4,5,6,7,8,9,10,11,12},1),{5,4,3,2,9,8,7,6,5,4,3,2}),11)),VALUE(MID(G949,14,1))=IF(MOD(SUMPRODUCT(--MID(G949,{1,2,3,4,5,6,7,8,9,10,11,12,13},1),{6,5,4,3,2,9,8,7,6,5,4,3,2}),11)&lt;2,0,11-MOD(SUMPRODUCT(--MID(G949,{1,2,3,4,5,6,7,8,9,10,11,12,13},1),{6,5,4,3,2,9,8,7,6,5,4,3,2}),11))),"OK","AVISO: dígito verificador (conferir na org)"))))</f>
      </c>
      <c r="I949" s="6">
        <f>IF(G949="","",IF(COUNTIF($G$2:$G$2001,G949)&gt;1,"DUPLICADO","OK"))</f>
      </c>
      <c r="J949" s="6">
        <f>IF(COUNTA(A949:F949)=0,"",IF(AND(A949&lt;&gt;"",E949&lt;&gt;""),"OK","ERRO: faltam "&amp;IF(A949="","CNPJ; ","")&amp;IF(E949="","Novo gerente; ","")))</f>
      </c>
      <c r="K949" s="6">
        <f>IF(COUNTA(A949:F949)=0,"",IF(AND(LEFT(H949,4)&lt;&gt;"ERRO",I949="OK",J949="OK"),"OK","REVISAR"))</f>
      </c>
    </row>
    <row r="950">
      <c r="A950" s="5"/>
      <c r="B950" s="4"/>
      <c r="C950" s="4"/>
      <c r="D950" s="4"/>
      <c r="E950" s="5"/>
      <c r="F950" s="4"/>
      <c r="G950" s="6">
        <f>IF(A950="","",SUBSTITUTE(SUBSTITUTE(SUBSTITUTE(SUBSTITUTE(SUBSTITUTE(SUBSTITUTE(SUBSTITUTE(TRIM(A950),".",""),"/",""),"-","")," ",""),"(",""),")",""),"+",""))</f>
      </c>
      <c r="H950" s="6">
        <f>IF(G950="","",IF(LEN(G950)&lt;&gt;14,"ERRO: "&amp;LEN(G950)&amp;" dígitos",IF(NOT(ISNUMBER(VALUE(G950))),"ERRO: não numérico",IF(AND(VALUE(MID(G950,13,1))=IF(MOD(SUMPRODUCT(--MID(G950,{1,2,3,4,5,6,7,8,9,10,11,12},1),{5,4,3,2,9,8,7,6,5,4,3,2}),11)&lt;2,0,11-MOD(SUMPRODUCT(--MID(G950,{1,2,3,4,5,6,7,8,9,10,11,12},1),{5,4,3,2,9,8,7,6,5,4,3,2}),11)),VALUE(MID(G950,14,1))=IF(MOD(SUMPRODUCT(--MID(G950,{1,2,3,4,5,6,7,8,9,10,11,12,13},1),{6,5,4,3,2,9,8,7,6,5,4,3,2}),11)&lt;2,0,11-MOD(SUMPRODUCT(--MID(G950,{1,2,3,4,5,6,7,8,9,10,11,12,13},1),{6,5,4,3,2,9,8,7,6,5,4,3,2}),11))),"OK","AVISO: dígito verificador (conferir na org)"))))</f>
      </c>
      <c r="I950" s="6">
        <f>IF(G950="","",IF(COUNTIF($G$2:$G$2001,G950)&gt;1,"DUPLICADO","OK"))</f>
      </c>
      <c r="J950" s="6">
        <f>IF(COUNTA(A950:F950)=0,"",IF(AND(A950&lt;&gt;"",E950&lt;&gt;""),"OK","ERRO: faltam "&amp;IF(A950="","CNPJ; ","")&amp;IF(E950="","Novo gerente; ","")))</f>
      </c>
      <c r="K950" s="6">
        <f>IF(COUNTA(A950:F950)=0,"",IF(AND(LEFT(H950,4)&lt;&gt;"ERRO",I950="OK",J950="OK"),"OK","REVISAR"))</f>
      </c>
    </row>
    <row r="951">
      <c r="A951" s="5"/>
      <c r="B951" s="4"/>
      <c r="C951" s="4"/>
      <c r="D951" s="4"/>
      <c r="E951" s="5"/>
      <c r="F951" s="4"/>
      <c r="G951" s="6">
        <f>IF(A951="","",SUBSTITUTE(SUBSTITUTE(SUBSTITUTE(SUBSTITUTE(SUBSTITUTE(SUBSTITUTE(SUBSTITUTE(TRIM(A951),".",""),"/",""),"-","")," ",""),"(",""),")",""),"+",""))</f>
      </c>
      <c r="H951" s="6">
        <f>IF(G951="","",IF(LEN(G951)&lt;&gt;14,"ERRO: "&amp;LEN(G951)&amp;" dígitos",IF(NOT(ISNUMBER(VALUE(G951))),"ERRO: não numérico",IF(AND(VALUE(MID(G951,13,1))=IF(MOD(SUMPRODUCT(--MID(G951,{1,2,3,4,5,6,7,8,9,10,11,12},1),{5,4,3,2,9,8,7,6,5,4,3,2}),11)&lt;2,0,11-MOD(SUMPRODUCT(--MID(G951,{1,2,3,4,5,6,7,8,9,10,11,12},1),{5,4,3,2,9,8,7,6,5,4,3,2}),11)),VALUE(MID(G951,14,1))=IF(MOD(SUMPRODUCT(--MID(G951,{1,2,3,4,5,6,7,8,9,10,11,12,13},1),{6,5,4,3,2,9,8,7,6,5,4,3,2}),11)&lt;2,0,11-MOD(SUMPRODUCT(--MID(G951,{1,2,3,4,5,6,7,8,9,10,11,12,13},1),{6,5,4,3,2,9,8,7,6,5,4,3,2}),11))),"OK","AVISO: dígito verificador (conferir na org)"))))</f>
      </c>
      <c r="I951" s="6">
        <f>IF(G951="","",IF(COUNTIF($G$2:$G$2001,G951)&gt;1,"DUPLICADO","OK"))</f>
      </c>
      <c r="J951" s="6">
        <f>IF(COUNTA(A951:F951)=0,"",IF(AND(A951&lt;&gt;"",E951&lt;&gt;""),"OK","ERRO: faltam "&amp;IF(A951="","CNPJ; ","")&amp;IF(E951="","Novo gerente; ","")))</f>
      </c>
      <c r="K951" s="6">
        <f>IF(COUNTA(A951:F951)=0,"",IF(AND(LEFT(H951,4)&lt;&gt;"ERRO",I951="OK",J951="OK"),"OK","REVISAR"))</f>
      </c>
    </row>
    <row r="952">
      <c r="A952" s="5"/>
      <c r="B952" s="4"/>
      <c r="C952" s="4"/>
      <c r="D952" s="4"/>
      <c r="E952" s="5"/>
      <c r="F952" s="4"/>
      <c r="G952" s="6">
        <f>IF(A952="","",SUBSTITUTE(SUBSTITUTE(SUBSTITUTE(SUBSTITUTE(SUBSTITUTE(SUBSTITUTE(SUBSTITUTE(TRIM(A952),".",""),"/",""),"-","")," ",""),"(",""),")",""),"+",""))</f>
      </c>
      <c r="H952" s="6">
        <f>IF(G952="","",IF(LEN(G952)&lt;&gt;14,"ERRO: "&amp;LEN(G952)&amp;" dígitos",IF(NOT(ISNUMBER(VALUE(G952))),"ERRO: não numérico",IF(AND(VALUE(MID(G952,13,1))=IF(MOD(SUMPRODUCT(--MID(G952,{1,2,3,4,5,6,7,8,9,10,11,12},1),{5,4,3,2,9,8,7,6,5,4,3,2}),11)&lt;2,0,11-MOD(SUMPRODUCT(--MID(G952,{1,2,3,4,5,6,7,8,9,10,11,12},1),{5,4,3,2,9,8,7,6,5,4,3,2}),11)),VALUE(MID(G952,14,1))=IF(MOD(SUMPRODUCT(--MID(G952,{1,2,3,4,5,6,7,8,9,10,11,12,13},1),{6,5,4,3,2,9,8,7,6,5,4,3,2}),11)&lt;2,0,11-MOD(SUMPRODUCT(--MID(G952,{1,2,3,4,5,6,7,8,9,10,11,12,13},1),{6,5,4,3,2,9,8,7,6,5,4,3,2}),11))),"OK","AVISO: dígito verificador (conferir na org)"))))</f>
      </c>
      <c r="I952" s="6">
        <f>IF(G952="","",IF(COUNTIF($G$2:$G$2001,G952)&gt;1,"DUPLICADO","OK"))</f>
      </c>
      <c r="J952" s="6">
        <f>IF(COUNTA(A952:F952)=0,"",IF(AND(A952&lt;&gt;"",E952&lt;&gt;""),"OK","ERRO: faltam "&amp;IF(A952="","CNPJ; ","")&amp;IF(E952="","Novo gerente; ","")))</f>
      </c>
      <c r="K952" s="6">
        <f>IF(COUNTA(A952:F952)=0,"",IF(AND(LEFT(H952,4)&lt;&gt;"ERRO",I952="OK",J952="OK"),"OK","REVISAR"))</f>
      </c>
    </row>
    <row r="953">
      <c r="A953" s="5"/>
      <c r="B953" s="4"/>
      <c r="C953" s="4"/>
      <c r="D953" s="4"/>
      <c r="E953" s="5"/>
      <c r="F953" s="4"/>
      <c r="G953" s="6">
        <f>IF(A953="","",SUBSTITUTE(SUBSTITUTE(SUBSTITUTE(SUBSTITUTE(SUBSTITUTE(SUBSTITUTE(SUBSTITUTE(TRIM(A953),".",""),"/",""),"-","")," ",""),"(",""),")",""),"+",""))</f>
      </c>
      <c r="H953" s="6">
        <f>IF(G953="","",IF(LEN(G953)&lt;&gt;14,"ERRO: "&amp;LEN(G953)&amp;" dígitos",IF(NOT(ISNUMBER(VALUE(G953))),"ERRO: não numérico",IF(AND(VALUE(MID(G953,13,1))=IF(MOD(SUMPRODUCT(--MID(G953,{1,2,3,4,5,6,7,8,9,10,11,12},1),{5,4,3,2,9,8,7,6,5,4,3,2}),11)&lt;2,0,11-MOD(SUMPRODUCT(--MID(G953,{1,2,3,4,5,6,7,8,9,10,11,12},1),{5,4,3,2,9,8,7,6,5,4,3,2}),11)),VALUE(MID(G953,14,1))=IF(MOD(SUMPRODUCT(--MID(G953,{1,2,3,4,5,6,7,8,9,10,11,12,13},1),{6,5,4,3,2,9,8,7,6,5,4,3,2}),11)&lt;2,0,11-MOD(SUMPRODUCT(--MID(G953,{1,2,3,4,5,6,7,8,9,10,11,12,13},1),{6,5,4,3,2,9,8,7,6,5,4,3,2}),11))),"OK","AVISO: dígito verificador (conferir na org)"))))</f>
      </c>
      <c r="I953" s="6">
        <f>IF(G953="","",IF(COUNTIF($G$2:$G$2001,G953)&gt;1,"DUPLICADO","OK"))</f>
      </c>
      <c r="J953" s="6">
        <f>IF(COUNTA(A953:F953)=0,"",IF(AND(A953&lt;&gt;"",E953&lt;&gt;""),"OK","ERRO: faltam "&amp;IF(A953="","CNPJ; ","")&amp;IF(E953="","Novo gerente; ","")))</f>
      </c>
      <c r="K953" s="6">
        <f>IF(COUNTA(A953:F953)=0,"",IF(AND(LEFT(H953,4)&lt;&gt;"ERRO",I953="OK",J953="OK"),"OK","REVISAR"))</f>
      </c>
    </row>
    <row r="954">
      <c r="A954" s="5"/>
      <c r="B954" s="4"/>
      <c r="C954" s="4"/>
      <c r="D954" s="4"/>
      <c r="E954" s="5"/>
      <c r="F954" s="4"/>
      <c r="G954" s="6">
        <f>IF(A954="","",SUBSTITUTE(SUBSTITUTE(SUBSTITUTE(SUBSTITUTE(SUBSTITUTE(SUBSTITUTE(SUBSTITUTE(TRIM(A954),".",""),"/",""),"-","")," ",""),"(",""),")",""),"+",""))</f>
      </c>
      <c r="H954" s="6">
        <f>IF(G954="","",IF(LEN(G954)&lt;&gt;14,"ERRO: "&amp;LEN(G954)&amp;" dígitos",IF(NOT(ISNUMBER(VALUE(G954))),"ERRO: não numérico",IF(AND(VALUE(MID(G954,13,1))=IF(MOD(SUMPRODUCT(--MID(G954,{1,2,3,4,5,6,7,8,9,10,11,12},1),{5,4,3,2,9,8,7,6,5,4,3,2}),11)&lt;2,0,11-MOD(SUMPRODUCT(--MID(G954,{1,2,3,4,5,6,7,8,9,10,11,12},1),{5,4,3,2,9,8,7,6,5,4,3,2}),11)),VALUE(MID(G954,14,1))=IF(MOD(SUMPRODUCT(--MID(G954,{1,2,3,4,5,6,7,8,9,10,11,12,13},1),{6,5,4,3,2,9,8,7,6,5,4,3,2}),11)&lt;2,0,11-MOD(SUMPRODUCT(--MID(G954,{1,2,3,4,5,6,7,8,9,10,11,12,13},1),{6,5,4,3,2,9,8,7,6,5,4,3,2}),11))),"OK","AVISO: dígito verificador (conferir na org)"))))</f>
      </c>
      <c r="I954" s="6">
        <f>IF(G954="","",IF(COUNTIF($G$2:$G$2001,G954)&gt;1,"DUPLICADO","OK"))</f>
      </c>
      <c r="J954" s="6">
        <f>IF(COUNTA(A954:F954)=0,"",IF(AND(A954&lt;&gt;"",E954&lt;&gt;""),"OK","ERRO: faltam "&amp;IF(A954="","CNPJ; ","")&amp;IF(E954="","Novo gerente; ","")))</f>
      </c>
      <c r="K954" s="6">
        <f>IF(COUNTA(A954:F954)=0,"",IF(AND(LEFT(H954,4)&lt;&gt;"ERRO",I954="OK",J954="OK"),"OK","REVISAR"))</f>
      </c>
    </row>
    <row r="955">
      <c r="A955" s="5"/>
      <c r="B955" s="4"/>
      <c r="C955" s="4"/>
      <c r="D955" s="4"/>
      <c r="E955" s="5"/>
      <c r="F955" s="4"/>
      <c r="G955" s="6">
        <f>IF(A955="","",SUBSTITUTE(SUBSTITUTE(SUBSTITUTE(SUBSTITUTE(SUBSTITUTE(SUBSTITUTE(SUBSTITUTE(TRIM(A955),".",""),"/",""),"-","")," ",""),"(",""),")",""),"+",""))</f>
      </c>
      <c r="H955" s="6">
        <f>IF(G955="","",IF(LEN(G955)&lt;&gt;14,"ERRO: "&amp;LEN(G955)&amp;" dígitos",IF(NOT(ISNUMBER(VALUE(G955))),"ERRO: não numérico",IF(AND(VALUE(MID(G955,13,1))=IF(MOD(SUMPRODUCT(--MID(G955,{1,2,3,4,5,6,7,8,9,10,11,12},1),{5,4,3,2,9,8,7,6,5,4,3,2}),11)&lt;2,0,11-MOD(SUMPRODUCT(--MID(G955,{1,2,3,4,5,6,7,8,9,10,11,12},1),{5,4,3,2,9,8,7,6,5,4,3,2}),11)),VALUE(MID(G955,14,1))=IF(MOD(SUMPRODUCT(--MID(G955,{1,2,3,4,5,6,7,8,9,10,11,12,13},1),{6,5,4,3,2,9,8,7,6,5,4,3,2}),11)&lt;2,0,11-MOD(SUMPRODUCT(--MID(G955,{1,2,3,4,5,6,7,8,9,10,11,12,13},1),{6,5,4,3,2,9,8,7,6,5,4,3,2}),11))),"OK","AVISO: dígito verificador (conferir na org)"))))</f>
      </c>
      <c r="I955" s="6">
        <f>IF(G955="","",IF(COUNTIF($G$2:$G$2001,G955)&gt;1,"DUPLICADO","OK"))</f>
      </c>
      <c r="J955" s="6">
        <f>IF(COUNTA(A955:F955)=0,"",IF(AND(A955&lt;&gt;"",E955&lt;&gt;""),"OK","ERRO: faltam "&amp;IF(A955="","CNPJ; ","")&amp;IF(E955="","Novo gerente; ","")))</f>
      </c>
      <c r="K955" s="6">
        <f>IF(COUNTA(A955:F955)=0,"",IF(AND(LEFT(H955,4)&lt;&gt;"ERRO",I955="OK",J955="OK"),"OK","REVISAR"))</f>
      </c>
    </row>
    <row r="956">
      <c r="A956" s="5"/>
      <c r="B956" s="4"/>
      <c r="C956" s="4"/>
      <c r="D956" s="4"/>
      <c r="E956" s="5"/>
      <c r="F956" s="4"/>
      <c r="G956" s="6">
        <f>IF(A956="","",SUBSTITUTE(SUBSTITUTE(SUBSTITUTE(SUBSTITUTE(SUBSTITUTE(SUBSTITUTE(SUBSTITUTE(TRIM(A956),".",""),"/",""),"-","")," ",""),"(",""),")",""),"+",""))</f>
      </c>
      <c r="H956" s="6">
        <f>IF(G956="","",IF(LEN(G956)&lt;&gt;14,"ERRO: "&amp;LEN(G956)&amp;" dígitos",IF(NOT(ISNUMBER(VALUE(G956))),"ERRO: não numérico",IF(AND(VALUE(MID(G956,13,1))=IF(MOD(SUMPRODUCT(--MID(G956,{1,2,3,4,5,6,7,8,9,10,11,12},1),{5,4,3,2,9,8,7,6,5,4,3,2}),11)&lt;2,0,11-MOD(SUMPRODUCT(--MID(G956,{1,2,3,4,5,6,7,8,9,10,11,12},1),{5,4,3,2,9,8,7,6,5,4,3,2}),11)),VALUE(MID(G956,14,1))=IF(MOD(SUMPRODUCT(--MID(G956,{1,2,3,4,5,6,7,8,9,10,11,12,13},1),{6,5,4,3,2,9,8,7,6,5,4,3,2}),11)&lt;2,0,11-MOD(SUMPRODUCT(--MID(G956,{1,2,3,4,5,6,7,8,9,10,11,12,13},1),{6,5,4,3,2,9,8,7,6,5,4,3,2}),11))),"OK","AVISO: dígito verificador (conferir na org)"))))</f>
      </c>
      <c r="I956" s="6">
        <f>IF(G956="","",IF(COUNTIF($G$2:$G$2001,G956)&gt;1,"DUPLICADO","OK"))</f>
      </c>
      <c r="J956" s="6">
        <f>IF(COUNTA(A956:F956)=0,"",IF(AND(A956&lt;&gt;"",E956&lt;&gt;""),"OK","ERRO: faltam "&amp;IF(A956="","CNPJ; ","")&amp;IF(E956="","Novo gerente; ","")))</f>
      </c>
      <c r="K956" s="6">
        <f>IF(COUNTA(A956:F956)=0,"",IF(AND(LEFT(H956,4)&lt;&gt;"ERRO",I956="OK",J956="OK"),"OK","REVISAR"))</f>
      </c>
    </row>
    <row r="957">
      <c r="A957" s="5"/>
      <c r="B957" s="4"/>
      <c r="C957" s="4"/>
      <c r="D957" s="4"/>
      <c r="E957" s="5"/>
      <c r="F957" s="4"/>
      <c r="G957" s="6">
        <f>IF(A957="","",SUBSTITUTE(SUBSTITUTE(SUBSTITUTE(SUBSTITUTE(SUBSTITUTE(SUBSTITUTE(SUBSTITUTE(TRIM(A957),".",""),"/",""),"-","")," ",""),"(",""),")",""),"+",""))</f>
      </c>
      <c r="H957" s="6">
        <f>IF(G957="","",IF(LEN(G957)&lt;&gt;14,"ERRO: "&amp;LEN(G957)&amp;" dígitos",IF(NOT(ISNUMBER(VALUE(G957))),"ERRO: não numérico",IF(AND(VALUE(MID(G957,13,1))=IF(MOD(SUMPRODUCT(--MID(G957,{1,2,3,4,5,6,7,8,9,10,11,12},1),{5,4,3,2,9,8,7,6,5,4,3,2}),11)&lt;2,0,11-MOD(SUMPRODUCT(--MID(G957,{1,2,3,4,5,6,7,8,9,10,11,12},1),{5,4,3,2,9,8,7,6,5,4,3,2}),11)),VALUE(MID(G957,14,1))=IF(MOD(SUMPRODUCT(--MID(G957,{1,2,3,4,5,6,7,8,9,10,11,12,13},1),{6,5,4,3,2,9,8,7,6,5,4,3,2}),11)&lt;2,0,11-MOD(SUMPRODUCT(--MID(G957,{1,2,3,4,5,6,7,8,9,10,11,12,13},1),{6,5,4,3,2,9,8,7,6,5,4,3,2}),11))),"OK","AVISO: dígito verificador (conferir na org)"))))</f>
      </c>
      <c r="I957" s="6">
        <f>IF(G957="","",IF(COUNTIF($G$2:$G$2001,G957)&gt;1,"DUPLICADO","OK"))</f>
      </c>
      <c r="J957" s="6">
        <f>IF(COUNTA(A957:F957)=0,"",IF(AND(A957&lt;&gt;"",E957&lt;&gt;""),"OK","ERRO: faltam "&amp;IF(A957="","CNPJ; ","")&amp;IF(E957="","Novo gerente; ","")))</f>
      </c>
      <c r="K957" s="6">
        <f>IF(COUNTA(A957:F957)=0,"",IF(AND(LEFT(H957,4)&lt;&gt;"ERRO",I957="OK",J957="OK"),"OK","REVISAR"))</f>
      </c>
    </row>
    <row r="958">
      <c r="A958" s="5"/>
      <c r="B958" s="4"/>
      <c r="C958" s="4"/>
      <c r="D958" s="4"/>
      <c r="E958" s="5"/>
      <c r="F958" s="4"/>
      <c r="G958" s="6">
        <f>IF(A958="","",SUBSTITUTE(SUBSTITUTE(SUBSTITUTE(SUBSTITUTE(SUBSTITUTE(SUBSTITUTE(SUBSTITUTE(TRIM(A958),".",""),"/",""),"-","")," ",""),"(",""),")",""),"+",""))</f>
      </c>
      <c r="H958" s="6">
        <f>IF(G958="","",IF(LEN(G958)&lt;&gt;14,"ERRO: "&amp;LEN(G958)&amp;" dígitos",IF(NOT(ISNUMBER(VALUE(G958))),"ERRO: não numérico",IF(AND(VALUE(MID(G958,13,1))=IF(MOD(SUMPRODUCT(--MID(G958,{1,2,3,4,5,6,7,8,9,10,11,12},1),{5,4,3,2,9,8,7,6,5,4,3,2}),11)&lt;2,0,11-MOD(SUMPRODUCT(--MID(G958,{1,2,3,4,5,6,7,8,9,10,11,12},1),{5,4,3,2,9,8,7,6,5,4,3,2}),11)),VALUE(MID(G958,14,1))=IF(MOD(SUMPRODUCT(--MID(G958,{1,2,3,4,5,6,7,8,9,10,11,12,13},1),{6,5,4,3,2,9,8,7,6,5,4,3,2}),11)&lt;2,0,11-MOD(SUMPRODUCT(--MID(G958,{1,2,3,4,5,6,7,8,9,10,11,12,13},1),{6,5,4,3,2,9,8,7,6,5,4,3,2}),11))),"OK","AVISO: dígito verificador (conferir na org)"))))</f>
      </c>
      <c r="I958" s="6">
        <f>IF(G958="","",IF(COUNTIF($G$2:$G$2001,G958)&gt;1,"DUPLICADO","OK"))</f>
      </c>
      <c r="J958" s="6">
        <f>IF(COUNTA(A958:F958)=0,"",IF(AND(A958&lt;&gt;"",E958&lt;&gt;""),"OK","ERRO: faltam "&amp;IF(A958="","CNPJ; ","")&amp;IF(E958="","Novo gerente; ","")))</f>
      </c>
      <c r="K958" s="6">
        <f>IF(COUNTA(A958:F958)=0,"",IF(AND(LEFT(H958,4)&lt;&gt;"ERRO",I958="OK",J958="OK"),"OK","REVISAR"))</f>
      </c>
    </row>
    <row r="959">
      <c r="A959" s="5"/>
      <c r="B959" s="4"/>
      <c r="C959" s="4"/>
      <c r="D959" s="4"/>
      <c r="E959" s="5"/>
      <c r="F959" s="4"/>
      <c r="G959" s="6">
        <f>IF(A959="","",SUBSTITUTE(SUBSTITUTE(SUBSTITUTE(SUBSTITUTE(SUBSTITUTE(SUBSTITUTE(SUBSTITUTE(TRIM(A959),".",""),"/",""),"-","")," ",""),"(",""),")",""),"+",""))</f>
      </c>
      <c r="H959" s="6">
        <f>IF(G959="","",IF(LEN(G959)&lt;&gt;14,"ERRO: "&amp;LEN(G959)&amp;" dígitos",IF(NOT(ISNUMBER(VALUE(G959))),"ERRO: não numérico",IF(AND(VALUE(MID(G959,13,1))=IF(MOD(SUMPRODUCT(--MID(G959,{1,2,3,4,5,6,7,8,9,10,11,12},1),{5,4,3,2,9,8,7,6,5,4,3,2}),11)&lt;2,0,11-MOD(SUMPRODUCT(--MID(G959,{1,2,3,4,5,6,7,8,9,10,11,12},1),{5,4,3,2,9,8,7,6,5,4,3,2}),11)),VALUE(MID(G959,14,1))=IF(MOD(SUMPRODUCT(--MID(G959,{1,2,3,4,5,6,7,8,9,10,11,12,13},1),{6,5,4,3,2,9,8,7,6,5,4,3,2}),11)&lt;2,0,11-MOD(SUMPRODUCT(--MID(G959,{1,2,3,4,5,6,7,8,9,10,11,12,13},1),{6,5,4,3,2,9,8,7,6,5,4,3,2}),11))),"OK","AVISO: dígito verificador (conferir na org)"))))</f>
      </c>
      <c r="I959" s="6">
        <f>IF(G959="","",IF(COUNTIF($G$2:$G$2001,G959)&gt;1,"DUPLICADO","OK"))</f>
      </c>
      <c r="J959" s="6">
        <f>IF(COUNTA(A959:F959)=0,"",IF(AND(A959&lt;&gt;"",E959&lt;&gt;""),"OK","ERRO: faltam "&amp;IF(A959="","CNPJ; ","")&amp;IF(E959="","Novo gerente; ","")))</f>
      </c>
      <c r="K959" s="6">
        <f>IF(COUNTA(A959:F959)=0,"",IF(AND(LEFT(H959,4)&lt;&gt;"ERRO",I959="OK",J959="OK"),"OK","REVISAR"))</f>
      </c>
    </row>
    <row r="960">
      <c r="A960" s="5"/>
      <c r="B960" s="4"/>
      <c r="C960" s="4"/>
      <c r="D960" s="4"/>
      <c r="E960" s="5"/>
      <c r="F960" s="4"/>
      <c r="G960" s="6">
        <f>IF(A960="","",SUBSTITUTE(SUBSTITUTE(SUBSTITUTE(SUBSTITUTE(SUBSTITUTE(SUBSTITUTE(SUBSTITUTE(TRIM(A960),".",""),"/",""),"-","")," ",""),"(",""),")",""),"+",""))</f>
      </c>
      <c r="H960" s="6">
        <f>IF(G960="","",IF(LEN(G960)&lt;&gt;14,"ERRO: "&amp;LEN(G960)&amp;" dígitos",IF(NOT(ISNUMBER(VALUE(G960))),"ERRO: não numérico",IF(AND(VALUE(MID(G960,13,1))=IF(MOD(SUMPRODUCT(--MID(G960,{1,2,3,4,5,6,7,8,9,10,11,12},1),{5,4,3,2,9,8,7,6,5,4,3,2}),11)&lt;2,0,11-MOD(SUMPRODUCT(--MID(G960,{1,2,3,4,5,6,7,8,9,10,11,12},1),{5,4,3,2,9,8,7,6,5,4,3,2}),11)),VALUE(MID(G960,14,1))=IF(MOD(SUMPRODUCT(--MID(G960,{1,2,3,4,5,6,7,8,9,10,11,12,13},1),{6,5,4,3,2,9,8,7,6,5,4,3,2}),11)&lt;2,0,11-MOD(SUMPRODUCT(--MID(G960,{1,2,3,4,5,6,7,8,9,10,11,12,13},1),{6,5,4,3,2,9,8,7,6,5,4,3,2}),11))),"OK","AVISO: dígito verificador (conferir na org)"))))</f>
      </c>
      <c r="I960" s="6">
        <f>IF(G960="","",IF(COUNTIF($G$2:$G$2001,G960)&gt;1,"DUPLICADO","OK"))</f>
      </c>
      <c r="J960" s="6">
        <f>IF(COUNTA(A960:F960)=0,"",IF(AND(A960&lt;&gt;"",E960&lt;&gt;""),"OK","ERRO: faltam "&amp;IF(A960="","CNPJ; ","")&amp;IF(E960="","Novo gerente; ","")))</f>
      </c>
      <c r="K960" s="6">
        <f>IF(COUNTA(A960:F960)=0,"",IF(AND(LEFT(H960,4)&lt;&gt;"ERRO",I960="OK",J960="OK"),"OK","REVISAR"))</f>
      </c>
    </row>
    <row r="961">
      <c r="A961" s="5"/>
      <c r="B961" s="4"/>
      <c r="C961" s="4"/>
      <c r="D961" s="4"/>
      <c r="E961" s="5"/>
      <c r="F961" s="4"/>
      <c r="G961" s="6">
        <f>IF(A961="","",SUBSTITUTE(SUBSTITUTE(SUBSTITUTE(SUBSTITUTE(SUBSTITUTE(SUBSTITUTE(SUBSTITUTE(TRIM(A961),".",""),"/",""),"-","")," ",""),"(",""),")",""),"+",""))</f>
      </c>
      <c r="H961" s="6">
        <f>IF(G961="","",IF(LEN(G961)&lt;&gt;14,"ERRO: "&amp;LEN(G961)&amp;" dígitos",IF(NOT(ISNUMBER(VALUE(G961))),"ERRO: não numérico",IF(AND(VALUE(MID(G961,13,1))=IF(MOD(SUMPRODUCT(--MID(G961,{1,2,3,4,5,6,7,8,9,10,11,12},1),{5,4,3,2,9,8,7,6,5,4,3,2}),11)&lt;2,0,11-MOD(SUMPRODUCT(--MID(G961,{1,2,3,4,5,6,7,8,9,10,11,12},1),{5,4,3,2,9,8,7,6,5,4,3,2}),11)),VALUE(MID(G961,14,1))=IF(MOD(SUMPRODUCT(--MID(G961,{1,2,3,4,5,6,7,8,9,10,11,12,13},1),{6,5,4,3,2,9,8,7,6,5,4,3,2}),11)&lt;2,0,11-MOD(SUMPRODUCT(--MID(G961,{1,2,3,4,5,6,7,8,9,10,11,12,13},1),{6,5,4,3,2,9,8,7,6,5,4,3,2}),11))),"OK","AVISO: dígito verificador (conferir na org)"))))</f>
      </c>
      <c r="I961" s="6">
        <f>IF(G961="","",IF(COUNTIF($G$2:$G$2001,G961)&gt;1,"DUPLICADO","OK"))</f>
      </c>
      <c r="J961" s="6">
        <f>IF(COUNTA(A961:F961)=0,"",IF(AND(A961&lt;&gt;"",E961&lt;&gt;""),"OK","ERRO: faltam "&amp;IF(A961="","CNPJ; ","")&amp;IF(E961="","Novo gerente; ","")))</f>
      </c>
      <c r="K961" s="6">
        <f>IF(COUNTA(A961:F961)=0,"",IF(AND(LEFT(H961,4)&lt;&gt;"ERRO",I961="OK",J961="OK"),"OK","REVISAR"))</f>
      </c>
    </row>
    <row r="962">
      <c r="A962" s="5"/>
      <c r="B962" s="4"/>
      <c r="C962" s="4"/>
      <c r="D962" s="4"/>
      <c r="E962" s="5"/>
      <c r="F962" s="4"/>
      <c r="G962" s="6">
        <f>IF(A962="","",SUBSTITUTE(SUBSTITUTE(SUBSTITUTE(SUBSTITUTE(SUBSTITUTE(SUBSTITUTE(SUBSTITUTE(TRIM(A962),".",""),"/",""),"-","")," ",""),"(",""),")",""),"+",""))</f>
      </c>
      <c r="H962" s="6">
        <f>IF(G962="","",IF(LEN(G962)&lt;&gt;14,"ERRO: "&amp;LEN(G962)&amp;" dígitos",IF(NOT(ISNUMBER(VALUE(G962))),"ERRO: não numérico",IF(AND(VALUE(MID(G962,13,1))=IF(MOD(SUMPRODUCT(--MID(G962,{1,2,3,4,5,6,7,8,9,10,11,12},1),{5,4,3,2,9,8,7,6,5,4,3,2}),11)&lt;2,0,11-MOD(SUMPRODUCT(--MID(G962,{1,2,3,4,5,6,7,8,9,10,11,12},1),{5,4,3,2,9,8,7,6,5,4,3,2}),11)),VALUE(MID(G962,14,1))=IF(MOD(SUMPRODUCT(--MID(G962,{1,2,3,4,5,6,7,8,9,10,11,12,13},1),{6,5,4,3,2,9,8,7,6,5,4,3,2}),11)&lt;2,0,11-MOD(SUMPRODUCT(--MID(G962,{1,2,3,4,5,6,7,8,9,10,11,12,13},1),{6,5,4,3,2,9,8,7,6,5,4,3,2}),11))),"OK","AVISO: dígito verificador (conferir na org)"))))</f>
      </c>
      <c r="I962" s="6">
        <f>IF(G962="","",IF(COUNTIF($G$2:$G$2001,G962)&gt;1,"DUPLICADO","OK"))</f>
      </c>
      <c r="J962" s="6">
        <f>IF(COUNTA(A962:F962)=0,"",IF(AND(A962&lt;&gt;"",E962&lt;&gt;""),"OK","ERRO: faltam "&amp;IF(A962="","CNPJ; ","")&amp;IF(E962="","Novo gerente; ","")))</f>
      </c>
      <c r="K962" s="6">
        <f>IF(COUNTA(A962:F962)=0,"",IF(AND(LEFT(H962,4)&lt;&gt;"ERRO",I962="OK",J962="OK"),"OK","REVISAR"))</f>
      </c>
    </row>
    <row r="963">
      <c r="A963" s="5"/>
      <c r="B963" s="4"/>
      <c r="C963" s="4"/>
      <c r="D963" s="4"/>
      <c r="E963" s="5"/>
      <c r="F963" s="4"/>
      <c r="G963" s="6">
        <f>IF(A963="","",SUBSTITUTE(SUBSTITUTE(SUBSTITUTE(SUBSTITUTE(SUBSTITUTE(SUBSTITUTE(SUBSTITUTE(TRIM(A963),".",""),"/",""),"-","")," ",""),"(",""),")",""),"+",""))</f>
      </c>
      <c r="H963" s="6">
        <f>IF(G963="","",IF(LEN(G963)&lt;&gt;14,"ERRO: "&amp;LEN(G963)&amp;" dígitos",IF(NOT(ISNUMBER(VALUE(G963))),"ERRO: não numérico",IF(AND(VALUE(MID(G963,13,1))=IF(MOD(SUMPRODUCT(--MID(G963,{1,2,3,4,5,6,7,8,9,10,11,12},1),{5,4,3,2,9,8,7,6,5,4,3,2}),11)&lt;2,0,11-MOD(SUMPRODUCT(--MID(G963,{1,2,3,4,5,6,7,8,9,10,11,12},1),{5,4,3,2,9,8,7,6,5,4,3,2}),11)),VALUE(MID(G963,14,1))=IF(MOD(SUMPRODUCT(--MID(G963,{1,2,3,4,5,6,7,8,9,10,11,12,13},1),{6,5,4,3,2,9,8,7,6,5,4,3,2}),11)&lt;2,0,11-MOD(SUMPRODUCT(--MID(G963,{1,2,3,4,5,6,7,8,9,10,11,12,13},1),{6,5,4,3,2,9,8,7,6,5,4,3,2}),11))),"OK","AVISO: dígito verificador (conferir na org)"))))</f>
      </c>
      <c r="I963" s="6">
        <f>IF(G963="","",IF(COUNTIF($G$2:$G$2001,G963)&gt;1,"DUPLICADO","OK"))</f>
      </c>
      <c r="J963" s="6">
        <f>IF(COUNTA(A963:F963)=0,"",IF(AND(A963&lt;&gt;"",E963&lt;&gt;""),"OK","ERRO: faltam "&amp;IF(A963="","CNPJ; ","")&amp;IF(E963="","Novo gerente; ","")))</f>
      </c>
      <c r="K963" s="6">
        <f>IF(COUNTA(A963:F963)=0,"",IF(AND(LEFT(H963,4)&lt;&gt;"ERRO",I963="OK",J963="OK"),"OK","REVISAR"))</f>
      </c>
    </row>
    <row r="964">
      <c r="A964" s="5"/>
      <c r="B964" s="4"/>
      <c r="C964" s="4"/>
      <c r="D964" s="4"/>
      <c r="E964" s="5"/>
      <c r="F964" s="4"/>
      <c r="G964" s="6">
        <f>IF(A964="","",SUBSTITUTE(SUBSTITUTE(SUBSTITUTE(SUBSTITUTE(SUBSTITUTE(SUBSTITUTE(SUBSTITUTE(TRIM(A964),".",""),"/",""),"-","")," ",""),"(",""),")",""),"+",""))</f>
      </c>
      <c r="H964" s="6">
        <f>IF(G964="","",IF(LEN(G964)&lt;&gt;14,"ERRO: "&amp;LEN(G964)&amp;" dígitos",IF(NOT(ISNUMBER(VALUE(G964))),"ERRO: não numérico",IF(AND(VALUE(MID(G964,13,1))=IF(MOD(SUMPRODUCT(--MID(G964,{1,2,3,4,5,6,7,8,9,10,11,12},1),{5,4,3,2,9,8,7,6,5,4,3,2}),11)&lt;2,0,11-MOD(SUMPRODUCT(--MID(G964,{1,2,3,4,5,6,7,8,9,10,11,12},1),{5,4,3,2,9,8,7,6,5,4,3,2}),11)),VALUE(MID(G964,14,1))=IF(MOD(SUMPRODUCT(--MID(G964,{1,2,3,4,5,6,7,8,9,10,11,12,13},1),{6,5,4,3,2,9,8,7,6,5,4,3,2}),11)&lt;2,0,11-MOD(SUMPRODUCT(--MID(G964,{1,2,3,4,5,6,7,8,9,10,11,12,13},1),{6,5,4,3,2,9,8,7,6,5,4,3,2}),11))),"OK","AVISO: dígito verificador (conferir na org)"))))</f>
      </c>
      <c r="I964" s="6">
        <f>IF(G964="","",IF(COUNTIF($G$2:$G$2001,G964)&gt;1,"DUPLICADO","OK"))</f>
      </c>
      <c r="J964" s="6">
        <f>IF(COUNTA(A964:F964)=0,"",IF(AND(A964&lt;&gt;"",E964&lt;&gt;""),"OK","ERRO: faltam "&amp;IF(A964="","CNPJ; ","")&amp;IF(E964="","Novo gerente; ","")))</f>
      </c>
      <c r="K964" s="6">
        <f>IF(COUNTA(A964:F964)=0,"",IF(AND(LEFT(H964,4)&lt;&gt;"ERRO",I964="OK",J964="OK"),"OK","REVISAR"))</f>
      </c>
    </row>
    <row r="965">
      <c r="A965" s="5"/>
      <c r="B965" s="4"/>
      <c r="C965" s="4"/>
      <c r="D965" s="4"/>
      <c r="E965" s="5"/>
      <c r="F965" s="4"/>
      <c r="G965" s="6">
        <f>IF(A965="","",SUBSTITUTE(SUBSTITUTE(SUBSTITUTE(SUBSTITUTE(SUBSTITUTE(SUBSTITUTE(SUBSTITUTE(TRIM(A965),".",""),"/",""),"-","")," ",""),"(",""),")",""),"+",""))</f>
      </c>
      <c r="H965" s="6">
        <f>IF(G965="","",IF(LEN(G965)&lt;&gt;14,"ERRO: "&amp;LEN(G965)&amp;" dígitos",IF(NOT(ISNUMBER(VALUE(G965))),"ERRO: não numérico",IF(AND(VALUE(MID(G965,13,1))=IF(MOD(SUMPRODUCT(--MID(G965,{1,2,3,4,5,6,7,8,9,10,11,12},1),{5,4,3,2,9,8,7,6,5,4,3,2}),11)&lt;2,0,11-MOD(SUMPRODUCT(--MID(G965,{1,2,3,4,5,6,7,8,9,10,11,12},1),{5,4,3,2,9,8,7,6,5,4,3,2}),11)),VALUE(MID(G965,14,1))=IF(MOD(SUMPRODUCT(--MID(G965,{1,2,3,4,5,6,7,8,9,10,11,12,13},1),{6,5,4,3,2,9,8,7,6,5,4,3,2}),11)&lt;2,0,11-MOD(SUMPRODUCT(--MID(G965,{1,2,3,4,5,6,7,8,9,10,11,12,13},1),{6,5,4,3,2,9,8,7,6,5,4,3,2}),11))),"OK","AVISO: dígito verificador (conferir na org)"))))</f>
      </c>
      <c r="I965" s="6">
        <f>IF(G965="","",IF(COUNTIF($G$2:$G$2001,G965)&gt;1,"DUPLICADO","OK"))</f>
      </c>
      <c r="J965" s="6">
        <f>IF(COUNTA(A965:F965)=0,"",IF(AND(A965&lt;&gt;"",E965&lt;&gt;""),"OK","ERRO: faltam "&amp;IF(A965="","CNPJ; ","")&amp;IF(E965="","Novo gerente; ","")))</f>
      </c>
      <c r="K965" s="6">
        <f>IF(COUNTA(A965:F965)=0,"",IF(AND(LEFT(H965,4)&lt;&gt;"ERRO",I965="OK",J965="OK"),"OK","REVISAR"))</f>
      </c>
    </row>
    <row r="966">
      <c r="A966" s="5"/>
      <c r="B966" s="4"/>
      <c r="C966" s="4"/>
      <c r="D966" s="4"/>
      <c r="E966" s="5"/>
      <c r="F966" s="4"/>
      <c r="G966" s="6">
        <f>IF(A966="","",SUBSTITUTE(SUBSTITUTE(SUBSTITUTE(SUBSTITUTE(SUBSTITUTE(SUBSTITUTE(SUBSTITUTE(TRIM(A966),".",""),"/",""),"-","")," ",""),"(",""),")",""),"+",""))</f>
      </c>
      <c r="H966" s="6">
        <f>IF(G966="","",IF(LEN(G966)&lt;&gt;14,"ERRO: "&amp;LEN(G966)&amp;" dígitos",IF(NOT(ISNUMBER(VALUE(G966))),"ERRO: não numérico",IF(AND(VALUE(MID(G966,13,1))=IF(MOD(SUMPRODUCT(--MID(G966,{1,2,3,4,5,6,7,8,9,10,11,12},1),{5,4,3,2,9,8,7,6,5,4,3,2}),11)&lt;2,0,11-MOD(SUMPRODUCT(--MID(G966,{1,2,3,4,5,6,7,8,9,10,11,12},1),{5,4,3,2,9,8,7,6,5,4,3,2}),11)),VALUE(MID(G966,14,1))=IF(MOD(SUMPRODUCT(--MID(G966,{1,2,3,4,5,6,7,8,9,10,11,12,13},1),{6,5,4,3,2,9,8,7,6,5,4,3,2}),11)&lt;2,0,11-MOD(SUMPRODUCT(--MID(G966,{1,2,3,4,5,6,7,8,9,10,11,12,13},1),{6,5,4,3,2,9,8,7,6,5,4,3,2}),11))),"OK","AVISO: dígito verificador (conferir na org)"))))</f>
      </c>
      <c r="I966" s="6">
        <f>IF(G966="","",IF(COUNTIF($G$2:$G$2001,G966)&gt;1,"DUPLICADO","OK"))</f>
      </c>
      <c r="J966" s="6">
        <f>IF(COUNTA(A966:F966)=0,"",IF(AND(A966&lt;&gt;"",E966&lt;&gt;""),"OK","ERRO: faltam "&amp;IF(A966="","CNPJ; ","")&amp;IF(E966="","Novo gerente; ","")))</f>
      </c>
      <c r="K966" s="6">
        <f>IF(COUNTA(A966:F966)=0,"",IF(AND(LEFT(H966,4)&lt;&gt;"ERRO",I966="OK",J966="OK"),"OK","REVISAR"))</f>
      </c>
    </row>
    <row r="967">
      <c r="A967" s="5"/>
      <c r="B967" s="4"/>
      <c r="C967" s="4"/>
      <c r="D967" s="4"/>
      <c r="E967" s="5"/>
      <c r="F967" s="4"/>
      <c r="G967" s="6">
        <f>IF(A967="","",SUBSTITUTE(SUBSTITUTE(SUBSTITUTE(SUBSTITUTE(SUBSTITUTE(SUBSTITUTE(SUBSTITUTE(TRIM(A967),".",""),"/",""),"-","")," ",""),"(",""),")",""),"+",""))</f>
      </c>
      <c r="H967" s="6">
        <f>IF(G967="","",IF(LEN(G967)&lt;&gt;14,"ERRO: "&amp;LEN(G967)&amp;" dígitos",IF(NOT(ISNUMBER(VALUE(G967))),"ERRO: não numérico",IF(AND(VALUE(MID(G967,13,1))=IF(MOD(SUMPRODUCT(--MID(G967,{1,2,3,4,5,6,7,8,9,10,11,12},1),{5,4,3,2,9,8,7,6,5,4,3,2}),11)&lt;2,0,11-MOD(SUMPRODUCT(--MID(G967,{1,2,3,4,5,6,7,8,9,10,11,12},1),{5,4,3,2,9,8,7,6,5,4,3,2}),11)),VALUE(MID(G967,14,1))=IF(MOD(SUMPRODUCT(--MID(G967,{1,2,3,4,5,6,7,8,9,10,11,12,13},1),{6,5,4,3,2,9,8,7,6,5,4,3,2}),11)&lt;2,0,11-MOD(SUMPRODUCT(--MID(G967,{1,2,3,4,5,6,7,8,9,10,11,12,13},1),{6,5,4,3,2,9,8,7,6,5,4,3,2}),11))),"OK","AVISO: dígito verificador (conferir na org)"))))</f>
      </c>
      <c r="I967" s="6">
        <f>IF(G967="","",IF(COUNTIF($G$2:$G$2001,G967)&gt;1,"DUPLICADO","OK"))</f>
      </c>
      <c r="J967" s="6">
        <f>IF(COUNTA(A967:F967)=0,"",IF(AND(A967&lt;&gt;"",E967&lt;&gt;""),"OK","ERRO: faltam "&amp;IF(A967="","CNPJ; ","")&amp;IF(E967="","Novo gerente; ","")))</f>
      </c>
      <c r="K967" s="6">
        <f>IF(COUNTA(A967:F967)=0,"",IF(AND(LEFT(H967,4)&lt;&gt;"ERRO",I967="OK",J967="OK"),"OK","REVISAR"))</f>
      </c>
    </row>
    <row r="968">
      <c r="A968" s="5"/>
      <c r="B968" s="4"/>
      <c r="C968" s="4"/>
      <c r="D968" s="4"/>
      <c r="E968" s="5"/>
      <c r="F968" s="4"/>
      <c r="G968" s="6">
        <f>IF(A968="","",SUBSTITUTE(SUBSTITUTE(SUBSTITUTE(SUBSTITUTE(SUBSTITUTE(SUBSTITUTE(SUBSTITUTE(TRIM(A968),".",""),"/",""),"-","")," ",""),"(",""),")",""),"+",""))</f>
      </c>
      <c r="H968" s="6">
        <f>IF(G968="","",IF(LEN(G968)&lt;&gt;14,"ERRO: "&amp;LEN(G968)&amp;" dígitos",IF(NOT(ISNUMBER(VALUE(G968))),"ERRO: não numérico",IF(AND(VALUE(MID(G968,13,1))=IF(MOD(SUMPRODUCT(--MID(G968,{1,2,3,4,5,6,7,8,9,10,11,12},1),{5,4,3,2,9,8,7,6,5,4,3,2}),11)&lt;2,0,11-MOD(SUMPRODUCT(--MID(G968,{1,2,3,4,5,6,7,8,9,10,11,12},1),{5,4,3,2,9,8,7,6,5,4,3,2}),11)),VALUE(MID(G968,14,1))=IF(MOD(SUMPRODUCT(--MID(G968,{1,2,3,4,5,6,7,8,9,10,11,12,13},1),{6,5,4,3,2,9,8,7,6,5,4,3,2}),11)&lt;2,0,11-MOD(SUMPRODUCT(--MID(G968,{1,2,3,4,5,6,7,8,9,10,11,12,13},1),{6,5,4,3,2,9,8,7,6,5,4,3,2}),11))),"OK","AVISO: dígito verificador (conferir na org)"))))</f>
      </c>
      <c r="I968" s="6">
        <f>IF(G968="","",IF(COUNTIF($G$2:$G$2001,G968)&gt;1,"DUPLICADO","OK"))</f>
      </c>
      <c r="J968" s="6">
        <f>IF(COUNTA(A968:F968)=0,"",IF(AND(A968&lt;&gt;"",E968&lt;&gt;""),"OK","ERRO: faltam "&amp;IF(A968="","CNPJ; ","")&amp;IF(E968="","Novo gerente; ","")))</f>
      </c>
      <c r="K968" s="6">
        <f>IF(COUNTA(A968:F968)=0,"",IF(AND(LEFT(H968,4)&lt;&gt;"ERRO",I968="OK",J968="OK"),"OK","REVISAR"))</f>
      </c>
    </row>
    <row r="969">
      <c r="A969" s="5"/>
      <c r="B969" s="4"/>
      <c r="C969" s="4"/>
      <c r="D969" s="4"/>
      <c r="E969" s="5"/>
      <c r="F969" s="4"/>
      <c r="G969" s="6">
        <f>IF(A969="","",SUBSTITUTE(SUBSTITUTE(SUBSTITUTE(SUBSTITUTE(SUBSTITUTE(SUBSTITUTE(SUBSTITUTE(TRIM(A969),".",""),"/",""),"-","")," ",""),"(",""),")",""),"+",""))</f>
      </c>
      <c r="H969" s="6">
        <f>IF(G969="","",IF(LEN(G969)&lt;&gt;14,"ERRO: "&amp;LEN(G969)&amp;" dígitos",IF(NOT(ISNUMBER(VALUE(G969))),"ERRO: não numérico",IF(AND(VALUE(MID(G969,13,1))=IF(MOD(SUMPRODUCT(--MID(G969,{1,2,3,4,5,6,7,8,9,10,11,12},1),{5,4,3,2,9,8,7,6,5,4,3,2}),11)&lt;2,0,11-MOD(SUMPRODUCT(--MID(G969,{1,2,3,4,5,6,7,8,9,10,11,12},1),{5,4,3,2,9,8,7,6,5,4,3,2}),11)),VALUE(MID(G969,14,1))=IF(MOD(SUMPRODUCT(--MID(G969,{1,2,3,4,5,6,7,8,9,10,11,12,13},1),{6,5,4,3,2,9,8,7,6,5,4,3,2}),11)&lt;2,0,11-MOD(SUMPRODUCT(--MID(G969,{1,2,3,4,5,6,7,8,9,10,11,12,13},1),{6,5,4,3,2,9,8,7,6,5,4,3,2}),11))),"OK","AVISO: dígito verificador (conferir na org)"))))</f>
      </c>
      <c r="I969" s="6">
        <f>IF(G969="","",IF(COUNTIF($G$2:$G$2001,G969)&gt;1,"DUPLICADO","OK"))</f>
      </c>
      <c r="J969" s="6">
        <f>IF(COUNTA(A969:F969)=0,"",IF(AND(A969&lt;&gt;"",E969&lt;&gt;""),"OK","ERRO: faltam "&amp;IF(A969="","CNPJ; ","")&amp;IF(E969="","Novo gerente; ","")))</f>
      </c>
      <c r="K969" s="6">
        <f>IF(COUNTA(A969:F969)=0,"",IF(AND(LEFT(H969,4)&lt;&gt;"ERRO",I969="OK",J969="OK"),"OK","REVISAR"))</f>
      </c>
    </row>
    <row r="970">
      <c r="A970" s="5"/>
      <c r="B970" s="4"/>
      <c r="C970" s="4"/>
      <c r="D970" s="4"/>
      <c r="E970" s="5"/>
      <c r="F970" s="4"/>
      <c r="G970" s="6">
        <f>IF(A970="","",SUBSTITUTE(SUBSTITUTE(SUBSTITUTE(SUBSTITUTE(SUBSTITUTE(SUBSTITUTE(SUBSTITUTE(TRIM(A970),".",""),"/",""),"-","")," ",""),"(",""),")",""),"+",""))</f>
      </c>
      <c r="H970" s="6">
        <f>IF(G970="","",IF(LEN(G970)&lt;&gt;14,"ERRO: "&amp;LEN(G970)&amp;" dígitos",IF(NOT(ISNUMBER(VALUE(G970))),"ERRO: não numérico",IF(AND(VALUE(MID(G970,13,1))=IF(MOD(SUMPRODUCT(--MID(G970,{1,2,3,4,5,6,7,8,9,10,11,12},1),{5,4,3,2,9,8,7,6,5,4,3,2}),11)&lt;2,0,11-MOD(SUMPRODUCT(--MID(G970,{1,2,3,4,5,6,7,8,9,10,11,12},1),{5,4,3,2,9,8,7,6,5,4,3,2}),11)),VALUE(MID(G970,14,1))=IF(MOD(SUMPRODUCT(--MID(G970,{1,2,3,4,5,6,7,8,9,10,11,12,13},1),{6,5,4,3,2,9,8,7,6,5,4,3,2}),11)&lt;2,0,11-MOD(SUMPRODUCT(--MID(G970,{1,2,3,4,5,6,7,8,9,10,11,12,13},1),{6,5,4,3,2,9,8,7,6,5,4,3,2}),11))),"OK","AVISO: dígito verificador (conferir na org)"))))</f>
      </c>
      <c r="I970" s="6">
        <f>IF(G970="","",IF(COUNTIF($G$2:$G$2001,G970)&gt;1,"DUPLICADO","OK"))</f>
      </c>
      <c r="J970" s="6">
        <f>IF(COUNTA(A970:F970)=0,"",IF(AND(A970&lt;&gt;"",E970&lt;&gt;""),"OK","ERRO: faltam "&amp;IF(A970="","CNPJ; ","")&amp;IF(E970="","Novo gerente; ","")))</f>
      </c>
      <c r="K970" s="6">
        <f>IF(COUNTA(A970:F970)=0,"",IF(AND(LEFT(H970,4)&lt;&gt;"ERRO",I970="OK",J970="OK"),"OK","REVISAR"))</f>
      </c>
    </row>
    <row r="971">
      <c r="A971" s="5"/>
      <c r="B971" s="4"/>
      <c r="C971" s="4"/>
      <c r="D971" s="4"/>
      <c r="E971" s="5"/>
      <c r="F971" s="4"/>
      <c r="G971" s="6">
        <f>IF(A971="","",SUBSTITUTE(SUBSTITUTE(SUBSTITUTE(SUBSTITUTE(SUBSTITUTE(SUBSTITUTE(SUBSTITUTE(TRIM(A971),".",""),"/",""),"-","")," ",""),"(",""),")",""),"+",""))</f>
      </c>
      <c r="H971" s="6">
        <f>IF(G971="","",IF(LEN(G971)&lt;&gt;14,"ERRO: "&amp;LEN(G971)&amp;" dígitos",IF(NOT(ISNUMBER(VALUE(G971))),"ERRO: não numérico",IF(AND(VALUE(MID(G971,13,1))=IF(MOD(SUMPRODUCT(--MID(G971,{1,2,3,4,5,6,7,8,9,10,11,12},1),{5,4,3,2,9,8,7,6,5,4,3,2}),11)&lt;2,0,11-MOD(SUMPRODUCT(--MID(G971,{1,2,3,4,5,6,7,8,9,10,11,12},1),{5,4,3,2,9,8,7,6,5,4,3,2}),11)),VALUE(MID(G971,14,1))=IF(MOD(SUMPRODUCT(--MID(G971,{1,2,3,4,5,6,7,8,9,10,11,12,13},1),{6,5,4,3,2,9,8,7,6,5,4,3,2}),11)&lt;2,0,11-MOD(SUMPRODUCT(--MID(G971,{1,2,3,4,5,6,7,8,9,10,11,12,13},1),{6,5,4,3,2,9,8,7,6,5,4,3,2}),11))),"OK","AVISO: dígito verificador (conferir na org)"))))</f>
      </c>
      <c r="I971" s="6">
        <f>IF(G971="","",IF(COUNTIF($G$2:$G$2001,G971)&gt;1,"DUPLICADO","OK"))</f>
      </c>
      <c r="J971" s="6">
        <f>IF(COUNTA(A971:F971)=0,"",IF(AND(A971&lt;&gt;"",E971&lt;&gt;""),"OK","ERRO: faltam "&amp;IF(A971="","CNPJ; ","")&amp;IF(E971="","Novo gerente; ","")))</f>
      </c>
      <c r="K971" s="6">
        <f>IF(COUNTA(A971:F971)=0,"",IF(AND(LEFT(H971,4)&lt;&gt;"ERRO",I971="OK",J971="OK"),"OK","REVISAR"))</f>
      </c>
    </row>
    <row r="972">
      <c r="A972" s="5"/>
      <c r="B972" s="4"/>
      <c r="C972" s="4"/>
      <c r="D972" s="4"/>
      <c r="E972" s="5"/>
      <c r="F972" s="4"/>
      <c r="G972" s="6">
        <f>IF(A972="","",SUBSTITUTE(SUBSTITUTE(SUBSTITUTE(SUBSTITUTE(SUBSTITUTE(SUBSTITUTE(SUBSTITUTE(TRIM(A972),".",""),"/",""),"-","")," ",""),"(",""),")",""),"+",""))</f>
      </c>
      <c r="H972" s="6">
        <f>IF(G972="","",IF(LEN(G972)&lt;&gt;14,"ERRO: "&amp;LEN(G972)&amp;" dígitos",IF(NOT(ISNUMBER(VALUE(G972))),"ERRO: não numérico",IF(AND(VALUE(MID(G972,13,1))=IF(MOD(SUMPRODUCT(--MID(G972,{1,2,3,4,5,6,7,8,9,10,11,12},1),{5,4,3,2,9,8,7,6,5,4,3,2}),11)&lt;2,0,11-MOD(SUMPRODUCT(--MID(G972,{1,2,3,4,5,6,7,8,9,10,11,12},1),{5,4,3,2,9,8,7,6,5,4,3,2}),11)),VALUE(MID(G972,14,1))=IF(MOD(SUMPRODUCT(--MID(G972,{1,2,3,4,5,6,7,8,9,10,11,12,13},1),{6,5,4,3,2,9,8,7,6,5,4,3,2}),11)&lt;2,0,11-MOD(SUMPRODUCT(--MID(G972,{1,2,3,4,5,6,7,8,9,10,11,12,13},1),{6,5,4,3,2,9,8,7,6,5,4,3,2}),11))),"OK","AVISO: dígito verificador (conferir na org)"))))</f>
      </c>
      <c r="I972" s="6">
        <f>IF(G972="","",IF(COUNTIF($G$2:$G$2001,G972)&gt;1,"DUPLICADO","OK"))</f>
      </c>
      <c r="J972" s="6">
        <f>IF(COUNTA(A972:F972)=0,"",IF(AND(A972&lt;&gt;"",E972&lt;&gt;""),"OK","ERRO: faltam "&amp;IF(A972="","CNPJ; ","")&amp;IF(E972="","Novo gerente; ","")))</f>
      </c>
      <c r="K972" s="6">
        <f>IF(COUNTA(A972:F972)=0,"",IF(AND(LEFT(H972,4)&lt;&gt;"ERRO",I972="OK",J972="OK"),"OK","REVISAR"))</f>
      </c>
    </row>
    <row r="973">
      <c r="A973" s="5"/>
      <c r="B973" s="4"/>
      <c r="C973" s="4"/>
      <c r="D973" s="4"/>
      <c r="E973" s="5"/>
      <c r="F973" s="4"/>
      <c r="G973" s="6">
        <f>IF(A973="","",SUBSTITUTE(SUBSTITUTE(SUBSTITUTE(SUBSTITUTE(SUBSTITUTE(SUBSTITUTE(SUBSTITUTE(TRIM(A973),".",""),"/",""),"-","")," ",""),"(",""),")",""),"+",""))</f>
      </c>
      <c r="H973" s="6">
        <f>IF(G973="","",IF(LEN(G973)&lt;&gt;14,"ERRO: "&amp;LEN(G973)&amp;" dígitos",IF(NOT(ISNUMBER(VALUE(G973))),"ERRO: não numérico",IF(AND(VALUE(MID(G973,13,1))=IF(MOD(SUMPRODUCT(--MID(G973,{1,2,3,4,5,6,7,8,9,10,11,12},1),{5,4,3,2,9,8,7,6,5,4,3,2}),11)&lt;2,0,11-MOD(SUMPRODUCT(--MID(G973,{1,2,3,4,5,6,7,8,9,10,11,12},1),{5,4,3,2,9,8,7,6,5,4,3,2}),11)),VALUE(MID(G973,14,1))=IF(MOD(SUMPRODUCT(--MID(G973,{1,2,3,4,5,6,7,8,9,10,11,12,13},1),{6,5,4,3,2,9,8,7,6,5,4,3,2}),11)&lt;2,0,11-MOD(SUMPRODUCT(--MID(G973,{1,2,3,4,5,6,7,8,9,10,11,12,13},1),{6,5,4,3,2,9,8,7,6,5,4,3,2}),11))),"OK","AVISO: dígito verificador (conferir na org)"))))</f>
      </c>
      <c r="I973" s="6">
        <f>IF(G973="","",IF(COUNTIF($G$2:$G$2001,G973)&gt;1,"DUPLICADO","OK"))</f>
      </c>
      <c r="J973" s="6">
        <f>IF(COUNTA(A973:F973)=0,"",IF(AND(A973&lt;&gt;"",E973&lt;&gt;""),"OK","ERRO: faltam "&amp;IF(A973="","CNPJ; ","")&amp;IF(E973="","Novo gerente; ","")))</f>
      </c>
      <c r="K973" s="6">
        <f>IF(COUNTA(A973:F973)=0,"",IF(AND(LEFT(H973,4)&lt;&gt;"ERRO",I973="OK",J973="OK"),"OK","REVISAR"))</f>
      </c>
    </row>
    <row r="974">
      <c r="A974" s="5"/>
      <c r="B974" s="4"/>
      <c r="C974" s="4"/>
      <c r="D974" s="4"/>
      <c r="E974" s="5"/>
      <c r="F974" s="4"/>
      <c r="G974" s="6">
        <f>IF(A974="","",SUBSTITUTE(SUBSTITUTE(SUBSTITUTE(SUBSTITUTE(SUBSTITUTE(SUBSTITUTE(SUBSTITUTE(TRIM(A974),".",""),"/",""),"-","")," ",""),"(",""),")",""),"+",""))</f>
      </c>
      <c r="H974" s="6">
        <f>IF(G974="","",IF(LEN(G974)&lt;&gt;14,"ERRO: "&amp;LEN(G974)&amp;" dígitos",IF(NOT(ISNUMBER(VALUE(G974))),"ERRO: não numérico",IF(AND(VALUE(MID(G974,13,1))=IF(MOD(SUMPRODUCT(--MID(G974,{1,2,3,4,5,6,7,8,9,10,11,12},1),{5,4,3,2,9,8,7,6,5,4,3,2}),11)&lt;2,0,11-MOD(SUMPRODUCT(--MID(G974,{1,2,3,4,5,6,7,8,9,10,11,12},1),{5,4,3,2,9,8,7,6,5,4,3,2}),11)),VALUE(MID(G974,14,1))=IF(MOD(SUMPRODUCT(--MID(G974,{1,2,3,4,5,6,7,8,9,10,11,12,13},1),{6,5,4,3,2,9,8,7,6,5,4,3,2}),11)&lt;2,0,11-MOD(SUMPRODUCT(--MID(G974,{1,2,3,4,5,6,7,8,9,10,11,12,13},1),{6,5,4,3,2,9,8,7,6,5,4,3,2}),11))),"OK","AVISO: dígito verificador (conferir na org)"))))</f>
      </c>
      <c r="I974" s="6">
        <f>IF(G974="","",IF(COUNTIF($G$2:$G$2001,G974)&gt;1,"DUPLICADO","OK"))</f>
      </c>
      <c r="J974" s="6">
        <f>IF(COUNTA(A974:F974)=0,"",IF(AND(A974&lt;&gt;"",E974&lt;&gt;""),"OK","ERRO: faltam "&amp;IF(A974="","CNPJ; ","")&amp;IF(E974="","Novo gerente; ","")))</f>
      </c>
      <c r="K974" s="6">
        <f>IF(COUNTA(A974:F974)=0,"",IF(AND(LEFT(H974,4)&lt;&gt;"ERRO",I974="OK",J974="OK"),"OK","REVISAR"))</f>
      </c>
    </row>
    <row r="975">
      <c r="A975" s="5"/>
      <c r="B975" s="4"/>
      <c r="C975" s="4"/>
      <c r="D975" s="4"/>
      <c r="E975" s="5"/>
      <c r="F975" s="4"/>
      <c r="G975" s="6">
        <f>IF(A975="","",SUBSTITUTE(SUBSTITUTE(SUBSTITUTE(SUBSTITUTE(SUBSTITUTE(SUBSTITUTE(SUBSTITUTE(TRIM(A975),".",""),"/",""),"-","")," ",""),"(",""),")",""),"+",""))</f>
      </c>
      <c r="H975" s="6">
        <f>IF(G975="","",IF(LEN(G975)&lt;&gt;14,"ERRO: "&amp;LEN(G975)&amp;" dígitos",IF(NOT(ISNUMBER(VALUE(G975))),"ERRO: não numérico",IF(AND(VALUE(MID(G975,13,1))=IF(MOD(SUMPRODUCT(--MID(G975,{1,2,3,4,5,6,7,8,9,10,11,12},1),{5,4,3,2,9,8,7,6,5,4,3,2}),11)&lt;2,0,11-MOD(SUMPRODUCT(--MID(G975,{1,2,3,4,5,6,7,8,9,10,11,12},1),{5,4,3,2,9,8,7,6,5,4,3,2}),11)),VALUE(MID(G975,14,1))=IF(MOD(SUMPRODUCT(--MID(G975,{1,2,3,4,5,6,7,8,9,10,11,12,13},1),{6,5,4,3,2,9,8,7,6,5,4,3,2}),11)&lt;2,0,11-MOD(SUMPRODUCT(--MID(G975,{1,2,3,4,5,6,7,8,9,10,11,12,13},1),{6,5,4,3,2,9,8,7,6,5,4,3,2}),11))),"OK","AVISO: dígito verificador (conferir na org)"))))</f>
      </c>
      <c r="I975" s="6">
        <f>IF(G975="","",IF(COUNTIF($G$2:$G$2001,G975)&gt;1,"DUPLICADO","OK"))</f>
      </c>
      <c r="J975" s="6">
        <f>IF(COUNTA(A975:F975)=0,"",IF(AND(A975&lt;&gt;"",E975&lt;&gt;""),"OK","ERRO: faltam "&amp;IF(A975="","CNPJ; ","")&amp;IF(E975="","Novo gerente; ","")))</f>
      </c>
      <c r="K975" s="6">
        <f>IF(COUNTA(A975:F975)=0,"",IF(AND(LEFT(H975,4)&lt;&gt;"ERRO",I975="OK",J975="OK"),"OK","REVISAR"))</f>
      </c>
    </row>
    <row r="976">
      <c r="A976" s="5"/>
      <c r="B976" s="4"/>
      <c r="C976" s="4"/>
      <c r="D976" s="4"/>
      <c r="E976" s="5"/>
      <c r="F976" s="4"/>
      <c r="G976" s="6">
        <f>IF(A976="","",SUBSTITUTE(SUBSTITUTE(SUBSTITUTE(SUBSTITUTE(SUBSTITUTE(SUBSTITUTE(SUBSTITUTE(TRIM(A976),".",""),"/",""),"-","")," ",""),"(",""),")",""),"+",""))</f>
      </c>
      <c r="H976" s="6">
        <f>IF(G976="","",IF(LEN(G976)&lt;&gt;14,"ERRO: "&amp;LEN(G976)&amp;" dígitos",IF(NOT(ISNUMBER(VALUE(G976))),"ERRO: não numérico",IF(AND(VALUE(MID(G976,13,1))=IF(MOD(SUMPRODUCT(--MID(G976,{1,2,3,4,5,6,7,8,9,10,11,12},1),{5,4,3,2,9,8,7,6,5,4,3,2}),11)&lt;2,0,11-MOD(SUMPRODUCT(--MID(G976,{1,2,3,4,5,6,7,8,9,10,11,12},1),{5,4,3,2,9,8,7,6,5,4,3,2}),11)),VALUE(MID(G976,14,1))=IF(MOD(SUMPRODUCT(--MID(G976,{1,2,3,4,5,6,7,8,9,10,11,12,13},1),{6,5,4,3,2,9,8,7,6,5,4,3,2}),11)&lt;2,0,11-MOD(SUMPRODUCT(--MID(G976,{1,2,3,4,5,6,7,8,9,10,11,12,13},1),{6,5,4,3,2,9,8,7,6,5,4,3,2}),11))),"OK","AVISO: dígito verificador (conferir na org)"))))</f>
      </c>
      <c r="I976" s="6">
        <f>IF(G976="","",IF(COUNTIF($G$2:$G$2001,G976)&gt;1,"DUPLICADO","OK"))</f>
      </c>
      <c r="J976" s="6">
        <f>IF(COUNTA(A976:F976)=0,"",IF(AND(A976&lt;&gt;"",E976&lt;&gt;""),"OK","ERRO: faltam "&amp;IF(A976="","CNPJ; ","")&amp;IF(E976="","Novo gerente; ","")))</f>
      </c>
      <c r="K976" s="6">
        <f>IF(COUNTA(A976:F976)=0,"",IF(AND(LEFT(H976,4)&lt;&gt;"ERRO",I976="OK",J976="OK"),"OK","REVISAR"))</f>
      </c>
    </row>
    <row r="977">
      <c r="A977" s="5"/>
      <c r="B977" s="4"/>
      <c r="C977" s="4"/>
      <c r="D977" s="4"/>
      <c r="E977" s="5"/>
      <c r="F977" s="4"/>
      <c r="G977" s="6">
        <f>IF(A977="","",SUBSTITUTE(SUBSTITUTE(SUBSTITUTE(SUBSTITUTE(SUBSTITUTE(SUBSTITUTE(SUBSTITUTE(TRIM(A977),".",""),"/",""),"-","")," ",""),"(",""),")",""),"+",""))</f>
      </c>
      <c r="H977" s="6">
        <f>IF(G977="","",IF(LEN(G977)&lt;&gt;14,"ERRO: "&amp;LEN(G977)&amp;" dígitos",IF(NOT(ISNUMBER(VALUE(G977))),"ERRO: não numérico",IF(AND(VALUE(MID(G977,13,1))=IF(MOD(SUMPRODUCT(--MID(G977,{1,2,3,4,5,6,7,8,9,10,11,12},1),{5,4,3,2,9,8,7,6,5,4,3,2}),11)&lt;2,0,11-MOD(SUMPRODUCT(--MID(G977,{1,2,3,4,5,6,7,8,9,10,11,12},1),{5,4,3,2,9,8,7,6,5,4,3,2}),11)),VALUE(MID(G977,14,1))=IF(MOD(SUMPRODUCT(--MID(G977,{1,2,3,4,5,6,7,8,9,10,11,12,13},1),{6,5,4,3,2,9,8,7,6,5,4,3,2}),11)&lt;2,0,11-MOD(SUMPRODUCT(--MID(G977,{1,2,3,4,5,6,7,8,9,10,11,12,13},1),{6,5,4,3,2,9,8,7,6,5,4,3,2}),11))),"OK","AVISO: dígito verificador (conferir na org)"))))</f>
      </c>
      <c r="I977" s="6">
        <f>IF(G977="","",IF(COUNTIF($G$2:$G$2001,G977)&gt;1,"DUPLICADO","OK"))</f>
      </c>
      <c r="J977" s="6">
        <f>IF(COUNTA(A977:F977)=0,"",IF(AND(A977&lt;&gt;"",E977&lt;&gt;""),"OK","ERRO: faltam "&amp;IF(A977="","CNPJ; ","")&amp;IF(E977="","Novo gerente; ","")))</f>
      </c>
      <c r="K977" s="6">
        <f>IF(COUNTA(A977:F977)=0,"",IF(AND(LEFT(H977,4)&lt;&gt;"ERRO",I977="OK",J977="OK"),"OK","REVISAR"))</f>
      </c>
    </row>
    <row r="978">
      <c r="A978" s="5"/>
      <c r="B978" s="4"/>
      <c r="C978" s="4"/>
      <c r="D978" s="4"/>
      <c r="E978" s="5"/>
      <c r="F978" s="4"/>
      <c r="G978" s="6">
        <f>IF(A978="","",SUBSTITUTE(SUBSTITUTE(SUBSTITUTE(SUBSTITUTE(SUBSTITUTE(SUBSTITUTE(SUBSTITUTE(TRIM(A978),".",""),"/",""),"-","")," ",""),"(",""),")",""),"+",""))</f>
      </c>
      <c r="H978" s="6">
        <f>IF(G978="","",IF(LEN(G978)&lt;&gt;14,"ERRO: "&amp;LEN(G978)&amp;" dígitos",IF(NOT(ISNUMBER(VALUE(G978))),"ERRO: não numérico",IF(AND(VALUE(MID(G978,13,1))=IF(MOD(SUMPRODUCT(--MID(G978,{1,2,3,4,5,6,7,8,9,10,11,12},1),{5,4,3,2,9,8,7,6,5,4,3,2}),11)&lt;2,0,11-MOD(SUMPRODUCT(--MID(G978,{1,2,3,4,5,6,7,8,9,10,11,12},1),{5,4,3,2,9,8,7,6,5,4,3,2}),11)),VALUE(MID(G978,14,1))=IF(MOD(SUMPRODUCT(--MID(G978,{1,2,3,4,5,6,7,8,9,10,11,12,13},1),{6,5,4,3,2,9,8,7,6,5,4,3,2}),11)&lt;2,0,11-MOD(SUMPRODUCT(--MID(G978,{1,2,3,4,5,6,7,8,9,10,11,12,13},1),{6,5,4,3,2,9,8,7,6,5,4,3,2}),11))),"OK","AVISO: dígito verificador (conferir na org)"))))</f>
      </c>
      <c r="I978" s="6">
        <f>IF(G978="","",IF(COUNTIF($G$2:$G$2001,G978)&gt;1,"DUPLICADO","OK"))</f>
      </c>
      <c r="J978" s="6">
        <f>IF(COUNTA(A978:F978)=0,"",IF(AND(A978&lt;&gt;"",E978&lt;&gt;""),"OK","ERRO: faltam "&amp;IF(A978="","CNPJ; ","")&amp;IF(E978="","Novo gerente; ","")))</f>
      </c>
      <c r="K978" s="6">
        <f>IF(COUNTA(A978:F978)=0,"",IF(AND(LEFT(H978,4)&lt;&gt;"ERRO",I978="OK",J978="OK"),"OK","REVISAR"))</f>
      </c>
    </row>
    <row r="979">
      <c r="A979" s="5"/>
      <c r="B979" s="4"/>
      <c r="C979" s="4"/>
      <c r="D979" s="4"/>
      <c r="E979" s="5"/>
      <c r="F979" s="4"/>
      <c r="G979" s="6">
        <f>IF(A979="","",SUBSTITUTE(SUBSTITUTE(SUBSTITUTE(SUBSTITUTE(SUBSTITUTE(SUBSTITUTE(SUBSTITUTE(TRIM(A979),".",""),"/",""),"-","")," ",""),"(",""),")",""),"+",""))</f>
      </c>
      <c r="H979" s="6">
        <f>IF(G979="","",IF(LEN(G979)&lt;&gt;14,"ERRO: "&amp;LEN(G979)&amp;" dígitos",IF(NOT(ISNUMBER(VALUE(G979))),"ERRO: não numérico",IF(AND(VALUE(MID(G979,13,1))=IF(MOD(SUMPRODUCT(--MID(G979,{1,2,3,4,5,6,7,8,9,10,11,12},1),{5,4,3,2,9,8,7,6,5,4,3,2}),11)&lt;2,0,11-MOD(SUMPRODUCT(--MID(G979,{1,2,3,4,5,6,7,8,9,10,11,12},1),{5,4,3,2,9,8,7,6,5,4,3,2}),11)),VALUE(MID(G979,14,1))=IF(MOD(SUMPRODUCT(--MID(G979,{1,2,3,4,5,6,7,8,9,10,11,12,13},1),{6,5,4,3,2,9,8,7,6,5,4,3,2}),11)&lt;2,0,11-MOD(SUMPRODUCT(--MID(G979,{1,2,3,4,5,6,7,8,9,10,11,12,13},1),{6,5,4,3,2,9,8,7,6,5,4,3,2}),11))),"OK","AVISO: dígito verificador (conferir na org)"))))</f>
      </c>
      <c r="I979" s="6">
        <f>IF(G979="","",IF(COUNTIF($G$2:$G$2001,G979)&gt;1,"DUPLICADO","OK"))</f>
      </c>
      <c r="J979" s="6">
        <f>IF(COUNTA(A979:F979)=0,"",IF(AND(A979&lt;&gt;"",E979&lt;&gt;""),"OK","ERRO: faltam "&amp;IF(A979="","CNPJ; ","")&amp;IF(E979="","Novo gerente; ","")))</f>
      </c>
      <c r="K979" s="6">
        <f>IF(COUNTA(A979:F979)=0,"",IF(AND(LEFT(H979,4)&lt;&gt;"ERRO",I979="OK",J979="OK"),"OK","REVISAR"))</f>
      </c>
    </row>
    <row r="980">
      <c r="A980" s="5"/>
      <c r="B980" s="4"/>
      <c r="C980" s="4"/>
      <c r="D980" s="4"/>
      <c r="E980" s="5"/>
      <c r="F980" s="4"/>
      <c r="G980" s="6">
        <f>IF(A980="","",SUBSTITUTE(SUBSTITUTE(SUBSTITUTE(SUBSTITUTE(SUBSTITUTE(SUBSTITUTE(SUBSTITUTE(TRIM(A980),".",""),"/",""),"-","")," ",""),"(",""),")",""),"+",""))</f>
      </c>
      <c r="H980" s="6">
        <f>IF(G980="","",IF(LEN(G980)&lt;&gt;14,"ERRO: "&amp;LEN(G980)&amp;" dígitos",IF(NOT(ISNUMBER(VALUE(G980))),"ERRO: não numérico",IF(AND(VALUE(MID(G980,13,1))=IF(MOD(SUMPRODUCT(--MID(G980,{1,2,3,4,5,6,7,8,9,10,11,12},1),{5,4,3,2,9,8,7,6,5,4,3,2}),11)&lt;2,0,11-MOD(SUMPRODUCT(--MID(G980,{1,2,3,4,5,6,7,8,9,10,11,12},1),{5,4,3,2,9,8,7,6,5,4,3,2}),11)),VALUE(MID(G980,14,1))=IF(MOD(SUMPRODUCT(--MID(G980,{1,2,3,4,5,6,7,8,9,10,11,12,13},1),{6,5,4,3,2,9,8,7,6,5,4,3,2}),11)&lt;2,0,11-MOD(SUMPRODUCT(--MID(G980,{1,2,3,4,5,6,7,8,9,10,11,12,13},1),{6,5,4,3,2,9,8,7,6,5,4,3,2}),11))),"OK","AVISO: dígito verificador (conferir na org)"))))</f>
      </c>
      <c r="I980" s="6">
        <f>IF(G980="","",IF(COUNTIF($G$2:$G$2001,G980)&gt;1,"DUPLICADO","OK"))</f>
      </c>
      <c r="J980" s="6">
        <f>IF(COUNTA(A980:F980)=0,"",IF(AND(A980&lt;&gt;"",E980&lt;&gt;""),"OK","ERRO: faltam "&amp;IF(A980="","CNPJ; ","")&amp;IF(E980="","Novo gerente; ","")))</f>
      </c>
      <c r="K980" s="6">
        <f>IF(COUNTA(A980:F980)=0,"",IF(AND(LEFT(H980,4)&lt;&gt;"ERRO",I980="OK",J980="OK"),"OK","REVISAR"))</f>
      </c>
    </row>
    <row r="981">
      <c r="A981" s="5"/>
      <c r="B981" s="4"/>
      <c r="C981" s="4"/>
      <c r="D981" s="4"/>
      <c r="E981" s="5"/>
      <c r="F981" s="4"/>
      <c r="G981" s="6">
        <f>IF(A981="","",SUBSTITUTE(SUBSTITUTE(SUBSTITUTE(SUBSTITUTE(SUBSTITUTE(SUBSTITUTE(SUBSTITUTE(TRIM(A981),".",""),"/",""),"-","")," ",""),"(",""),")",""),"+",""))</f>
      </c>
      <c r="H981" s="6">
        <f>IF(G981="","",IF(LEN(G981)&lt;&gt;14,"ERRO: "&amp;LEN(G981)&amp;" dígitos",IF(NOT(ISNUMBER(VALUE(G981))),"ERRO: não numérico",IF(AND(VALUE(MID(G981,13,1))=IF(MOD(SUMPRODUCT(--MID(G981,{1,2,3,4,5,6,7,8,9,10,11,12},1),{5,4,3,2,9,8,7,6,5,4,3,2}),11)&lt;2,0,11-MOD(SUMPRODUCT(--MID(G981,{1,2,3,4,5,6,7,8,9,10,11,12},1),{5,4,3,2,9,8,7,6,5,4,3,2}),11)),VALUE(MID(G981,14,1))=IF(MOD(SUMPRODUCT(--MID(G981,{1,2,3,4,5,6,7,8,9,10,11,12,13},1),{6,5,4,3,2,9,8,7,6,5,4,3,2}),11)&lt;2,0,11-MOD(SUMPRODUCT(--MID(G981,{1,2,3,4,5,6,7,8,9,10,11,12,13},1),{6,5,4,3,2,9,8,7,6,5,4,3,2}),11))),"OK","AVISO: dígito verificador (conferir na org)"))))</f>
      </c>
      <c r="I981" s="6">
        <f>IF(G981="","",IF(COUNTIF($G$2:$G$2001,G981)&gt;1,"DUPLICADO","OK"))</f>
      </c>
      <c r="J981" s="6">
        <f>IF(COUNTA(A981:F981)=0,"",IF(AND(A981&lt;&gt;"",E981&lt;&gt;""),"OK","ERRO: faltam "&amp;IF(A981="","CNPJ; ","")&amp;IF(E981="","Novo gerente; ","")))</f>
      </c>
      <c r="K981" s="6">
        <f>IF(COUNTA(A981:F981)=0,"",IF(AND(LEFT(H981,4)&lt;&gt;"ERRO",I981="OK",J981="OK"),"OK","REVISAR"))</f>
      </c>
    </row>
    <row r="982">
      <c r="A982" s="5"/>
      <c r="B982" s="4"/>
      <c r="C982" s="4"/>
      <c r="D982" s="4"/>
      <c r="E982" s="5"/>
      <c r="F982" s="4"/>
      <c r="G982" s="6">
        <f>IF(A982="","",SUBSTITUTE(SUBSTITUTE(SUBSTITUTE(SUBSTITUTE(SUBSTITUTE(SUBSTITUTE(SUBSTITUTE(TRIM(A982),".",""),"/",""),"-","")," ",""),"(",""),")",""),"+",""))</f>
      </c>
      <c r="H982" s="6">
        <f>IF(G982="","",IF(LEN(G982)&lt;&gt;14,"ERRO: "&amp;LEN(G982)&amp;" dígitos",IF(NOT(ISNUMBER(VALUE(G982))),"ERRO: não numérico",IF(AND(VALUE(MID(G982,13,1))=IF(MOD(SUMPRODUCT(--MID(G982,{1,2,3,4,5,6,7,8,9,10,11,12},1),{5,4,3,2,9,8,7,6,5,4,3,2}),11)&lt;2,0,11-MOD(SUMPRODUCT(--MID(G982,{1,2,3,4,5,6,7,8,9,10,11,12},1),{5,4,3,2,9,8,7,6,5,4,3,2}),11)),VALUE(MID(G982,14,1))=IF(MOD(SUMPRODUCT(--MID(G982,{1,2,3,4,5,6,7,8,9,10,11,12,13},1),{6,5,4,3,2,9,8,7,6,5,4,3,2}),11)&lt;2,0,11-MOD(SUMPRODUCT(--MID(G982,{1,2,3,4,5,6,7,8,9,10,11,12,13},1),{6,5,4,3,2,9,8,7,6,5,4,3,2}),11))),"OK","AVISO: dígito verificador (conferir na org)"))))</f>
      </c>
      <c r="I982" s="6">
        <f>IF(G982="","",IF(COUNTIF($G$2:$G$2001,G982)&gt;1,"DUPLICADO","OK"))</f>
      </c>
      <c r="J982" s="6">
        <f>IF(COUNTA(A982:F982)=0,"",IF(AND(A982&lt;&gt;"",E982&lt;&gt;""),"OK","ERRO: faltam "&amp;IF(A982="","CNPJ; ","")&amp;IF(E982="","Novo gerente; ","")))</f>
      </c>
      <c r="K982" s="6">
        <f>IF(COUNTA(A982:F982)=0,"",IF(AND(LEFT(H982,4)&lt;&gt;"ERRO",I982="OK",J982="OK"),"OK","REVISAR"))</f>
      </c>
    </row>
    <row r="983">
      <c r="A983" s="5"/>
      <c r="B983" s="4"/>
      <c r="C983" s="4"/>
      <c r="D983" s="4"/>
      <c r="E983" s="5"/>
      <c r="F983" s="4"/>
      <c r="G983" s="6">
        <f>IF(A983="","",SUBSTITUTE(SUBSTITUTE(SUBSTITUTE(SUBSTITUTE(SUBSTITUTE(SUBSTITUTE(SUBSTITUTE(TRIM(A983),".",""),"/",""),"-","")," ",""),"(",""),")",""),"+",""))</f>
      </c>
      <c r="H983" s="6">
        <f>IF(G983="","",IF(LEN(G983)&lt;&gt;14,"ERRO: "&amp;LEN(G983)&amp;" dígitos",IF(NOT(ISNUMBER(VALUE(G983))),"ERRO: não numérico",IF(AND(VALUE(MID(G983,13,1))=IF(MOD(SUMPRODUCT(--MID(G983,{1,2,3,4,5,6,7,8,9,10,11,12},1),{5,4,3,2,9,8,7,6,5,4,3,2}),11)&lt;2,0,11-MOD(SUMPRODUCT(--MID(G983,{1,2,3,4,5,6,7,8,9,10,11,12},1),{5,4,3,2,9,8,7,6,5,4,3,2}),11)),VALUE(MID(G983,14,1))=IF(MOD(SUMPRODUCT(--MID(G983,{1,2,3,4,5,6,7,8,9,10,11,12,13},1),{6,5,4,3,2,9,8,7,6,5,4,3,2}),11)&lt;2,0,11-MOD(SUMPRODUCT(--MID(G983,{1,2,3,4,5,6,7,8,9,10,11,12,13},1),{6,5,4,3,2,9,8,7,6,5,4,3,2}),11))),"OK","AVISO: dígito verificador (conferir na org)"))))</f>
      </c>
      <c r="I983" s="6">
        <f>IF(G983="","",IF(COUNTIF($G$2:$G$2001,G983)&gt;1,"DUPLICADO","OK"))</f>
      </c>
      <c r="J983" s="6">
        <f>IF(COUNTA(A983:F983)=0,"",IF(AND(A983&lt;&gt;"",E983&lt;&gt;""),"OK","ERRO: faltam "&amp;IF(A983="","CNPJ; ","")&amp;IF(E983="","Novo gerente; ","")))</f>
      </c>
      <c r="K983" s="6">
        <f>IF(COUNTA(A983:F983)=0,"",IF(AND(LEFT(H983,4)&lt;&gt;"ERRO",I983="OK",J983="OK"),"OK","REVISAR"))</f>
      </c>
    </row>
    <row r="984">
      <c r="A984" s="5"/>
      <c r="B984" s="4"/>
      <c r="C984" s="4"/>
      <c r="D984" s="4"/>
      <c r="E984" s="5"/>
      <c r="F984" s="4"/>
      <c r="G984" s="6">
        <f>IF(A984="","",SUBSTITUTE(SUBSTITUTE(SUBSTITUTE(SUBSTITUTE(SUBSTITUTE(SUBSTITUTE(SUBSTITUTE(TRIM(A984),".",""),"/",""),"-","")," ",""),"(",""),")",""),"+",""))</f>
      </c>
      <c r="H984" s="6">
        <f>IF(G984="","",IF(LEN(G984)&lt;&gt;14,"ERRO: "&amp;LEN(G984)&amp;" dígitos",IF(NOT(ISNUMBER(VALUE(G984))),"ERRO: não numérico",IF(AND(VALUE(MID(G984,13,1))=IF(MOD(SUMPRODUCT(--MID(G984,{1,2,3,4,5,6,7,8,9,10,11,12},1),{5,4,3,2,9,8,7,6,5,4,3,2}),11)&lt;2,0,11-MOD(SUMPRODUCT(--MID(G984,{1,2,3,4,5,6,7,8,9,10,11,12},1),{5,4,3,2,9,8,7,6,5,4,3,2}),11)),VALUE(MID(G984,14,1))=IF(MOD(SUMPRODUCT(--MID(G984,{1,2,3,4,5,6,7,8,9,10,11,12,13},1),{6,5,4,3,2,9,8,7,6,5,4,3,2}),11)&lt;2,0,11-MOD(SUMPRODUCT(--MID(G984,{1,2,3,4,5,6,7,8,9,10,11,12,13},1),{6,5,4,3,2,9,8,7,6,5,4,3,2}),11))),"OK","AVISO: dígito verificador (conferir na org)"))))</f>
      </c>
      <c r="I984" s="6">
        <f>IF(G984="","",IF(COUNTIF($G$2:$G$2001,G984)&gt;1,"DUPLICADO","OK"))</f>
      </c>
      <c r="J984" s="6">
        <f>IF(COUNTA(A984:F984)=0,"",IF(AND(A984&lt;&gt;"",E984&lt;&gt;""),"OK","ERRO: faltam "&amp;IF(A984="","CNPJ; ","")&amp;IF(E984="","Novo gerente; ","")))</f>
      </c>
      <c r="K984" s="6">
        <f>IF(COUNTA(A984:F984)=0,"",IF(AND(LEFT(H984,4)&lt;&gt;"ERRO",I984="OK",J984="OK"),"OK","REVISAR"))</f>
      </c>
    </row>
    <row r="985">
      <c r="A985" s="5"/>
      <c r="B985" s="4"/>
      <c r="C985" s="4"/>
      <c r="D985" s="4"/>
      <c r="E985" s="5"/>
      <c r="F985" s="4"/>
      <c r="G985" s="6">
        <f>IF(A985="","",SUBSTITUTE(SUBSTITUTE(SUBSTITUTE(SUBSTITUTE(SUBSTITUTE(SUBSTITUTE(SUBSTITUTE(TRIM(A985),".",""),"/",""),"-","")," ",""),"(",""),")",""),"+",""))</f>
      </c>
      <c r="H985" s="6">
        <f>IF(G985="","",IF(LEN(G985)&lt;&gt;14,"ERRO: "&amp;LEN(G985)&amp;" dígitos",IF(NOT(ISNUMBER(VALUE(G985))),"ERRO: não numérico",IF(AND(VALUE(MID(G985,13,1))=IF(MOD(SUMPRODUCT(--MID(G985,{1,2,3,4,5,6,7,8,9,10,11,12},1),{5,4,3,2,9,8,7,6,5,4,3,2}),11)&lt;2,0,11-MOD(SUMPRODUCT(--MID(G985,{1,2,3,4,5,6,7,8,9,10,11,12},1),{5,4,3,2,9,8,7,6,5,4,3,2}),11)),VALUE(MID(G985,14,1))=IF(MOD(SUMPRODUCT(--MID(G985,{1,2,3,4,5,6,7,8,9,10,11,12,13},1),{6,5,4,3,2,9,8,7,6,5,4,3,2}),11)&lt;2,0,11-MOD(SUMPRODUCT(--MID(G985,{1,2,3,4,5,6,7,8,9,10,11,12,13},1),{6,5,4,3,2,9,8,7,6,5,4,3,2}),11))),"OK","AVISO: dígito verificador (conferir na org)"))))</f>
      </c>
      <c r="I985" s="6">
        <f>IF(G985="","",IF(COUNTIF($G$2:$G$2001,G985)&gt;1,"DUPLICADO","OK"))</f>
      </c>
      <c r="J985" s="6">
        <f>IF(COUNTA(A985:F985)=0,"",IF(AND(A985&lt;&gt;"",E985&lt;&gt;""),"OK","ERRO: faltam "&amp;IF(A985="","CNPJ; ","")&amp;IF(E985="","Novo gerente; ","")))</f>
      </c>
      <c r="K985" s="6">
        <f>IF(COUNTA(A985:F985)=0,"",IF(AND(LEFT(H985,4)&lt;&gt;"ERRO",I985="OK",J985="OK"),"OK","REVISAR"))</f>
      </c>
    </row>
    <row r="986">
      <c r="A986" s="5"/>
      <c r="B986" s="4"/>
      <c r="C986" s="4"/>
      <c r="D986" s="4"/>
      <c r="E986" s="5"/>
      <c r="F986" s="4"/>
      <c r="G986" s="6">
        <f>IF(A986="","",SUBSTITUTE(SUBSTITUTE(SUBSTITUTE(SUBSTITUTE(SUBSTITUTE(SUBSTITUTE(SUBSTITUTE(TRIM(A986),".",""),"/",""),"-","")," ",""),"(",""),")",""),"+",""))</f>
      </c>
      <c r="H986" s="6">
        <f>IF(G986="","",IF(LEN(G986)&lt;&gt;14,"ERRO: "&amp;LEN(G986)&amp;" dígitos",IF(NOT(ISNUMBER(VALUE(G986))),"ERRO: não numérico",IF(AND(VALUE(MID(G986,13,1))=IF(MOD(SUMPRODUCT(--MID(G986,{1,2,3,4,5,6,7,8,9,10,11,12},1),{5,4,3,2,9,8,7,6,5,4,3,2}),11)&lt;2,0,11-MOD(SUMPRODUCT(--MID(G986,{1,2,3,4,5,6,7,8,9,10,11,12},1),{5,4,3,2,9,8,7,6,5,4,3,2}),11)),VALUE(MID(G986,14,1))=IF(MOD(SUMPRODUCT(--MID(G986,{1,2,3,4,5,6,7,8,9,10,11,12,13},1),{6,5,4,3,2,9,8,7,6,5,4,3,2}),11)&lt;2,0,11-MOD(SUMPRODUCT(--MID(G986,{1,2,3,4,5,6,7,8,9,10,11,12,13},1),{6,5,4,3,2,9,8,7,6,5,4,3,2}),11))),"OK","AVISO: dígito verificador (conferir na org)"))))</f>
      </c>
      <c r="I986" s="6">
        <f>IF(G986="","",IF(COUNTIF($G$2:$G$2001,G986)&gt;1,"DUPLICADO","OK"))</f>
      </c>
      <c r="J986" s="6">
        <f>IF(COUNTA(A986:F986)=0,"",IF(AND(A986&lt;&gt;"",E986&lt;&gt;""),"OK","ERRO: faltam "&amp;IF(A986="","CNPJ; ","")&amp;IF(E986="","Novo gerente; ","")))</f>
      </c>
      <c r="K986" s="6">
        <f>IF(COUNTA(A986:F986)=0,"",IF(AND(LEFT(H986,4)&lt;&gt;"ERRO",I986="OK",J986="OK"),"OK","REVISAR"))</f>
      </c>
    </row>
    <row r="987">
      <c r="A987" s="5"/>
      <c r="B987" s="4"/>
      <c r="C987" s="4"/>
      <c r="D987" s="4"/>
      <c r="E987" s="5"/>
      <c r="F987" s="4"/>
      <c r="G987" s="6">
        <f>IF(A987="","",SUBSTITUTE(SUBSTITUTE(SUBSTITUTE(SUBSTITUTE(SUBSTITUTE(SUBSTITUTE(SUBSTITUTE(TRIM(A987),".",""),"/",""),"-","")," ",""),"(",""),")",""),"+",""))</f>
      </c>
      <c r="H987" s="6">
        <f>IF(G987="","",IF(LEN(G987)&lt;&gt;14,"ERRO: "&amp;LEN(G987)&amp;" dígitos",IF(NOT(ISNUMBER(VALUE(G987))),"ERRO: não numérico",IF(AND(VALUE(MID(G987,13,1))=IF(MOD(SUMPRODUCT(--MID(G987,{1,2,3,4,5,6,7,8,9,10,11,12},1),{5,4,3,2,9,8,7,6,5,4,3,2}),11)&lt;2,0,11-MOD(SUMPRODUCT(--MID(G987,{1,2,3,4,5,6,7,8,9,10,11,12},1),{5,4,3,2,9,8,7,6,5,4,3,2}),11)),VALUE(MID(G987,14,1))=IF(MOD(SUMPRODUCT(--MID(G987,{1,2,3,4,5,6,7,8,9,10,11,12,13},1),{6,5,4,3,2,9,8,7,6,5,4,3,2}),11)&lt;2,0,11-MOD(SUMPRODUCT(--MID(G987,{1,2,3,4,5,6,7,8,9,10,11,12,13},1),{6,5,4,3,2,9,8,7,6,5,4,3,2}),11))),"OK","AVISO: dígito verificador (conferir na org)"))))</f>
      </c>
      <c r="I987" s="6">
        <f>IF(G987="","",IF(COUNTIF($G$2:$G$2001,G987)&gt;1,"DUPLICADO","OK"))</f>
      </c>
      <c r="J987" s="6">
        <f>IF(COUNTA(A987:F987)=0,"",IF(AND(A987&lt;&gt;"",E987&lt;&gt;""),"OK","ERRO: faltam "&amp;IF(A987="","CNPJ; ","")&amp;IF(E987="","Novo gerente; ","")))</f>
      </c>
      <c r="K987" s="6">
        <f>IF(COUNTA(A987:F987)=0,"",IF(AND(LEFT(H987,4)&lt;&gt;"ERRO",I987="OK",J987="OK"),"OK","REVISAR"))</f>
      </c>
    </row>
    <row r="988">
      <c r="A988" s="5"/>
      <c r="B988" s="4"/>
      <c r="C988" s="4"/>
      <c r="D988" s="4"/>
      <c r="E988" s="5"/>
      <c r="F988" s="4"/>
      <c r="G988" s="6">
        <f>IF(A988="","",SUBSTITUTE(SUBSTITUTE(SUBSTITUTE(SUBSTITUTE(SUBSTITUTE(SUBSTITUTE(SUBSTITUTE(TRIM(A988),".",""),"/",""),"-","")," ",""),"(",""),")",""),"+",""))</f>
      </c>
      <c r="H988" s="6">
        <f>IF(G988="","",IF(LEN(G988)&lt;&gt;14,"ERRO: "&amp;LEN(G988)&amp;" dígitos",IF(NOT(ISNUMBER(VALUE(G988))),"ERRO: não numérico",IF(AND(VALUE(MID(G988,13,1))=IF(MOD(SUMPRODUCT(--MID(G988,{1,2,3,4,5,6,7,8,9,10,11,12},1),{5,4,3,2,9,8,7,6,5,4,3,2}),11)&lt;2,0,11-MOD(SUMPRODUCT(--MID(G988,{1,2,3,4,5,6,7,8,9,10,11,12},1),{5,4,3,2,9,8,7,6,5,4,3,2}),11)),VALUE(MID(G988,14,1))=IF(MOD(SUMPRODUCT(--MID(G988,{1,2,3,4,5,6,7,8,9,10,11,12,13},1),{6,5,4,3,2,9,8,7,6,5,4,3,2}),11)&lt;2,0,11-MOD(SUMPRODUCT(--MID(G988,{1,2,3,4,5,6,7,8,9,10,11,12,13},1),{6,5,4,3,2,9,8,7,6,5,4,3,2}),11))),"OK","AVISO: dígito verificador (conferir na org)"))))</f>
      </c>
      <c r="I988" s="6">
        <f>IF(G988="","",IF(COUNTIF($G$2:$G$2001,G988)&gt;1,"DUPLICADO","OK"))</f>
      </c>
      <c r="J988" s="6">
        <f>IF(COUNTA(A988:F988)=0,"",IF(AND(A988&lt;&gt;"",E988&lt;&gt;""),"OK","ERRO: faltam "&amp;IF(A988="","CNPJ; ","")&amp;IF(E988="","Novo gerente; ","")))</f>
      </c>
      <c r="K988" s="6">
        <f>IF(COUNTA(A988:F988)=0,"",IF(AND(LEFT(H988,4)&lt;&gt;"ERRO",I988="OK",J988="OK"),"OK","REVISAR"))</f>
      </c>
    </row>
    <row r="989">
      <c r="A989" s="5"/>
      <c r="B989" s="4"/>
      <c r="C989" s="4"/>
      <c r="D989" s="4"/>
      <c r="E989" s="5"/>
      <c r="F989" s="4"/>
      <c r="G989" s="6">
        <f>IF(A989="","",SUBSTITUTE(SUBSTITUTE(SUBSTITUTE(SUBSTITUTE(SUBSTITUTE(SUBSTITUTE(SUBSTITUTE(TRIM(A989),".",""),"/",""),"-","")," ",""),"(",""),")",""),"+",""))</f>
      </c>
      <c r="H989" s="6">
        <f>IF(G989="","",IF(LEN(G989)&lt;&gt;14,"ERRO: "&amp;LEN(G989)&amp;" dígitos",IF(NOT(ISNUMBER(VALUE(G989))),"ERRO: não numérico",IF(AND(VALUE(MID(G989,13,1))=IF(MOD(SUMPRODUCT(--MID(G989,{1,2,3,4,5,6,7,8,9,10,11,12},1),{5,4,3,2,9,8,7,6,5,4,3,2}),11)&lt;2,0,11-MOD(SUMPRODUCT(--MID(G989,{1,2,3,4,5,6,7,8,9,10,11,12},1),{5,4,3,2,9,8,7,6,5,4,3,2}),11)),VALUE(MID(G989,14,1))=IF(MOD(SUMPRODUCT(--MID(G989,{1,2,3,4,5,6,7,8,9,10,11,12,13},1),{6,5,4,3,2,9,8,7,6,5,4,3,2}),11)&lt;2,0,11-MOD(SUMPRODUCT(--MID(G989,{1,2,3,4,5,6,7,8,9,10,11,12,13},1),{6,5,4,3,2,9,8,7,6,5,4,3,2}),11))),"OK","AVISO: dígito verificador (conferir na org)"))))</f>
      </c>
      <c r="I989" s="6">
        <f>IF(G989="","",IF(COUNTIF($G$2:$G$2001,G989)&gt;1,"DUPLICADO","OK"))</f>
      </c>
      <c r="J989" s="6">
        <f>IF(COUNTA(A989:F989)=0,"",IF(AND(A989&lt;&gt;"",E989&lt;&gt;""),"OK","ERRO: faltam "&amp;IF(A989="","CNPJ; ","")&amp;IF(E989="","Novo gerente; ","")))</f>
      </c>
      <c r="K989" s="6">
        <f>IF(COUNTA(A989:F989)=0,"",IF(AND(LEFT(H989,4)&lt;&gt;"ERRO",I989="OK",J989="OK"),"OK","REVISAR"))</f>
      </c>
    </row>
    <row r="990">
      <c r="A990" s="5"/>
      <c r="B990" s="4"/>
      <c r="C990" s="4"/>
      <c r="D990" s="4"/>
      <c r="E990" s="5"/>
      <c r="F990" s="4"/>
      <c r="G990" s="6">
        <f>IF(A990="","",SUBSTITUTE(SUBSTITUTE(SUBSTITUTE(SUBSTITUTE(SUBSTITUTE(SUBSTITUTE(SUBSTITUTE(TRIM(A990),".",""),"/",""),"-","")," ",""),"(",""),")",""),"+",""))</f>
      </c>
      <c r="H990" s="6">
        <f>IF(G990="","",IF(LEN(G990)&lt;&gt;14,"ERRO: "&amp;LEN(G990)&amp;" dígitos",IF(NOT(ISNUMBER(VALUE(G990))),"ERRO: não numérico",IF(AND(VALUE(MID(G990,13,1))=IF(MOD(SUMPRODUCT(--MID(G990,{1,2,3,4,5,6,7,8,9,10,11,12},1),{5,4,3,2,9,8,7,6,5,4,3,2}),11)&lt;2,0,11-MOD(SUMPRODUCT(--MID(G990,{1,2,3,4,5,6,7,8,9,10,11,12},1),{5,4,3,2,9,8,7,6,5,4,3,2}),11)),VALUE(MID(G990,14,1))=IF(MOD(SUMPRODUCT(--MID(G990,{1,2,3,4,5,6,7,8,9,10,11,12,13},1),{6,5,4,3,2,9,8,7,6,5,4,3,2}),11)&lt;2,0,11-MOD(SUMPRODUCT(--MID(G990,{1,2,3,4,5,6,7,8,9,10,11,12,13},1),{6,5,4,3,2,9,8,7,6,5,4,3,2}),11))),"OK","AVISO: dígito verificador (conferir na org)"))))</f>
      </c>
      <c r="I990" s="6">
        <f>IF(G990="","",IF(COUNTIF($G$2:$G$2001,G990)&gt;1,"DUPLICADO","OK"))</f>
      </c>
      <c r="J990" s="6">
        <f>IF(COUNTA(A990:F990)=0,"",IF(AND(A990&lt;&gt;"",E990&lt;&gt;""),"OK","ERRO: faltam "&amp;IF(A990="","CNPJ; ","")&amp;IF(E990="","Novo gerente; ","")))</f>
      </c>
      <c r="K990" s="6">
        <f>IF(COUNTA(A990:F990)=0,"",IF(AND(LEFT(H990,4)&lt;&gt;"ERRO",I990="OK",J990="OK"),"OK","REVISAR"))</f>
      </c>
    </row>
    <row r="991">
      <c r="A991" s="5"/>
      <c r="B991" s="4"/>
      <c r="C991" s="4"/>
      <c r="D991" s="4"/>
      <c r="E991" s="5"/>
      <c r="F991" s="4"/>
      <c r="G991" s="6">
        <f>IF(A991="","",SUBSTITUTE(SUBSTITUTE(SUBSTITUTE(SUBSTITUTE(SUBSTITUTE(SUBSTITUTE(SUBSTITUTE(TRIM(A991),".",""),"/",""),"-","")," ",""),"(",""),")",""),"+",""))</f>
      </c>
      <c r="H991" s="6">
        <f>IF(G991="","",IF(LEN(G991)&lt;&gt;14,"ERRO: "&amp;LEN(G991)&amp;" dígitos",IF(NOT(ISNUMBER(VALUE(G991))),"ERRO: não numérico",IF(AND(VALUE(MID(G991,13,1))=IF(MOD(SUMPRODUCT(--MID(G991,{1,2,3,4,5,6,7,8,9,10,11,12},1),{5,4,3,2,9,8,7,6,5,4,3,2}),11)&lt;2,0,11-MOD(SUMPRODUCT(--MID(G991,{1,2,3,4,5,6,7,8,9,10,11,12},1),{5,4,3,2,9,8,7,6,5,4,3,2}),11)),VALUE(MID(G991,14,1))=IF(MOD(SUMPRODUCT(--MID(G991,{1,2,3,4,5,6,7,8,9,10,11,12,13},1),{6,5,4,3,2,9,8,7,6,5,4,3,2}),11)&lt;2,0,11-MOD(SUMPRODUCT(--MID(G991,{1,2,3,4,5,6,7,8,9,10,11,12,13},1),{6,5,4,3,2,9,8,7,6,5,4,3,2}),11))),"OK","AVISO: dígito verificador (conferir na org)"))))</f>
      </c>
      <c r="I991" s="6">
        <f>IF(G991="","",IF(COUNTIF($G$2:$G$2001,G991)&gt;1,"DUPLICADO","OK"))</f>
      </c>
      <c r="J991" s="6">
        <f>IF(COUNTA(A991:F991)=0,"",IF(AND(A991&lt;&gt;"",E991&lt;&gt;""),"OK","ERRO: faltam "&amp;IF(A991="","CNPJ; ","")&amp;IF(E991="","Novo gerente; ","")))</f>
      </c>
      <c r="K991" s="6">
        <f>IF(COUNTA(A991:F991)=0,"",IF(AND(LEFT(H991,4)&lt;&gt;"ERRO",I991="OK",J991="OK"),"OK","REVISAR"))</f>
      </c>
    </row>
    <row r="992">
      <c r="A992" s="5"/>
      <c r="B992" s="4"/>
      <c r="C992" s="4"/>
      <c r="D992" s="4"/>
      <c r="E992" s="5"/>
      <c r="F992" s="4"/>
      <c r="G992" s="6">
        <f>IF(A992="","",SUBSTITUTE(SUBSTITUTE(SUBSTITUTE(SUBSTITUTE(SUBSTITUTE(SUBSTITUTE(SUBSTITUTE(TRIM(A992),".",""),"/",""),"-","")," ",""),"(",""),")",""),"+",""))</f>
      </c>
      <c r="H992" s="6">
        <f>IF(G992="","",IF(LEN(G992)&lt;&gt;14,"ERRO: "&amp;LEN(G992)&amp;" dígitos",IF(NOT(ISNUMBER(VALUE(G992))),"ERRO: não numérico",IF(AND(VALUE(MID(G992,13,1))=IF(MOD(SUMPRODUCT(--MID(G992,{1,2,3,4,5,6,7,8,9,10,11,12},1),{5,4,3,2,9,8,7,6,5,4,3,2}),11)&lt;2,0,11-MOD(SUMPRODUCT(--MID(G992,{1,2,3,4,5,6,7,8,9,10,11,12},1),{5,4,3,2,9,8,7,6,5,4,3,2}),11)),VALUE(MID(G992,14,1))=IF(MOD(SUMPRODUCT(--MID(G992,{1,2,3,4,5,6,7,8,9,10,11,12,13},1),{6,5,4,3,2,9,8,7,6,5,4,3,2}),11)&lt;2,0,11-MOD(SUMPRODUCT(--MID(G992,{1,2,3,4,5,6,7,8,9,10,11,12,13},1),{6,5,4,3,2,9,8,7,6,5,4,3,2}),11))),"OK","AVISO: dígito verificador (conferir na org)"))))</f>
      </c>
      <c r="I992" s="6">
        <f>IF(G992="","",IF(COUNTIF($G$2:$G$2001,G992)&gt;1,"DUPLICADO","OK"))</f>
      </c>
      <c r="J992" s="6">
        <f>IF(COUNTA(A992:F992)=0,"",IF(AND(A992&lt;&gt;"",E992&lt;&gt;""),"OK","ERRO: faltam "&amp;IF(A992="","CNPJ; ","")&amp;IF(E992="","Novo gerente; ","")))</f>
      </c>
      <c r="K992" s="6">
        <f>IF(COUNTA(A992:F992)=0,"",IF(AND(LEFT(H992,4)&lt;&gt;"ERRO",I992="OK",J992="OK"),"OK","REVISAR"))</f>
      </c>
    </row>
    <row r="993">
      <c r="A993" s="5"/>
      <c r="B993" s="4"/>
      <c r="C993" s="4"/>
      <c r="D993" s="4"/>
      <c r="E993" s="5"/>
      <c r="F993" s="4"/>
      <c r="G993" s="6">
        <f>IF(A993="","",SUBSTITUTE(SUBSTITUTE(SUBSTITUTE(SUBSTITUTE(SUBSTITUTE(SUBSTITUTE(SUBSTITUTE(TRIM(A993),".",""),"/",""),"-","")," ",""),"(",""),")",""),"+",""))</f>
      </c>
      <c r="H993" s="6">
        <f>IF(G993="","",IF(LEN(G993)&lt;&gt;14,"ERRO: "&amp;LEN(G993)&amp;" dígitos",IF(NOT(ISNUMBER(VALUE(G993))),"ERRO: não numérico",IF(AND(VALUE(MID(G993,13,1))=IF(MOD(SUMPRODUCT(--MID(G993,{1,2,3,4,5,6,7,8,9,10,11,12},1),{5,4,3,2,9,8,7,6,5,4,3,2}),11)&lt;2,0,11-MOD(SUMPRODUCT(--MID(G993,{1,2,3,4,5,6,7,8,9,10,11,12},1),{5,4,3,2,9,8,7,6,5,4,3,2}),11)),VALUE(MID(G993,14,1))=IF(MOD(SUMPRODUCT(--MID(G993,{1,2,3,4,5,6,7,8,9,10,11,12,13},1),{6,5,4,3,2,9,8,7,6,5,4,3,2}),11)&lt;2,0,11-MOD(SUMPRODUCT(--MID(G993,{1,2,3,4,5,6,7,8,9,10,11,12,13},1),{6,5,4,3,2,9,8,7,6,5,4,3,2}),11))),"OK","AVISO: dígito verificador (conferir na org)"))))</f>
      </c>
      <c r="I993" s="6">
        <f>IF(G993="","",IF(COUNTIF($G$2:$G$2001,G993)&gt;1,"DUPLICADO","OK"))</f>
      </c>
      <c r="J993" s="6">
        <f>IF(COUNTA(A993:F993)=0,"",IF(AND(A993&lt;&gt;"",E993&lt;&gt;""),"OK","ERRO: faltam "&amp;IF(A993="","CNPJ; ","")&amp;IF(E993="","Novo gerente; ","")))</f>
      </c>
      <c r="K993" s="6">
        <f>IF(COUNTA(A993:F993)=0,"",IF(AND(LEFT(H993,4)&lt;&gt;"ERRO",I993="OK",J993="OK"),"OK","REVISAR"))</f>
      </c>
    </row>
    <row r="994">
      <c r="A994" s="5"/>
      <c r="B994" s="4"/>
      <c r="C994" s="4"/>
      <c r="D994" s="4"/>
      <c r="E994" s="5"/>
      <c r="F994" s="4"/>
      <c r="G994" s="6">
        <f>IF(A994="","",SUBSTITUTE(SUBSTITUTE(SUBSTITUTE(SUBSTITUTE(SUBSTITUTE(SUBSTITUTE(SUBSTITUTE(TRIM(A994),".",""),"/",""),"-","")," ",""),"(",""),")",""),"+",""))</f>
      </c>
      <c r="H994" s="6">
        <f>IF(G994="","",IF(LEN(G994)&lt;&gt;14,"ERRO: "&amp;LEN(G994)&amp;" dígitos",IF(NOT(ISNUMBER(VALUE(G994))),"ERRO: não numérico",IF(AND(VALUE(MID(G994,13,1))=IF(MOD(SUMPRODUCT(--MID(G994,{1,2,3,4,5,6,7,8,9,10,11,12},1),{5,4,3,2,9,8,7,6,5,4,3,2}),11)&lt;2,0,11-MOD(SUMPRODUCT(--MID(G994,{1,2,3,4,5,6,7,8,9,10,11,12},1),{5,4,3,2,9,8,7,6,5,4,3,2}),11)),VALUE(MID(G994,14,1))=IF(MOD(SUMPRODUCT(--MID(G994,{1,2,3,4,5,6,7,8,9,10,11,12,13},1),{6,5,4,3,2,9,8,7,6,5,4,3,2}),11)&lt;2,0,11-MOD(SUMPRODUCT(--MID(G994,{1,2,3,4,5,6,7,8,9,10,11,12,13},1),{6,5,4,3,2,9,8,7,6,5,4,3,2}),11))),"OK","AVISO: dígito verificador (conferir na org)"))))</f>
      </c>
      <c r="I994" s="6">
        <f>IF(G994="","",IF(COUNTIF($G$2:$G$2001,G994)&gt;1,"DUPLICADO","OK"))</f>
      </c>
      <c r="J994" s="6">
        <f>IF(COUNTA(A994:F994)=0,"",IF(AND(A994&lt;&gt;"",E994&lt;&gt;""),"OK","ERRO: faltam "&amp;IF(A994="","CNPJ; ","")&amp;IF(E994="","Novo gerente; ","")))</f>
      </c>
      <c r="K994" s="6">
        <f>IF(COUNTA(A994:F994)=0,"",IF(AND(LEFT(H994,4)&lt;&gt;"ERRO",I994="OK",J994="OK"),"OK","REVISAR"))</f>
      </c>
    </row>
    <row r="995">
      <c r="A995" s="5"/>
      <c r="B995" s="4"/>
      <c r="C995" s="4"/>
      <c r="D995" s="4"/>
      <c r="E995" s="5"/>
      <c r="F995" s="4"/>
      <c r="G995" s="6">
        <f>IF(A995="","",SUBSTITUTE(SUBSTITUTE(SUBSTITUTE(SUBSTITUTE(SUBSTITUTE(SUBSTITUTE(SUBSTITUTE(TRIM(A995),".",""),"/",""),"-","")," ",""),"(",""),")",""),"+",""))</f>
      </c>
      <c r="H995" s="6">
        <f>IF(G995="","",IF(LEN(G995)&lt;&gt;14,"ERRO: "&amp;LEN(G995)&amp;" dígitos",IF(NOT(ISNUMBER(VALUE(G995))),"ERRO: não numérico",IF(AND(VALUE(MID(G995,13,1))=IF(MOD(SUMPRODUCT(--MID(G995,{1,2,3,4,5,6,7,8,9,10,11,12},1),{5,4,3,2,9,8,7,6,5,4,3,2}),11)&lt;2,0,11-MOD(SUMPRODUCT(--MID(G995,{1,2,3,4,5,6,7,8,9,10,11,12},1),{5,4,3,2,9,8,7,6,5,4,3,2}),11)),VALUE(MID(G995,14,1))=IF(MOD(SUMPRODUCT(--MID(G995,{1,2,3,4,5,6,7,8,9,10,11,12,13},1),{6,5,4,3,2,9,8,7,6,5,4,3,2}),11)&lt;2,0,11-MOD(SUMPRODUCT(--MID(G995,{1,2,3,4,5,6,7,8,9,10,11,12,13},1),{6,5,4,3,2,9,8,7,6,5,4,3,2}),11))),"OK","AVISO: dígito verificador (conferir na org)"))))</f>
      </c>
      <c r="I995" s="6">
        <f>IF(G995="","",IF(COUNTIF($G$2:$G$2001,G995)&gt;1,"DUPLICADO","OK"))</f>
      </c>
      <c r="J995" s="6">
        <f>IF(COUNTA(A995:F995)=0,"",IF(AND(A995&lt;&gt;"",E995&lt;&gt;""),"OK","ERRO: faltam "&amp;IF(A995="","CNPJ; ","")&amp;IF(E995="","Novo gerente; ","")))</f>
      </c>
      <c r="K995" s="6">
        <f>IF(COUNTA(A995:F995)=0,"",IF(AND(LEFT(H995,4)&lt;&gt;"ERRO",I995="OK",J995="OK"),"OK","REVISAR"))</f>
      </c>
    </row>
    <row r="996">
      <c r="A996" s="5"/>
      <c r="B996" s="4"/>
      <c r="C996" s="4"/>
      <c r="D996" s="4"/>
      <c r="E996" s="5"/>
      <c r="F996" s="4"/>
      <c r="G996" s="6">
        <f>IF(A996="","",SUBSTITUTE(SUBSTITUTE(SUBSTITUTE(SUBSTITUTE(SUBSTITUTE(SUBSTITUTE(SUBSTITUTE(TRIM(A996),".",""),"/",""),"-","")," ",""),"(",""),")",""),"+",""))</f>
      </c>
      <c r="H996" s="6">
        <f>IF(G996="","",IF(LEN(G996)&lt;&gt;14,"ERRO: "&amp;LEN(G996)&amp;" dígitos",IF(NOT(ISNUMBER(VALUE(G996))),"ERRO: não numérico",IF(AND(VALUE(MID(G996,13,1))=IF(MOD(SUMPRODUCT(--MID(G996,{1,2,3,4,5,6,7,8,9,10,11,12},1),{5,4,3,2,9,8,7,6,5,4,3,2}),11)&lt;2,0,11-MOD(SUMPRODUCT(--MID(G996,{1,2,3,4,5,6,7,8,9,10,11,12},1),{5,4,3,2,9,8,7,6,5,4,3,2}),11)),VALUE(MID(G996,14,1))=IF(MOD(SUMPRODUCT(--MID(G996,{1,2,3,4,5,6,7,8,9,10,11,12,13},1),{6,5,4,3,2,9,8,7,6,5,4,3,2}),11)&lt;2,0,11-MOD(SUMPRODUCT(--MID(G996,{1,2,3,4,5,6,7,8,9,10,11,12,13},1),{6,5,4,3,2,9,8,7,6,5,4,3,2}),11))),"OK","AVISO: dígito verificador (conferir na org)"))))</f>
      </c>
      <c r="I996" s="6">
        <f>IF(G996="","",IF(COUNTIF($G$2:$G$2001,G996)&gt;1,"DUPLICADO","OK"))</f>
      </c>
      <c r="J996" s="6">
        <f>IF(COUNTA(A996:F996)=0,"",IF(AND(A996&lt;&gt;"",E996&lt;&gt;""),"OK","ERRO: faltam "&amp;IF(A996="","CNPJ; ","")&amp;IF(E996="","Novo gerente; ","")))</f>
      </c>
      <c r="K996" s="6">
        <f>IF(COUNTA(A996:F996)=0,"",IF(AND(LEFT(H996,4)&lt;&gt;"ERRO",I996="OK",J996="OK"),"OK","REVISAR"))</f>
      </c>
    </row>
    <row r="997">
      <c r="A997" s="5"/>
      <c r="B997" s="4"/>
      <c r="C997" s="4"/>
      <c r="D997" s="4"/>
      <c r="E997" s="5"/>
      <c r="F997" s="4"/>
      <c r="G997" s="6">
        <f>IF(A997="","",SUBSTITUTE(SUBSTITUTE(SUBSTITUTE(SUBSTITUTE(SUBSTITUTE(SUBSTITUTE(SUBSTITUTE(TRIM(A997),".",""),"/",""),"-","")," ",""),"(",""),")",""),"+",""))</f>
      </c>
      <c r="H997" s="6">
        <f>IF(G997="","",IF(LEN(G997)&lt;&gt;14,"ERRO: "&amp;LEN(G997)&amp;" dígitos",IF(NOT(ISNUMBER(VALUE(G997))),"ERRO: não numérico",IF(AND(VALUE(MID(G997,13,1))=IF(MOD(SUMPRODUCT(--MID(G997,{1,2,3,4,5,6,7,8,9,10,11,12},1),{5,4,3,2,9,8,7,6,5,4,3,2}),11)&lt;2,0,11-MOD(SUMPRODUCT(--MID(G997,{1,2,3,4,5,6,7,8,9,10,11,12},1),{5,4,3,2,9,8,7,6,5,4,3,2}),11)),VALUE(MID(G997,14,1))=IF(MOD(SUMPRODUCT(--MID(G997,{1,2,3,4,5,6,7,8,9,10,11,12,13},1),{6,5,4,3,2,9,8,7,6,5,4,3,2}),11)&lt;2,0,11-MOD(SUMPRODUCT(--MID(G997,{1,2,3,4,5,6,7,8,9,10,11,12,13},1),{6,5,4,3,2,9,8,7,6,5,4,3,2}),11))),"OK","AVISO: dígito verificador (conferir na org)"))))</f>
      </c>
      <c r="I997" s="6">
        <f>IF(G997="","",IF(COUNTIF($G$2:$G$2001,G997)&gt;1,"DUPLICADO","OK"))</f>
      </c>
      <c r="J997" s="6">
        <f>IF(COUNTA(A997:F997)=0,"",IF(AND(A997&lt;&gt;"",E997&lt;&gt;""),"OK","ERRO: faltam "&amp;IF(A997="","CNPJ; ","")&amp;IF(E997="","Novo gerente; ","")))</f>
      </c>
      <c r="K997" s="6">
        <f>IF(COUNTA(A997:F997)=0,"",IF(AND(LEFT(H997,4)&lt;&gt;"ERRO",I997="OK",J997="OK"),"OK","REVISAR"))</f>
      </c>
    </row>
    <row r="998">
      <c r="A998" s="5"/>
      <c r="B998" s="4"/>
      <c r="C998" s="4"/>
      <c r="D998" s="4"/>
      <c r="E998" s="5"/>
      <c r="F998" s="4"/>
      <c r="G998" s="6">
        <f>IF(A998="","",SUBSTITUTE(SUBSTITUTE(SUBSTITUTE(SUBSTITUTE(SUBSTITUTE(SUBSTITUTE(SUBSTITUTE(TRIM(A998),".",""),"/",""),"-","")," ",""),"(",""),")",""),"+",""))</f>
      </c>
      <c r="H998" s="6">
        <f>IF(G998="","",IF(LEN(G998)&lt;&gt;14,"ERRO: "&amp;LEN(G998)&amp;" dígitos",IF(NOT(ISNUMBER(VALUE(G998))),"ERRO: não numérico",IF(AND(VALUE(MID(G998,13,1))=IF(MOD(SUMPRODUCT(--MID(G998,{1,2,3,4,5,6,7,8,9,10,11,12},1),{5,4,3,2,9,8,7,6,5,4,3,2}),11)&lt;2,0,11-MOD(SUMPRODUCT(--MID(G998,{1,2,3,4,5,6,7,8,9,10,11,12},1),{5,4,3,2,9,8,7,6,5,4,3,2}),11)),VALUE(MID(G998,14,1))=IF(MOD(SUMPRODUCT(--MID(G998,{1,2,3,4,5,6,7,8,9,10,11,12,13},1),{6,5,4,3,2,9,8,7,6,5,4,3,2}),11)&lt;2,0,11-MOD(SUMPRODUCT(--MID(G998,{1,2,3,4,5,6,7,8,9,10,11,12,13},1),{6,5,4,3,2,9,8,7,6,5,4,3,2}),11))),"OK","AVISO: dígito verificador (conferir na org)"))))</f>
      </c>
      <c r="I998" s="6">
        <f>IF(G998="","",IF(COUNTIF($G$2:$G$2001,G998)&gt;1,"DUPLICADO","OK"))</f>
      </c>
      <c r="J998" s="6">
        <f>IF(COUNTA(A998:F998)=0,"",IF(AND(A998&lt;&gt;"",E998&lt;&gt;""),"OK","ERRO: faltam "&amp;IF(A998="","CNPJ; ","")&amp;IF(E998="","Novo gerente; ","")))</f>
      </c>
      <c r="K998" s="6">
        <f>IF(COUNTA(A998:F998)=0,"",IF(AND(LEFT(H998,4)&lt;&gt;"ERRO",I998="OK",J998="OK"),"OK","REVISAR"))</f>
      </c>
    </row>
    <row r="999">
      <c r="A999" s="5"/>
      <c r="B999" s="4"/>
      <c r="C999" s="4"/>
      <c r="D999" s="4"/>
      <c r="E999" s="5"/>
      <c r="F999" s="4"/>
      <c r="G999" s="6">
        <f>IF(A999="","",SUBSTITUTE(SUBSTITUTE(SUBSTITUTE(SUBSTITUTE(SUBSTITUTE(SUBSTITUTE(SUBSTITUTE(TRIM(A999),".",""),"/",""),"-","")," ",""),"(",""),")",""),"+",""))</f>
      </c>
      <c r="H999" s="6">
        <f>IF(G999="","",IF(LEN(G999)&lt;&gt;14,"ERRO: "&amp;LEN(G999)&amp;" dígitos",IF(NOT(ISNUMBER(VALUE(G999))),"ERRO: não numérico",IF(AND(VALUE(MID(G999,13,1))=IF(MOD(SUMPRODUCT(--MID(G999,{1,2,3,4,5,6,7,8,9,10,11,12},1),{5,4,3,2,9,8,7,6,5,4,3,2}),11)&lt;2,0,11-MOD(SUMPRODUCT(--MID(G999,{1,2,3,4,5,6,7,8,9,10,11,12},1),{5,4,3,2,9,8,7,6,5,4,3,2}),11)),VALUE(MID(G999,14,1))=IF(MOD(SUMPRODUCT(--MID(G999,{1,2,3,4,5,6,7,8,9,10,11,12,13},1),{6,5,4,3,2,9,8,7,6,5,4,3,2}),11)&lt;2,0,11-MOD(SUMPRODUCT(--MID(G999,{1,2,3,4,5,6,7,8,9,10,11,12,13},1),{6,5,4,3,2,9,8,7,6,5,4,3,2}),11))),"OK","AVISO: dígito verificador (conferir na org)"))))</f>
      </c>
      <c r="I999" s="6">
        <f>IF(G999="","",IF(COUNTIF($G$2:$G$2001,G999)&gt;1,"DUPLICADO","OK"))</f>
      </c>
      <c r="J999" s="6">
        <f>IF(COUNTA(A999:F999)=0,"",IF(AND(A999&lt;&gt;"",E999&lt;&gt;""),"OK","ERRO: faltam "&amp;IF(A999="","CNPJ; ","")&amp;IF(E999="","Novo gerente; ","")))</f>
      </c>
      <c r="K999" s="6">
        <f>IF(COUNTA(A999:F999)=0,"",IF(AND(LEFT(H999,4)&lt;&gt;"ERRO",I999="OK",J999="OK"),"OK","REVISAR"))</f>
      </c>
    </row>
    <row r="1000">
      <c r="A1000" s="5"/>
      <c r="B1000" s="4"/>
      <c r="C1000" s="4"/>
      <c r="D1000" s="4"/>
      <c r="E1000" s="5"/>
      <c r="F1000" s="4"/>
      <c r="G1000" s="6">
        <f>IF(A1000="","",SUBSTITUTE(SUBSTITUTE(SUBSTITUTE(SUBSTITUTE(SUBSTITUTE(SUBSTITUTE(SUBSTITUTE(TRIM(A1000),".",""),"/",""),"-","")," ",""),"(",""),")",""),"+",""))</f>
      </c>
      <c r="H1000" s="6">
        <f>IF(G1000="","",IF(LEN(G1000)&lt;&gt;14,"ERRO: "&amp;LEN(G1000)&amp;" dígitos",IF(NOT(ISNUMBER(VALUE(G1000))),"ERRO: não numérico",IF(AND(VALUE(MID(G1000,13,1))=IF(MOD(SUMPRODUCT(--MID(G1000,{1,2,3,4,5,6,7,8,9,10,11,12},1),{5,4,3,2,9,8,7,6,5,4,3,2}),11)&lt;2,0,11-MOD(SUMPRODUCT(--MID(G1000,{1,2,3,4,5,6,7,8,9,10,11,12},1),{5,4,3,2,9,8,7,6,5,4,3,2}),11)),VALUE(MID(G1000,14,1))=IF(MOD(SUMPRODUCT(--MID(G1000,{1,2,3,4,5,6,7,8,9,10,11,12,13},1),{6,5,4,3,2,9,8,7,6,5,4,3,2}),11)&lt;2,0,11-MOD(SUMPRODUCT(--MID(G1000,{1,2,3,4,5,6,7,8,9,10,11,12,13},1),{6,5,4,3,2,9,8,7,6,5,4,3,2}),11))),"OK","AVISO: dígito verificador (conferir na org)"))))</f>
      </c>
      <c r="I1000" s="6">
        <f>IF(G1000="","",IF(COUNTIF($G$2:$G$2001,G1000)&gt;1,"DUPLICADO","OK"))</f>
      </c>
      <c r="J1000" s="6">
        <f>IF(COUNTA(A1000:F1000)=0,"",IF(AND(A1000&lt;&gt;"",E1000&lt;&gt;""),"OK","ERRO: faltam "&amp;IF(A1000="","CNPJ; ","")&amp;IF(E1000="","Novo gerente; ","")))</f>
      </c>
      <c r="K1000" s="6">
        <f>IF(COUNTA(A1000:F1000)=0,"",IF(AND(LEFT(H1000,4)&lt;&gt;"ERRO",I1000="OK",J1000="OK"),"OK","REVISAR"))</f>
      </c>
    </row>
    <row r="1001">
      <c r="A1001" s="5"/>
      <c r="B1001" s="4"/>
      <c r="C1001" s="4"/>
      <c r="D1001" s="4"/>
      <c r="E1001" s="5"/>
      <c r="F1001" s="4"/>
      <c r="G1001" s="6">
        <f>IF(A1001="","",SUBSTITUTE(SUBSTITUTE(SUBSTITUTE(SUBSTITUTE(SUBSTITUTE(SUBSTITUTE(SUBSTITUTE(TRIM(A1001),".",""),"/",""),"-","")," ",""),"(",""),")",""),"+",""))</f>
      </c>
      <c r="H1001" s="6">
        <f>IF(G1001="","",IF(LEN(G1001)&lt;&gt;14,"ERRO: "&amp;LEN(G1001)&amp;" dígitos",IF(NOT(ISNUMBER(VALUE(G1001))),"ERRO: não numérico",IF(AND(VALUE(MID(G1001,13,1))=IF(MOD(SUMPRODUCT(--MID(G1001,{1,2,3,4,5,6,7,8,9,10,11,12},1),{5,4,3,2,9,8,7,6,5,4,3,2}),11)&lt;2,0,11-MOD(SUMPRODUCT(--MID(G1001,{1,2,3,4,5,6,7,8,9,10,11,12},1),{5,4,3,2,9,8,7,6,5,4,3,2}),11)),VALUE(MID(G1001,14,1))=IF(MOD(SUMPRODUCT(--MID(G1001,{1,2,3,4,5,6,7,8,9,10,11,12,13},1),{6,5,4,3,2,9,8,7,6,5,4,3,2}),11)&lt;2,0,11-MOD(SUMPRODUCT(--MID(G1001,{1,2,3,4,5,6,7,8,9,10,11,12,13},1),{6,5,4,3,2,9,8,7,6,5,4,3,2}),11))),"OK","AVISO: dígito verificador (conferir na org)"))))</f>
      </c>
      <c r="I1001" s="6">
        <f>IF(G1001="","",IF(COUNTIF($G$2:$G$2001,G1001)&gt;1,"DUPLICADO","OK"))</f>
      </c>
      <c r="J1001" s="6">
        <f>IF(COUNTA(A1001:F1001)=0,"",IF(AND(A1001&lt;&gt;"",E1001&lt;&gt;""),"OK","ERRO: faltam "&amp;IF(A1001="","CNPJ; ","")&amp;IF(E1001="","Novo gerente; ","")))</f>
      </c>
      <c r="K1001" s="6">
        <f>IF(COUNTA(A1001:F1001)=0,"",IF(AND(LEFT(H1001,4)&lt;&gt;"ERRO",I1001="OK",J1001="OK"),"OK","REVISAR"))</f>
      </c>
    </row>
    <row r="1002">
      <c r="A1002" s="5"/>
      <c r="B1002" s="4"/>
      <c r="C1002" s="4"/>
      <c r="D1002" s="4"/>
      <c r="E1002" s="5"/>
      <c r="F1002" s="4"/>
      <c r="G1002" s="6">
        <f>IF(A1002="","",SUBSTITUTE(SUBSTITUTE(SUBSTITUTE(SUBSTITUTE(SUBSTITUTE(SUBSTITUTE(SUBSTITUTE(TRIM(A1002),".",""),"/",""),"-","")," ",""),"(",""),")",""),"+",""))</f>
      </c>
      <c r="H1002" s="6">
        <f>IF(G1002="","",IF(LEN(G1002)&lt;&gt;14,"ERRO: "&amp;LEN(G1002)&amp;" dígitos",IF(NOT(ISNUMBER(VALUE(G1002))),"ERRO: não numérico",IF(AND(VALUE(MID(G1002,13,1))=IF(MOD(SUMPRODUCT(--MID(G1002,{1,2,3,4,5,6,7,8,9,10,11,12},1),{5,4,3,2,9,8,7,6,5,4,3,2}),11)&lt;2,0,11-MOD(SUMPRODUCT(--MID(G1002,{1,2,3,4,5,6,7,8,9,10,11,12},1),{5,4,3,2,9,8,7,6,5,4,3,2}),11)),VALUE(MID(G1002,14,1))=IF(MOD(SUMPRODUCT(--MID(G1002,{1,2,3,4,5,6,7,8,9,10,11,12,13},1),{6,5,4,3,2,9,8,7,6,5,4,3,2}),11)&lt;2,0,11-MOD(SUMPRODUCT(--MID(G1002,{1,2,3,4,5,6,7,8,9,10,11,12,13},1),{6,5,4,3,2,9,8,7,6,5,4,3,2}),11))),"OK","AVISO: dígito verificador (conferir na org)"))))</f>
      </c>
      <c r="I1002" s="6">
        <f>IF(G1002="","",IF(COUNTIF($G$2:$G$2001,G1002)&gt;1,"DUPLICADO","OK"))</f>
      </c>
      <c r="J1002" s="6">
        <f>IF(COUNTA(A1002:F1002)=0,"",IF(AND(A1002&lt;&gt;"",E1002&lt;&gt;""),"OK","ERRO: faltam "&amp;IF(A1002="","CNPJ; ","")&amp;IF(E1002="","Novo gerente; ","")))</f>
      </c>
      <c r="K1002" s="6">
        <f>IF(COUNTA(A1002:F1002)=0,"",IF(AND(LEFT(H1002,4)&lt;&gt;"ERRO",I1002="OK",J1002="OK"),"OK","REVISAR"))</f>
      </c>
    </row>
    <row r="1003">
      <c r="A1003" s="5"/>
      <c r="B1003" s="4"/>
      <c r="C1003" s="4"/>
      <c r="D1003" s="4"/>
      <c r="E1003" s="5"/>
      <c r="F1003" s="4"/>
      <c r="G1003" s="6">
        <f>IF(A1003="","",SUBSTITUTE(SUBSTITUTE(SUBSTITUTE(SUBSTITUTE(SUBSTITUTE(SUBSTITUTE(SUBSTITUTE(TRIM(A1003),".",""),"/",""),"-","")," ",""),"(",""),")",""),"+",""))</f>
      </c>
      <c r="H1003" s="6">
        <f>IF(G1003="","",IF(LEN(G1003)&lt;&gt;14,"ERRO: "&amp;LEN(G1003)&amp;" dígitos",IF(NOT(ISNUMBER(VALUE(G1003))),"ERRO: não numérico",IF(AND(VALUE(MID(G1003,13,1))=IF(MOD(SUMPRODUCT(--MID(G1003,{1,2,3,4,5,6,7,8,9,10,11,12},1),{5,4,3,2,9,8,7,6,5,4,3,2}),11)&lt;2,0,11-MOD(SUMPRODUCT(--MID(G1003,{1,2,3,4,5,6,7,8,9,10,11,12},1),{5,4,3,2,9,8,7,6,5,4,3,2}),11)),VALUE(MID(G1003,14,1))=IF(MOD(SUMPRODUCT(--MID(G1003,{1,2,3,4,5,6,7,8,9,10,11,12,13},1),{6,5,4,3,2,9,8,7,6,5,4,3,2}),11)&lt;2,0,11-MOD(SUMPRODUCT(--MID(G1003,{1,2,3,4,5,6,7,8,9,10,11,12,13},1),{6,5,4,3,2,9,8,7,6,5,4,3,2}),11))),"OK","AVISO: dígito verificador (conferir na org)"))))</f>
      </c>
      <c r="I1003" s="6">
        <f>IF(G1003="","",IF(COUNTIF($G$2:$G$2001,G1003)&gt;1,"DUPLICADO","OK"))</f>
      </c>
      <c r="J1003" s="6">
        <f>IF(COUNTA(A1003:F1003)=0,"",IF(AND(A1003&lt;&gt;"",E1003&lt;&gt;""),"OK","ERRO: faltam "&amp;IF(A1003="","CNPJ; ","")&amp;IF(E1003="","Novo gerente; ","")))</f>
      </c>
      <c r="K1003" s="6">
        <f>IF(COUNTA(A1003:F1003)=0,"",IF(AND(LEFT(H1003,4)&lt;&gt;"ERRO",I1003="OK",J1003="OK"),"OK","REVISAR"))</f>
      </c>
    </row>
    <row r="1004">
      <c r="A1004" s="5"/>
      <c r="B1004" s="4"/>
      <c r="C1004" s="4"/>
      <c r="D1004" s="4"/>
      <c r="E1004" s="5"/>
      <c r="F1004" s="4"/>
      <c r="G1004" s="6">
        <f>IF(A1004="","",SUBSTITUTE(SUBSTITUTE(SUBSTITUTE(SUBSTITUTE(SUBSTITUTE(SUBSTITUTE(SUBSTITUTE(TRIM(A1004),".",""),"/",""),"-","")," ",""),"(",""),")",""),"+",""))</f>
      </c>
      <c r="H1004" s="6">
        <f>IF(G1004="","",IF(LEN(G1004)&lt;&gt;14,"ERRO: "&amp;LEN(G1004)&amp;" dígitos",IF(NOT(ISNUMBER(VALUE(G1004))),"ERRO: não numérico",IF(AND(VALUE(MID(G1004,13,1))=IF(MOD(SUMPRODUCT(--MID(G1004,{1,2,3,4,5,6,7,8,9,10,11,12},1),{5,4,3,2,9,8,7,6,5,4,3,2}),11)&lt;2,0,11-MOD(SUMPRODUCT(--MID(G1004,{1,2,3,4,5,6,7,8,9,10,11,12},1),{5,4,3,2,9,8,7,6,5,4,3,2}),11)),VALUE(MID(G1004,14,1))=IF(MOD(SUMPRODUCT(--MID(G1004,{1,2,3,4,5,6,7,8,9,10,11,12,13},1),{6,5,4,3,2,9,8,7,6,5,4,3,2}),11)&lt;2,0,11-MOD(SUMPRODUCT(--MID(G1004,{1,2,3,4,5,6,7,8,9,10,11,12,13},1),{6,5,4,3,2,9,8,7,6,5,4,3,2}),11))),"OK","AVISO: dígito verificador (conferir na org)"))))</f>
      </c>
      <c r="I1004" s="6">
        <f>IF(G1004="","",IF(COUNTIF($G$2:$G$2001,G1004)&gt;1,"DUPLICADO","OK"))</f>
      </c>
      <c r="J1004" s="6">
        <f>IF(COUNTA(A1004:F1004)=0,"",IF(AND(A1004&lt;&gt;"",E1004&lt;&gt;""),"OK","ERRO: faltam "&amp;IF(A1004="","CNPJ; ","")&amp;IF(E1004="","Novo gerente; ","")))</f>
      </c>
      <c r="K1004" s="6">
        <f>IF(COUNTA(A1004:F1004)=0,"",IF(AND(LEFT(H1004,4)&lt;&gt;"ERRO",I1004="OK",J1004="OK"),"OK","REVISAR"))</f>
      </c>
    </row>
    <row r="1005">
      <c r="A1005" s="5"/>
      <c r="B1005" s="4"/>
      <c r="C1005" s="4"/>
      <c r="D1005" s="4"/>
      <c r="E1005" s="5"/>
      <c r="F1005" s="4"/>
      <c r="G1005" s="6">
        <f>IF(A1005="","",SUBSTITUTE(SUBSTITUTE(SUBSTITUTE(SUBSTITUTE(SUBSTITUTE(SUBSTITUTE(SUBSTITUTE(TRIM(A1005),".",""),"/",""),"-","")," ",""),"(",""),")",""),"+",""))</f>
      </c>
      <c r="H1005" s="6">
        <f>IF(G1005="","",IF(LEN(G1005)&lt;&gt;14,"ERRO: "&amp;LEN(G1005)&amp;" dígitos",IF(NOT(ISNUMBER(VALUE(G1005))),"ERRO: não numérico",IF(AND(VALUE(MID(G1005,13,1))=IF(MOD(SUMPRODUCT(--MID(G1005,{1,2,3,4,5,6,7,8,9,10,11,12},1),{5,4,3,2,9,8,7,6,5,4,3,2}),11)&lt;2,0,11-MOD(SUMPRODUCT(--MID(G1005,{1,2,3,4,5,6,7,8,9,10,11,12},1),{5,4,3,2,9,8,7,6,5,4,3,2}),11)),VALUE(MID(G1005,14,1))=IF(MOD(SUMPRODUCT(--MID(G1005,{1,2,3,4,5,6,7,8,9,10,11,12,13},1),{6,5,4,3,2,9,8,7,6,5,4,3,2}),11)&lt;2,0,11-MOD(SUMPRODUCT(--MID(G1005,{1,2,3,4,5,6,7,8,9,10,11,12,13},1),{6,5,4,3,2,9,8,7,6,5,4,3,2}),11))),"OK","AVISO: dígito verificador (conferir na org)"))))</f>
      </c>
      <c r="I1005" s="6">
        <f>IF(G1005="","",IF(COUNTIF($G$2:$G$2001,G1005)&gt;1,"DUPLICADO","OK"))</f>
      </c>
      <c r="J1005" s="6">
        <f>IF(COUNTA(A1005:F1005)=0,"",IF(AND(A1005&lt;&gt;"",E1005&lt;&gt;""),"OK","ERRO: faltam "&amp;IF(A1005="","CNPJ; ","")&amp;IF(E1005="","Novo gerente; ","")))</f>
      </c>
      <c r="K1005" s="6">
        <f>IF(COUNTA(A1005:F1005)=0,"",IF(AND(LEFT(H1005,4)&lt;&gt;"ERRO",I1005="OK",J1005="OK"),"OK","REVISAR"))</f>
      </c>
    </row>
    <row r="1006">
      <c r="A1006" s="5"/>
      <c r="B1006" s="4"/>
      <c r="C1006" s="4"/>
      <c r="D1006" s="4"/>
      <c r="E1006" s="5"/>
      <c r="F1006" s="4"/>
      <c r="G1006" s="6">
        <f>IF(A1006="","",SUBSTITUTE(SUBSTITUTE(SUBSTITUTE(SUBSTITUTE(SUBSTITUTE(SUBSTITUTE(SUBSTITUTE(TRIM(A1006),".",""),"/",""),"-","")," ",""),"(",""),")",""),"+",""))</f>
      </c>
      <c r="H1006" s="6">
        <f>IF(G1006="","",IF(LEN(G1006)&lt;&gt;14,"ERRO: "&amp;LEN(G1006)&amp;" dígitos",IF(NOT(ISNUMBER(VALUE(G1006))),"ERRO: não numérico",IF(AND(VALUE(MID(G1006,13,1))=IF(MOD(SUMPRODUCT(--MID(G1006,{1,2,3,4,5,6,7,8,9,10,11,12},1),{5,4,3,2,9,8,7,6,5,4,3,2}),11)&lt;2,0,11-MOD(SUMPRODUCT(--MID(G1006,{1,2,3,4,5,6,7,8,9,10,11,12},1),{5,4,3,2,9,8,7,6,5,4,3,2}),11)),VALUE(MID(G1006,14,1))=IF(MOD(SUMPRODUCT(--MID(G1006,{1,2,3,4,5,6,7,8,9,10,11,12,13},1),{6,5,4,3,2,9,8,7,6,5,4,3,2}),11)&lt;2,0,11-MOD(SUMPRODUCT(--MID(G1006,{1,2,3,4,5,6,7,8,9,10,11,12,13},1),{6,5,4,3,2,9,8,7,6,5,4,3,2}),11))),"OK","AVISO: dígito verificador (conferir na org)"))))</f>
      </c>
      <c r="I1006" s="6">
        <f>IF(G1006="","",IF(COUNTIF($G$2:$G$2001,G1006)&gt;1,"DUPLICADO","OK"))</f>
      </c>
      <c r="J1006" s="6">
        <f>IF(COUNTA(A1006:F1006)=0,"",IF(AND(A1006&lt;&gt;"",E1006&lt;&gt;""),"OK","ERRO: faltam "&amp;IF(A1006="","CNPJ; ","")&amp;IF(E1006="","Novo gerente; ","")))</f>
      </c>
      <c r="K1006" s="6">
        <f>IF(COUNTA(A1006:F1006)=0,"",IF(AND(LEFT(H1006,4)&lt;&gt;"ERRO",I1006="OK",J1006="OK"),"OK","REVISAR"))</f>
      </c>
    </row>
    <row r="1007">
      <c r="A1007" s="5"/>
      <c r="B1007" s="4"/>
      <c r="C1007" s="4"/>
      <c r="D1007" s="4"/>
      <c r="E1007" s="5"/>
      <c r="F1007" s="4"/>
      <c r="G1007" s="6">
        <f>IF(A1007="","",SUBSTITUTE(SUBSTITUTE(SUBSTITUTE(SUBSTITUTE(SUBSTITUTE(SUBSTITUTE(SUBSTITUTE(TRIM(A1007),".",""),"/",""),"-","")," ",""),"(",""),")",""),"+",""))</f>
      </c>
      <c r="H1007" s="6">
        <f>IF(G1007="","",IF(LEN(G1007)&lt;&gt;14,"ERRO: "&amp;LEN(G1007)&amp;" dígitos",IF(NOT(ISNUMBER(VALUE(G1007))),"ERRO: não numérico",IF(AND(VALUE(MID(G1007,13,1))=IF(MOD(SUMPRODUCT(--MID(G1007,{1,2,3,4,5,6,7,8,9,10,11,12},1),{5,4,3,2,9,8,7,6,5,4,3,2}),11)&lt;2,0,11-MOD(SUMPRODUCT(--MID(G1007,{1,2,3,4,5,6,7,8,9,10,11,12},1),{5,4,3,2,9,8,7,6,5,4,3,2}),11)),VALUE(MID(G1007,14,1))=IF(MOD(SUMPRODUCT(--MID(G1007,{1,2,3,4,5,6,7,8,9,10,11,12,13},1),{6,5,4,3,2,9,8,7,6,5,4,3,2}),11)&lt;2,0,11-MOD(SUMPRODUCT(--MID(G1007,{1,2,3,4,5,6,7,8,9,10,11,12,13},1),{6,5,4,3,2,9,8,7,6,5,4,3,2}),11))),"OK","AVISO: dígito verificador (conferir na org)"))))</f>
      </c>
      <c r="I1007" s="6">
        <f>IF(G1007="","",IF(COUNTIF($G$2:$G$2001,G1007)&gt;1,"DUPLICADO","OK"))</f>
      </c>
      <c r="J1007" s="6">
        <f>IF(COUNTA(A1007:F1007)=0,"",IF(AND(A1007&lt;&gt;"",E1007&lt;&gt;""),"OK","ERRO: faltam "&amp;IF(A1007="","CNPJ; ","")&amp;IF(E1007="","Novo gerente; ","")))</f>
      </c>
      <c r="K1007" s="6">
        <f>IF(COUNTA(A1007:F1007)=0,"",IF(AND(LEFT(H1007,4)&lt;&gt;"ERRO",I1007="OK",J1007="OK"),"OK","REVISAR"))</f>
      </c>
    </row>
    <row r="1008">
      <c r="A1008" s="5"/>
      <c r="B1008" s="4"/>
      <c r="C1008" s="4"/>
      <c r="D1008" s="4"/>
      <c r="E1008" s="5"/>
      <c r="F1008" s="4"/>
      <c r="G1008" s="6">
        <f>IF(A1008="","",SUBSTITUTE(SUBSTITUTE(SUBSTITUTE(SUBSTITUTE(SUBSTITUTE(SUBSTITUTE(SUBSTITUTE(TRIM(A1008),".",""),"/",""),"-","")," ",""),"(",""),")",""),"+",""))</f>
      </c>
      <c r="H1008" s="6">
        <f>IF(G1008="","",IF(LEN(G1008)&lt;&gt;14,"ERRO: "&amp;LEN(G1008)&amp;" dígitos",IF(NOT(ISNUMBER(VALUE(G1008))),"ERRO: não numérico",IF(AND(VALUE(MID(G1008,13,1))=IF(MOD(SUMPRODUCT(--MID(G1008,{1,2,3,4,5,6,7,8,9,10,11,12},1),{5,4,3,2,9,8,7,6,5,4,3,2}),11)&lt;2,0,11-MOD(SUMPRODUCT(--MID(G1008,{1,2,3,4,5,6,7,8,9,10,11,12},1),{5,4,3,2,9,8,7,6,5,4,3,2}),11)),VALUE(MID(G1008,14,1))=IF(MOD(SUMPRODUCT(--MID(G1008,{1,2,3,4,5,6,7,8,9,10,11,12,13},1),{6,5,4,3,2,9,8,7,6,5,4,3,2}),11)&lt;2,0,11-MOD(SUMPRODUCT(--MID(G1008,{1,2,3,4,5,6,7,8,9,10,11,12,13},1),{6,5,4,3,2,9,8,7,6,5,4,3,2}),11))),"OK","AVISO: dígito verificador (conferir na org)"))))</f>
      </c>
      <c r="I1008" s="6">
        <f>IF(G1008="","",IF(COUNTIF($G$2:$G$2001,G1008)&gt;1,"DUPLICADO","OK"))</f>
      </c>
      <c r="J1008" s="6">
        <f>IF(COUNTA(A1008:F1008)=0,"",IF(AND(A1008&lt;&gt;"",E1008&lt;&gt;""),"OK","ERRO: faltam "&amp;IF(A1008="","CNPJ; ","")&amp;IF(E1008="","Novo gerente; ","")))</f>
      </c>
      <c r="K1008" s="6">
        <f>IF(COUNTA(A1008:F1008)=0,"",IF(AND(LEFT(H1008,4)&lt;&gt;"ERRO",I1008="OK",J1008="OK"),"OK","REVISAR"))</f>
      </c>
    </row>
    <row r="1009">
      <c r="A1009" s="5"/>
      <c r="B1009" s="4"/>
      <c r="C1009" s="4"/>
      <c r="D1009" s="4"/>
      <c r="E1009" s="5"/>
      <c r="F1009" s="4"/>
      <c r="G1009" s="6">
        <f>IF(A1009="","",SUBSTITUTE(SUBSTITUTE(SUBSTITUTE(SUBSTITUTE(SUBSTITUTE(SUBSTITUTE(SUBSTITUTE(TRIM(A1009),".",""),"/",""),"-","")," ",""),"(",""),")",""),"+",""))</f>
      </c>
      <c r="H1009" s="6">
        <f>IF(G1009="","",IF(LEN(G1009)&lt;&gt;14,"ERRO: "&amp;LEN(G1009)&amp;" dígitos",IF(NOT(ISNUMBER(VALUE(G1009))),"ERRO: não numérico",IF(AND(VALUE(MID(G1009,13,1))=IF(MOD(SUMPRODUCT(--MID(G1009,{1,2,3,4,5,6,7,8,9,10,11,12},1),{5,4,3,2,9,8,7,6,5,4,3,2}),11)&lt;2,0,11-MOD(SUMPRODUCT(--MID(G1009,{1,2,3,4,5,6,7,8,9,10,11,12},1),{5,4,3,2,9,8,7,6,5,4,3,2}),11)),VALUE(MID(G1009,14,1))=IF(MOD(SUMPRODUCT(--MID(G1009,{1,2,3,4,5,6,7,8,9,10,11,12,13},1),{6,5,4,3,2,9,8,7,6,5,4,3,2}),11)&lt;2,0,11-MOD(SUMPRODUCT(--MID(G1009,{1,2,3,4,5,6,7,8,9,10,11,12,13},1),{6,5,4,3,2,9,8,7,6,5,4,3,2}),11))),"OK","AVISO: dígito verificador (conferir na org)"))))</f>
      </c>
      <c r="I1009" s="6">
        <f>IF(G1009="","",IF(COUNTIF($G$2:$G$2001,G1009)&gt;1,"DUPLICADO","OK"))</f>
      </c>
      <c r="J1009" s="6">
        <f>IF(COUNTA(A1009:F1009)=0,"",IF(AND(A1009&lt;&gt;"",E1009&lt;&gt;""),"OK","ERRO: faltam "&amp;IF(A1009="","CNPJ; ","")&amp;IF(E1009="","Novo gerente; ","")))</f>
      </c>
      <c r="K1009" s="6">
        <f>IF(COUNTA(A1009:F1009)=0,"",IF(AND(LEFT(H1009,4)&lt;&gt;"ERRO",I1009="OK",J1009="OK"),"OK","REVISAR"))</f>
      </c>
    </row>
    <row r="1010">
      <c r="A1010" s="5"/>
      <c r="B1010" s="4"/>
      <c r="C1010" s="4"/>
      <c r="D1010" s="4"/>
      <c r="E1010" s="5"/>
      <c r="F1010" s="4"/>
      <c r="G1010" s="6">
        <f>IF(A1010="","",SUBSTITUTE(SUBSTITUTE(SUBSTITUTE(SUBSTITUTE(SUBSTITUTE(SUBSTITUTE(SUBSTITUTE(TRIM(A1010),".",""),"/",""),"-","")," ",""),"(",""),")",""),"+",""))</f>
      </c>
      <c r="H1010" s="6">
        <f>IF(G1010="","",IF(LEN(G1010)&lt;&gt;14,"ERRO: "&amp;LEN(G1010)&amp;" dígitos",IF(NOT(ISNUMBER(VALUE(G1010))),"ERRO: não numérico",IF(AND(VALUE(MID(G1010,13,1))=IF(MOD(SUMPRODUCT(--MID(G1010,{1,2,3,4,5,6,7,8,9,10,11,12},1),{5,4,3,2,9,8,7,6,5,4,3,2}),11)&lt;2,0,11-MOD(SUMPRODUCT(--MID(G1010,{1,2,3,4,5,6,7,8,9,10,11,12},1),{5,4,3,2,9,8,7,6,5,4,3,2}),11)),VALUE(MID(G1010,14,1))=IF(MOD(SUMPRODUCT(--MID(G1010,{1,2,3,4,5,6,7,8,9,10,11,12,13},1),{6,5,4,3,2,9,8,7,6,5,4,3,2}),11)&lt;2,0,11-MOD(SUMPRODUCT(--MID(G1010,{1,2,3,4,5,6,7,8,9,10,11,12,13},1),{6,5,4,3,2,9,8,7,6,5,4,3,2}),11))),"OK","AVISO: dígito verificador (conferir na org)"))))</f>
      </c>
      <c r="I1010" s="6">
        <f>IF(G1010="","",IF(COUNTIF($G$2:$G$2001,G1010)&gt;1,"DUPLICADO","OK"))</f>
      </c>
      <c r="J1010" s="6">
        <f>IF(COUNTA(A1010:F1010)=0,"",IF(AND(A1010&lt;&gt;"",E1010&lt;&gt;""),"OK","ERRO: faltam "&amp;IF(A1010="","CNPJ; ","")&amp;IF(E1010="","Novo gerente; ","")))</f>
      </c>
      <c r="K1010" s="6">
        <f>IF(COUNTA(A1010:F1010)=0,"",IF(AND(LEFT(H1010,4)&lt;&gt;"ERRO",I1010="OK",J1010="OK"),"OK","REVISAR"))</f>
      </c>
    </row>
    <row r="1011">
      <c r="A1011" s="5"/>
      <c r="B1011" s="4"/>
      <c r="C1011" s="4"/>
      <c r="D1011" s="4"/>
      <c r="E1011" s="5"/>
      <c r="F1011" s="4"/>
      <c r="G1011" s="6">
        <f>IF(A1011="","",SUBSTITUTE(SUBSTITUTE(SUBSTITUTE(SUBSTITUTE(SUBSTITUTE(SUBSTITUTE(SUBSTITUTE(TRIM(A1011),".",""),"/",""),"-","")," ",""),"(",""),")",""),"+",""))</f>
      </c>
      <c r="H1011" s="6">
        <f>IF(G1011="","",IF(LEN(G1011)&lt;&gt;14,"ERRO: "&amp;LEN(G1011)&amp;" dígitos",IF(NOT(ISNUMBER(VALUE(G1011))),"ERRO: não numérico",IF(AND(VALUE(MID(G1011,13,1))=IF(MOD(SUMPRODUCT(--MID(G1011,{1,2,3,4,5,6,7,8,9,10,11,12},1),{5,4,3,2,9,8,7,6,5,4,3,2}),11)&lt;2,0,11-MOD(SUMPRODUCT(--MID(G1011,{1,2,3,4,5,6,7,8,9,10,11,12},1),{5,4,3,2,9,8,7,6,5,4,3,2}),11)),VALUE(MID(G1011,14,1))=IF(MOD(SUMPRODUCT(--MID(G1011,{1,2,3,4,5,6,7,8,9,10,11,12,13},1),{6,5,4,3,2,9,8,7,6,5,4,3,2}),11)&lt;2,0,11-MOD(SUMPRODUCT(--MID(G1011,{1,2,3,4,5,6,7,8,9,10,11,12,13},1),{6,5,4,3,2,9,8,7,6,5,4,3,2}),11))),"OK","AVISO: dígito verificador (conferir na org)"))))</f>
      </c>
      <c r="I1011" s="6">
        <f>IF(G1011="","",IF(COUNTIF($G$2:$G$2001,G1011)&gt;1,"DUPLICADO","OK"))</f>
      </c>
      <c r="J1011" s="6">
        <f>IF(COUNTA(A1011:F1011)=0,"",IF(AND(A1011&lt;&gt;"",E1011&lt;&gt;""),"OK","ERRO: faltam "&amp;IF(A1011="","CNPJ; ","")&amp;IF(E1011="","Novo gerente; ","")))</f>
      </c>
      <c r="K1011" s="6">
        <f>IF(COUNTA(A1011:F1011)=0,"",IF(AND(LEFT(H1011,4)&lt;&gt;"ERRO",I1011="OK",J1011="OK"),"OK","REVISAR"))</f>
      </c>
    </row>
    <row r="1012">
      <c r="A1012" s="5"/>
      <c r="B1012" s="4"/>
      <c r="C1012" s="4"/>
      <c r="D1012" s="4"/>
      <c r="E1012" s="5"/>
      <c r="F1012" s="4"/>
      <c r="G1012" s="6">
        <f>IF(A1012="","",SUBSTITUTE(SUBSTITUTE(SUBSTITUTE(SUBSTITUTE(SUBSTITUTE(SUBSTITUTE(SUBSTITUTE(TRIM(A1012),".",""),"/",""),"-","")," ",""),"(",""),")",""),"+",""))</f>
      </c>
      <c r="H1012" s="6">
        <f>IF(G1012="","",IF(LEN(G1012)&lt;&gt;14,"ERRO: "&amp;LEN(G1012)&amp;" dígitos",IF(NOT(ISNUMBER(VALUE(G1012))),"ERRO: não numérico",IF(AND(VALUE(MID(G1012,13,1))=IF(MOD(SUMPRODUCT(--MID(G1012,{1,2,3,4,5,6,7,8,9,10,11,12},1),{5,4,3,2,9,8,7,6,5,4,3,2}),11)&lt;2,0,11-MOD(SUMPRODUCT(--MID(G1012,{1,2,3,4,5,6,7,8,9,10,11,12},1),{5,4,3,2,9,8,7,6,5,4,3,2}),11)),VALUE(MID(G1012,14,1))=IF(MOD(SUMPRODUCT(--MID(G1012,{1,2,3,4,5,6,7,8,9,10,11,12,13},1),{6,5,4,3,2,9,8,7,6,5,4,3,2}),11)&lt;2,0,11-MOD(SUMPRODUCT(--MID(G1012,{1,2,3,4,5,6,7,8,9,10,11,12,13},1),{6,5,4,3,2,9,8,7,6,5,4,3,2}),11))),"OK","AVISO: dígito verificador (conferir na org)"))))</f>
      </c>
      <c r="I1012" s="6">
        <f>IF(G1012="","",IF(COUNTIF($G$2:$G$2001,G1012)&gt;1,"DUPLICADO","OK"))</f>
      </c>
      <c r="J1012" s="6">
        <f>IF(COUNTA(A1012:F1012)=0,"",IF(AND(A1012&lt;&gt;"",E1012&lt;&gt;""),"OK","ERRO: faltam "&amp;IF(A1012="","CNPJ; ","")&amp;IF(E1012="","Novo gerente; ","")))</f>
      </c>
      <c r="K1012" s="6">
        <f>IF(COUNTA(A1012:F1012)=0,"",IF(AND(LEFT(H1012,4)&lt;&gt;"ERRO",I1012="OK",J1012="OK"),"OK","REVISAR"))</f>
      </c>
    </row>
    <row r="1013">
      <c r="A1013" s="5"/>
      <c r="B1013" s="4"/>
      <c r="C1013" s="4"/>
      <c r="D1013" s="4"/>
      <c r="E1013" s="5"/>
      <c r="F1013" s="4"/>
      <c r="G1013" s="6">
        <f>IF(A1013="","",SUBSTITUTE(SUBSTITUTE(SUBSTITUTE(SUBSTITUTE(SUBSTITUTE(SUBSTITUTE(SUBSTITUTE(TRIM(A1013),".",""),"/",""),"-","")," ",""),"(",""),")",""),"+",""))</f>
      </c>
      <c r="H1013" s="6">
        <f>IF(G1013="","",IF(LEN(G1013)&lt;&gt;14,"ERRO: "&amp;LEN(G1013)&amp;" dígitos",IF(NOT(ISNUMBER(VALUE(G1013))),"ERRO: não numérico",IF(AND(VALUE(MID(G1013,13,1))=IF(MOD(SUMPRODUCT(--MID(G1013,{1,2,3,4,5,6,7,8,9,10,11,12},1),{5,4,3,2,9,8,7,6,5,4,3,2}),11)&lt;2,0,11-MOD(SUMPRODUCT(--MID(G1013,{1,2,3,4,5,6,7,8,9,10,11,12},1),{5,4,3,2,9,8,7,6,5,4,3,2}),11)),VALUE(MID(G1013,14,1))=IF(MOD(SUMPRODUCT(--MID(G1013,{1,2,3,4,5,6,7,8,9,10,11,12,13},1),{6,5,4,3,2,9,8,7,6,5,4,3,2}),11)&lt;2,0,11-MOD(SUMPRODUCT(--MID(G1013,{1,2,3,4,5,6,7,8,9,10,11,12,13},1),{6,5,4,3,2,9,8,7,6,5,4,3,2}),11))),"OK","AVISO: dígito verificador (conferir na org)"))))</f>
      </c>
      <c r="I1013" s="6">
        <f>IF(G1013="","",IF(COUNTIF($G$2:$G$2001,G1013)&gt;1,"DUPLICADO","OK"))</f>
      </c>
      <c r="J1013" s="6">
        <f>IF(COUNTA(A1013:F1013)=0,"",IF(AND(A1013&lt;&gt;"",E1013&lt;&gt;""),"OK","ERRO: faltam "&amp;IF(A1013="","CNPJ; ","")&amp;IF(E1013="","Novo gerente; ","")))</f>
      </c>
      <c r="K1013" s="6">
        <f>IF(COUNTA(A1013:F1013)=0,"",IF(AND(LEFT(H1013,4)&lt;&gt;"ERRO",I1013="OK",J1013="OK"),"OK","REVISAR"))</f>
      </c>
    </row>
    <row r="1014">
      <c r="A1014" s="5"/>
      <c r="B1014" s="4"/>
      <c r="C1014" s="4"/>
      <c r="D1014" s="4"/>
      <c r="E1014" s="5"/>
      <c r="F1014" s="4"/>
      <c r="G1014" s="6">
        <f>IF(A1014="","",SUBSTITUTE(SUBSTITUTE(SUBSTITUTE(SUBSTITUTE(SUBSTITUTE(SUBSTITUTE(SUBSTITUTE(TRIM(A1014),".",""),"/",""),"-","")," ",""),"(",""),")",""),"+",""))</f>
      </c>
      <c r="H1014" s="6">
        <f>IF(G1014="","",IF(LEN(G1014)&lt;&gt;14,"ERRO: "&amp;LEN(G1014)&amp;" dígitos",IF(NOT(ISNUMBER(VALUE(G1014))),"ERRO: não numérico",IF(AND(VALUE(MID(G1014,13,1))=IF(MOD(SUMPRODUCT(--MID(G1014,{1,2,3,4,5,6,7,8,9,10,11,12},1),{5,4,3,2,9,8,7,6,5,4,3,2}),11)&lt;2,0,11-MOD(SUMPRODUCT(--MID(G1014,{1,2,3,4,5,6,7,8,9,10,11,12},1),{5,4,3,2,9,8,7,6,5,4,3,2}),11)),VALUE(MID(G1014,14,1))=IF(MOD(SUMPRODUCT(--MID(G1014,{1,2,3,4,5,6,7,8,9,10,11,12,13},1),{6,5,4,3,2,9,8,7,6,5,4,3,2}),11)&lt;2,0,11-MOD(SUMPRODUCT(--MID(G1014,{1,2,3,4,5,6,7,8,9,10,11,12,13},1),{6,5,4,3,2,9,8,7,6,5,4,3,2}),11))),"OK","AVISO: dígito verificador (conferir na org)"))))</f>
      </c>
      <c r="I1014" s="6">
        <f>IF(G1014="","",IF(COUNTIF($G$2:$G$2001,G1014)&gt;1,"DUPLICADO","OK"))</f>
      </c>
      <c r="J1014" s="6">
        <f>IF(COUNTA(A1014:F1014)=0,"",IF(AND(A1014&lt;&gt;"",E1014&lt;&gt;""),"OK","ERRO: faltam "&amp;IF(A1014="","CNPJ; ","")&amp;IF(E1014="","Novo gerente; ","")))</f>
      </c>
      <c r="K1014" s="6">
        <f>IF(COUNTA(A1014:F1014)=0,"",IF(AND(LEFT(H1014,4)&lt;&gt;"ERRO",I1014="OK",J1014="OK"),"OK","REVISAR"))</f>
      </c>
    </row>
    <row r="1015">
      <c r="A1015" s="5"/>
      <c r="B1015" s="4"/>
      <c r="C1015" s="4"/>
      <c r="D1015" s="4"/>
      <c r="E1015" s="5"/>
      <c r="F1015" s="4"/>
      <c r="G1015" s="6">
        <f>IF(A1015="","",SUBSTITUTE(SUBSTITUTE(SUBSTITUTE(SUBSTITUTE(SUBSTITUTE(SUBSTITUTE(SUBSTITUTE(TRIM(A1015),".",""),"/",""),"-","")," ",""),"(",""),")",""),"+",""))</f>
      </c>
      <c r="H1015" s="6">
        <f>IF(G1015="","",IF(LEN(G1015)&lt;&gt;14,"ERRO: "&amp;LEN(G1015)&amp;" dígitos",IF(NOT(ISNUMBER(VALUE(G1015))),"ERRO: não numérico",IF(AND(VALUE(MID(G1015,13,1))=IF(MOD(SUMPRODUCT(--MID(G1015,{1,2,3,4,5,6,7,8,9,10,11,12},1),{5,4,3,2,9,8,7,6,5,4,3,2}),11)&lt;2,0,11-MOD(SUMPRODUCT(--MID(G1015,{1,2,3,4,5,6,7,8,9,10,11,12},1),{5,4,3,2,9,8,7,6,5,4,3,2}),11)),VALUE(MID(G1015,14,1))=IF(MOD(SUMPRODUCT(--MID(G1015,{1,2,3,4,5,6,7,8,9,10,11,12,13},1),{6,5,4,3,2,9,8,7,6,5,4,3,2}),11)&lt;2,0,11-MOD(SUMPRODUCT(--MID(G1015,{1,2,3,4,5,6,7,8,9,10,11,12,13},1),{6,5,4,3,2,9,8,7,6,5,4,3,2}),11))),"OK","AVISO: dígito verificador (conferir na org)"))))</f>
      </c>
      <c r="I1015" s="6">
        <f>IF(G1015="","",IF(COUNTIF($G$2:$G$2001,G1015)&gt;1,"DUPLICADO","OK"))</f>
      </c>
      <c r="J1015" s="6">
        <f>IF(COUNTA(A1015:F1015)=0,"",IF(AND(A1015&lt;&gt;"",E1015&lt;&gt;""),"OK","ERRO: faltam "&amp;IF(A1015="","CNPJ; ","")&amp;IF(E1015="","Novo gerente; ","")))</f>
      </c>
      <c r="K1015" s="6">
        <f>IF(COUNTA(A1015:F1015)=0,"",IF(AND(LEFT(H1015,4)&lt;&gt;"ERRO",I1015="OK",J1015="OK"),"OK","REVISAR"))</f>
      </c>
    </row>
    <row r="1016">
      <c r="A1016" s="5"/>
      <c r="B1016" s="4"/>
      <c r="C1016" s="4"/>
      <c r="D1016" s="4"/>
      <c r="E1016" s="5"/>
      <c r="F1016" s="4"/>
      <c r="G1016" s="6">
        <f>IF(A1016="","",SUBSTITUTE(SUBSTITUTE(SUBSTITUTE(SUBSTITUTE(SUBSTITUTE(SUBSTITUTE(SUBSTITUTE(TRIM(A1016),".",""),"/",""),"-","")," ",""),"(",""),")",""),"+",""))</f>
      </c>
      <c r="H1016" s="6">
        <f>IF(G1016="","",IF(LEN(G1016)&lt;&gt;14,"ERRO: "&amp;LEN(G1016)&amp;" dígitos",IF(NOT(ISNUMBER(VALUE(G1016))),"ERRO: não numérico",IF(AND(VALUE(MID(G1016,13,1))=IF(MOD(SUMPRODUCT(--MID(G1016,{1,2,3,4,5,6,7,8,9,10,11,12},1),{5,4,3,2,9,8,7,6,5,4,3,2}),11)&lt;2,0,11-MOD(SUMPRODUCT(--MID(G1016,{1,2,3,4,5,6,7,8,9,10,11,12},1),{5,4,3,2,9,8,7,6,5,4,3,2}),11)),VALUE(MID(G1016,14,1))=IF(MOD(SUMPRODUCT(--MID(G1016,{1,2,3,4,5,6,7,8,9,10,11,12,13},1),{6,5,4,3,2,9,8,7,6,5,4,3,2}),11)&lt;2,0,11-MOD(SUMPRODUCT(--MID(G1016,{1,2,3,4,5,6,7,8,9,10,11,12,13},1),{6,5,4,3,2,9,8,7,6,5,4,3,2}),11))),"OK","AVISO: dígito verificador (conferir na org)"))))</f>
      </c>
      <c r="I1016" s="6">
        <f>IF(G1016="","",IF(COUNTIF($G$2:$G$2001,G1016)&gt;1,"DUPLICADO","OK"))</f>
      </c>
      <c r="J1016" s="6">
        <f>IF(COUNTA(A1016:F1016)=0,"",IF(AND(A1016&lt;&gt;"",E1016&lt;&gt;""),"OK","ERRO: faltam "&amp;IF(A1016="","CNPJ; ","")&amp;IF(E1016="","Novo gerente; ","")))</f>
      </c>
      <c r="K1016" s="6">
        <f>IF(COUNTA(A1016:F1016)=0,"",IF(AND(LEFT(H1016,4)&lt;&gt;"ERRO",I1016="OK",J1016="OK"),"OK","REVISAR"))</f>
      </c>
    </row>
    <row r="1017">
      <c r="A1017" s="5"/>
      <c r="B1017" s="4"/>
      <c r="C1017" s="4"/>
      <c r="D1017" s="4"/>
      <c r="E1017" s="5"/>
      <c r="F1017" s="4"/>
      <c r="G1017" s="6">
        <f>IF(A1017="","",SUBSTITUTE(SUBSTITUTE(SUBSTITUTE(SUBSTITUTE(SUBSTITUTE(SUBSTITUTE(SUBSTITUTE(TRIM(A1017),".",""),"/",""),"-","")," ",""),"(",""),")",""),"+",""))</f>
      </c>
      <c r="H1017" s="6">
        <f>IF(G1017="","",IF(LEN(G1017)&lt;&gt;14,"ERRO: "&amp;LEN(G1017)&amp;" dígitos",IF(NOT(ISNUMBER(VALUE(G1017))),"ERRO: não numérico",IF(AND(VALUE(MID(G1017,13,1))=IF(MOD(SUMPRODUCT(--MID(G1017,{1,2,3,4,5,6,7,8,9,10,11,12},1),{5,4,3,2,9,8,7,6,5,4,3,2}),11)&lt;2,0,11-MOD(SUMPRODUCT(--MID(G1017,{1,2,3,4,5,6,7,8,9,10,11,12},1),{5,4,3,2,9,8,7,6,5,4,3,2}),11)),VALUE(MID(G1017,14,1))=IF(MOD(SUMPRODUCT(--MID(G1017,{1,2,3,4,5,6,7,8,9,10,11,12,13},1),{6,5,4,3,2,9,8,7,6,5,4,3,2}),11)&lt;2,0,11-MOD(SUMPRODUCT(--MID(G1017,{1,2,3,4,5,6,7,8,9,10,11,12,13},1),{6,5,4,3,2,9,8,7,6,5,4,3,2}),11))),"OK","AVISO: dígito verificador (conferir na org)"))))</f>
      </c>
      <c r="I1017" s="6">
        <f>IF(G1017="","",IF(COUNTIF($G$2:$G$2001,G1017)&gt;1,"DUPLICADO","OK"))</f>
      </c>
      <c r="J1017" s="6">
        <f>IF(COUNTA(A1017:F1017)=0,"",IF(AND(A1017&lt;&gt;"",E1017&lt;&gt;""),"OK","ERRO: faltam "&amp;IF(A1017="","CNPJ; ","")&amp;IF(E1017="","Novo gerente; ","")))</f>
      </c>
      <c r="K1017" s="6">
        <f>IF(COUNTA(A1017:F1017)=0,"",IF(AND(LEFT(H1017,4)&lt;&gt;"ERRO",I1017="OK",J1017="OK"),"OK","REVISAR"))</f>
      </c>
    </row>
    <row r="1018">
      <c r="A1018" s="5"/>
      <c r="B1018" s="4"/>
      <c r="C1018" s="4"/>
      <c r="D1018" s="4"/>
      <c r="E1018" s="5"/>
      <c r="F1018" s="4"/>
      <c r="G1018" s="6">
        <f>IF(A1018="","",SUBSTITUTE(SUBSTITUTE(SUBSTITUTE(SUBSTITUTE(SUBSTITUTE(SUBSTITUTE(SUBSTITUTE(TRIM(A1018),".",""),"/",""),"-","")," ",""),"(",""),")",""),"+",""))</f>
      </c>
      <c r="H1018" s="6">
        <f>IF(G1018="","",IF(LEN(G1018)&lt;&gt;14,"ERRO: "&amp;LEN(G1018)&amp;" dígitos",IF(NOT(ISNUMBER(VALUE(G1018))),"ERRO: não numérico",IF(AND(VALUE(MID(G1018,13,1))=IF(MOD(SUMPRODUCT(--MID(G1018,{1,2,3,4,5,6,7,8,9,10,11,12},1),{5,4,3,2,9,8,7,6,5,4,3,2}),11)&lt;2,0,11-MOD(SUMPRODUCT(--MID(G1018,{1,2,3,4,5,6,7,8,9,10,11,12},1),{5,4,3,2,9,8,7,6,5,4,3,2}),11)),VALUE(MID(G1018,14,1))=IF(MOD(SUMPRODUCT(--MID(G1018,{1,2,3,4,5,6,7,8,9,10,11,12,13},1),{6,5,4,3,2,9,8,7,6,5,4,3,2}),11)&lt;2,0,11-MOD(SUMPRODUCT(--MID(G1018,{1,2,3,4,5,6,7,8,9,10,11,12,13},1),{6,5,4,3,2,9,8,7,6,5,4,3,2}),11))),"OK","AVISO: dígito verificador (conferir na org)"))))</f>
      </c>
      <c r="I1018" s="6">
        <f>IF(G1018="","",IF(COUNTIF($G$2:$G$2001,G1018)&gt;1,"DUPLICADO","OK"))</f>
      </c>
      <c r="J1018" s="6">
        <f>IF(COUNTA(A1018:F1018)=0,"",IF(AND(A1018&lt;&gt;"",E1018&lt;&gt;""),"OK","ERRO: faltam "&amp;IF(A1018="","CNPJ; ","")&amp;IF(E1018="","Novo gerente; ","")))</f>
      </c>
      <c r="K1018" s="6">
        <f>IF(COUNTA(A1018:F1018)=0,"",IF(AND(LEFT(H1018,4)&lt;&gt;"ERRO",I1018="OK",J1018="OK"),"OK","REVISAR"))</f>
      </c>
    </row>
    <row r="1019">
      <c r="A1019" s="5"/>
      <c r="B1019" s="4"/>
      <c r="C1019" s="4"/>
      <c r="D1019" s="4"/>
      <c r="E1019" s="5"/>
      <c r="F1019" s="4"/>
      <c r="G1019" s="6">
        <f>IF(A1019="","",SUBSTITUTE(SUBSTITUTE(SUBSTITUTE(SUBSTITUTE(SUBSTITUTE(SUBSTITUTE(SUBSTITUTE(TRIM(A1019),".",""),"/",""),"-","")," ",""),"(",""),")",""),"+",""))</f>
      </c>
      <c r="H1019" s="6">
        <f>IF(G1019="","",IF(LEN(G1019)&lt;&gt;14,"ERRO: "&amp;LEN(G1019)&amp;" dígitos",IF(NOT(ISNUMBER(VALUE(G1019))),"ERRO: não numérico",IF(AND(VALUE(MID(G1019,13,1))=IF(MOD(SUMPRODUCT(--MID(G1019,{1,2,3,4,5,6,7,8,9,10,11,12},1),{5,4,3,2,9,8,7,6,5,4,3,2}),11)&lt;2,0,11-MOD(SUMPRODUCT(--MID(G1019,{1,2,3,4,5,6,7,8,9,10,11,12},1),{5,4,3,2,9,8,7,6,5,4,3,2}),11)),VALUE(MID(G1019,14,1))=IF(MOD(SUMPRODUCT(--MID(G1019,{1,2,3,4,5,6,7,8,9,10,11,12,13},1),{6,5,4,3,2,9,8,7,6,5,4,3,2}),11)&lt;2,0,11-MOD(SUMPRODUCT(--MID(G1019,{1,2,3,4,5,6,7,8,9,10,11,12,13},1),{6,5,4,3,2,9,8,7,6,5,4,3,2}),11))),"OK","AVISO: dígito verificador (conferir na org)"))))</f>
      </c>
      <c r="I1019" s="6">
        <f>IF(G1019="","",IF(COUNTIF($G$2:$G$2001,G1019)&gt;1,"DUPLICADO","OK"))</f>
      </c>
      <c r="J1019" s="6">
        <f>IF(COUNTA(A1019:F1019)=0,"",IF(AND(A1019&lt;&gt;"",E1019&lt;&gt;""),"OK","ERRO: faltam "&amp;IF(A1019="","CNPJ; ","")&amp;IF(E1019="","Novo gerente; ","")))</f>
      </c>
      <c r="K1019" s="6">
        <f>IF(COUNTA(A1019:F1019)=0,"",IF(AND(LEFT(H1019,4)&lt;&gt;"ERRO",I1019="OK",J1019="OK"),"OK","REVISAR"))</f>
      </c>
    </row>
    <row r="1020">
      <c r="A1020" s="5"/>
      <c r="B1020" s="4"/>
      <c r="C1020" s="4"/>
      <c r="D1020" s="4"/>
      <c r="E1020" s="5"/>
      <c r="F1020" s="4"/>
      <c r="G1020" s="6">
        <f>IF(A1020="","",SUBSTITUTE(SUBSTITUTE(SUBSTITUTE(SUBSTITUTE(SUBSTITUTE(SUBSTITUTE(SUBSTITUTE(TRIM(A1020),".",""),"/",""),"-","")," ",""),"(",""),")",""),"+",""))</f>
      </c>
      <c r="H1020" s="6">
        <f>IF(G1020="","",IF(LEN(G1020)&lt;&gt;14,"ERRO: "&amp;LEN(G1020)&amp;" dígitos",IF(NOT(ISNUMBER(VALUE(G1020))),"ERRO: não numérico",IF(AND(VALUE(MID(G1020,13,1))=IF(MOD(SUMPRODUCT(--MID(G1020,{1,2,3,4,5,6,7,8,9,10,11,12},1),{5,4,3,2,9,8,7,6,5,4,3,2}),11)&lt;2,0,11-MOD(SUMPRODUCT(--MID(G1020,{1,2,3,4,5,6,7,8,9,10,11,12},1),{5,4,3,2,9,8,7,6,5,4,3,2}),11)),VALUE(MID(G1020,14,1))=IF(MOD(SUMPRODUCT(--MID(G1020,{1,2,3,4,5,6,7,8,9,10,11,12,13},1),{6,5,4,3,2,9,8,7,6,5,4,3,2}),11)&lt;2,0,11-MOD(SUMPRODUCT(--MID(G1020,{1,2,3,4,5,6,7,8,9,10,11,12,13},1),{6,5,4,3,2,9,8,7,6,5,4,3,2}),11))),"OK","AVISO: dígito verificador (conferir na org)"))))</f>
      </c>
      <c r="I1020" s="6">
        <f>IF(G1020="","",IF(COUNTIF($G$2:$G$2001,G1020)&gt;1,"DUPLICADO","OK"))</f>
      </c>
      <c r="J1020" s="6">
        <f>IF(COUNTA(A1020:F1020)=0,"",IF(AND(A1020&lt;&gt;"",E1020&lt;&gt;""),"OK","ERRO: faltam "&amp;IF(A1020="","CNPJ; ","")&amp;IF(E1020="","Novo gerente; ","")))</f>
      </c>
      <c r="K1020" s="6">
        <f>IF(COUNTA(A1020:F1020)=0,"",IF(AND(LEFT(H1020,4)&lt;&gt;"ERRO",I1020="OK",J1020="OK"),"OK","REVISAR"))</f>
      </c>
    </row>
    <row r="1021">
      <c r="A1021" s="5"/>
      <c r="B1021" s="4"/>
      <c r="C1021" s="4"/>
      <c r="D1021" s="4"/>
      <c r="E1021" s="5"/>
      <c r="F1021" s="4"/>
      <c r="G1021" s="6">
        <f>IF(A1021="","",SUBSTITUTE(SUBSTITUTE(SUBSTITUTE(SUBSTITUTE(SUBSTITUTE(SUBSTITUTE(SUBSTITUTE(TRIM(A1021),".",""),"/",""),"-","")," ",""),"(",""),")",""),"+",""))</f>
      </c>
      <c r="H1021" s="6">
        <f>IF(G1021="","",IF(LEN(G1021)&lt;&gt;14,"ERRO: "&amp;LEN(G1021)&amp;" dígitos",IF(NOT(ISNUMBER(VALUE(G1021))),"ERRO: não numérico",IF(AND(VALUE(MID(G1021,13,1))=IF(MOD(SUMPRODUCT(--MID(G1021,{1,2,3,4,5,6,7,8,9,10,11,12},1),{5,4,3,2,9,8,7,6,5,4,3,2}),11)&lt;2,0,11-MOD(SUMPRODUCT(--MID(G1021,{1,2,3,4,5,6,7,8,9,10,11,12},1),{5,4,3,2,9,8,7,6,5,4,3,2}),11)),VALUE(MID(G1021,14,1))=IF(MOD(SUMPRODUCT(--MID(G1021,{1,2,3,4,5,6,7,8,9,10,11,12,13},1),{6,5,4,3,2,9,8,7,6,5,4,3,2}),11)&lt;2,0,11-MOD(SUMPRODUCT(--MID(G1021,{1,2,3,4,5,6,7,8,9,10,11,12,13},1),{6,5,4,3,2,9,8,7,6,5,4,3,2}),11))),"OK","AVISO: dígito verificador (conferir na org)"))))</f>
      </c>
      <c r="I1021" s="6">
        <f>IF(G1021="","",IF(COUNTIF($G$2:$G$2001,G1021)&gt;1,"DUPLICADO","OK"))</f>
      </c>
      <c r="J1021" s="6">
        <f>IF(COUNTA(A1021:F1021)=0,"",IF(AND(A1021&lt;&gt;"",E1021&lt;&gt;""),"OK","ERRO: faltam "&amp;IF(A1021="","CNPJ; ","")&amp;IF(E1021="","Novo gerente; ","")))</f>
      </c>
      <c r="K1021" s="6">
        <f>IF(COUNTA(A1021:F1021)=0,"",IF(AND(LEFT(H1021,4)&lt;&gt;"ERRO",I1021="OK",J1021="OK"),"OK","REVISAR"))</f>
      </c>
    </row>
    <row r="1022">
      <c r="A1022" s="5"/>
      <c r="B1022" s="4"/>
      <c r="C1022" s="4"/>
      <c r="D1022" s="4"/>
      <c r="E1022" s="5"/>
      <c r="F1022" s="4"/>
      <c r="G1022" s="6">
        <f>IF(A1022="","",SUBSTITUTE(SUBSTITUTE(SUBSTITUTE(SUBSTITUTE(SUBSTITUTE(SUBSTITUTE(SUBSTITUTE(TRIM(A1022),".",""),"/",""),"-","")," ",""),"(",""),")",""),"+",""))</f>
      </c>
      <c r="H1022" s="6">
        <f>IF(G1022="","",IF(LEN(G1022)&lt;&gt;14,"ERRO: "&amp;LEN(G1022)&amp;" dígitos",IF(NOT(ISNUMBER(VALUE(G1022))),"ERRO: não numérico",IF(AND(VALUE(MID(G1022,13,1))=IF(MOD(SUMPRODUCT(--MID(G1022,{1,2,3,4,5,6,7,8,9,10,11,12},1),{5,4,3,2,9,8,7,6,5,4,3,2}),11)&lt;2,0,11-MOD(SUMPRODUCT(--MID(G1022,{1,2,3,4,5,6,7,8,9,10,11,12},1),{5,4,3,2,9,8,7,6,5,4,3,2}),11)),VALUE(MID(G1022,14,1))=IF(MOD(SUMPRODUCT(--MID(G1022,{1,2,3,4,5,6,7,8,9,10,11,12,13},1),{6,5,4,3,2,9,8,7,6,5,4,3,2}),11)&lt;2,0,11-MOD(SUMPRODUCT(--MID(G1022,{1,2,3,4,5,6,7,8,9,10,11,12,13},1),{6,5,4,3,2,9,8,7,6,5,4,3,2}),11))),"OK","AVISO: dígito verificador (conferir na org)"))))</f>
      </c>
      <c r="I1022" s="6">
        <f>IF(G1022="","",IF(COUNTIF($G$2:$G$2001,G1022)&gt;1,"DUPLICADO","OK"))</f>
      </c>
      <c r="J1022" s="6">
        <f>IF(COUNTA(A1022:F1022)=0,"",IF(AND(A1022&lt;&gt;"",E1022&lt;&gt;""),"OK","ERRO: faltam "&amp;IF(A1022="","CNPJ; ","")&amp;IF(E1022="","Novo gerente; ","")))</f>
      </c>
      <c r="K1022" s="6">
        <f>IF(COUNTA(A1022:F1022)=0,"",IF(AND(LEFT(H1022,4)&lt;&gt;"ERRO",I1022="OK",J1022="OK"),"OK","REVISAR"))</f>
      </c>
    </row>
    <row r="1023">
      <c r="A1023" s="5"/>
      <c r="B1023" s="4"/>
      <c r="C1023" s="4"/>
      <c r="D1023" s="4"/>
      <c r="E1023" s="5"/>
      <c r="F1023" s="4"/>
      <c r="G1023" s="6">
        <f>IF(A1023="","",SUBSTITUTE(SUBSTITUTE(SUBSTITUTE(SUBSTITUTE(SUBSTITUTE(SUBSTITUTE(SUBSTITUTE(TRIM(A1023),".",""),"/",""),"-","")," ",""),"(",""),")",""),"+",""))</f>
      </c>
      <c r="H1023" s="6">
        <f>IF(G1023="","",IF(LEN(G1023)&lt;&gt;14,"ERRO: "&amp;LEN(G1023)&amp;" dígitos",IF(NOT(ISNUMBER(VALUE(G1023))),"ERRO: não numérico",IF(AND(VALUE(MID(G1023,13,1))=IF(MOD(SUMPRODUCT(--MID(G1023,{1,2,3,4,5,6,7,8,9,10,11,12},1),{5,4,3,2,9,8,7,6,5,4,3,2}),11)&lt;2,0,11-MOD(SUMPRODUCT(--MID(G1023,{1,2,3,4,5,6,7,8,9,10,11,12},1),{5,4,3,2,9,8,7,6,5,4,3,2}),11)),VALUE(MID(G1023,14,1))=IF(MOD(SUMPRODUCT(--MID(G1023,{1,2,3,4,5,6,7,8,9,10,11,12,13},1),{6,5,4,3,2,9,8,7,6,5,4,3,2}),11)&lt;2,0,11-MOD(SUMPRODUCT(--MID(G1023,{1,2,3,4,5,6,7,8,9,10,11,12,13},1),{6,5,4,3,2,9,8,7,6,5,4,3,2}),11))),"OK","AVISO: dígito verificador (conferir na org)"))))</f>
      </c>
      <c r="I1023" s="6">
        <f>IF(G1023="","",IF(COUNTIF($G$2:$G$2001,G1023)&gt;1,"DUPLICADO","OK"))</f>
      </c>
      <c r="J1023" s="6">
        <f>IF(COUNTA(A1023:F1023)=0,"",IF(AND(A1023&lt;&gt;"",E1023&lt;&gt;""),"OK","ERRO: faltam "&amp;IF(A1023="","CNPJ; ","")&amp;IF(E1023="","Novo gerente; ","")))</f>
      </c>
      <c r="K1023" s="6">
        <f>IF(COUNTA(A1023:F1023)=0,"",IF(AND(LEFT(H1023,4)&lt;&gt;"ERRO",I1023="OK",J1023="OK"),"OK","REVISAR"))</f>
      </c>
    </row>
    <row r="1024">
      <c r="A1024" s="5"/>
      <c r="B1024" s="4"/>
      <c r="C1024" s="4"/>
      <c r="D1024" s="4"/>
      <c r="E1024" s="5"/>
      <c r="F1024" s="4"/>
      <c r="G1024" s="6">
        <f>IF(A1024="","",SUBSTITUTE(SUBSTITUTE(SUBSTITUTE(SUBSTITUTE(SUBSTITUTE(SUBSTITUTE(SUBSTITUTE(TRIM(A1024),".",""),"/",""),"-","")," ",""),"(",""),")",""),"+",""))</f>
      </c>
      <c r="H1024" s="6">
        <f>IF(G1024="","",IF(LEN(G1024)&lt;&gt;14,"ERRO: "&amp;LEN(G1024)&amp;" dígitos",IF(NOT(ISNUMBER(VALUE(G1024))),"ERRO: não numérico",IF(AND(VALUE(MID(G1024,13,1))=IF(MOD(SUMPRODUCT(--MID(G1024,{1,2,3,4,5,6,7,8,9,10,11,12},1),{5,4,3,2,9,8,7,6,5,4,3,2}),11)&lt;2,0,11-MOD(SUMPRODUCT(--MID(G1024,{1,2,3,4,5,6,7,8,9,10,11,12},1),{5,4,3,2,9,8,7,6,5,4,3,2}),11)),VALUE(MID(G1024,14,1))=IF(MOD(SUMPRODUCT(--MID(G1024,{1,2,3,4,5,6,7,8,9,10,11,12,13},1),{6,5,4,3,2,9,8,7,6,5,4,3,2}),11)&lt;2,0,11-MOD(SUMPRODUCT(--MID(G1024,{1,2,3,4,5,6,7,8,9,10,11,12,13},1),{6,5,4,3,2,9,8,7,6,5,4,3,2}),11))),"OK","AVISO: dígito verificador (conferir na org)"))))</f>
      </c>
      <c r="I1024" s="6">
        <f>IF(G1024="","",IF(COUNTIF($G$2:$G$2001,G1024)&gt;1,"DUPLICADO","OK"))</f>
      </c>
      <c r="J1024" s="6">
        <f>IF(COUNTA(A1024:F1024)=0,"",IF(AND(A1024&lt;&gt;"",E1024&lt;&gt;""),"OK","ERRO: faltam "&amp;IF(A1024="","CNPJ; ","")&amp;IF(E1024="","Novo gerente; ","")))</f>
      </c>
      <c r="K1024" s="6">
        <f>IF(COUNTA(A1024:F1024)=0,"",IF(AND(LEFT(H1024,4)&lt;&gt;"ERRO",I1024="OK",J1024="OK"),"OK","REVISAR"))</f>
      </c>
    </row>
    <row r="1025">
      <c r="A1025" s="5"/>
      <c r="B1025" s="4"/>
      <c r="C1025" s="4"/>
      <c r="D1025" s="4"/>
      <c r="E1025" s="5"/>
      <c r="F1025" s="4"/>
      <c r="G1025" s="6">
        <f>IF(A1025="","",SUBSTITUTE(SUBSTITUTE(SUBSTITUTE(SUBSTITUTE(SUBSTITUTE(SUBSTITUTE(SUBSTITUTE(TRIM(A1025),".",""),"/",""),"-","")," ",""),"(",""),")",""),"+",""))</f>
      </c>
      <c r="H1025" s="6">
        <f>IF(G1025="","",IF(LEN(G1025)&lt;&gt;14,"ERRO: "&amp;LEN(G1025)&amp;" dígitos",IF(NOT(ISNUMBER(VALUE(G1025))),"ERRO: não numérico",IF(AND(VALUE(MID(G1025,13,1))=IF(MOD(SUMPRODUCT(--MID(G1025,{1,2,3,4,5,6,7,8,9,10,11,12},1),{5,4,3,2,9,8,7,6,5,4,3,2}),11)&lt;2,0,11-MOD(SUMPRODUCT(--MID(G1025,{1,2,3,4,5,6,7,8,9,10,11,12},1),{5,4,3,2,9,8,7,6,5,4,3,2}),11)),VALUE(MID(G1025,14,1))=IF(MOD(SUMPRODUCT(--MID(G1025,{1,2,3,4,5,6,7,8,9,10,11,12,13},1),{6,5,4,3,2,9,8,7,6,5,4,3,2}),11)&lt;2,0,11-MOD(SUMPRODUCT(--MID(G1025,{1,2,3,4,5,6,7,8,9,10,11,12,13},1),{6,5,4,3,2,9,8,7,6,5,4,3,2}),11))),"OK","AVISO: dígito verificador (conferir na org)"))))</f>
      </c>
      <c r="I1025" s="6">
        <f>IF(G1025="","",IF(COUNTIF($G$2:$G$2001,G1025)&gt;1,"DUPLICADO","OK"))</f>
      </c>
      <c r="J1025" s="6">
        <f>IF(COUNTA(A1025:F1025)=0,"",IF(AND(A1025&lt;&gt;"",E1025&lt;&gt;""),"OK","ERRO: faltam "&amp;IF(A1025="","CNPJ; ","")&amp;IF(E1025="","Novo gerente; ","")))</f>
      </c>
      <c r="K1025" s="6">
        <f>IF(COUNTA(A1025:F1025)=0,"",IF(AND(LEFT(H1025,4)&lt;&gt;"ERRO",I1025="OK",J1025="OK"),"OK","REVISAR"))</f>
      </c>
    </row>
    <row r="1026">
      <c r="A1026" s="5"/>
      <c r="B1026" s="4"/>
      <c r="C1026" s="4"/>
      <c r="D1026" s="4"/>
      <c r="E1026" s="5"/>
      <c r="F1026" s="4"/>
      <c r="G1026" s="6">
        <f>IF(A1026="","",SUBSTITUTE(SUBSTITUTE(SUBSTITUTE(SUBSTITUTE(SUBSTITUTE(SUBSTITUTE(SUBSTITUTE(TRIM(A1026),".",""),"/",""),"-","")," ",""),"(",""),")",""),"+",""))</f>
      </c>
      <c r="H1026" s="6">
        <f>IF(G1026="","",IF(LEN(G1026)&lt;&gt;14,"ERRO: "&amp;LEN(G1026)&amp;" dígitos",IF(NOT(ISNUMBER(VALUE(G1026))),"ERRO: não numérico",IF(AND(VALUE(MID(G1026,13,1))=IF(MOD(SUMPRODUCT(--MID(G1026,{1,2,3,4,5,6,7,8,9,10,11,12},1),{5,4,3,2,9,8,7,6,5,4,3,2}),11)&lt;2,0,11-MOD(SUMPRODUCT(--MID(G1026,{1,2,3,4,5,6,7,8,9,10,11,12},1),{5,4,3,2,9,8,7,6,5,4,3,2}),11)),VALUE(MID(G1026,14,1))=IF(MOD(SUMPRODUCT(--MID(G1026,{1,2,3,4,5,6,7,8,9,10,11,12,13},1),{6,5,4,3,2,9,8,7,6,5,4,3,2}),11)&lt;2,0,11-MOD(SUMPRODUCT(--MID(G1026,{1,2,3,4,5,6,7,8,9,10,11,12,13},1),{6,5,4,3,2,9,8,7,6,5,4,3,2}),11))),"OK","AVISO: dígito verificador (conferir na org)"))))</f>
      </c>
      <c r="I1026" s="6">
        <f>IF(G1026="","",IF(COUNTIF($G$2:$G$2001,G1026)&gt;1,"DUPLICADO","OK"))</f>
      </c>
      <c r="J1026" s="6">
        <f>IF(COUNTA(A1026:F1026)=0,"",IF(AND(A1026&lt;&gt;"",E1026&lt;&gt;""),"OK","ERRO: faltam "&amp;IF(A1026="","CNPJ; ","")&amp;IF(E1026="","Novo gerente; ","")))</f>
      </c>
      <c r="K1026" s="6">
        <f>IF(COUNTA(A1026:F1026)=0,"",IF(AND(LEFT(H1026,4)&lt;&gt;"ERRO",I1026="OK",J1026="OK"),"OK","REVISAR"))</f>
      </c>
    </row>
    <row r="1027">
      <c r="A1027" s="5"/>
      <c r="B1027" s="4"/>
      <c r="C1027" s="4"/>
      <c r="D1027" s="4"/>
      <c r="E1027" s="5"/>
      <c r="F1027" s="4"/>
      <c r="G1027" s="6">
        <f>IF(A1027="","",SUBSTITUTE(SUBSTITUTE(SUBSTITUTE(SUBSTITUTE(SUBSTITUTE(SUBSTITUTE(SUBSTITUTE(TRIM(A1027),".",""),"/",""),"-","")," ",""),"(",""),")",""),"+",""))</f>
      </c>
      <c r="H1027" s="6">
        <f>IF(G1027="","",IF(LEN(G1027)&lt;&gt;14,"ERRO: "&amp;LEN(G1027)&amp;" dígitos",IF(NOT(ISNUMBER(VALUE(G1027))),"ERRO: não numérico",IF(AND(VALUE(MID(G1027,13,1))=IF(MOD(SUMPRODUCT(--MID(G1027,{1,2,3,4,5,6,7,8,9,10,11,12},1),{5,4,3,2,9,8,7,6,5,4,3,2}),11)&lt;2,0,11-MOD(SUMPRODUCT(--MID(G1027,{1,2,3,4,5,6,7,8,9,10,11,12},1),{5,4,3,2,9,8,7,6,5,4,3,2}),11)),VALUE(MID(G1027,14,1))=IF(MOD(SUMPRODUCT(--MID(G1027,{1,2,3,4,5,6,7,8,9,10,11,12,13},1),{6,5,4,3,2,9,8,7,6,5,4,3,2}),11)&lt;2,0,11-MOD(SUMPRODUCT(--MID(G1027,{1,2,3,4,5,6,7,8,9,10,11,12,13},1),{6,5,4,3,2,9,8,7,6,5,4,3,2}),11))),"OK","AVISO: dígito verificador (conferir na org)"))))</f>
      </c>
      <c r="I1027" s="6">
        <f>IF(G1027="","",IF(COUNTIF($G$2:$G$2001,G1027)&gt;1,"DUPLICADO","OK"))</f>
      </c>
      <c r="J1027" s="6">
        <f>IF(COUNTA(A1027:F1027)=0,"",IF(AND(A1027&lt;&gt;"",E1027&lt;&gt;""),"OK","ERRO: faltam "&amp;IF(A1027="","CNPJ; ","")&amp;IF(E1027="","Novo gerente; ","")))</f>
      </c>
      <c r="K1027" s="6">
        <f>IF(COUNTA(A1027:F1027)=0,"",IF(AND(LEFT(H1027,4)&lt;&gt;"ERRO",I1027="OK",J1027="OK"),"OK","REVISAR"))</f>
      </c>
    </row>
    <row r="1028">
      <c r="A1028" s="5"/>
      <c r="B1028" s="4"/>
      <c r="C1028" s="4"/>
      <c r="D1028" s="4"/>
      <c r="E1028" s="5"/>
      <c r="F1028" s="4"/>
      <c r="G1028" s="6">
        <f>IF(A1028="","",SUBSTITUTE(SUBSTITUTE(SUBSTITUTE(SUBSTITUTE(SUBSTITUTE(SUBSTITUTE(SUBSTITUTE(TRIM(A1028),".",""),"/",""),"-","")," ",""),"(",""),")",""),"+",""))</f>
      </c>
      <c r="H1028" s="6">
        <f>IF(G1028="","",IF(LEN(G1028)&lt;&gt;14,"ERRO: "&amp;LEN(G1028)&amp;" dígitos",IF(NOT(ISNUMBER(VALUE(G1028))),"ERRO: não numérico",IF(AND(VALUE(MID(G1028,13,1))=IF(MOD(SUMPRODUCT(--MID(G1028,{1,2,3,4,5,6,7,8,9,10,11,12},1),{5,4,3,2,9,8,7,6,5,4,3,2}),11)&lt;2,0,11-MOD(SUMPRODUCT(--MID(G1028,{1,2,3,4,5,6,7,8,9,10,11,12},1),{5,4,3,2,9,8,7,6,5,4,3,2}),11)),VALUE(MID(G1028,14,1))=IF(MOD(SUMPRODUCT(--MID(G1028,{1,2,3,4,5,6,7,8,9,10,11,12,13},1),{6,5,4,3,2,9,8,7,6,5,4,3,2}),11)&lt;2,0,11-MOD(SUMPRODUCT(--MID(G1028,{1,2,3,4,5,6,7,8,9,10,11,12,13},1),{6,5,4,3,2,9,8,7,6,5,4,3,2}),11))),"OK","AVISO: dígito verificador (conferir na org)"))))</f>
      </c>
      <c r="I1028" s="6">
        <f>IF(G1028="","",IF(COUNTIF($G$2:$G$2001,G1028)&gt;1,"DUPLICADO","OK"))</f>
      </c>
      <c r="J1028" s="6">
        <f>IF(COUNTA(A1028:F1028)=0,"",IF(AND(A1028&lt;&gt;"",E1028&lt;&gt;""),"OK","ERRO: faltam "&amp;IF(A1028="","CNPJ; ","")&amp;IF(E1028="","Novo gerente; ","")))</f>
      </c>
      <c r="K1028" s="6">
        <f>IF(COUNTA(A1028:F1028)=0,"",IF(AND(LEFT(H1028,4)&lt;&gt;"ERRO",I1028="OK",J1028="OK"),"OK","REVISAR"))</f>
      </c>
    </row>
    <row r="1029">
      <c r="A1029" s="5"/>
      <c r="B1029" s="4"/>
      <c r="C1029" s="4"/>
      <c r="D1029" s="4"/>
      <c r="E1029" s="5"/>
      <c r="F1029" s="4"/>
      <c r="G1029" s="6">
        <f>IF(A1029="","",SUBSTITUTE(SUBSTITUTE(SUBSTITUTE(SUBSTITUTE(SUBSTITUTE(SUBSTITUTE(SUBSTITUTE(TRIM(A1029),".",""),"/",""),"-","")," ",""),"(",""),")",""),"+",""))</f>
      </c>
      <c r="H1029" s="6">
        <f>IF(G1029="","",IF(LEN(G1029)&lt;&gt;14,"ERRO: "&amp;LEN(G1029)&amp;" dígitos",IF(NOT(ISNUMBER(VALUE(G1029))),"ERRO: não numérico",IF(AND(VALUE(MID(G1029,13,1))=IF(MOD(SUMPRODUCT(--MID(G1029,{1,2,3,4,5,6,7,8,9,10,11,12},1),{5,4,3,2,9,8,7,6,5,4,3,2}),11)&lt;2,0,11-MOD(SUMPRODUCT(--MID(G1029,{1,2,3,4,5,6,7,8,9,10,11,12},1),{5,4,3,2,9,8,7,6,5,4,3,2}),11)),VALUE(MID(G1029,14,1))=IF(MOD(SUMPRODUCT(--MID(G1029,{1,2,3,4,5,6,7,8,9,10,11,12,13},1),{6,5,4,3,2,9,8,7,6,5,4,3,2}),11)&lt;2,0,11-MOD(SUMPRODUCT(--MID(G1029,{1,2,3,4,5,6,7,8,9,10,11,12,13},1),{6,5,4,3,2,9,8,7,6,5,4,3,2}),11))),"OK","AVISO: dígito verificador (conferir na org)"))))</f>
      </c>
      <c r="I1029" s="6">
        <f>IF(G1029="","",IF(COUNTIF($G$2:$G$2001,G1029)&gt;1,"DUPLICADO","OK"))</f>
      </c>
      <c r="J1029" s="6">
        <f>IF(COUNTA(A1029:F1029)=0,"",IF(AND(A1029&lt;&gt;"",E1029&lt;&gt;""),"OK","ERRO: faltam "&amp;IF(A1029="","CNPJ; ","")&amp;IF(E1029="","Novo gerente; ","")))</f>
      </c>
      <c r="K1029" s="6">
        <f>IF(COUNTA(A1029:F1029)=0,"",IF(AND(LEFT(H1029,4)&lt;&gt;"ERRO",I1029="OK",J1029="OK"),"OK","REVISAR"))</f>
      </c>
    </row>
    <row r="1030">
      <c r="A1030" s="5"/>
      <c r="B1030" s="4"/>
      <c r="C1030" s="4"/>
      <c r="D1030" s="4"/>
      <c r="E1030" s="5"/>
      <c r="F1030" s="4"/>
      <c r="G1030" s="6">
        <f>IF(A1030="","",SUBSTITUTE(SUBSTITUTE(SUBSTITUTE(SUBSTITUTE(SUBSTITUTE(SUBSTITUTE(SUBSTITUTE(TRIM(A1030),".",""),"/",""),"-","")," ",""),"(",""),")",""),"+",""))</f>
      </c>
      <c r="H1030" s="6">
        <f>IF(G1030="","",IF(LEN(G1030)&lt;&gt;14,"ERRO: "&amp;LEN(G1030)&amp;" dígitos",IF(NOT(ISNUMBER(VALUE(G1030))),"ERRO: não numérico",IF(AND(VALUE(MID(G1030,13,1))=IF(MOD(SUMPRODUCT(--MID(G1030,{1,2,3,4,5,6,7,8,9,10,11,12},1),{5,4,3,2,9,8,7,6,5,4,3,2}),11)&lt;2,0,11-MOD(SUMPRODUCT(--MID(G1030,{1,2,3,4,5,6,7,8,9,10,11,12},1),{5,4,3,2,9,8,7,6,5,4,3,2}),11)),VALUE(MID(G1030,14,1))=IF(MOD(SUMPRODUCT(--MID(G1030,{1,2,3,4,5,6,7,8,9,10,11,12,13},1),{6,5,4,3,2,9,8,7,6,5,4,3,2}),11)&lt;2,0,11-MOD(SUMPRODUCT(--MID(G1030,{1,2,3,4,5,6,7,8,9,10,11,12,13},1),{6,5,4,3,2,9,8,7,6,5,4,3,2}),11))),"OK","AVISO: dígito verificador (conferir na org)"))))</f>
      </c>
      <c r="I1030" s="6">
        <f>IF(G1030="","",IF(COUNTIF($G$2:$G$2001,G1030)&gt;1,"DUPLICADO","OK"))</f>
      </c>
      <c r="J1030" s="6">
        <f>IF(COUNTA(A1030:F1030)=0,"",IF(AND(A1030&lt;&gt;"",E1030&lt;&gt;""),"OK","ERRO: faltam "&amp;IF(A1030="","CNPJ; ","")&amp;IF(E1030="","Novo gerente; ","")))</f>
      </c>
      <c r="K1030" s="6">
        <f>IF(COUNTA(A1030:F1030)=0,"",IF(AND(LEFT(H1030,4)&lt;&gt;"ERRO",I1030="OK",J1030="OK"),"OK","REVISAR"))</f>
      </c>
    </row>
    <row r="1031">
      <c r="A1031" s="5"/>
      <c r="B1031" s="4"/>
      <c r="C1031" s="4"/>
      <c r="D1031" s="4"/>
      <c r="E1031" s="5"/>
      <c r="F1031" s="4"/>
      <c r="G1031" s="6">
        <f>IF(A1031="","",SUBSTITUTE(SUBSTITUTE(SUBSTITUTE(SUBSTITUTE(SUBSTITUTE(SUBSTITUTE(SUBSTITUTE(TRIM(A1031),".",""),"/",""),"-","")," ",""),"(",""),")",""),"+",""))</f>
      </c>
      <c r="H1031" s="6">
        <f>IF(G1031="","",IF(LEN(G1031)&lt;&gt;14,"ERRO: "&amp;LEN(G1031)&amp;" dígitos",IF(NOT(ISNUMBER(VALUE(G1031))),"ERRO: não numérico",IF(AND(VALUE(MID(G1031,13,1))=IF(MOD(SUMPRODUCT(--MID(G1031,{1,2,3,4,5,6,7,8,9,10,11,12},1),{5,4,3,2,9,8,7,6,5,4,3,2}),11)&lt;2,0,11-MOD(SUMPRODUCT(--MID(G1031,{1,2,3,4,5,6,7,8,9,10,11,12},1),{5,4,3,2,9,8,7,6,5,4,3,2}),11)),VALUE(MID(G1031,14,1))=IF(MOD(SUMPRODUCT(--MID(G1031,{1,2,3,4,5,6,7,8,9,10,11,12,13},1),{6,5,4,3,2,9,8,7,6,5,4,3,2}),11)&lt;2,0,11-MOD(SUMPRODUCT(--MID(G1031,{1,2,3,4,5,6,7,8,9,10,11,12,13},1),{6,5,4,3,2,9,8,7,6,5,4,3,2}),11))),"OK","AVISO: dígito verificador (conferir na org)"))))</f>
      </c>
      <c r="I1031" s="6">
        <f>IF(G1031="","",IF(COUNTIF($G$2:$G$2001,G1031)&gt;1,"DUPLICADO","OK"))</f>
      </c>
      <c r="J1031" s="6">
        <f>IF(COUNTA(A1031:F1031)=0,"",IF(AND(A1031&lt;&gt;"",E1031&lt;&gt;""),"OK","ERRO: faltam "&amp;IF(A1031="","CNPJ; ","")&amp;IF(E1031="","Novo gerente; ","")))</f>
      </c>
      <c r="K1031" s="6">
        <f>IF(COUNTA(A1031:F1031)=0,"",IF(AND(LEFT(H1031,4)&lt;&gt;"ERRO",I1031="OK",J1031="OK"),"OK","REVISAR"))</f>
      </c>
    </row>
    <row r="1032">
      <c r="A1032" s="5"/>
      <c r="B1032" s="4"/>
      <c r="C1032" s="4"/>
      <c r="D1032" s="4"/>
      <c r="E1032" s="5"/>
      <c r="F1032" s="4"/>
      <c r="G1032" s="6">
        <f>IF(A1032="","",SUBSTITUTE(SUBSTITUTE(SUBSTITUTE(SUBSTITUTE(SUBSTITUTE(SUBSTITUTE(SUBSTITUTE(TRIM(A1032),".",""),"/",""),"-","")," ",""),"(",""),")",""),"+",""))</f>
      </c>
      <c r="H1032" s="6">
        <f>IF(G1032="","",IF(LEN(G1032)&lt;&gt;14,"ERRO: "&amp;LEN(G1032)&amp;" dígitos",IF(NOT(ISNUMBER(VALUE(G1032))),"ERRO: não numérico",IF(AND(VALUE(MID(G1032,13,1))=IF(MOD(SUMPRODUCT(--MID(G1032,{1,2,3,4,5,6,7,8,9,10,11,12},1),{5,4,3,2,9,8,7,6,5,4,3,2}),11)&lt;2,0,11-MOD(SUMPRODUCT(--MID(G1032,{1,2,3,4,5,6,7,8,9,10,11,12},1),{5,4,3,2,9,8,7,6,5,4,3,2}),11)),VALUE(MID(G1032,14,1))=IF(MOD(SUMPRODUCT(--MID(G1032,{1,2,3,4,5,6,7,8,9,10,11,12,13},1),{6,5,4,3,2,9,8,7,6,5,4,3,2}),11)&lt;2,0,11-MOD(SUMPRODUCT(--MID(G1032,{1,2,3,4,5,6,7,8,9,10,11,12,13},1),{6,5,4,3,2,9,8,7,6,5,4,3,2}),11))),"OK","AVISO: dígito verificador (conferir na org)"))))</f>
      </c>
      <c r="I1032" s="6">
        <f>IF(G1032="","",IF(COUNTIF($G$2:$G$2001,G1032)&gt;1,"DUPLICADO","OK"))</f>
      </c>
      <c r="J1032" s="6">
        <f>IF(COUNTA(A1032:F1032)=0,"",IF(AND(A1032&lt;&gt;"",E1032&lt;&gt;""),"OK","ERRO: faltam "&amp;IF(A1032="","CNPJ; ","")&amp;IF(E1032="","Novo gerente; ","")))</f>
      </c>
      <c r="K1032" s="6">
        <f>IF(COUNTA(A1032:F1032)=0,"",IF(AND(LEFT(H1032,4)&lt;&gt;"ERRO",I1032="OK",J1032="OK"),"OK","REVISAR"))</f>
      </c>
    </row>
    <row r="1033">
      <c r="A1033" s="5"/>
      <c r="B1033" s="4"/>
      <c r="C1033" s="4"/>
      <c r="D1033" s="4"/>
      <c r="E1033" s="5"/>
      <c r="F1033" s="4"/>
      <c r="G1033" s="6">
        <f>IF(A1033="","",SUBSTITUTE(SUBSTITUTE(SUBSTITUTE(SUBSTITUTE(SUBSTITUTE(SUBSTITUTE(SUBSTITUTE(TRIM(A1033),".",""),"/",""),"-","")," ",""),"(",""),")",""),"+",""))</f>
      </c>
      <c r="H1033" s="6">
        <f>IF(G1033="","",IF(LEN(G1033)&lt;&gt;14,"ERRO: "&amp;LEN(G1033)&amp;" dígitos",IF(NOT(ISNUMBER(VALUE(G1033))),"ERRO: não numérico",IF(AND(VALUE(MID(G1033,13,1))=IF(MOD(SUMPRODUCT(--MID(G1033,{1,2,3,4,5,6,7,8,9,10,11,12},1),{5,4,3,2,9,8,7,6,5,4,3,2}),11)&lt;2,0,11-MOD(SUMPRODUCT(--MID(G1033,{1,2,3,4,5,6,7,8,9,10,11,12},1),{5,4,3,2,9,8,7,6,5,4,3,2}),11)),VALUE(MID(G1033,14,1))=IF(MOD(SUMPRODUCT(--MID(G1033,{1,2,3,4,5,6,7,8,9,10,11,12,13},1),{6,5,4,3,2,9,8,7,6,5,4,3,2}),11)&lt;2,0,11-MOD(SUMPRODUCT(--MID(G1033,{1,2,3,4,5,6,7,8,9,10,11,12,13},1),{6,5,4,3,2,9,8,7,6,5,4,3,2}),11))),"OK","AVISO: dígito verificador (conferir na org)"))))</f>
      </c>
      <c r="I1033" s="6">
        <f>IF(G1033="","",IF(COUNTIF($G$2:$G$2001,G1033)&gt;1,"DUPLICADO","OK"))</f>
      </c>
      <c r="J1033" s="6">
        <f>IF(COUNTA(A1033:F1033)=0,"",IF(AND(A1033&lt;&gt;"",E1033&lt;&gt;""),"OK","ERRO: faltam "&amp;IF(A1033="","CNPJ; ","")&amp;IF(E1033="","Novo gerente; ","")))</f>
      </c>
      <c r="K1033" s="6">
        <f>IF(COUNTA(A1033:F1033)=0,"",IF(AND(LEFT(H1033,4)&lt;&gt;"ERRO",I1033="OK",J1033="OK"),"OK","REVISAR"))</f>
      </c>
    </row>
    <row r="1034">
      <c r="A1034" s="5"/>
      <c r="B1034" s="4"/>
      <c r="C1034" s="4"/>
      <c r="D1034" s="4"/>
      <c r="E1034" s="5"/>
      <c r="F1034" s="4"/>
      <c r="G1034" s="6">
        <f>IF(A1034="","",SUBSTITUTE(SUBSTITUTE(SUBSTITUTE(SUBSTITUTE(SUBSTITUTE(SUBSTITUTE(SUBSTITUTE(TRIM(A1034),".",""),"/",""),"-","")," ",""),"(",""),")",""),"+",""))</f>
      </c>
      <c r="H1034" s="6">
        <f>IF(G1034="","",IF(LEN(G1034)&lt;&gt;14,"ERRO: "&amp;LEN(G1034)&amp;" dígitos",IF(NOT(ISNUMBER(VALUE(G1034))),"ERRO: não numérico",IF(AND(VALUE(MID(G1034,13,1))=IF(MOD(SUMPRODUCT(--MID(G1034,{1,2,3,4,5,6,7,8,9,10,11,12},1),{5,4,3,2,9,8,7,6,5,4,3,2}),11)&lt;2,0,11-MOD(SUMPRODUCT(--MID(G1034,{1,2,3,4,5,6,7,8,9,10,11,12},1),{5,4,3,2,9,8,7,6,5,4,3,2}),11)),VALUE(MID(G1034,14,1))=IF(MOD(SUMPRODUCT(--MID(G1034,{1,2,3,4,5,6,7,8,9,10,11,12,13},1),{6,5,4,3,2,9,8,7,6,5,4,3,2}),11)&lt;2,0,11-MOD(SUMPRODUCT(--MID(G1034,{1,2,3,4,5,6,7,8,9,10,11,12,13},1),{6,5,4,3,2,9,8,7,6,5,4,3,2}),11))),"OK","AVISO: dígito verificador (conferir na org)"))))</f>
      </c>
      <c r="I1034" s="6">
        <f>IF(G1034="","",IF(COUNTIF($G$2:$G$2001,G1034)&gt;1,"DUPLICADO","OK"))</f>
      </c>
      <c r="J1034" s="6">
        <f>IF(COUNTA(A1034:F1034)=0,"",IF(AND(A1034&lt;&gt;"",E1034&lt;&gt;""),"OK","ERRO: faltam "&amp;IF(A1034="","CNPJ; ","")&amp;IF(E1034="","Novo gerente; ","")))</f>
      </c>
      <c r="K1034" s="6">
        <f>IF(COUNTA(A1034:F1034)=0,"",IF(AND(LEFT(H1034,4)&lt;&gt;"ERRO",I1034="OK",J1034="OK"),"OK","REVISAR"))</f>
      </c>
    </row>
    <row r="1035">
      <c r="A1035" s="5"/>
      <c r="B1035" s="4"/>
      <c r="C1035" s="4"/>
      <c r="D1035" s="4"/>
      <c r="E1035" s="5"/>
      <c r="F1035" s="4"/>
      <c r="G1035" s="6">
        <f>IF(A1035="","",SUBSTITUTE(SUBSTITUTE(SUBSTITUTE(SUBSTITUTE(SUBSTITUTE(SUBSTITUTE(SUBSTITUTE(TRIM(A1035),".",""),"/",""),"-","")," ",""),"(",""),")",""),"+",""))</f>
      </c>
      <c r="H1035" s="6">
        <f>IF(G1035="","",IF(LEN(G1035)&lt;&gt;14,"ERRO: "&amp;LEN(G1035)&amp;" dígitos",IF(NOT(ISNUMBER(VALUE(G1035))),"ERRO: não numérico",IF(AND(VALUE(MID(G1035,13,1))=IF(MOD(SUMPRODUCT(--MID(G1035,{1,2,3,4,5,6,7,8,9,10,11,12},1),{5,4,3,2,9,8,7,6,5,4,3,2}),11)&lt;2,0,11-MOD(SUMPRODUCT(--MID(G1035,{1,2,3,4,5,6,7,8,9,10,11,12},1),{5,4,3,2,9,8,7,6,5,4,3,2}),11)),VALUE(MID(G1035,14,1))=IF(MOD(SUMPRODUCT(--MID(G1035,{1,2,3,4,5,6,7,8,9,10,11,12,13},1),{6,5,4,3,2,9,8,7,6,5,4,3,2}),11)&lt;2,0,11-MOD(SUMPRODUCT(--MID(G1035,{1,2,3,4,5,6,7,8,9,10,11,12,13},1),{6,5,4,3,2,9,8,7,6,5,4,3,2}),11))),"OK","AVISO: dígito verificador (conferir na org)"))))</f>
      </c>
      <c r="I1035" s="6">
        <f>IF(G1035="","",IF(COUNTIF($G$2:$G$2001,G1035)&gt;1,"DUPLICADO","OK"))</f>
      </c>
      <c r="J1035" s="6">
        <f>IF(COUNTA(A1035:F1035)=0,"",IF(AND(A1035&lt;&gt;"",E1035&lt;&gt;""),"OK","ERRO: faltam "&amp;IF(A1035="","CNPJ; ","")&amp;IF(E1035="","Novo gerente; ","")))</f>
      </c>
      <c r="K1035" s="6">
        <f>IF(COUNTA(A1035:F1035)=0,"",IF(AND(LEFT(H1035,4)&lt;&gt;"ERRO",I1035="OK",J1035="OK"),"OK","REVISAR"))</f>
      </c>
    </row>
    <row r="1036">
      <c r="A1036" s="5"/>
      <c r="B1036" s="4"/>
      <c r="C1036" s="4"/>
      <c r="D1036" s="4"/>
      <c r="E1036" s="5"/>
      <c r="F1036" s="4"/>
      <c r="G1036" s="6">
        <f>IF(A1036="","",SUBSTITUTE(SUBSTITUTE(SUBSTITUTE(SUBSTITUTE(SUBSTITUTE(SUBSTITUTE(SUBSTITUTE(TRIM(A1036),".",""),"/",""),"-","")," ",""),"(",""),")",""),"+",""))</f>
      </c>
      <c r="H1036" s="6">
        <f>IF(G1036="","",IF(LEN(G1036)&lt;&gt;14,"ERRO: "&amp;LEN(G1036)&amp;" dígitos",IF(NOT(ISNUMBER(VALUE(G1036))),"ERRO: não numérico",IF(AND(VALUE(MID(G1036,13,1))=IF(MOD(SUMPRODUCT(--MID(G1036,{1,2,3,4,5,6,7,8,9,10,11,12},1),{5,4,3,2,9,8,7,6,5,4,3,2}),11)&lt;2,0,11-MOD(SUMPRODUCT(--MID(G1036,{1,2,3,4,5,6,7,8,9,10,11,12},1),{5,4,3,2,9,8,7,6,5,4,3,2}),11)),VALUE(MID(G1036,14,1))=IF(MOD(SUMPRODUCT(--MID(G1036,{1,2,3,4,5,6,7,8,9,10,11,12,13},1),{6,5,4,3,2,9,8,7,6,5,4,3,2}),11)&lt;2,0,11-MOD(SUMPRODUCT(--MID(G1036,{1,2,3,4,5,6,7,8,9,10,11,12,13},1),{6,5,4,3,2,9,8,7,6,5,4,3,2}),11))),"OK","AVISO: dígito verificador (conferir na org)"))))</f>
      </c>
      <c r="I1036" s="6">
        <f>IF(G1036="","",IF(COUNTIF($G$2:$G$2001,G1036)&gt;1,"DUPLICADO","OK"))</f>
      </c>
      <c r="J1036" s="6">
        <f>IF(COUNTA(A1036:F1036)=0,"",IF(AND(A1036&lt;&gt;"",E1036&lt;&gt;""),"OK","ERRO: faltam "&amp;IF(A1036="","CNPJ; ","")&amp;IF(E1036="","Novo gerente; ","")))</f>
      </c>
      <c r="K1036" s="6">
        <f>IF(COUNTA(A1036:F1036)=0,"",IF(AND(LEFT(H1036,4)&lt;&gt;"ERRO",I1036="OK",J1036="OK"),"OK","REVISAR"))</f>
      </c>
    </row>
    <row r="1037">
      <c r="A1037" s="5"/>
      <c r="B1037" s="4"/>
      <c r="C1037" s="4"/>
      <c r="D1037" s="4"/>
      <c r="E1037" s="5"/>
      <c r="F1037" s="4"/>
      <c r="G1037" s="6">
        <f>IF(A1037="","",SUBSTITUTE(SUBSTITUTE(SUBSTITUTE(SUBSTITUTE(SUBSTITUTE(SUBSTITUTE(SUBSTITUTE(TRIM(A1037),".",""),"/",""),"-","")," ",""),"(",""),")",""),"+",""))</f>
      </c>
      <c r="H1037" s="6">
        <f>IF(G1037="","",IF(LEN(G1037)&lt;&gt;14,"ERRO: "&amp;LEN(G1037)&amp;" dígitos",IF(NOT(ISNUMBER(VALUE(G1037))),"ERRO: não numérico",IF(AND(VALUE(MID(G1037,13,1))=IF(MOD(SUMPRODUCT(--MID(G1037,{1,2,3,4,5,6,7,8,9,10,11,12},1),{5,4,3,2,9,8,7,6,5,4,3,2}),11)&lt;2,0,11-MOD(SUMPRODUCT(--MID(G1037,{1,2,3,4,5,6,7,8,9,10,11,12},1),{5,4,3,2,9,8,7,6,5,4,3,2}),11)),VALUE(MID(G1037,14,1))=IF(MOD(SUMPRODUCT(--MID(G1037,{1,2,3,4,5,6,7,8,9,10,11,12,13},1),{6,5,4,3,2,9,8,7,6,5,4,3,2}),11)&lt;2,0,11-MOD(SUMPRODUCT(--MID(G1037,{1,2,3,4,5,6,7,8,9,10,11,12,13},1),{6,5,4,3,2,9,8,7,6,5,4,3,2}),11))),"OK","AVISO: dígito verificador (conferir na org)"))))</f>
      </c>
      <c r="I1037" s="6">
        <f>IF(G1037="","",IF(COUNTIF($G$2:$G$2001,G1037)&gt;1,"DUPLICADO","OK"))</f>
      </c>
      <c r="J1037" s="6">
        <f>IF(COUNTA(A1037:F1037)=0,"",IF(AND(A1037&lt;&gt;"",E1037&lt;&gt;""),"OK","ERRO: faltam "&amp;IF(A1037="","CNPJ; ","")&amp;IF(E1037="","Novo gerente; ","")))</f>
      </c>
      <c r="K1037" s="6">
        <f>IF(COUNTA(A1037:F1037)=0,"",IF(AND(LEFT(H1037,4)&lt;&gt;"ERRO",I1037="OK",J1037="OK"),"OK","REVISAR"))</f>
      </c>
    </row>
    <row r="1038">
      <c r="A1038" s="5"/>
      <c r="B1038" s="4"/>
      <c r="C1038" s="4"/>
      <c r="D1038" s="4"/>
      <c r="E1038" s="5"/>
      <c r="F1038" s="4"/>
      <c r="G1038" s="6">
        <f>IF(A1038="","",SUBSTITUTE(SUBSTITUTE(SUBSTITUTE(SUBSTITUTE(SUBSTITUTE(SUBSTITUTE(SUBSTITUTE(TRIM(A1038),".",""),"/",""),"-","")," ",""),"(",""),")",""),"+",""))</f>
      </c>
      <c r="H1038" s="6">
        <f>IF(G1038="","",IF(LEN(G1038)&lt;&gt;14,"ERRO: "&amp;LEN(G1038)&amp;" dígitos",IF(NOT(ISNUMBER(VALUE(G1038))),"ERRO: não numérico",IF(AND(VALUE(MID(G1038,13,1))=IF(MOD(SUMPRODUCT(--MID(G1038,{1,2,3,4,5,6,7,8,9,10,11,12},1),{5,4,3,2,9,8,7,6,5,4,3,2}),11)&lt;2,0,11-MOD(SUMPRODUCT(--MID(G1038,{1,2,3,4,5,6,7,8,9,10,11,12},1),{5,4,3,2,9,8,7,6,5,4,3,2}),11)),VALUE(MID(G1038,14,1))=IF(MOD(SUMPRODUCT(--MID(G1038,{1,2,3,4,5,6,7,8,9,10,11,12,13},1),{6,5,4,3,2,9,8,7,6,5,4,3,2}),11)&lt;2,0,11-MOD(SUMPRODUCT(--MID(G1038,{1,2,3,4,5,6,7,8,9,10,11,12,13},1),{6,5,4,3,2,9,8,7,6,5,4,3,2}),11))),"OK","AVISO: dígito verificador (conferir na org)"))))</f>
      </c>
      <c r="I1038" s="6">
        <f>IF(G1038="","",IF(COUNTIF($G$2:$G$2001,G1038)&gt;1,"DUPLICADO","OK"))</f>
      </c>
      <c r="J1038" s="6">
        <f>IF(COUNTA(A1038:F1038)=0,"",IF(AND(A1038&lt;&gt;"",E1038&lt;&gt;""),"OK","ERRO: faltam "&amp;IF(A1038="","CNPJ; ","")&amp;IF(E1038="","Novo gerente; ","")))</f>
      </c>
      <c r="K1038" s="6">
        <f>IF(COUNTA(A1038:F1038)=0,"",IF(AND(LEFT(H1038,4)&lt;&gt;"ERRO",I1038="OK",J1038="OK"),"OK","REVISAR"))</f>
      </c>
    </row>
    <row r="1039">
      <c r="A1039" s="5"/>
      <c r="B1039" s="4"/>
      <c r="C1039" s="4"/>
      <c r="D1039" s="4"/>
      <c r="E1039" s="5"/>
      <c r="F1039" s="4"/>
      <c r="G1039" s="6">
        <f>IF(A1039="","",SUBSTITUTE(SUBSTITUTE(SUBSTITUTE(SUBSTITUTE(SUBSTITUTE(SUBSTITUTE(SUBSTITUTE(TRIM(A1039),".",""),"/",""),"-","")," ",""),"(",""),")",""),"+",""))</f>
      </c>
      <c r="H1039" s="6">
        <f>IF(G1039="","",IF(LEN(G1039)&lt;&gt;14,"ERRO: "&amp;LEN(G1039)&amp;" dígitos",IF(NOT(ISNUMBER(VALUE(G1039))),"ERRO: não numérico",IF(AND(VALUE(MID(G1039,13,1))=IF(MOD(SUMPRODUCT(--MID(G1039,{1,2,3,4,5,6,7,8,9,10,11,12},1),{5,4,3,2,9,8,7,6,5,4,3,2}),11)&lt;2,0,11-MOD(SUMPRODUCT(--MID(G1039,{1,2,3,4,5,6,7,8,9,10,11,12},1),{5,4,3,2,9,8,7,6,5,4,3,2}),11)),VALUE(MID(G1039,14,1))=IF(MOD(SUMPRODUCT(--MID(G1039,{1,2,3,4,5,6,7,8,9,10,11,12,13},1),{6,5,4,3,2,9,8,7,6,5,4,3,2}),11)&lt;2,0,11-MOD(SUMPRODUCT(--MID(G1039,{1,2,3,4,5,6,7,8,9,10,11,12,13},1),{6,5,4,3,2,9,8,7,6,5,4,3,2}),11))),"OK","AVISO: dígito verificador (conferir na org)"))))</f>
      </c>
      <c r="I1039" s="6">
        <f>IF(G1039="","",IF(COUNTIF($G$2:$G$2001,G1039)&gt;1,"DUPLICADO","OK"))</f>
      </c>
      <c r="J1039" s="6">
        <f>IF(COUNTA(A1039:F1039)=0,"",IF(AND(A1039&lt;&gt;"",E1039&lt;&gt;""),"OK","ERRO: faltam "&amp;IF(A1039="","CNPJ; ","")&amp;IF(E1039="","Novo gerente; ","")))</f>
      </c>
      <c r="K1039" s="6">
        <f>IF(COUNTA(A1039:F1039)=0,"",IF(AND(LEFT(H1039,4)&lt;&gt;"ERRO",I1039="OK",J1039="OK"),"OK","REVISAR"))</f>
      </c>
    </row>
    <row r="1040">
      <c r="A1040" s="5"/>
      <c r="B1040" s="4"/>
      <c r="C1040" s="4"/>
      <c r="D1040" s="4"/>
      <c r="E1040" s="5"/>
      <c r="F1040" s="4"/>
      <c r="G1040" s="6">
        <f>IF(A1040="","",SUBSTITUTE(SUBSTITUTE(SUBSTITUTE(SUBSTITUTE(SUBSTITUTE(SUBSTITUTE(SUBSTITUTE(TRIM(A1040),".",""),"/",""),"-","")," ",""),"(",""),")",""),"+",""))</f>
      </c>
      <c r="H1040" s="6">
        <f>IF(G1040="","",IF(LEN(G1040)&lt;&gt;14,"ERRO: "&amp;LEN(G1040)&amp;" dígitos",IF(NOT(ISNUMBER(VALUE(G1040))),"ERRO: não numérico",IF(AND(VALUE(MID(G1040,13,1))=IF(MOD(SUMPRODUCT(--MID(G1040,{1,2,3,4,5,6,7,8,9,10,11,12},1),{5,4,3,2,9,8,7,6,5,4,3,2}),11)&lt;2,0,11-MOD(SUMPRODUCT(--MID(G1040,{1,2,3,4,5,6,7,8,9,10,11,12},1),{5,4,3,2,9,8,7,6,5,4,3,2}),11)),VALUE(MID(G1040,14,1))=IF(MOD(SUMPRODUCT(--MID(G1040,{1,2,3,4,5,6,7,8,9,10,11,12,13},1),{6,5,4,3,2,9,8,7,6,5,4,3,2}),11)&lt;2,0,11-MOD(SUMPRODUCT(--MID(G1040,{1,2,3,4,5,6,7,8,9,10,11,12,13},1),{6,5,4,3,2,9,8,7,6,5,4,3,2}),11))),"OK","AVISO: dígito verificador (conferir na org)"))))</f>
      </c>
      <c r="I1040" s="6">
        <f>IF(G1040="","",IF(COUNTIF($G$2:$G$2001,G1040)&gt;1,"DUPLICADO","OK"))</f>
      </c>
      <c r="J1040" s="6">
        <f>IF(COUNTA(A1040:F1040)=0,"",IF(AND(A1040&lt;&gt;"",E1040&lt;&gt;""),"OK","ERRO: faltam "&amp;IF(A1040="","CNPJ; ","")&amp;IF(E1040="","Novo gerente; ","")))</f>
      </c>
      <c r="K1040" s="6">
        <f>IF(COUNTA(A1040:F1040)=0,"",IF(AND(LEFT(H1040,4)&lt;&gt;"ERRO",I1040="OK",J1040="OK"),"OK","REVISAR"))</f>
      </c>
    </row>
    <row r="1041">
      <c r="A1041" s="5"/>
      <c r="B1041" s="4"/>
      <c r="C1041" s="4"/>
      <c r="D1041" s="4"/>
      <c r="E1041" s="5"/>
      <c r="F1041" s="4"/>
      <c r="G1041" s="6">
        <f>IF(A1041="","",SUBSTITUTE(SUBSTITUTE(SUBSTITUTE(SUBSTITUTE(SUBSTITUTE(SUBSTITUTE(SUBSTITUTE(TRIM(A1041),".",""),"/",""),"-","")," ",""),"(",""),")",""),"+",""))</f>
      </c>
      <c r="H1041" s="6">
        <f>IF(G1041="","",IF(LEN(G1041)&lt;&gt;14,"ERRO: "&amp;LEN(G1041)&amp;" dígitos",IF(NOT(ISNUMBER(VALUE(G1041))),"ERRO: não numérico",IF(AND(VALUE(MID(G1041,13,1))=IF(MOD(SUMPRODUCT(--MID(G1041,{1,2,3,4,5,6,7,8,9,10,11,12},1),{5,4,3,2,9,8,7,6,5,4,3,2}),11)&lt;2,0,11-MOD(SUMPRODUCT(--MID(G1041,{1,2,3,4,5,6,7,8,9,10,11,12},1),{5,4,3,2,9,8,7,6,5,4,3,2}),11)),VALUE(MID(G1041,14,1))=IF(MOD(SUMPRODUCT(--MID(G1041,{1,2,3,4,5,6,7,8,9,10,11,12,13},1),{6,5,4,3,2,9,8,7,6,5,4,3,2}),11)&lt;2,0,11-MOD(SUMPRODUCT(--MID(G1041,{1,2,3,4,5,6,7,8,9,10,11,12,13},1),{6,5,4,3,2,9,8,7,6,5,4,3,2}),11))),"OK","AVISO: dígito verificador (conferir na org)"))))</f>
      </c>
      <c r="I1041" s="6">
        <f>IF(G1041="","",IF(COUNTIF($G$2:$G$2001,G1041)&gt;1,"DUPLICADO","OK"))</f>
      </c>
      <c r="J1041" s="6">
        <f>IF(COUNTA(A1041:F1041)=0,"",IF(AND(A1041&lt;&gt;"",E1041&lt;&gt;""),"OK","ERRO: faltam "&amp;IF(A1041="","CNPJ; ","")&amp;IF(E1041="","Novo gerente; ","")))</f>
      </c>
      <c r="K1041" s="6">
        <f>IF(COUNTA(A1041:F1041)=0,"",IF(AND(LEFT(H1041,4)&lt;&gt;"ERRO",I1041="OK",J1041="OK"),"OK","REVISAR"))</f>
      </c>
    </row>
    <row r="1042">
      <c r="A1042" s="5"/>
      <c r="B1042" s="4"/>
      <c r="C1042" s="4"/>
      <c r="D1042" s="4"/>
      <c r="E1042" s="5"/>
      <c r="F1042" s="4"/>
      <c r="G1042" s="6">
        <f>IF(A1042="","",SUBSTITUTE(SUBSTITUTE(SUBSTITUTE(SUBSTITUTE(SUBSTITUTE(SUBSTITUTE(SUBSTITUTE(TRIM(A1042),".",""),"/",""),"-","")," ",""),"(",""),")",""),"+",""))</f>
      </c>
      <c r="H1042" s="6">
        <f>IF(G1042="","",IF(LEN(G1042)&lt;&gt;14,"ERRO: "&amp;LEN(G1042)&amp;" dígitos",IF(NOT(ISNUMBER(VALUE(G1042))),"ERRO: não numérico",IF(AND(VALUE(MID(G1042,13,1))=IF(MOD(SUMPRODUCT(--MID(G1042,{1,2,3,4,5,6,7,8,9,10,11,12},1),{5,4,3,2,9,8,7,6,5,4,3,2}),11)&lt;2,0,11-MOD(SUMPRODUCT(--MID(G1042,{1,2,3,4,5,6,7,8,9,10,11,12},1),{5,4,3,2,9,8,7,6,5,4,3,2}),11)),VALUE(MID(G1042,14,1))=IF(MOD(SUMPRODUCT(--MID(G1042,{1,2,3,4,5,6,7,8,9,10,11,12,13},1),{6,5,4,3,2,9,8,7,6,5,4,3,2}),11)&lt;2,0,11-MOD(SUMPRODUCT(--MID(G1042,{1,2,3,4,5,6,7,8,9,10,11,12,13},1),{6,5,4,3,2,9,8,7,6,5,4,3,2}),11))),"OK","AVISO: dígito verificador (conferir na org)"))))</f>
      </c>
      <c r="I1042" s="6">
        <f>IF(G1042="","",IF(COUNTIF($G$2:$G$2001,G1042)&gt;1,"DUPLICADO","OK"))</f>
      </c>
      <c r="J1042" s="6">
        <f>IF(COUNTA(A1042:F1042)=0,"",IF(AND(A1042&lt;&gt;"",E1042&lt;&gt;""),"OK","ERRO: faltam "&amp;IF(A1042="","CNPJ; ","")&amp;IF(E1042="","Novo gerente; ","")))</f>
      </c>
      <c r="K1042" s="6">
        <f>IF(COUNTA(A1042:F1042)=0,"",IF(AND(LEFT(H1042,4)&lt;&gt;"ERRO",I1042="OK",J1042="OK"),"OK","REVISAR"))</f>
      </c>
    </row>
    <row r="1043">
      <c r="A1043" s="5"/>
      <c r="B1043" s="4"/>
      <c r="C1043" s="4"/>
      <c r="D1043" s="4"/>
      <c r="E1043" s="5"/>
      <c r="F1043" s="4"/>
      <c r="G1043" s="6">
        <f>IF(A1043="","",SUBSTITUTE(SUBSTITUTE(SUBSTITUTE(SUBSTITUTE(SUBSTITUTE(SUBSTITUTE(SUBSTITUTE(TRIM(A1043),".",""),"/",""),"-","")," ",""),"(",""),")",""),"+",""))</f>
      </c>
      <c r="H1043" s="6">
        <f>IF(G1043="","",IF(LEN(G1043)&lt;&gt;14,"ERRO: "&amp;LEN(G1043)&amp;" dígitos",IF(NOT(ISNUMBER(VALUE(G1043))),"ERRO: não numérico",IF(AND(VALUE(MID(G1043,13,1))=IF(MOD(SUMPRODUCT(--MID(G1043,{1,2,3,4,5,6,7,8,9,10,11,12},1),{5,4,3,2,9,8,7,6,5,4,3,2}),11)&lt;2,0,11-MOD(SUMPRODUCT(--MID(G1043,{1,2,3,4,5,6,7,8,9,10,11,12},1),{5,4,3,2,9,8,7,6,5,4,3,2}),11)),VALUE(MID(G1043,14,1))=IF(MOD(SUMPRODUCT(--MID(G1043,{1,2,3,4,5,6,7,8,9,10,11,12,13},1),{6,5,4,3,2,9,8,7,6,5,4,3,2}),11)&lt;2,0,11-MOD(SUMPRODUCT(--MID(G1043,{1,2,3,4,5,6,7,8,9,10,11,12,13},1),{6,5,4,3,2,9,8,7,6,5,4,3,2}),11))),"OK","AVISO: dígito verificador (conferir na org)"))))</f>
      </c>
      <c r="I1043" s="6">
        <f>IF(G1043="","",IF(COUNTIF($G$2:$G$2001,G1043)&gt;1,"DUPLICADO","OK"))</f>
      </c>
      <c r="J1043" s="6">
        <f>IF(COUNTA(A1043:F1043)=0,"",IF(AND(A1043&lt;&gt;"",E1043&lt;&gt;""),"OK","ERRO: faltam "&amp;IF(A1043="","CNPJ; ","")&amp;IF(E1043="","Novo gerente; ","")))</f>
      </c>
      <c r="K1043" s="6">
        <f>IF(COUNTA(A1043:F1043)=0,"",IF(AND(LEFT(H1043,4)&lt;&gt;"ERRO",I1043="OK",J1043="OK"),"OK","REVISAR"))</f>
      </c>
    </row>
    <row r="1044">
      <c r="A1044" s="5"/>
      <c r="B1044" s="4"/>
      <c r="C1044" s="4"/>
      <c r="D1044" s="4"/>
      <c r="E1044" s="5"/>
      <c r="F1044" s="4"/>
      <c r="G1044" s="6">
        <f>IF(A1044="","",SUBSTITUTE(SUBSTITUTE(SUBSTITUTE(SUBSTITUTE(SUBSTITUTE(SUBSTITUTE(SUBSTITUTE(TRIM(A1044),".",""),"/",""),"-","")," ",""),"(",""),")",""),"+",""))</f>
      </c>
      <c r="H1044" s="6">
        <f>IF(G1044="","",IF(LEN(G1044)&lt;&gt;14,"ERRO: "&amp;LEN(G1044)&amp;" dígitos",IF(NOT(ISNUMBER(VALUE(G1044))),"ERRO: não numérico",IF(AND(VALUE(MID(G1044,13,1))=IF(MOD(SUMPRODUCT(--MID(G1044,{1,2,3,4,5,6,7,8,9,10,11,12},1),{5,4,3,2,9,8,7,6,5,4,3,2}),11)&lt;2,0,11-MOD(SUMPRODUCT(--MID(G1044,{1,2,3,4,5,6,7,8,9,10,11,12},1),{5,4,3,2,9,8,7,6,5,4,3,2}),11)),VALUE(MID(G1044,14,1))=IF(MOD(SUMPRODUCT(--MID(G1044,{1,2,3,4,5,6,7,8,9,10,11,12,13},1),{6,5,4,3,2,9,8,7,6,5,4,3,2}),11)&lt;2,0,11-MOD(SUMPRODUCT(--MID(G1044,{1,2,3,4,5,6,7,8,9,10,11,12,13},1),{6,5,4,3,2,9,8,7,6,5,4,3,2}),11))),"OK","AVISO: dígito verificador (conferir na org)"))))</f>
      </c>
      <c r="I1044" s="6">
        <f>IF(G1044="","",IF(COUNTIF($G$2:$G$2001,G1044)&gt;1,"DUPLICADO","OK"))</f>
      </c>
      <c r="J1044" s="6">
        <f>IF(COUNTA(A1044:F1044)=0,"",IF(AND(A1044&lt;&gt;"",E1044&lt;&gt;""),"OK","ERRO: faltam "&amp;IF(A1044="","CNPJ; ","")&amp;IF(E1044="","Novo gerente; ","")))</f>
      </c>
      <c r="K1044" s="6">
        <f>IF(COUNTA(A1044:F1044)=0,"",IF(AND(LEFT(H1044,4)&lt;&gt;"ERRO",I1044="OK",J1044="OK"),"OK","REVISAR"))</f>
      </c>
    </row>
    <row r="1045">
      <c r="A1045" s="5"/>
      <c r="B1045" s="4"/>
      <c r="C1045" s="4"/>
      <c r="D1045" s="4"/>
      <c r="E1045" s="5"/>
      <c r="F1045" s="4"/>
      <c r="G1045" s="6">
        <f>IF(A1045="","",SUBSTITUTE(SUBSTITUTE(SUBSTITUTE(SUBSTITUTE(SUBSTITUTE(SUBSTITUTE(SUBSTITUTE(TRIM(A1045),".",""),"/",""),"-","")," ",""),"(",""),")",""),"+",""))</f>
      </c>
      <c r="H1045" s="6">
        <f>IF(G1045="","",IF(LEN(G1045)&lt;&gt;14,"ERRO: "&amp;LEN(G1045)&amp;" dígitos",IF(NOT(ISNUMBER(VALUE(G1045))),"ERRO: não numérico",IF(AND(VALUE(MID(G1045,13,1))=IF(MOD(SUMPRODUCT(--MID(G1045,{1,2,3,4,5,6,7,8,9,10,11,12},1),{5,4,3,2,9,8,7,6,5,4,3,2}),11)&lt;2,0,11-MOD(SUMPRODUCT(--MID(G1045,{1,2,3,4,5,6,7,8,9,10,11,12},1),{5,4,3,2,9,8,7,6,5,4,3,2}),11)),VALUE(MID(G1045,14,1))=IF(MOD(SUMPRODUCT(--MID(G1045,{1,2,3,4,5,6,7,8,9,10,11,12,13},1),{6,5,4,3,2,9,8,7,6,5,4,3,2}),11)&lt;2,0,11-MOD(SUMPRODUCT(--MID(G1045,{1,2,3,4,5,6,7,8,9,10,11,12,13},1),{6,5,4,3,2,9,8,7,6,5,4,3,2}),11))),"OK","AVISO: dígito verificador (conferir na org)"))))</f>
      </c>
      <c r="I1045" s="6">
        <f>IF(G1045="","",IF(COUNTIF($G$2:$G$2001,G1045)&gt;1,"DUPLICADO","OK"))</f>
      </c>
      <c r="J1045" s="6">
        <f>IF(COUNTA(A1045:F1045)=0,"",IF(AND(A1045&lt;&gt;"",E1045&lt;&gt;""),"OK","ERRO: faltam "&amp;IF(A1045="","CNPJ; ","")&amp;IF(E1045="","Novo gerente; ","")))</f>
      </c>
      <c r="K1045" s="6">
        <f>IF(COUNTA(A1045:F1045)=0,"",IF(AND(LEFT(H1045,4)&lt;&gt;"ERRO",I1045="OK",J1045="OK"),"OK","REVISAR"))</f>
      </c>
    </row>
    <row r="1046">
      <c r="A1046" s="5"/>
      <c r="B1046" s="4"/>
      <c r="C1046" s="4"/>
      <c r="D1046" s="4"/>
      <c r="E1046" s="5"/>
      <c r="F1046" s="4"/>
      <c r="G1046" s="6">
        <f>IF(A1046="","",SUBSTITUTE(SUBSTITUTE(SUBSTITUTE(SUBSTITUTE(SUBSTITUTE(SUBSTITUTE(SUBSTITUTE(TRIM(A1046),".",""),"/",""),"-","")," ",""),"(",""),")",""),"+",""))</f>
      </c>
      <c r="H1046" s="6">
        <f>IF(G1046="","",IF(LEN(G1046)&lt;&gt;14,"ERRO: "&amp;LEN(G1046)&amp;" dígitos",IF(NOT(ISNUMBER(VALUE(G1046))),"ERRO: não numérico",IF(AND(VALUE(MID(G1046,13,1))=IF(MOD(SUMPRODUCT(--MID(G1046,{1,2,3,4,5,6,7,8,9,10,11,12},1),{5,4,3,2,9,8,7,6,5,4,3,2}),11)&lt;2,0,11-MOD(SUMPRODUCT(--MID(G1046,{1,2,3,4,5,6,7,8,9,10,11,12},1),{5,4,3,2,9,8,7,6,5,4,3,2}),11)),VALUE(MID(G1046,14,1))=IF(MOD(SUMPRODUCT(--MID(G1046,{1,2,3,4,5,6,7,8,9,10,11,12,13},1),{6,5,4,3,2,9,8,7,6,5,4,3,2}),11)&lt;2,0,11-MOD(SUMPRODUCT(--MID(G1046,{1,2,3,4,5,6,7,8,9,10,11,12,13},1),{6,5,4,3,2,9,8,7,6,5,4,3,2}),11))),"OK","AVISO: dígito verificador (conferir na org)"))))</f>
      </c>
      <c r="I1046" s="6">
        <f>IF(G1046="","",IF(COUNTIF($G$2:$G$2001,G1046)&gt;1,"DUPLICADO","OK"))</f>
      </c>
      <c r="J1046" s="6">
        <f>IF(COUNTA(A1046:F1046)=0,"",IF(AND(A1046&lt;&gt;"",E1046&lt;&gt;""),"OK","ERRO: faltam "&amp;IF(A1046="","CNPJ; ","")&amp;IF(E1046="","Novo gerente; ","")))</f>
      </c>
      <c r="K1046" s="6">
        <f>IF(COUNTA(A1046:F1046)=0,"",IF(AND(LEFT(H1046,4)&lt;&gt;"ERRO",I1046="OK",J1046="OK"),"OK","REVISAR"))</f>
      </c>
    </row>
    <row r="1047">
      <c r="A1047" s="5"/>
      <c r="B1047" s="4"/>
      <c r="C1047" s="4"/>
      <c r="D1047" s="4"/>
      <c r="E1047" s="5"/>
      <c r="F1047" s="4"/>
      <c r="G1047" s="6">
        <f>IF(A1047="","",SUBSTITUTE(SUBSTITUTE(SUBSTITUTE(SUBSTITUTE(SUBSTITUTE(SUBSTITUTE(SUBSTITUTE(TRIM(A1047),".",""),"/",""),"-","")," ",""),"(",""),")",""),"+",""))</f>
      </c>
      <c r="H1047" s="6">
        <f>IF(G1047="","",IF(LEN(G1047)&lt;&gt;14,"ERRO: "&amp;LEN(G1047)&amp;" dígitos",IF(NOT(ISNUMBER(VALUE(G1047))),"ERRO: não numérico",IF(AND(VALUE(MID(G1047,13,1))=IF(MOD(SUMPRODUCT(--MID(G1047,{1,2,3,4,5,6,7,8,9,10,11,12},1),{5,4,3,2,9,8,7,6,5,4,3,2}),11)&lt;2,0,11-MOD(SUMPRODUCT(--MID(G1047,{1,2,3,4,5,6,7,8,9,10,11,12},1),{5,4,3,2,9,8,7,6,5,4,3,2}),11)),VALUE(MID(G1047,14,1))=IF(MOD(SUMPRODUCT(--MID(G1047,{1,2,3,4,5,6,7,8,9,10,11,12,13},1),{6,5,4,3,2,9,8,7,6,5,4,3,2}),11)&lt;2,0,11-MOD(SUMPRODUCT(--MID(G1047,{1,2,3,4,5,6,7,8,9,10,11,12,13},1),{6,5,4,3,2,9,8,7,6,5,4,3,2}),11))),"OK","AVISO: dígito verificador (conferir na org)"))))</f>
      </c>
      <c r="I1047" s="6">
        <f>IF(G1047="","",IF(COUNTIF($G$2:$G$2001,G1047)&gt;1,"DUPLICADO","OK"))</f>
      </c>
      <c r="J1047" s="6">
        <f>IF(COUNTA(A1047:F1047)=0,"",IF(AND(A1047&lt;&gt;"",E1047&lt;&gt;""),"OK","ERRO: faltam "&amp;IF(A1047="","CNPJ; ","")&amp;IF(E1047="","Novo gerente; ","")))</f>
      </c>
      <c r="K1047" s="6">
        <f>IF(COUNTA(A1047:F1047)=0,"",IF(AND(LEFT(H1047,4)&lt;&gt;"ERRO",I1047="OK",J1047="OK"),"OK","REVISAR"))</f>
      </c>
    </row>
    <row r="1048">
      <c r="A1048" s="5"/>
      <c r="B1048" s="4"/>
      <c r="C1048" s="4"/>
      <c r="D1048" s="4"/>
      <c r="E1048" s="5"/>
      <c r="F1048" s="4"/>
      <c r="G1048" s="6">
        <f>IF(A1048="","",SUBSTITUTE(SUBSTITUTE(SUBSTITUTE(SUBSTITUTE(SUBSTITUTE(SUBSTITUTE(SUBSTITUTE(TRIM(A1048),".",""),"/",""),"-","")," ",""),"(",""),")",""),"+",""))</f>
      </c>
      <c r="H1048" s="6">
        <f>IF(G1048="","",IF(LEN(G1048)&lt;&gt;14,"ERRO: "&amp;LEN(G1048)&amp;" dígitos",IF(NOT(ISNUMBER(VALUE(G1048))),"ERRO: não numérico",IF(AND(VALUE(MID(G1048,13,1))=IF(MOD(SUMPRODUCT(--MID(G1048,{1,2,3,4,5,6,7,8,9,10,11,12},1),{5,4,3,2,9,8,7,6,5,4,3,2}),11)&lt;2,0,11-MOD(SUMPRODUCT(--MID(G1048,{1,2,3,4,5,6,7,8,9,10,11,12},1),{5,4,3,2,9,8,7,6,5,4,3,2}),11)),VALUE(MID(G1048,14,1))=IF(MOD(SUMPRODUCT(--MID(G1048,{1,2,3,4,5,6,7,8,9,10,11,12,13},1),{6,5,4,3,2,9,8,7,6,5,4,3,2}),11)&lt;2,0,11-MOD(SUMPRODUCT(--MID(G1048,{1,2,3,4,5,6,7,8,9,10,11,12,13},1),{6,5,4,3,2,9,8,7,6,5,4,3,2}),11))),"OK","AVISO: dígito verificador (conferir na org)"))))</f>
      </c>
      <c r="I1048" s="6">
        <f>IF(G1048="","",IF(COUNTIF($G$2:$G$2001,G1048)&gt;1,"DUPLICADO","OK"))</f>
      </c>
      <c r="J1048" s="6">
        <f>IF(COUNTA(A1048:F1048)=0,"",IF(AND(A1048&lt;&gt;"",E1048&lt;&gt;""),"OK","ERRO: faltam "&amp;IF(A1048="","CNPJ; ","")&amp;IF(E1048="","Novo gerente; ","")))</f>
      </c>
      <c r="K1048" s="6">
        <f>IF(COUNTA(A1048:F1048)=0,"",IF(AND(LEFT(H1048,4)&lt;&gt;"ERRO",I1048="OK",J1048="OK"),"OK","REVISAR"))</f>
      </c>
    </row>
    <row r="1049">
      <c r="A1049" s="5"/>
      <c r="B1049" s="4"/>
      <c r="C1049" s="4"/>
      <c r="D1049" s="4"/>
      <c r="E1049" s="5"/>
      <c r="F1049" s="4"/>
      <c r="G1049" s="6">
        <f>IF(A1049="","",SUBSTITUTE(SUBSTITUTE(SUBSTITUTE(SUBSTITUTE(SUBSTITUTE(SUBSTITUTE(SUBSTITUTE(TRIM(A1049),".",""),"/",""),"-","")," ",""),"(",""),")",""),"+",""))</f>
      </c>
      <c r="H1049" s="6">
        <f>IF(G1049="","",IF(LEN(G1049)&lt;&gt;14,"ERRO: "&amp;LEN(G1049)&amp;" dígitos",IF(NOT(ISNUMBER(VALUE(G1049))),"ERRO: não numérico",IF(AND(VALUE(MID(G1049,13,1))=IF(MOD(SUMPRODUCT(--MID(G1049,{1,2,3,4,5,6,7,8,9,10,11,12},1),{5,4,3,2,9,8,7,6,5,4,3,2}),11)&lt;2,0,11-MOD(SUMPRODUCT(--MID(G1049,{1,2,3,4,5,6,7,8,9,10,11,12},1),{5,4,3,2,9,8,7,6,5,4,3,2}),11)),VALUE(MID(G1049,14,1))=IF(MOD(SUMPRODUCT(--MID(G1049,{1,2,3,4,5,6,7,8,9,10,11,12,13},1),{6,5,4,3,2,9,8,7,6,5,4,3,2}),11)&lt;2,0,11-MOD(SUMPRODUCT(--MID(G1049,{1,2,3,4,5,6,7,8,9,10,11,12,13},1),{6,5,4,3,2,9,8,7,6,5,4,3,2}),11))),"OK","AVISO: dígito verificador (conferir na org)"))))</f>
      </c>
      <c r="I1049" s="6">
        <f>IF(G1049="","",IF(COUNTIF($G$2:$G$2001,G1049)&gt;1,"DUPLICADO","OK"))</f>
      </c>
      <c r="J1049" s="6">
        <f>IF(COUNTA(A1049:F1049)=0,"",IF(AND(A1049&lt;&gt;"",E1049&lt;&gt;""),"OK","ERRO: faltam "&amp;IF(A1049="","CNPJ; ","")&amp;IF(E1049="","Novo gerente; ","")))</f>
      </c>
      <c r="K1049" s="6">
        <f>IF(COUNTA(A1049:F1049)=0,"",IF(AND(LEFT(H1049,4)&lt;&gt;"ERRO",I1049="OK",J1049="OK"),"OK","REVISAR"))</f>
      </c>
    </row>
    <row r="1050">
      <c r="A1050" s="5"/>
      <c r="B1050" s="4"/>
      <c r="C1050" s="4"/>
      <c r="D1050" s="4"/>
      <c r="E1050" s="5"/>
      <c r="F1050" s="4"/>
      <c r="G1050" s="6">
        <f>IF(A1050="","",SUBSTITUTE(SUBSTITUTE(SUBSTITUTE(SUBSTITUTE(SUBSTITUTE(SUBSTITUTE(SUBSTITUTE(TRIM(A1050),".",""),"/",""),"-","")," ",""),"(",""),")",""),"+",""))</f>
      </c>
      <c r="H1050" s="6">
        <f>IF(G1050="","",IF(LEN(G1050)&lt;&gt;14,"ERRO: "&amp;LEN(G1050)&amp;" dígitos",IF(NOT(ISNUMBER(VALUE(G1050))),"ERRO: não numérico",IF(AND(VALUE(MID(G1050,13,1))=IF(MOD(SUMPRODUCT(--MID(G1050,{1,2,3,4,5,6,7,8,9,10,11,12},1),{5,4,3,2,9,8,7,6,5,4,3,2}),11)&lt;2,0,11-MOD(SUMPRODUCT(--MID(G1050,{1,2,3,4,5,6,7,8,9,10,11,12},1),{5,4,3,2,9,8,7,6,5,4,3,2}),11)),VALUE(MID(G1050,14,1))=IF(MOD(SUMPRODUCT(--MID(G1050,{1,2,3,4,5,6,7,8,9,10,11,12,13},1),{6,5,4,3,2,9,8,7,6,5,4,3,2}),11)&lt;2,0,11-MOD(SUMPRODUCT(--MID(G1050,{1,2,3,4,5,6,7,8,9,10,11,12,13},1),{6,5,4,3,2,9,8,7,6,5,4,3,2}),11))),"OK","AVISO: dígito verificador (conferir na org)"))))</f>
      </c>
      <c r="I1050" s="6">
        <f>IF(G1050="","",IF(COUNTIF($G$2:$G$2001,G1050)&gt;1,"DUPLICADO","OK"))</f>
      </c>
      <c r="J1050" s="6">
        <f>IF(COUNTA(A1050:F1050)=0,"",IF(AND(A1050&lt;&gt;"",E1050&lt;&gt;""),"OK","ERRO: faltam "&amp;IF(A1050="","CNPJ; ","")&amp;IF(E1050="","Novo gerente; ","")))</f>
      </c>
      <c r="K1050" s="6">
        <f>IF(COUNTA(A1050:F1050)=0,"",IF(AND(LEFT(H1050,4)&lt;&gt;"ERRO",I1050="OK",J1050="OK"),"OK","REVISAR"))</f>
      </c>
    </row>
    <row r="1051">
      <c r="A1051" s="5"/>
      <c r="B1051" s="4"/>
      <c r="C1051" s="4"/>
      <c r="D1051" s="4"/>
      <c r="E1051" s="5"/>
      <c r="F1051" s="4"/>
      <c r="G1051" s="6">
        <f>IF(A1051="","",SUBSTITUTE(SUBSTITUTE(SUBSTITUTE(SUBSTITUTE(SUBSTITUTE(SUBSTITUTE(SUBSTITUTE(TRIM(A1051),".",""),"/",""),"-","")," ",""),"(",""),")",""),"+",""))</f>
      </c>
      <c r="H1051" s="6">
        <f>IF(G1051="","",IF(LEN(G1051)&lt;&gt;14,"ERRO: "&amp;LEN(G1051)&amp;" dígitos",IF(NOT(ISNUMBER(VALUE(G1051))),"ERRO: não numérico",IF(AND(VALUE(MID(G1051,13,1))=IF(MOD(SUMPRODUCT(--MID(G1051,{1,2,3,4,5,6,7,8,9,10,11,12},1),{5,4,3,2,9,8,7,6,5,4,3,2}),11)&lt;2,0,11-MOD(SUMPRODUCT(--MID(G1051,{1,2,3,4,5,6,7,8,9,10,11,12},1),{5,4,3,2,9,8,7,6,5,4,3,2}),11)),VALUE(MID(G1051,14,1))=IF(MOD(SUMPRODUCT(--MID(G1051,{1,2,3,4,5,6,7,8,9,10,11,12,13},1),{6,5,4,3,2,9,8,7,6,5,4,3,2}),11)&lt;2,0,11-MOD(SUMPRODUCT(--MID(G1051,{1,2,3,4,5,6,7,8,9,10,11,12,13},1),{6,5,4,3,2,9,8,7,6,5,4,3,2}),11))),"OK","AVISO: dígito verificador (conferir na org)"))))</f>
      </c>
      <c r="I1051" s="6">
        <f>IF(G1051="","",IF(COUNTIF($G$2:$G$2001,G1051)&gt;1,"DUPLICADO","OK"))</f>
      </c>
      <c r="J1051" s="6">
        <f>IF(COUNTA(A1051:F1051)=0,"",IF(AND(A1051&lt;&gt;"",E1051&lt;&gt;""),"OK","ERRO: faltam "&amp;IF(A1051="","CNPJ; ","")&amp;IF(E1051="","Novo gerente; ","")))</f>
      </c>
      <c r="K1051" s="6">
        <f>IF(COUNTA(A1051:F1051)=0,"",IF(AND(LEFT(H1051,4)&lt;&gt;"ERRO",I1051="OK",J1051="OK"),"OK","REVISAR"))</f>
      </c>
    </row>
    <row r="1052">
      <c r="A1052" s="5"/>
      <c r="B1052" s="4"/>
      <c r="C1052" s="4"/>
      <c r="D1052" s="4"/>
      <c r="E1052" s="5"/>
      <c r="F1052" s="4"/>
      <c r="G1052" s="6">
        <f>IF(A1052="","",SUBSTITUTE(SUBSTITUTE(SUBSTITUTE(SUBSTITUTE(SUBSTITUTE(SUBSTITUTE(SUBSTITUTE(TRIM(A1052),".",""),"/",""),"-","")," ",""),"(",""),")",""),"+",""))</f>
      </c>
      <c r="H1052" s="6">
        <f>IF(G1052="","",IF(LEN(G1052)&lt;&gt;14,"ERRO: "&amp;LEN(G1052)&amp;" dígitos",IF(NOT(ISNUMBER(VALUE(G1052))),"ERRO: não numérico",IF(AND(VALUE(MID(G1052,13,1))=IF(MOD(SUMPRODUCT(--MID(G1052,{1,2,3,4,5,6,7,8,9,10,11,12},1),{5,4,3,2,9,8,7,6,5,4,3,2}),11)&lt;2,0,11-MOD(SUMPRODUCT(--MID(G1052,{1,2,3,4,5,6,7,8,9,10,11,12},1),{5,4,3,2,9,8,7,6,5,4,3,2}),11)),VALUE(MID(G1052,14,1))=IF(MOD(SUMPRODUCT(--MID(G1052,{1,2,3,4,5,6,7,8,9,10,11,12,13},1),{6,5,4,3,2,9,8,7,6,5,4,3,2}),11)&lt;2,0,11-MOD(SUMPRODUCT(--MID(G1052,{1,2,3,4,5,6,7,8,9,10,11,12,13},1),{6,5,4,3,2,9,8,7,6,5,4,3,2}),11))),"OK","AVISO: dígito verificador (conferir na org)"))))</f>
      </c>
      <c r="I1052" s="6">
        <f>IF(G1052="","",IF(COUNTIF($G$2:$G$2001,G1052)&gt;1,"DUPLICADO","OK"))</f>
      </c>
      <c r="J1052" s="6">
        <f>IF(COUNTA(A1052:F1052)=0,"",IF(AND(A1052&lt;&gt;"",E1052&lt;&gt;""),"OK","ERRO: faltam "&amp;IF(A1052="","CNPJ; ","")&amp;IF(E1052="","Novo gerente; ","")))</f>
      </c>
      <c r="K1052" s="6">
        <f>IF(COUNTA(A1052:F1052)=0,"",IF(AND(LEFT(H1052,4)&lt;&gt;"ERRO",I1052="OK",J1052="OK"),"OK","REVISAR"))</f>
      </c>
    </row>
    <row r="1053">
      <c r="A1053" s="5"/>
      <c r="B1053" s="4"/>
      <c r="C1053" s="4"/>
      <c r="D1053" s="4"/>
      <c r="E1053" s="5"/>
      <c r="F1053" s="4"/>
      <c r="G1053" s="6">
        <f>IF(A1053="","",SUBSTITUTE(SUBSTITUTE(SUBSTITUTE(SUBSTITUTE(SUBSTITUTE(SUBSTITUTE(SUBSTITUTE(TRIM(A1053),".",""),"/",""),"-","")," ",""),"(",""),")",""),"+",""))</f>
      </c>
      <c r="H1053" s="6">
        <f>IF(G1053="","",IF(LEN(G1053)&lt;&gt;14,"ERRO: "&amp;LEN(G1053)&amp;" dígitos",IF(NOT(ISNUMBER(VALUE(G1053))),"ERRO: não numérico",IF(AND(VALUE(MID(G1053,13,1))=IF(MOD(SUMPRODUCT(--MID(G1053,{1,2,3,4,5,6,7,8,9,10,11,12},1),{5,4,3,2,9,8,7,6,5,4,3,2}),11)&lt;2,0,11-MOD(SUMPRODUCT(--MID(G1053,{1,2,3,4,5,6,7,8,9,10,11,12},1),{5,4,3,2,9,8,7,6,5,4,3,2}),11)),VALUE(MID(G1053,14,1))=IF(MOD(SUMPRODUCT(--MID(G1053,{1,2,3,4,5,6,7,8,9,10,11,12,13},1),{6,5,4,3,2,9,8,7,6,5,4,3,2}),11)&lt;2,0,11-MOD(SUMPRODUCT(--MID(G1053,{1,2,3,4,5,6,7,8,9,10,11,12,13},1),{6,5,4,3,2,9,8,7,6,5,4,3,2}),11))),"OK","AVISO: dígito verificador (conferir na org)"))))</f>
      </c>
      <c r="I1053" s="6">
        <f>IF(G1053="","",IF(COUNTIF($G$2:$G$2001,G1053)&gt;1,"DUPLICADO","OK"))</f>
      </c>
      <c r="J1053" s="6">
        <f>IF(COUNTA(A1053:F1053)=0,"",IF(AND(A1053&lt;&gt;"",E1053&lt;&gt;""),"OK","ERRO: faltam "&amp;IF(A1053="","CNPJ; ","")&amp;IF(E1053="","Novo gerente; ","")))</f>
      </c>
      <c r="K1053" s="6">
        <f>IF(COUNTA(A1053:F1053)=0,"",IF(AND(LEFT(H1053,4)&lt;&gt;"ERRO",I1053="OK",J1053="OK"),"OK","REVISAR"))</f>
      </c>
    </row>
    <row r="1054">
      <c r="A1054" s="5"/>
      <c r="B1054" s="4"/>
      <c r="C1054" s="4"/>
      <c r="D1054" s="4"/>
      <c r="E1054" s="5"/>
      <c r="F1054" s="4"/>
      <c r="G1054" s="6">
        <f>IF(A1054="","",SUBSTITUTE(SUBSTITUTE(SUBSTITUTE(SUBSTITUTE(SUBSTITUTE(SUBSTITUTE(SUBSTITUTE(TRIM(A1054),".",""),"/",""),"-","")," ",""),"(",""),")",""),"+",""))</f>
      </c>
      <c r="H1054" s="6">
        <f>IF(G1054="","",IF(LEN(G1054)&lt;&gt;14,"ERRO: "&amp;LEN(G1054)&amp;" dígitos",IF(NOT(ISNUMBER(VALUE(G1054))),"ERRO: não numérico",IF(AND(VALUE(MID(G1054,13,1))=IF(MOD(SUMPRODUCT(--MID(G1054,{1,2,3,4,5,6,7,8,9,10,11,12},1),{5,4,3,2,9,8,7,6,5,4,3,2}),11)&lt;2,0,11-MOD(SUMPRODUCT(--MID(G1054,{1,2,3,4,5,6,7,8,9,10,11,12},1),{5,4,3,2,9,8,7,6,5,4,3,2}),11)),VALUE(MID(G1054,14,1))=IF(MOD(SUMPRODUCT(--MID(G1054,{1,2,3,4,5,6,7,8,9,10,11,12,13},1),{6,5,4,3,2,9,8,7,6,5,4,3,2}),11)&lt;2,0,11-MOD(SUMPRODUCT(--MID(G1054,{1,2,3,4,5,6,7,8,9,10,11,12,13},1),{6,5,4,3,2,9,8,7,6,5,4,3,2}),11))),"OK","AVISO: dígito verificador (conferir na org)"))))</f>
      </c>
      <c r="I1054" s="6">
        <f>IF(G1054="","",IF(COUNTIF($G$2:$G$2001,G1054)&gt;1,"DUPLICADO","OK"))</f>
      </c>
      <c r="J1054" s="6">
        <f>IF(COUNTA(A1054:F1054)=0,"",IF(AND(A1054&lt;&gt;"",E1054&lt;&gt;""),"OK","ERRO: faltam "&amp;IF(A1054="","CNPJ; ","")&amp;IF(E1054="","Novo gerente; ","")))</f>
      </c>
      <c r="K1054" s="6">
        <f>IF(COUNTA(A1054:F1054)=0,"",IF(AND(LEFT(H1054,4)&lt;&gt;"ERRO",I1054="OK",J1054="OK"),"OK","REVISAR"))</f>
      </c>
    </row>
    <row r="1055">
      <c r="A1055" s="5"/>
      <c r="B1055" s="4"/>
      <c r="C1055" s="4"/>
      <c r="D1055" s="4"/>
      <c r="E1055" s="5"/>
      <c r="F1055" s="4"/>
      <c r="G1055" s="6">
        <f>IF(A1055="","",SUBSTITUTE(SUBSTITUTE(SUBSTITUTE(SUBSTITUTE(SUBSTITUTE(SUBSTITUTE(SUBSTITUTE(TRIM(A1055),".",""),"/",""),"-","")," ",""),"(",""),")",""),"+",""))</f>
      </c>
      <c r="H1055" s="6">
        <f>IF(G1055="","",IF(LEN(G1055)&lt;&gt;14,"ERRO: "&amp;LEN(G1055)&amp;" dígitos",IF(NOT(ISNUMBER(VALUE(G1055))),"ERRO: não numérico",IF(AND(VALUE(MID(G1055,13,1))=IF(MOD(SUMPRODUCT(--MID(G1055,{1,2,3,4,5,6,7,8,9,10,11,12},1),{5,4,3,2,9,8,7,6,5,4,3,2}),11)&lt;2,0,11-MOD(SUMPRODUCT(--MID(G1055,{1,2,3,4,5,6,7,8,9,10,11,12},1),{5,4,3,2,9,8,7,6,5,4,3,2}),11)),VALUE(MID(G1055,14,1))=IF(MOD(SUMPRODUCT(--MID(G1055,{1,2,3,4,5,6,7,8,9,10,11,12,13},1),{6,5,4,3,2,9,8,7,6,5,4,3,2}),11)&lt;2,0,11-MOD(SUMPRODUCT(--MID(G1055,{1,2,3,4,5,6,7,8,9,10,11,12,13},1),{6,5,4,3,2,9,8,7,6,5,4,3,2}),11))),"OK","AVISO: dígito verificador (conferir na org)"))))</f>
      </c>
      <c r="I1055" s="6">
        <f>IF(G1055="","",IF(COUNTIF($G$2:$G$2001,G1055)&gt;1,"DUPLICADO","OK"))</f>
      </c>
      <c r="J1055" s="6">
        <f>IF(COUNTA(A1055:F1055)=0,"",IF(AND(A1055&lt;&gt;"",E1055&lt;&gt;""),"OK","ERRO: faltam "&amp;IF(A1055="","CNPJ; ","")&amp;IF(E1055="","Novo gerente; ","")))</f>
      </c>
      <c r="K1055" s="6">
        <f>IF(COUNTA(A1055:F1055)=0,"",IF(AND(LEFT(H1055,4)&lt;&gt;"ERRO",I1055="OK",J1055="OK"),"OK","REVISAR"))</f>
      </c>
    </row>
    <row r="1056">
      <c r="A1056" s="5"/>
      <c r="B1056" s="4"/>
      <c r="C1056" s="4"/>
      <c r="D1056" s="4"/>
      <c r="E1056" s="5"/>
      <c r="F1056" s="4"/>
      <c r="G1056" s="6">
        <f>IF(A1056="","",SUBSTITUTE(SUBSTITUTE(SUBSTITUTE(SUBSTITUTE(SUBSTITUTE(SUBSTITUTE(SUBSTITUTE(TRIM(A1056),".",""),"/",""),"-","")," ",""),"(",""),")",""),"+",""))</f>
      </c>
      <c r="H1056" s="6">
        <f>IF(G1056="","",IF(LEN(G1056)&lt;&gt;14,"ERRO: "&amp;LEN(G1056)&amp;" dígitos",IF(NOT(ISNUMBER(VALUE(G1056))),"ERRO: não numérico",IF(AND(VALUE(MID(G1056,13,1))=IF(MOD(SUMPRODUCT(--MID(G1056,{1,2,3,4,5,6,7,8,9,10,11,12},1),{5,4,3,2,9,8,7,6,5,4,3,2}),11)&lt;2,0,11-MOD(SUMPRODUCT(--MID(G1056,{1,2,3,4,5,6,7,8,9,10,11,12},1),{5,4,3,2,9,8,7,6,5,4,3,2}),11)),VALUE(MID(G1056,14,1))=IF(MOD(SUMPRODUCT(--MID(G1056,{1,2,3,4,5,6,7,8,9,10,11,12,13},1),{6,5,4,3,2,9,8,7,6,5,4,3,2}),11)&lt;2,0,11-MOD(SUMPRODUCT(--MID(G1056,{1,2,3,4,5,6,7,8,9,10,11,12,13},1),{6,5,4,3,2,9,8,7,6,5,4,3,2}),11))),"OK","AVISO: dígito verificador (conferir na org)"))))</f>
      </c>
      <c r="I1056" s="6">
        <f>IF(G1056="","",IF(COUNTIF($G$2:$G$2001,G1056)&gt;1,"DUPLICADO","OK"))</f>
      </c>
      <c r="J1056" s="6">
        <f>IF(COUNTA(A1056:F1056)=0,"",IF(AND(A1056&lt;&gt;"",E1056&lt;&gt;""),"OK","ERRO: faltam "&amp;IF(A1056="","CNPJ; ","")&amp;IF(E1056="","Novo gerente; ","")))</f>
      </c>
      <c r="K1056" s="6">
        <f>IF(COUNTA(A1056:F1056)=0,"",IF(AND(LEFT(H1056,4)&lt;&gt;"ERRO",I1056="OK",J1056="OK"),"OK","REVISAR"))</f>
      </c>
    </row>
    <row r="1057">
      <c r="A1057" s="5"/>
      <c r="B1057" s="4"/>
      <c r="C1057" s="4"/>
      <c r="D1057" s="4"/>
      <c r="E1057" s="5"/>
      <c r="F1057" s="4"/>
      <c r="G1057" s="6">
        <f>IF(A1057="","",SUBSTITUTE(SUBSTITUTE(SUBSTITUTE(SUBSTITUTE(SUBSTITUTE(SUBSTITUTE(SUBSTITUTE(TRIM(A1057),".",""),"/",""),"-","")," ",""),"(",""),")",""),"+",""))</f>
      </c>
      <c r="H1057" s="6">
        <f>IF(G1057="","",IF(LEN(G1057)&lt;&gt;14,"ERRO: "&amp;LEN(G1057)&amp;" dígitos",IF(NOT(ISNUMBER(VALUE(G1057))),"ERRO: não numérico",IF(AND(VALUE(MID(G1057,13,1))=IF(MOD(SUMPRODUCT(--MID(G1057,{1,2,3,4,5,6,7,8,9,10,11,12},1),{5,4,3,2,9,8,7,6,5,4,3,2}),11)&lt;2,0,11-MOD(SUMPRODUCT(--MID(G1057,{1,2,3,4,5,6,7,8,9,10,11,12},1),{5,4,3,2,9,8,7,6,5,4,3,2}),11)),VALUE(MID(G1057,14,1))=IF(MOD(SUMPRODUCT(--MID(G1057,{1,2,3,4,5,6,7,8,9,10,11,12,13},1),{6,5,4,3,2,9,8,7,6,5,4,3,2}),11)&lt;2,0,11-MOD(SUMPRODUCT(--MID(G1057,{1,2,3,4,5,6,7,8,9,10,11,12,13},1),{6,5,4,3,2,9,8,7,6,5,4,3,2}),11))),"OK","AVISO: dígito verificador (conferir na org)"))))</f>
      </c>
      <c r="I1057" s="6">
        <f>IF(G1057="","",IF(COUNTIF($G$2:$G$2001,G1057)&gt;1,"DUPLICADO","OK"))</f>
      </c>
      <c r="J1057" s="6">
        <f>IF(COUNTA(A1057:F1057)=0,"",IF(AND(A1057&lt;&gt;"",E1057&lt;&gt;""),"OK","ERRO: faltam "&amp;IF(A1057="","CNPJ; ","")&amp;IF(E1057="","Novo gerente; ","")))</f>
      </c>
      <c r="K1057" s="6">
        <f>IF(COUNTA(A1057:F1057)=0,"",IF(AND(LEFT(H1057,4)&lt;&gt;"ERRO",I1057="OK",J1057="OK"),"OK","REVISAR"))</f>
      </c>
    </row>
    <row r="1058">
      <c r="A1058" s="5"/>
      <c r="B1058" s="4"/>
      <c r="C1058" s="4"/>
      <c r="D1058" s="4"/>
      <c r="E1058" s="5"/>
      <c r="F1058" s="4"/>
      <c r="G1058" s="6">
        <f>IF(A1058="","",SUBSTITUTE(SUBSTITUTE(SUBSTITUTE(SUBSTITUTE(SUBSTITUTE(SUBSTITUTE(SUBSTITUTE(TRIM(A1058),".",""),"/",""),"-","")," ",""),"(",""),")",""),"+",""))</f>
      </c>
      <c r="H1058" s="6">
        <f>IF(G1058="","",IF(LEN(G1058)&lt;&gt;14,"ERRO: "&amp;LEN(G1058)&amp;" dígitos",IF(NOT(ISNUMBER(VALUE(G1058))),"ERRO: não numérico",IF(AND(VALUE(MID(G1058,13,1))=IF(MOD(SUMPRODUCT(--MID(G1058,{1,2,3,4,5,6,7,8,9,10,11,12},1),{5,4,3,2,9,8,7,6,5,4,3,2}),11)&lt;2,0,11-MOD(SUMPRODUCT(--MID(G1058,{1,2,3,4,5,6,7,8,9,10,11,12},1),{5,4,3,2,9,8,7,6,5,4,3,2}),11)),VALUE(MID(G1058,14,1))=IF(MOD(SUMPRODUCT(--MID(G1058,{1,2,3,4,5,6,7,8,9,10,11,12,13},1),{6,5,4,3,2,9,8,7,6,5,4,3,2}),11)&lt;2,0,11-MOD(SUMPRODUCT(--MID(G1058,{1,2,3,4,5,6,7,8,9,10,11,12,13},1),{6,5,4,3,2,9,8,7,6,5,4,3,2}),11))),"OK","AVISO: dígito verificador (conferir na org)"))))</f>
      </c>
      <c r="I1058" s="6">
        <f>IF(G1058="","",IF(COUNTIF($G$2:$G$2001,G1058)&gt;1,"DUPLICADO","OK"))</f>
      </c>
      <c r="J1058" s="6">
        <f>IF(COUNTA(A1058:F1058)=0,"",IF(AND(A1058&lt;&gt;"",E1058&lt;&gt;""),"OK","ERRO: faltam "&amp;IF(A1058="","CNPJ; ","")&amp;IF(E1058="","Novo gerente; ","")))</f>
      </c>
      <c r="K1058" s="6">
        <f>IF(COUNTA(A1058:F1058)=0,"",IF(AND(LEFT(H1058,4)&lt;&gt;"ERRO",I1058="OK",J1058="OK"),"OK","REVISAR"))</f>
      </c>
    </row>
    <row r="1059">
      <c r="A1059" s="5"/>
      <c r="B1059" s="4"/>
      <c r="C1059" s="4"/>
      <c r="D1059" s="4"/>
      <c r="E1059" s="5"/>
      <c r="F1059" s="4"/>
      <c r="G1059" s="6">
        <f>IF(A1059="","",SUBSTITUTE(SUBSTITUTE(SUBSTITUTE(SUBSTITUTE(SUBSTITUTE(SUBSTITUTE(SUBSTITUTE(TRIM(A1059),".",""),"/",""),"-","")," ",""),"(",""),")",""),"+",""))</f>
      </c>
      <c r="H1059" s="6">
        <f>IF(G1059="","",IF(LEN(G1059)&lt;&gt;14,"ERRO: "&amp;LEN(G1059)&amp;" dígitos",IF(NOT(ISNUMBER(VALUE(G1059))),"ERRO: não numérico",IF(AND(VALUE(MID(G1059,13,1))=IF(MOD(SUMPRODUCT(--MID(G1059,{1,2,3,4,5,6,7,8,9,10,11,12},1),{5,4,3,2,9,8,7,6,5,4,3,2}),11)&lt;2,0,11-MOD(SUMPRODUCT(--MID(G1059,{1,2,3,4,5,6,7,8,9,10,11,12},1),{5,4,3,2,9,8,7,6,5,4,3,2}),11)),VALUE(MID(G1059,14,1))=IF(MOD(SUMPRODUCT(--MID(G1059,{1,2,3,4,5,6,7,8,9,10,11,12,13},1),{6,5,4,3,2,9,8,7,6,5,4,3,2}),11)&lt;2,0,11-MOD(SUMPRODUCT(--MID(G1059,{1,2,3,4,5,6,7,8,9,10,11,12,13},1),{6,5,4,3,2,9,8,7,6,5,4,3,2}),11))),"OK","AVISO: dígito verificador (conferir na org)"))))</f>
      </c>
      <c r="I1059" s="6">
        <f>IF(G1059="","",IF(COUNTIF($G$2:$G$2001,G1059)&gt;1,"DUPLICADO","OK"))</f>
      </c>
      <c r="J1059" s="6">
        <f>IF(COUNTA(A1059:F1059)=0,"",IF(AND(A1059&lt;&gt;"",E1059&lt;&gt;""),"OK","ERRO: faltam "&amp;IF(A1059="","CNPJ; ","")&amp;IF(E1059="","Novo gerente; ","")))</f>
      </c>
      <c r="K1059" s="6">
        <f>IF(COUNTA(A1059:F1059)=0,"",IF(AND(LEFT(H1059,4)&lt;&gt;"ERRO",I1059="OK",J1059="OK"),"OK","REVISAR"))</f>
      </c>
    </row>
    <row r="1060">
      <c r="A1060" s="5"/>
      <c r="B1060" s="4"/>
      <c r="C1060" s="4"/>
      <c r="D1060" s="4"/>
      <c r="E1060" s="5"/>
      <c r="F1060" s="4"/>
      <c r="G1060" s="6">
        <f>IF(A1060="","",SUBSTITUTE(SUBSTITUTE(SUBSTITUTE(SUBSTITUTE(SUBSTITUTE(SUBSTITUTE(SUBSTITUTE(TRIM(A1060),".",""),"/",""),"-","")," ",""),"(",""),")",""),"+",""))</f>
      </c>
      <c r="H1060" s="6">
        <f>IF(G1060="","",IF(LEN(G1060)&lt;&gt;14,"ERRO: "&amp;LEN(G1060)&amp;" dígitos",IF(NOT(ISNUMBER(VALUE(G1060))),"ERRO: não numérico",IF(AND(VALUE(MID(G1060,13,1))=IF(MOD(SUMPRODUCT(--MID(G1060,{1,2,3,4,5,6,7,8,9,10,11,12},1),{5,4,3,2,9,8,7,6,5,4,3,2}),11)&lt;2,0,11-MOD(SUMPRODUCT(--MID(G1060,{1,2,3,4,5,6,7,8,9,10,11,12},1),{5,4,3,2,9,8,7,6,5,4,3,2}),11)),VALUE(MID(G1060,14,1))=IF(MOD(SUMPRODUCT(--MID(G1060,{1,2,3,4,5,6,7,8,9,10,11,12,13},1),{6,5,4,3,2,9,8,7,6,5,4,3,2}),11)&lt;2,0,11-MOD(SUMPRODUCT(--MID(G1060,{1,2,3,4,5,6,7,8,9,10,11,12,13},1),{6,5,4,3,2,9,8,7,6,5,4,3,2}),11))),"OK","AVISO: dígito verificador (conferir na org)"))))</f>
      </c>
      <c r="I1060" s="6">
        <f>IF(G1060="","",IF(COUNTIF($G$2:$G$2001,G1060)&gt;1,"DUPLICADO","OK"))</f>
      </c>
      <c r="J1060" s="6">
        <f>IF(COUNTA(A1060:F1060)=0,"",IF(AND(A1060&lt;&gt;"",E1060&lt;&gt;""),"OK","ERRO: faltam "&amp;IF(A1060="","CNPJ; ","")&amp;IF(E1060="","Novo gerente; ","")))</f>
      </c>
      <c r="K1060" s="6">
        <f>IF(COUNTA(A1060:F1060)=0,"",IF(AND(LEFT(H1060,4)&lt;&gt;"ERRO",I1060="OK",J1060="OK"),"OK","REVISAR"))</f>
      </c>
    </row>
    <row r="1061">
      <c r="A1061" s="5"/>
      <c r="B1061" s="4"/>
      <c r="C1061" s="4"/>
      <c r="D1061" s="4"/>
      <c r="E1061" s="5"/>
      <c r="F1061" s="4"/>
      <c r="G1061" s="6">
        <f>IF(A1061="","",SUBSTITUTE(SUBSTITUTE(SUBSTITUTE(SUBSTITUTE(SUBSTITUTE(SUBSTITUTE(SUBSTITUTE(TRIM(A1061),".",""),"/",""),"-","")," ",""),"(",""),")",""),"+",""))</f>
      </c>
      <c r="H1061" s="6">
        <f>IF(G1061="","",IF(LEN(G1061)&lt;&gt;14,"ERRO: "&amp;LEN(G1061)&amp;" dígitos",IF(NOT(ISNUMBER(VALUE(G1061))),"ERRO: não numérico",IF(AND(VALUE(MID(G1061,13,1))=IF(MOD(SUMPRODUCT(--MID(G1061,{1,2,3,4,5,6,7,8,9,10,11,12},1),{5,4,3,2,9,8,7,6,5,4,3,2}),11)&lt;2,0,11-MOD(SUMPRODUCT(--MID(G1061,{1,2,3,4,5,6,7,8,9,10,11,12},1),{5,4,3,2,9,8,7,6,5,4,3,2}),11)),VALUE(MID(G1061,14,1))=IF(MOD(SUMPRODUCT(--MID(G1061,{1,2,3,4,5,6,7,8,9,10,11,12,13},1),{6,5,4,3,2,9,8,7,6,5,4,3,2}),11)&lt;2,0,11-MOD(SUMPRODUCT(--MID(G1061,{1,2,3,4,5,6,7,8,9,10,11,12,13},1),{6,5,4,3,2,9,8,7,6,5,4,3,2}),11))),"OK","AVISO: dígito verificador (conferir na org)"))))</f>
      </c>
      <c r="I1061" s="6">
        <f>IF(G1061="","",IF(COUNTIF($G$2:$G$2001,G1061)&gt;1,"DUPLICADO","OK"))</f>
      </c>
      <c r="J1061" s="6">
        <f>IF(COUNTA(A1061:F1061)=0,"",IF(AND(A1061&lt;&gt;"",E1061&lt;&gt;""),"OK","ERRO: faltam "&amp;IF(A1061="","CNPJ; ","")&amp;IF(E1061="","Novo gerente; ","")))</f>
      </c>
      <c r="K1061" s="6">
        <f>IF(COUNTA(A1061:F1061)=0,"",IF(AND(LEFT(H1061,4)&lt;&gt;"ERRO",I1061="OK",J1061="OK"),"OK","REVISAR"))</f>
      </c>
    </row>
    <row r="1062">
      <c r="A1062" s="5"/>
      <c r="B1062" s="4"/>
      <c r="C1062" s="4"/>
      <c r="D1062" s="4"/>
      <c r="E1062" s="5"/>
      <c r="F1062" s="4"/>
      <c r="G1062" s="6">
        <f>IF(A1062="","",SUBSTITUTE(SUBSTITUTE(SUBSTITUTE(SUBSTITUTE(SUBSTITUTE(SUBSTITUTE(SUBSTITUTE(TRIM(A1062),".",""),"/",""),"-","")," ",""),"(",""),")",""),"+",""))</f>
      </c>
      <c r="H1062" s="6">
        <f>IF(G1062="","",IF(LEN(G1062)&lt;&gt;14,"ERRO: "&amp;LEN(G1062)&amp;" dígitos",IF(NOT(ISNUMBER(VALUE(G1062))),"ERRO: não numérico",IF(AND(VALUE(MID(G1062,13,1))=IF(MOD(SUMPRODUCT(--MID(G1062,{1,2,3,4,5,6,7,8,9,10,11,12},1),{5,4,3,2,9,8,7,6,5,4,3,2}),11)&lt;2,0,11-MOD(SUMPRODUCT(--MID(G1062,{1,2,3,4,5,6,7,8,9,10,11,12},1),{5,4,3,2,9,8,7,6,5,4,3,2}),11)),VALUE(MID(G1062,14,1))=IF(MOD(SUMPRODUCT(--MID(G1062,{1,2,3,4,5,6,7,8,9,10,11,12,13},1),{6,5,4,3,2,9,8,7,6,5,4,3,2}),11)&lt;2,0,11-MOD(SUMPRODUCT(--MID(G1062,{1,2,3,4,5,6,7,8,9,10,11,12,13},1),{6,5,4,3,2,9,8,7,6,5,4,3,2}),11))),"OK","AVISO: dígito verificador (conferir na org)"))))</f>
      </c>
      <c r="I1062" s="6">
        <f>IF(G1062="","",IF(COUNTIF($G$2:$G$2001,G1062)&gt;1,"DUPLICADO","OK"))</f>
      </c>
      <c r="J1062" s="6">
        <f>IF(COUNTA(A1062:F1062)=0,"",IF(AND(A1062&lt;&gt;"",E1062&lt;&gt;""),"OK","ERRO: faltam "&amp;IF(A1062="","CNPJ; ","")&amp;IF(E1062="","Novo gerente; ","")))</f>
      </c>
      <c r="K1062" s="6">
        <f>IF(COUNTA(A1062:F1062)=0,"",IF(AND(LEFT(H1062,4)&lt;&gt;"ERRO",I1062="OK",J1062="OK"),"OK","REVISAR"))</f>
      </c>
    </row>
    <row r="1063">
      <c r="A1063" s="5"/>
      <c r="B1063" s="4"/>
      <c r="C1063" s="4"/>
      <c r="D1063" s="4"/>
      <c r="E1063" s="5"/>
      <c r="F1063" s="4"/>
      <c r="G1063" s="6">
        <f>IF(A1063="","",SUBSTITUTE(SUBSTITUTE(SUBSTITUTE(SUBSTITUTE(SUBSTITUTE(SUBSTITUTE(SUBSTITUTE(TRIM(A1063),".",""),"/",""),"-","")," ",""),"(",""),")",""),"+",""))</f>
      </c>
      <c r="H1063" s="6">
        <f>IF(G1063="","",IF(LEN(G1063)&lt;&gt;14,"ERRO: "&amp;LEN(G1063)&amp;" dígitos",IF(NOT(ISNUMBER(VALUE(G1063))),"ERRO: não numérico",IF(AND(VALUE(MID(G1063,13,1))=IF(MOD(SUMPRODUCT(--MID(G1063,{1,2,3,4,5,6,7,8,9,10,11,12},1),{5,4,3,2,9,8,7,6,5,4,3,2}),11)&lt;2,0,11-MOD(SUMPRODUCT(--MID(G1063,{1,2,3,4,5,6,7,8,9,10,11,12},1),{5,4,3,2,9,8,7,6,5,4,3,2}),11)),VALUE(MID(G1063,14,1))=IF(MOD(SUMPRODUCT(--MID(G1063,{1,2,3,4,5,6,7,8,9,10,11,12,13},1),{6,5,4,3,2,9,8,7,6,5,4,3,2}),11)&lt;2,0,11-MOD(SUMPRODUCT(--MID(G1063,{1,2,3,4,5,6,7,8,9,10,11,12,13},1),{6,5,4,3,2,9,8,7,6,5,4,3,2}),11))),"OK","AVISO: dígito verificador (conferir na org)"))))</f>
      </c>
      <c r="I1063" s="6">
        <f>IF(G1063="","",IF(COUNTIF($G$2:$G$2001,G1063)&gt;1,"DUPLICADO","OK"))</f>
      </c>
      <c r="J1063" s="6">
        <f>IF(COUNTA(A1063:F1063)=0,"",IF(AND(A1063&lt;&gt;"",E1063&lt;&gt;""),"OK","ERRO: faltam "&amp;IF(A1063="","CNPJ; ","")&amp;IF(E1063="","Novo gerente; ","")))</f>
      </c>
      <c r="K1063" s="6">
        <f>IF(COUNTA(A1063:F1063)=0,"",IF(AND(LEFT(H1063,4)&lt;&gt;"ERRO",I1063="OK",J1063="OK"),"OK","REVISAR"))</f>
      </c>
    </row>
    <row r="1064">
      <c r="A1064" s="5"/>
      <c r="B1064" s="4"/>
      <c r="C1064" s="4"/>
      <c r="D1064" s="4"/>
      <c r="E1064" s="5"/>
      <c r="F1064" s="4"/>
      <c r="G1064" s="6">
        <f>IF(A1064="","",SUBSTITUTE(SUBSTITUTE(SUBSTITUTE(SUBSTITUTE(SUBSTITUTE(SUBSTITUTE(SUBSTITUTE(TRIM(A1064),".",""),"/",""),"-","")," ",""),"(",""),")",""),"+",""))</f>
      </c>
      <c r="H1064" s="6">
        <f>IF(G1064="","",IF(LEN(G1064)&lt;&gt;14,"ERRO: "&amp;LEN(G1064)&amp;" dígitos",IF(NOT(ISNUMBER(VALUE(G1064))),"ERRO: não numérico",IF(AND(VALUE(MID(G1064,13,1))=IF(MOD(SUMPRODUCT(--MID(G1064,{1,2,3,4,5,6,7,8,9,10,11,12},1),{5,4,3,2,9,8,7,6,5,4,3,2}),11)&lt;2,0,11-MOD(SUMPRODUCT(--MID(G1064,{1,2,3,4,5,6,7,8,9,10,11,12},1),{5,4,3,2,9,8,7,6,5,4,3,2}),11)),VALUE(MID(G1064,14,1))=IF(MOD(SUMPRODUCT(--MID(G1064,{1,2,3,4,5,6,7,8,9,10,11,12,13},1),{6,5,4,3,2,9,8,7,6,5,4,3,2}),11)&lt;2,0,11-MOD(SUMPRODUCT(--MID(G1064,{1,2,3,4,5,6,7,8,9,10,11,12,13},1),{6,5,4,3,2,9,8,7,6,5,4,3,2}),11))),"OK","AVISO: dígito verificador (conferir na org)"))))</f>
      </c>
      <c r="I1064" s="6">
        <f>IF(G1064="","",IF(COUNTIF($G$2:$G$2001,G1064)&gt;1,"DUPLICADO","OK"))</f>
      </c>
      <c r="J1064" s="6">
        <f>IF(COUNTA(A1064:F1064)=0,"",IF(AND(A1064&lt;&gt;"",E1064&lt;&gt;""),"OK","ERRO: faltam "&amp;IF(A1064="","CNPJ; ","")&amp;IF(E1064="","Novo gerente; ","")))</f>
      </c>
      <c r="K1064" s="6">
        <f>IF(COUNTA(A1064:F1064)=0,"",IF(AND(LEFT(H1064,4)&lt;&gt;"ERRO",I1064="OK",J1064="OK"),"OK","REVISAR"))</f>
      </c>
    </row>
    <row r="1065">
      <c r="A1065" s="5"/>
      <c r="B1065" s="4"/>
      <c r="C1065" s="4"/>
      <c r="D1065" s="4"/>
      <c r="E1065" s="5"/>
      <c r="F1065" s="4"/>
      <c r="G1065" s="6">
        <f>IF(A1065="","",SUBSTITUTE(SUBSTITUTE(SUBSTITUTE(SUBSTITUTE(SUBSTITUTE(SUBSTITUTE(SUBSTITUTE(TRIM(A1065),".",""),"/",""),"-","")," ",""),"(",""),")",""),"+",""))</f>
      </c>
      <c r="H1065" s="6">
        <f>IF(G1065="","",IF(LEN(G1065)&lt;&gt;14,"ERRO: "&amp;LEN(G1065)&amp;" dígitos",IF(NOT(ISNUMBER(VALUE(G1065))),"ERRO: não numérico",IF(AND(VALUE(MID(G1065,13,1))=IF(MOD(SUMPRODUCT(--MID(G1065,{1,2,3,4,5,6,7,8,9,10,11,12},1),{5,4,3,2,9,8,7,6,5,4,3,2}),11)&lt;2,0,11-MOD(SUMPRODUCT(--MID(G1065,{1,2,3,4,5,6,7,8,9,10,11,12},1),{5,4,3,2,9,8,7,6,5,4,3,2}),11)),VALUE(MID(G1065,14,1))=IF(MOD(SUMPRODUCT(--MID(G1065,{1,2,3,4,5,6,7,8,9,10,11,12,13},1),{6,5,4,3,2,9,8,7,6,5,4,3,2}),11)&lt;2,0,11-MOD(SUMPRODUCT(--MID(G1065,{1,2,3,4,5,6,7,8,9,10,11,12,13},1),{6,5,4,3,2,9,8,7,6,5,4,3,2}),11))),"OK","AVISO: dígito verificador (conferir na org)"))))</f>
      </c>
      <c r="I1065" s="6">
        <f>IF(G1065="","",IF(COUNTIF($G$2:$G$2001,G1065)&gt;1,"DUPLICADO","OK"))</f>
      </c>
      <c r="J1065" s="6">
        <f>IF(COUNTA(A1065:F1065)=0,"",IF(AND(A1065&lt;&gt;"",E1065&lt;&gt;""),"OK","ERRO: faltam "&amp;IF(A1065="","CNPJ; ","")&amp;IF(E1065="","Novo gerente; ","")))</f>
      </c>
      <c r="K1065" s="6">
        <f>IF(COUNTA(A1065:F1065)=0,"",IF(AND(LEFT(H1065,4)&lt;&gt;"ERRO",I1065="OK",J1065="OK"),"OK","REVISAR"))</f>
      </c>
    </row>
    <row r="1066">
      <c r="A1066" s="5"/>
      <c r="B1066" s="4"/>
      <c r="C1066" s="4"/>
      <c r="D1066" s="4"/>
      <c r="E1066" s="5"/>
      <c r="F1066" s="4"/>
      <c r="G1066" s="6">
        <f>IF(A1066="","",SUBSTITUTE(SUBSTITUTE(SUBSTITUTE(SUBSTITUTE(SUBSTITUTE(SUBSTITUTE(SUBSTITUTE(TRIM(A1066),".",""),"/",""),"-","")," ",""),"(",""),")",""),"+",""))</f>
      </c>
      <c r="H1066" s="6">
        <f>IF(G1066="","",IF(LEN(G1066)&lt;&gt;14,"ERRO: "&amp;LEN(G1066)&amp;" dígitos",IF(NOT(ISNUMBER(VALUE(G1066))),"ERRO: não numérico",IF(AND(VALUE(MID(G1066,13,1))=IF(MOD(SUMPRODUCT(--MID(G1066,{1,2,3,4,5,6,7,8,9,10,11,12},1),{5,4,3,2,9,8,7,6,5,4,3,2}),11)&lt;2,0,11-MOD(SUMPRODUCT(--MID(G1066,{1,2,3,4,5,6,7,8,9,10,11,12},1),{5,4,3,2,9,8,7,6,5,4,3,2}),11)),VALUE(MID(G1066,14,1))=IF(MOD(SUMPRODUCT(--MID(G1066,{1,2,3,4,5,6,7,8,9,10,11,12,13},1),{6,5,4,3,2,9,8,7,6,5,4,3,2}),11)&lt;2,0,11-MOD(SUMPRODUCT(--MID(G1066,{1,2,3,4,5,6,7,8,9,10,11,12,13},1),{6,5,4,3,2,9,8,7,6,5,4,3,2}),11))),"OK","AVISO: dígito verificador (conferir na org)"))))</f>
      </c>
      <c r="I1066" s="6">
        <f>IF(G1066="","",IF(COUNTIF($G$2:$G$2001,G1066)&gt;1,"DUPLICADO","OK"))</f>
      </c>
      <c r="J1066" s="6">
        <f>IF(COUNTA(A1066:F1066)=0,"",IF(AND(A1066&lt;&gt;"",E1066&lt;&gt;""),"OK","ERRO: faltam "&amp;IF(A1066="","CNPJ; ","")&amp;IF(E1066="","Novo gerente; ","")))</f>
      </c>
      <c r="K1066" s="6">
        <f>IF(COUNTA(A1066:F1066)=0,"",IF(AND(LEFT(H1066,4)&lt;&gt;"ERRO",I1066="OK",J1066="OK"),"OK","REVISAR"))</f>
      </c>
    </row>
    <row r="1067">
      <c r="A1067" s="5"/>
      <c r="B1067" s="4"/>
      <c r="C1067" s="4"/>
      <c r="D1067" s="4"/>
      <c r="E1067" s="5"/>
      <c r="F1067" s="4"/>
      <c r="G1067" s="6">
        <f>IF(A1067="","",SUBSTITUTE(SUBSTITUTE(SUBSTITUTE(SUBSTITUTE(SUBSTITUTE(SUBSTITUTE(SUBSTITUTE(TRIM(A1067),".",""),"/",""),"-","")," ",""),"(",""),")",""),"+",""))</f>
      </c>
      <c r="H1067" s="6">
        <f>IF(G1067="","",IF(LEN(G1067)&lt;&gt;14,"ERRO: "&amp;LEN(G1067)&amp;" dígitos",IF(NOT(ISNUMBER(VALUE(G1067))),"ERRO: não numérico",IF(AND(VALUE(MID(G1067,13,1))=IF(MOD(SUMPRODUCT(--MID(G1067,{1,2,3,4,5,6,7,8,9,10,11,12},1),{5,4,3,2,9,8,7,6,5,4,3,2}),11)&lt;2,0,11-MOD(SUMPRODUCT(--MID(G1067,{1,2,3,4,5,6,7,8,9,10,11,12},1),{5,4,3,2,9,8,7,6,5,4,3,2}),11)),VALUE(MID(G1067,14,1))=IF(MOD(SUMPRODUCT(--MID(G1067,{1,2,3,4,5,6,7,8,9,10,11,12,13},1),{6,5,4,3,2,9,8,7,6,5,4,3,2}),11)&lt;2,0,11-MOD(SUMPRODUCT(--MID(G1067,{1,2,3,4,5,6,7,8,9,10,11,12,13},1),{6,5,4,3,2,9,8,7,6,5,4,3,2}),11))),"OK","AVISO: dígito verificador (conferir na org)"))))</f>
      </c>
      <c r="I1067" s="6">
        <f>IF(G1067="","",IF(COUNTIF($G$2:$G$2001,G1067)&gt;1,"DUPLICADO","OK"))</f>
      </c>
      <c r="J1067" s="6">
        <f>IF(COUNTA(A1067:F1067)=0,"",IF(AND(A1067&lt;&gt;"",E1067&lt;&gt;""),"OK","ERRO: faltam "&amp;IF(A1067="","CNPJ; ","")&amp;IF(E1067="","Novo gerente; ","")))</f>
      </c>
      <c r="K1067" s="6">
        <f>IF(COUNTA(A1067:F1067)=0,"",IF(AND(LEFT(H1067,4)&lt;&gt;"ERRO",I1067="OK",J1067="OK"),"OK","REVISAR"))</f>
      </c>
    </row>
    <row r="1068">
      <c r="A1068" s="5"/>
      <c r="B1068" s="4"/>
      <c r="C1068" s="4"/>
      <c r="D1068" s="4"/>
      <c r="E1068" s="5"/>
      <c r="F1068" s="4"/>
      <c r="G1068" s="6">
        <f>IF(A1068="","",SUBSTITUTE(SUBSTITUTE(SUBSTITUTE(SUBSTITUTE(SUBSTITUTE(SUBSTITUTE(SUBSTITUTE(TRIM(A1068),".",""),"/",""),"-","")," ",""),"(",""),")",""),"+",""))</f>
      </c>
      <c r="H1068" s="6">
        <f>IF(G1068="","",IF(LEN(G1068)&lt;&gt;14,"ERRO: "&amp;LEN(G1068)&amp;" dígitos",IF(NOT(ISNUMBER(VALUE(G1068))),"ERRO: não numérico",IF(AND(VALUE(MID(G1068,13,1))=IF(MOD(SUMPRODUCT(--MID(G1068,{1,2,3,4,5,6,7,8,9,10,11,12},1),{5,4,3,2,9,8,7,6,5,4,3,2}),11)&lt;2,0,11-MOD(SUMPRODUCT(--MID(G1068,{1,2,3,4,5,6,7,8,9,10,11,12},1),{5,4,3,2,9,8,7,6,5,4,3,2}),11)),VALUE(MID(G1068,14,1))=IF(MOD(SUMPRODUCT(--MID(G1068,{1,2,3,4,5,6,7,8,9,10,11,12,13},1),{6,5,4,3,2,9,8,7,6,5,4,3,2}),11)&lt;2,0,11-MOD(SUMPRODUCT(--MID(G1068,{1,2,3,4,5,6,7,8,9,10,11,12,13},1),{6,5,4,3,2,9,8,7,6,5,4,3,2}),11))),"OK","AVISO: dígito verificador (conferir na org)"))))</f>
      </c>
      <c r="I1068" s="6">
        <f>IF(G1068="","",IF(COUNTIF($G$2:$G$2001,G1068)&gt;1,"DUPLICADO","OK"))</f>
      </c>
      <c r="J1068" s="6">
        <f>IF(COUNTA(A1068:F1068)=0,"",IF(AND(A1068&lt;&gt;"",E1068&lt;&gt;""),"OK","ERRO: faltam "&amp;IF(A1068="","CNPJ; ","")&amp;IF(E1068="","Novo gerente; ","")))</f>
      </c>
      <c r="K1068" s="6">
        <f>IF(COUNTA(A1068:F1068)=0,"",IF(AND(LEFT(H1068,4)&lt;&gt;"ERRO",I1068="OK",J1068="OK"),"OK","REVISAR"))</f>
      </c>
    </row>
    <row r="1069">
      <c r="A1069" s="5"/>
      <c r="B1069" s="4"/>
      <c r="C1069" s="4"/>
      <c r="D1069" s="4"/>
      <c r="E1069" s="5"/>
      <c r="F1069" s="4"/>
      <c r="G1069" s="6">
        <f>IF(A1069="","",SUBSTITUTE(SUBSTITUTE(SUBSTITUTE(SUBSTITUTE(SUBSTITUTE(SUBSTITUTE(SUBSTITUTE(TRIM(A1069),".",""),"/",""),"-","")," ",""),"(",""),")",""),"+",""))</f>
      </c>
      <c r="H1069" s="6">
        <f>IF(G1069="","",IF(LEN(G1069)&lt;&gt;14,"ERRO: "&amp;LEN(G1069)&amp;" dígitos",IF(NOT(ISNUMBER(VALUE(G1069))),"ERRO: não numérico",IF(AND(VALUE(MID(G1069,13,1))=IF(MOD(SUMPRODUCT(--MID(G1069,{1,2,3,4,5,6,7,8,9,10,11,12},1),{5,4,3,2,9,8,7,6,5,4,3,2}),11)&lt;2,0,11-MOD(SUMPRODUCT(--MID(G1069,{1,2,3,4,5,6,7,8,9,10,11,12},1),{5,4,3,2,9,8,7,6,5,4,3,2}),11)),VALUE(MID(G1069,14,1))=IF(MOD(SUMPRODUCT(--MID(G1069,{1,2,3,4,5,6,7,8,9,10,11,12,13},1),{6,5,4,3,2,9,8,7,6,5,4,3,2}),11)&lt;2,0,11-MOD(SUMPRODUCT(--MID(G1069,{1,2,3,4,5,6,7,8,9,10,11,12,13},1),{6,5,4,3,2,9,8,7,6,5,4,3,2}),11))),"OK","AVISO: dígito verificador (conferir na org)"))))</f>
      </c>
      <c r="I1069" s="6">
        <f>IF(G1069="","",IF(COUNTIF($G$2:$G$2001,G1069)&gt;1,"DUPLICADO","OK"))</f>
      </c>
      <c r="J1069" s="6">
        <f>IF(COUNTA(A1069:F1069)=0,"",IF(AND(A1069&lt;&gt;"",E1069&lt;&gt;""),"OK","ERRO: faltam "&amp;IF(A1069="","CNPJ; ","")&amp;IF(E1069="","Novo gerente; ","")))</f>
      </c>
      <c r="K1069" s="6">
        <f>IF(COUNTA(A1069:F1069)=0,"",IF(AND(LEFT(H1069,4)&lt;&gt;"ERRO",I1069="OK",J1069="OK"),"OK","REVISAR"))</f>
      </c>
    </row>
    <row r="1070">
      <c r="A1070" s="5"/>
      <c r="B1070" s="4"/>
      <c r="C1070" s="4"/>
      <c r="D1070" s="4"/>
      <c r="E1070" s="5"/>
      <c r="F1070" s="4"/>
      <c r="G1070" s="6">
        <f>IF(A1070="","",SUBSTITUTE(SUBSTITUTE(SUBSTITUTE(SUBSTITUTE(SUBSTITUTE(SUBSTITUTE(SUBSTITUTE(TRIM(A1070),".",""),"/",""),"-","")," ",""),"(",""),")",""),"+",""))</f>
      </c>
      <c r="H1070" s="6">
        <f>IF(G1070="","",IF(LEN(G1070)&lt;&gt;14,"ERRO: "&amp;LEN(G1070)&amp;" dígitos",IF(NOT(ISNUMBER(VALUE(G1070))),"ERRO: não numérico",IF(AND(VALUE(MID(G1070,13,1))=IF(MOD(SUMPRODUCT(--MID(G1070,{1,2,3,4,5,6,7,8,9,10,11,12},1),{5,4,3,2,9,8,7,6,5,4,3,2}),11)&lt;2,0,11-MOD(SUMPRODUCT(--MID(G1070,{1,2,3,4,5,6,7,8,9,10,11,12},1),{5,4,3,2,9,8,7,6,5,4,3,2}),11)),VALUE(MID(G1070,14,1))=IF(MOD(SUMPRODUCT(--MID(G1070,{1,2,3,4,5,6,7,8,9,10,11,12,13},1),{6,5,4,3,2,9,8,7,6,5,4,3,2}),11)&lt;2,0,11-MOD(SUMPRODUCT(--MID(G1070,{1,2,3,4,5,6,7,8,9,10,11,12,13},1),{6,5,4,3,2,9,8,7,6,5,4,3,2}),11))),"OK","AVISO: dígito verificador (conferir na org)"))))</f>
      </c>
      <c r="I1070" s="6">
        <f>IF(G1070="","",IF(COUNTIF($G$2:$G$2001,G1070)&gt;1,"DUPLICADO","OK"))</f>
      </c>
      <c r="J1070" s="6">
        <f>IF(COUNTA(A1070:F1070)=0,"",IF(AND(A1070&lt;&gt;"",E1070&lt;&gt;""),"OK","ERRO: faltam "&amp;IF(A1070="","CNPJ; ","")&amp;IF(E1070="","Novo gerente; ","")))</f>
      </c>
      <c r="K1070" s="6">
        <f>IF(COUNTA(A1070:F1070)=0,"",IF(AND(LEFT(H1070,4)&lt;&gt;"ERRO",I1070="OK",J1070="OK"),"OK","REVISAR"))</f>
      </c>
    </row>
    <row r="1071">
      <c r="A1071" s="5"/>
      <c r="B1071" s="4"/>
      <c r="C1071" s="4"/>
      <c r="D1071" s="4"/>
      <c r="E1071" s="5"/>
      <c r="F1071" s="4"/>
      <c r="G1071" s="6">
        <f>IF(A1071="","",SUBSTITUTE(SUBSTITUTE(SUBSTITUTE(SUBSTITUTE(SUBSTITUTE(SUBSTITUTE(SUBSTITUTE(TRIM(A1071),".",""),"/",""),"-","")," ",""),"(",""),")",""),"+",""))</f>
      </c>
      <c r="H1071" s="6">
        <f>IF(G1071="","",IF(LEN(G1071)&lt;&gt;14,"ERRO: "&amp;LEN(G1071)&amp;" dígitos",IF(NOT(ISNUMBER(VALUE(G1071))),"ERRO: não numérico",IF(AND(VALUE(MID(G1071,13,1))=IF(MOD(SUMPRODUCT(--MID(G1071,{1,2,3,4,5,6,7,8,9,10,11,12},1),{5,4,3,2,9,8,7,6,5,4,3,2}),11)&lt;2,0,11-MOD(SUMPRODUCT(--MID(G1071,{1,2,3,4,5,6,7,8,9,10,11,12},1),{5,4,3,2,9,8,7,6,5,4,3,2}),11)),VALUE(MID(G1071,14,1))=IF(MOD(SUMPRODUCT(--MID(G1071,{1,2,3,4,5,6,7,8,9,10,11,12,13},1),{6,5,4,3,2,9,8,7,6,5,4,3,2}),11)&lt;2,0,11-MOD(SUMPRODUCT(--MID(G1071,{1,2,3,4,5,6,7,8,9,10,11,12,13},1),{6,5,4,3,2,9,8,7,6,5,4,3,2}),11))),"OK","AVISO: dígito verificador (conferir na org)"))))</f>
      </c>
      <c r="I1071" s="6">
        <f>IF(G1071="","",IF(COUNTIF($G$2:$G$2001,G1071)&gt;1,"DUPLICADO","OK"))</f>
      </c>
      <c r="J1071" s="6">
        <f>IF(COUNTA(A1071:F1071)=0,"",IF(AND(A1071&lt;&gt;"",E1071&lt;&gt;""),"OK","ERRO: faltam "&amp;IF(A1071="","CNPJ; ","")&amp;IF(E1071="","Novo gerente; ","")))</f>
      </c>
      <c r="K1071" s="6">
        <f>IF(COUNTA(A1071:F1071)=0,"",IF(AND(LEFT(H1071,4)&lt;&gt;"ERRO",I1071="OK",J1071="OK"),"OK","REVISAR"))</f>
      </c>
    </row>
    <row r="1072">
      <c r="A1072" s="5"/>
      <c r="B1072" s="4"/>
      <c r="C1072" s="4"/>
      <c r="D1072" s="4"/>
      <c r="E1072" s="5"/>
      <c r="F1072" s="4"/>
      <c r="G1072" s="6">
        <f>IF(A1072="","",SUBSTITUTE(SUBSTITUTE(SUBSTITUTE(SUBSTITUTE(SUBSTITUTE(SUBSTITUTE(SUBSTITUTE(TRIM(A1072),".",""),"/",""),"-","")," ",""),"(",""),")",""),"+",""))</f>
      </c>
      <c r="H1072" s="6">
        <f>IF(G1072="","",IF(LEN(G1072)&lt;&gt;14,"ERRO: "&amp;LEN(G1072)&amp;" dígitos",IF(NOT(ISNUMBER(VALUE(G1072))),"ERRO: não numérico",IF(AND(VALUE(MID(G1072,13,1))=IF(MOD(SUMPRODUCT(--MID(G1072,{1,2,3,4,5,6,7,8,9,10,11,12},1),{5,4,3,2,9,8,7,6,5,4,3,2}),11)&lt;2,0,11-MOD(SUMPRODUCT(--MID(G1072,{1,2,3,4,5,6,7,8,9,10,11,12},1),{5,4,3,2,9,8,7,6,5,4,3,2}),11)),VALUE(MID(G1072,14,1))=IF(MOD(SUMPRODUCT(--MID(G1072,{1,2,3,4,5,6,7,8,9,10,11,12,13},1),{6,5,4,3,2,9,8,7,6,5,4,3,2}),11)&lt;2,0,11-MOD(SUMPRODUCT(--MID(G1072,{1,2,3,4,5,6,7,8,9,10,11,12,13},1),{6,5,4,3,2,9,8,7,6,5,4,3,2}),11))),"OK","AVISO: dígito verificador (conferir na org)"))))</f>
      </c>
      <c r="I1072" s="6">
        <f>IF(G1072="","",IF(COUNTIF($G$2:$G$2001,G1072)&gt;1,"DUPLICADO","OK"))</f>
      </c>
      <c r="J1072" s="6">
        <f>IF(COUNTA(A1072:F1072)=0,"",IF(AND(A1072&lt;&gt;"",E1072&lt;&gt;""),"OK","ERRO: faltam "&amp;IF(A1072="","CNPJ; ","")&amp;IF(E1072="","Novo gerente; ","")))</f>
      </c>
      <c r="K1072" s="6">
        <f>IF(COUNTA(A1072:F1072)=0,"",IF(AND(LEFT(H1072,4)&lt;&gt;"ERRO",I1072="OK",J1072="OK"),"OK","REVISAR"))</f>
      </c>
    </row>
    <row r="1073">
      <c r="A1073" s="5"/>
      <c r="B1073" s="4"/>
      <c r="C1073" s="4"/>
      <c r="D1073" s="4"/>
      <c r="E1073" s="5"/>
      <c r="F1073" s="4"/>
      <c r="G1073" s="6">
        <f>IF(A1073="","",SUBSTITUTE(SUBSTITUTE(SUBSTITUTE(SUBSTITUTE(SUBSTITUTE(SUBSTITUTE(SUBSTITUTE(TRIM(A1073),".",""),"/",""),"-","")," ",""),"(",""),")",""),"+",""))</f>
      </c>
      <c r="H1073" s="6">
        <f>IF(G1073="","",IF(LEN(G1073)&lt;&gt;14,"ERRO: "&amp;LEN(G1073)&amp;" dígitos",IF(NOT(ISNUMBER(VALUE(G1073))),"ERRO: não numérico",IF(AND(VALUE(MID(G1073,13,1))=IF(MOD(SUMPRODUCT(--MID(G1073,{1,2,3,4,5,6,7,8,9,10,11,12},1),{5,4,3,2,9,8,7,6,5,4,3,2}),11)&lt;2,0,11-MOD(SUMPRODUCT(--MID(G1073,{1,2,3,4,5,6,7,8,9,10,11,12},1),{5,4,3,2,9,8,7,6,5,4,3,2}),11)),VALUE(MID(G1073,14,1))=IF(MOD(SUMPRODUCT(--MID(G1073,{1,2,3,4,5,6,7,8,9,10,11,12,13},1),{6,5,4,3,2,9,8,7,6,5,4,3,2}),11)&lt;2,0,11-MOD(SUMPRODUCT(--MID(G1073,{1,2,3,4,5,6,7,8,9,10,11,12,13},1),{6,5,4,3,2,9,8,7,6,5,4,3,2}),11))),"OK","AVISO: dígito verificador (conferir na org)"))))</f>
      </c>
      <c r="I1073" s="6">
        <f>IF(G1073="","",IF(COUNTIF($G$2:$G$2001,G1073)&gt;1,"DUPLICADO","OK"))</f>
      </c>
      <c r="J1073" s="6">
        <f>IF(COUNTA(A1073:F1073)=0,"",IF(AND(A1073&lt;&gt;"",E1073&lt;&gt;""),"OK","ERRO: faltam "&amp;IF(A1073="","CNPJ; ","")&amp;IF(E1073="","Novo gerente; ","")))</f>
      </c>
      <c r="K1073" s="6">
        <f>IF(COUNTA(A1073:F1073)=0,"",IF(AND(LEFT(H1073,4)&lt;&gt;"ERRO",I1073="OK",J1073="OK"),"OK","REVISAR"))</f>
      </c>
    </row>
    <row r="1074">
      <c r="A1074" s="5"/>
      <c r="B1074" s="4"/>
      <c r="C1074" s="4"/>
      <c r="D1074" s="4"/>
      <c r="E1074" s="5"/>
      <c r="F1074" s="4"/>
      <c r="G1074" s="6">
        <f>IF(A1074="","",SUBSTITUTE(SUBSTITUTE(SUBSTITUTE(SUBSTITUTE(SUBSTITUTE(SUBSTITUTE(SUBSTITUTE(TRIM(A1074),".",""),"/",""),"-","")," ",""),"(",""),")",""),"+",""))</f>
      </c>
      <c r="H1074" s="6">
        <f>IF(G1074="","",IF(LEN(G1074)&lt;&gt;14,"ERRO: "&amp;LEN(G1074)&amp;" dígitos",IF(NOT(ISNUMBER(VALUE(G1074))),"ERRO: não numérico",IF(AND(VALUE(MID(G1074,13,1))=IF(MOD(SUMPRODUCT(--MID(G1074,{1,2,3,4,5,6,7,8,9,10,11,12},1),{5,4,3,2,9,8,7,6,5,4,3,2}),11)&lt;2,0,11-MOD(SUMPRODUCT(--MID(G1074,{1,2,3,4,5,6,7,8,9,10,11,12},1),{5,4,3,2,9,8,7,6,5,4,3,2}),11)),VALUE(MID(G1074,14,1))=IF(MOD(SUMPRODUCT(--MID(G1074,{1,2,3,4,5,6,7,8,9,10,11,12,13},1),{6,5,4,3,2,9,8,7,6,5,4,3,2}),11)&lt;2,0,11-MOD(SUMPRODUCT(--MID(G1074,{1,2,3,4,5,6,7,8,9,10,11,12,13},1),{6,5,4,3,2,9,8,7,6,5,4,3,2}),11))),"OK","AVISO: dígito verificador (conferir na org)"))))</f>
      </c>
      <c r="I1074" s="6">
        <f>IF(G1074="","",IF(COUNTIF($G$2:$G$2001,G1074)&gt;1,"DUPLICADO","OK"))</f>
      </c>
      <c r="J1074" s="6">
        <f>IF(COUNTA(A1074:F1074)=0,"",IF(AND(A1074&lt;&gt;"",E1074&lt;&gt;""),"OK","ERRO: faltam "&amp;IF(A1074="","CNPJ; ","")&amp;IF(E1074="","Novo gerente; ","")))</f>
      </c>
      <c r="K1074" s="6">
        <f>IF(COUNTA(A1074:F1074)=0,"",IF(AND(LEFT(H1074,4)&lt;&gt;"ERRO",I1074="OK",J1074="OK"),"OK","REVISAR"))</f>
      </c>
    </row>
    <row r="1075">
      <c r="A1075" s="5"/>
      <c r="B1075" s="4"/>
      <c r="C1075" s="4"/>
      <c r="D1075" s="4"/>
      <c r="E1075" s="5"/>
      <c r="F1075" s="4"/>
      <c r="G1075" s="6">
        <f>IF(A1075="","",SUBSTITUTE(SUBSTITUTE(SUBSTITUTE(SUBSTITUTE(SUBSTITUTE(SUBSTITUTE(SUBSTITUTE(TRIM(A1075),".",""),"/",""),"-","")," ",""),"(",""),")",""),"+",""))</f>
      </c>
      <c r="H1075" s="6">
        <f>IF(G1075="","",IF(LEN(G1075)&lt;&gt;14,"ERRO: "&amp;LEN(G1075)&amp;" dígitos",IF(NOT(ISNUMBER(VALUE(G1075))),"ERRO: não numérico",IF(AND(VALUE(MID(G1075,13,1))=IF(MOD(SUMPRODUCT(--MID(G1075,{1,2,3,4,5,6,7,8,9,10,11,12},1),{5,4,3,2,9,8,7,6,5,4,3,2}),11)&lt;2,0,11-MOD(SUMPRODUCT(--MID(G1075,{1,2,3,4,5,6,7,8,9,10,11,12},1),{5,4,3,2,9,8,7,6,5,4,3,2}),11)),VALUE(MID(G1075,14,1))=IF(MOD(SUMPRODUCT(--MID(G1075,{1,2,3,4,5,6,7,8,9,10,11,12,13},1),{6,5,4,3,2,9,8,7,6,5,4,3,2}),11)&lt;2,0,11-MOD(SUMPRODUCT(--MID(G1075,{1,2,3,4,5,6,7,8,9,10,11,12,13},1),{6,5,4,3,2,9,8,7,6,5,4,3,2}),11))),"OK","AVISO: dígito verificador (conferir na org)"))))</f>
      </c>
      <c r="I1075" s="6">
        <f>IF(G1075="","",IF(COUNTIF($G$2:$G$2001,G1075)&gt;1,"DUPLICADO","OK"))</f>
      </c>
      <c r="J1075" s="6">
        <f>IF(COUNTA(A1075:F1075)=0,"",IF(AND(A1075&lt;&gt;"",E1075&lt;&gt;""),"OK","ERRO: faltam "&amp;IF(A1075="","CNPJ; ","")&amp;IF(E1075="","Novo gerente; ","")))</f>
      </c>
      <c r="K1075" s="6">
        <f>IF(COUNTA(A1075:F1075)=0,"",IF(AND(LEFT(H1075,4)&lt;&gt;"ERRO",I1075="OK",J1075="OK"),"OK","REVISAR"))</f>
      </c>
    </row>
    <row r="1076">
      <c r="A1076" s="5"/>
      <c r="B1076" s="4"/>
      <c r="C1076" s="4"/>
      <c r="D1076" s="4"/>
      <c r="E1076" s="5"/>
      <c r="F1076" s="4"/>
      <c r="G1076" s="6">
        <f>IF(A1076="","",SUBSTITUTE(SUBSTITUTE(SUBSTITUTE(SUBSTITUTE(SUBSTITUTE(SUBSTITUTE(SUBSTITUTE(TRIM(A1076),".",""),"/",""),"-","")," ",""),"(",""),")",""),"+",""))</f>
      </c>
      <c r="H1076" s="6">
        <f>IF(G1076="","",IF(LEN(G1076)&lt;&gt;14,"ERRO: "&amp;LEN(G1076)&amp;" dígitos",IF(NOT(ISNUMBER(VALUE(G1076))),"ERRO: não numérico",IF(AND(VALUE(MID(G1076,13,1))=IF(MOD(SUMPRODUCT(--MID(G1076,{1,2,3,4,5,6,7,8,9,10,11,12},1),{5,4,3,2,9,8,7,6,5,4,3,2}),11)&lt;2,0,11-MOD(SUMPRODUCT(--MID(G1076,{1,2,3,4,5,6,7,8,9,10,11,12},1),{5,4,3,2,9,8,7,6,5,4,3,2}),11)),VALUE(MID(G1076,14,1))=IF(MOD(SUMPRODUCT(--MID(G1076,{1,2,3,4,5,6,7,8,9,10,11,12,13},1),{6,5,4,3,2,9,8,7,6,5,4,3,2}),11)&lt;2,0,11-MOD(SUMPRODUCT(--MID(G1076,{1,2,3,4,5,6,7,8,9,10,11,12,13},1),{6,5,4,3,2,9,8,7,6,5,4,3,2}),11))),"OK","AVISO: dígito verificador (conferir na org)"))))</f>
      </c>
      <c r="I1076" s="6">
        <f>IF(G1076="","",IF(COUNTIF($G$2:$G$2001,G1076)&gt;1,"DUPLICADO","OK"))</f>
      </c>
      <c r="J1076" s="6">
        <f>IF(COUNTA(A1076:F1076)=0,"",IF(AND(A1076&lt;&gt;"",E1076&lt;&gt;""),"OK","ERRO: faltam "&amp;IF(A1076="","CNPJ; ","")&amp;IF(E1076="","Novo gerente; ","")))</f>
      </c>
      <c r="K1076" s="6">
        <f>IF(COUNTA(A1076:F1076)=0,"",IF(AND(LEFT(H1076,4)&lt;&gt;"ERRO",I1076="OK",J1076="OK"),"OK","REVISAR"))</f>
      </c>
    </row>
    <row r="1077">
      <c r="A1077" s="5"/>
      <c r="B1077" s="4"/>
      <c r="C1077" s="4"/>
      <c r="D1077" s="4"/>
      <c r="E1077" s="5"/>
      <c r="F1077" s="4"/>
      <c r="G1077" s="6">
        <f>IF(A1077="","",SUBSTITUTE(SUBSTITUTE(SUBSTITUTE(SUBSTITUTE(SUBSTITUTE(SUBSTITUTE(SUBSTITUTE(TRIM(A1077),".",""),"/",""),"-","")," ",""),"(",""),")",""),"+",""))</f>
      </c>
      <c r="H1077" s="6">
        <f>IF(G1077="","",IF(LEN(G1077)&lt;&gt;14,"ERRO: "&amp;LEN(G1077)&amp;" dígitos",IF(NOT(ISNUMBER(VALUE(G1077))),"ERRO: não numérico",IF(AND(VALUE(MID(G1077,13,1))=IF(MOD(SUMPRODUCT(--MID(G1077,{1,2,3,4,5,6,7,8,9,10,11,12},1),{5,4,3,2,9,8,7,6,5,4,3,2}),11)&lt;2,0,11-MOD(SUMPRODUCT(--MID(G1077,{1,2,3,4,5,6,7,8,9,10,11,12},1),{5,4,3,2,9,8,7,6,5,4,3,2}),11)),VALUE(MID(G1077,14,1))=IF(MOD(SUMPRODUCT(--MID(G1077,{1,2,3,4,5,6,7,8,9,10,11,12,13},1),{6,5,4,3,2,9,8,7,6,5,4,3,2}),11)&lt;2,0,11-MOD(SUMPRODUCT(--MID(G1077,{1,2,3,4,5,6,7,8,9,10,11,12,13},1),{6,5,4,3,2,9,8,7,6,5,4,3,2}),11))),"OK","AVISO: dígito verificador (conferir na org)"))))</f>
      </c>
      <c r="I1077" s="6">
        <f>IF(G1077="","",IF(COUNTIF($G$2:$G$2001,G1077)&gt;1,"DUPLICADO","OK"))</f>
      </c>
      <c r="J1077" s="6">
        <f>IF(COUNTA(A1077:F1077)=0,"",IF(AND(A1077&lt;&gt;"",E1077&lt;&gt;""),"OK","ERRO: faltam "&amp;IF(A1077="","CNPJ; ","")&amp;IF(E1077="","Novo gerente; ","")))</f>
      </c>
      <c r="K1077" s="6">
        <f>IF(COUNTA(A1077:F1077)=0,"",IF(AND(LEFT(H1077,4)&lt;&gt;"ERRO",I1077="OK",J1077="OK"),"OK","REVISAR"))</f>
      </c>
    </row>
    <row r="1078">
      <c r="A1078" s="5"/>
      <c r="B1078" s="4"/>
      <c r="C1078" s="4"/>
      <c r="D1078" s="4"/>
      <c r="E1078" s="5"/>
      <c r="F1078" s="4"/>
      <c r="G1078" s="6">
        <f>IF(A1078="","",SUBSTITUTE(SUBSTITUTE(SUBSTITUTE(SUBSTITUTE(SUBSTITUTE(SUBSTITUTE(SUBSTITUTE(TRIM(A1078),".",""),"/",""),"-","")," ",""),"(",""),")",""),"+",""))</f>
      </c>
      <c r="H1078" s="6">
        <f>IF(G1078="","",IF(LEN(G1078)&lt;&gt;14,"ERRO: "&amp;LEN(G1078)&amp;" dígitos",IF(NOT(ISNUMBER(VALUE(G1078))),"ERRO: não numérico",IF(AND(VALUE(MID(G1078,13,1))=IF(MOD(SUMPRODUCT(--MID(G1078,{1,2,3,4,5,6,7,8,9,10,11,12},1),{5,4,3,2,9,8,7,6,5,4,3,2}),11)&lt;2,0,11-MOD(SUMPRODUCT(--MID(G1078,{1,2,3,4,5,6,7,8,9,10,11,12},1),{5,4,3,2,9,8,7,6,5,4,3,2}),11)),VALUE(MID(G1078,14,1))=IF(MOD(SUMPRODUCT(--MID(G1078,{1,2,3,4,5,6,7,8,9,10,11,12,13},1),{6,5,4,3,2,9,8,7,6,5,4,3,2}),11)&lt;2,0,11-MOD(SUMPRODUCT(--MID(G1078,{1,2,3,4,5,6,7,8,9,10,11,12,13},1),{6,5,4,3,2,9,8,7,6,5,4,3,2}),11))),"OK","AVISO: dígito verificador (conferir na org)"))))</f>
      </c>
      <c r="I1078" s="6">
        <f>IF(G1078="","",IF(COUNTIF($G$2:$G$2001,G1078)&gt;1,"DUPLICADO","OK"))</f>
      </c>
      <c r="J1078" s="6">
        <f>IF(COUNTA(A1078:F1078)=0,"",IF(AND(A1078&lt;&gt;"",E1078&lt;&gt;""),"OK","ERRO: faltam "&amp;IF(A1078="","CNPJ; ","")&amp;IF(E1078="","Novo gerente; ","")))</f>
      </c>
      <c r="K1078" s="6">
        <f>IF(COUNTA(A1078:F1078)=0,"",IF(AND(LEFT(H1078,4)&lt;&gt;"ERRO",I1078="OK",J1078="OK"),"OK","REVISAR"))</f>
      </c>
    </row>
    <row r="1079">
      <c r="A1079" s="5"/>
      <c r="B1079" s="4"/>
      <c r="C1079" s="4"/>
      <c r="D1079" s="4"/>
      <c r="E1079" s="5"/>
      <c r="F1079" s="4"/>
      <c r="G1079" s="6">
        <f>IF(A1079="","",SUBSTITUTE(SUBSTITUTE(SUBSTITUTE(SUBSTITUTE(SUBSTITUTE(SUBSTITUTE(SUBSTITUTE(TRIM(A1079),".",""),"/",""),"-","")," ",""),"(",""),")",""),"+",""))</f>
      </c>
      <c r="H1079" s="6">
        <f>IF(G1079="","",IF(LEN(G1079)&lt;&gt;14,"ERRO: "&amp;LEN(G1079)&amp;" dígitos",IF(NOT(ISNUMBER(VALUE(G1079))),"ERRO: não numérico",IF(AND(VALUE(MID(G1079,13,1))=IF(MOD(SUMPRODUCT(--MID(G1079,{1,2,3,4,5,6,7,8,9,10,11,12},1),{5,4,3,2,9,8,7,6,5,4,3,2}),11)&lt;2,0,11-MOD(SUMPRODUCT(--MID(G1079,{1,2,3,4,5,6,7,8,9,10,11,12},1),{5,4,3,2,9,8,7,6,5,4,3,2}),11)),VALUE(MID(G1079,14,1))=IF(MOD(SUMPRODUCT(--MID(G1079,{1,2,3,4,5,6,7,8,9,10,11,12,13},1),{6,5,4,3,2,9,8,7,6,5,4,3,2}),11)&lt;2,0,11-MOD(SUMPRODUCT(--MID(G1079,{1,2,3,4,5,6,7,8,9,10,11,12,13},1),{6,5,4,3,2,9,8,7,6,5,4,3,2}),11))),"OK","AVISO: dígito verificador (conferir na org)"))))</f>
      </c>
      <c r="I1079" s="6">
        <f>IF(G1079="","",IF(COUNTIF($G$2:$G$2001,G1079)&gt;1,"DUPLICADO","OK"))</f>
      </c>
      <c r="J1079" s="6">
        <f>IF(COUNTA(A1079:F1079)=0,"",IF(AND(A1079&lt;&gt;"",E1079&lt;&gt;""),"OK","ERRO: faltam "&amp;IF(A1079="","CNPJ; ","")&amp;IF(E1079="","Novo gerente; ","")))</f>
      </c>
      <c r="K1079" s="6">
        <f>IF(COUNTA(A1079:F1079)=0,"",IF(AND(LEFT(H1079,4)&lt;&gt;"ERRO",I1079="OK",J1079="OK"),"OK","REVISAR"))</f>
      </c>
    </row>
    <row r="1080">
      <c r="A1080" s="5"/>
      <c r="B1080" s="4"/>
      <c r="C1080" s="4"/>
      <c r="D1080" s="4"/>
      <c r="E1080" s="5"/>
      <c r="F1080" s="4"/>
      <c r="G1080" s="6">
        <f>IF(A1080="","",SUBSTITUTE(SUBSTITUTE(SUBSTITUTE(SUBSTITUTE(SUBSTITUTE(SUBSTITUTE(SUBSTITUTE(TRIM(A1080),".",""),"/",""),"-","")," ",""),"(",""),")",""),"+",""))</f>
      </c>
      <c r="H1080" s="6">
        <f>IF(G1080="","",IF(LEN(G1080)&lt;&gt;14,"ERRO: "&amp;LEN(G1080)&amp;" dígitos",IF(NOT(ISNUMBER(VALUE(G1080))),"ERRO: não numérico",IF(AND(VALUE(MID(G1080,13,1))=IF(MOD(SUMPRODUCT(--MID(G1080,{1,2,3,4,5,6,7,8,9,10,11,12},1),{5,4,3,2,9,8,7,6,5,4,3,2}),11)&lt;2,0,11-MOD(SUMPRODUCT(--MID(G1080,{1,2,3,4,5,6,7,8,9,10,11,12},1),{5,4,3,2,9,8,7,6,5,4,3,2}),11)),VALUE(MID(G1080,14,1))=IF(MOD(SUMPRODUCT(--MID(G1080,{1,2,3,4,5,6,7,8,9,10,11,12,13},1),{6,5,4,3,2,9,8,7,6,5,4,3,2}),11)&lt;2,0,11-MOD(SUMPRODUCT(--MID(G1080,{1,2,3,4,5,6,7,8,9,10,11,12,13},1),{6,5,4,3,2,9,8,7,6,5,4,3,2}),11))),"OK","AVISO: dígito verificador (conferir na org)"))))</f>
      </c>
      <c r="I1080" s="6">
        <f>IF(G1080="","",IF(COUNTIF($G$2:$G$2001,G1080)&gt;1,"DUPLICADO","OK"))</f>
      </c>
      <c r="J1080" s="6">
        <f>IF(COUNTA(A1080:F1080)=0,"",IF(AND(A1080&lt;&gt;"",E1080&lt;&gt;""),"OK","ERRO: faltam "&amp;IF(A1080="","CNPJ; ","")&amp;IF(E1080="","Novo gerente; ","")))</f>
      </c>
      <c r="K1080" s="6">
        <f>IF(COUNTA(A1080:F1080)=0,"",IF(AND(LEFT(H1080,4)&lt;&gt;"ERRO",I1080="OK",J1080="OK"),"OK","REVISAR"))</f>
      </c>
    </row>
    <row r="1081">
      <c r="A1081" s="5"/>
      <c r="B1081" s="4"/>
      <c r="C1081" s="4"/>
      <c r="D1081" s="4"/>
      <c r="E1081" s="5"/>
      <c r="F1081" s="4"/>
      <c r="G1081" s="6">
        <f>IF(A1081="","",SUBSTITUTE(SUBSTITUTE(SUBSTITUTE(SUBSTITUTE(SUBSTITUTE(SUBSTITUTE(SUBSTITUTE(TRIM(A1081),".",""),"/",""),"-","")," ",""),"(",""),")",""),"+",""))</f>
      </c>
      <c r="H1081" s="6">
        <f>IF(G1081="","",IF(LEN(G1081)&lt;&gt;14,"ERRO: "&amp;LEN(G1081)&amp;" dígitos",IF(NOT(ISNUMBER(VALUE(G1081))),"ERRO: não numérico",IF(AND(VALUE(MID(G1081,13,1))=IF(MOD(SUMPRODUCT(--MID(G1081,{1,2,3,4,5,6,7,8,9,10,11,12},1),{5,4,3,2,9,8,7,6,5,4,3,2}),11)&lt;2,0,11-MOD(SUMPRODUCT(--MID(G1081,{1,2,3,4,5,6,7,8,9,10,11,12},1),{5,4,3,2,9,8,7,6,5,4,3,2}),11)),VALUE(MID(G1081,14,1))=IF(MOD(SUMPRODUCT(--MID(G1081,{1,2,3,4,5,6,7,8,9,10,11,12,13},1),{6,5,4,3,2,9,8,7,6,5,4,3,2}),11)&lt;2,0,11-MOD(SUMPRODUCT(--MID(G1081,{1,2,3,4,5,6,7,8,9,10,11,12,13},1),{6,5,4,3,2,9,8,7,6,5,4,3,2}),11))),"OK","AVISO: dígito verificador (conferir na org)"))))</f>
      </c>
      <c r="I1081" s="6">
        <f>IF(G1081="","",IF(COUNTIF($G$2:$G$2001,G1081)&gt;1,"DUPLICADO","OK"))</f>
      </c>
      <c r="J1081" s="6">
        <f>IF(COUNTA(A1081:F1081)=0,"",IF(AND(A1081&lt;&gt;"",E1081&lt;&gt;""),"OK","ERRO: faltam "&amp;IF(A1081="","CNPJ; ","")&amp;IF(E1081="","Novo gerente; ","")))</f>
      </c>
      <c r="K1081" s="6">
        <f>IF(COUNTA(A1081:F1081)=0,"",IF(AND(LEFT(H1081,4)&lt;&gt;"ERRO",I1081="OK",J1081="OK"),"OK","REVISAR"))</f>
      </c>
    </row>
    <row r="1082">
      <c r="A1082" s="5"/>
      <c r="B1082" s="4"/>
      <c r="C1082" s="4"/>
      <c r="D1082" s="4"/>
      <c r="E1082" s="5"/>
      <c r="F1082" s="4"/>
      <c r="G1082" s="6">
        <f>IF(A1082="","",SUBSTITUTE(SUBSTITUTE(SUBSTITUTE(SUBSTITUTE(SUBSTITUTE(SUBSTITUTE(SUBSTITUTE(TRIM(A1082),".",""),"/",""),"-","")," ",""),"(",""),")",""),"+",""))</f>
      </c>
      <c r="H1082" s="6">
        <f>IF(G1082="","",IF(LEN(G1082)&lt;&gt;14,"ERRO: "&amp;LEN(G1082)&amp;" dígitos",IF(NOT(ISNUMBER(VALUE(G1082))),"ERRO: não numérico",IF(AND(VALUE(MID(G1082,13,1))=IF(MOD(SUMPRODUCT(--MID(G1082,{1,2,3,4,5,6,7,8,9,10,11,12},1),{5,4,3,2,9,8,7,6,5,4,3,2}),11)&lt;2,0,11-MOD(SUMPRODUCT(--MID(G1082,{1,2,3,4,5,6,7,8,9,10,11,12},1),{5,4,3,2,9,8,7,6,5,4,3,2}),11)),VALUE(MID(G1082,14,1))=IF(MOD(SUMPRODUCT(--MID(G1082,{1,2,3,4,5,6,7,8,9,10,11,12,13},1),{6,5,4,3,2,9,8,7,6,5,4,3,2}),11)&lt;2,0,11-MOD(SUMPRODUCT(--MID(G1082,{1,2,3,4,5,6,7,8,9,10,11,12,13},1),{6,5,4,3,2,9,8,7,6,5,4,3,2}),11))),"OK","AVISO: dígito verificador (conferir na org)"))))</f>
      </c>
      <c r="I1082" s="6">
        <f>IF(G1082="","",IF(COUNTIF($G$2:$G$2001,G1082)&gt;1,"DUPLICADO","OK"))</f>
      </c>
      <c r="J1082" s="6">
        <f>IF(COUNTA(A1082:F1082)=0,"",IF(AND(A1082&lt;&gt;"",E1082&lt;&gt;""),"OK","ERRO: faltam "&amp;IF(A1082="","CNPJ; ","")&amp;IF(E1082="","Novo gerente; ","")))</f>
      </c>
      <c r="K1082" s="6">
        <f>IF(COUNTA(A1082:F1082)=0,"",IF(AND(LEFT(H1082,4)&lt;&gt;"ERRO",I1082="OK",J1082="OK"),"OK","REVISAR"))</f>
      </c>
    </row>
    <row r="1083">
      <c r="A1083" s="5"/>
      <c r="B1083" s="4"/>
      <c r="C1083" s="4"/>
      <c r="D1083" s="4"/>
      <c r="E1083" s="5"/>
      <c r="F1083" s="4"/>
      <c r="G1083" s="6">
        <f>IF(A1083="","",SUBSTITUTE(SUBSTITUTE(SUBSTITUTE(SUBSTITUTE(SUBSTITUTE(SUBSTITUTE(SUBSTITUTE(TRIM(A1083),".",""),"/",""),"-","")," ",""),"(",""),")",""),"+",""))</f>
      </c>
      <c r="H1083" s="6">
        <f>IF(G1083="","",IF(LEN(G1083)&lt;&gt;14,"ERRO: "&amp;LEN(G1083)&amp;" dígitos",IF(NOT(ISNUMBER(VALUE(G1083))),"ERRO: não numérico",IF(AND(VALUE(MID(G1083,13,1))=IF(MOD(SUMPRODUCT(--MID(G1083,{1,2,3,4,5,6,7,8,9,10,11,12},1),{5,4,3,2,9,8,7,6,5,4,3,2}),11)&lt;2,0,11-MOD(SUMPRODUCT(--MID(G1083,{1,2,3,4,5,6,7,8,9,10,11,12},1),{5,4,3,2,9,8,7,6,5,4,3,2}),11)),VALUE(MID(G1083,14,1))=IF(MOD(SUMPRODUCT(--MID(G1083,{1,2,3,4,5,6,7,8,9,10,11,12,13},1),{6,5,4,3,2,9,8,7,6,5,4,3,2}),11)&lt;2,0,11-MOD(SUMPRODUCT(--MID(G1083,{1,2,3,4,5,6,7,8,9,10,11,12,13},1),{6,5,4,3,2,9,8,7,6,5,4,3,2}),11))),"OK","AVISO: dígito verificador (conferir na org)"))))</f>
      </c>
      <c r="I1083" s="6">
        <f>IF(G1083="","",IF(COUNTIF($G$2:$G$2001,G1083)&gt;1,"DUPLICADO","OK"))</f>
      </c>
      <c r="J1083" s="6">
        <f>IF(COUNTA(A1083:F1083)=0,"",IF(AND(A1083&lt;&gt;"",E1083&lt;&gt;""),"OK","ERRO: faltam "&amp;IF(A1083="","CNPJ; ","")&amp;IF(E1083="","Novo gerente; ","")))</f>
      </c>
      <c r="K1083" s="6">
        <f>IF(COUNTA(A1083:F1083)=0,"",IF(AND(LEFT(H1083,4)&lt;&gt;"ERRO",I1083="OK",J1083="OK"),"OK","REVISAR"))</f>
      </c>
    </row>
    <row r="1084">
      <c r="A1084" s="5"/>
      <c r="B1084" s="4"/>
      <c r="C1084" s="4"/>
      <c r="D1084" s="4"/>
      <c r="E1084" s="5"/>
      <c r="F1084" s="4"/>
      <c r="G1084" s="6">
        <f>IF(A1084="","",SUBSTITUTE(SUBSTITUTE(SUBSTITUTE(SUBSTITUTE(SUBSTITUTE(SUBSTITUTE(SUBSTITUTE(TRIM(A1084),".",""),"/",""),"-","")," ",""),"(",""),")",""),"+",""))</f>
      </c>
      <c r="H1084" s="6">
        <f>IF(G1084="","",IF(LEN(G1084)&lt;&gt;14,"ERRO: "&amp;LEN(G1084)&amp;" dígitos",IF(NOT(ISNUMBER(VALUE(G1084))),"ERRO: não numérico",IF(AND(VALUE(MID(G1084,13,1))=IF(MOD(SUMPRODUCT(--MID(G1084,{1,2,3,4,5,6,7,8,9,10,11,12},1),{5,4,3,2,9,8,7,6,5,4,3,2}),11)&lt;2,0,11-MOD(SUMPRODUCT(--MID(G1084,{1,2,3,4,5,6,7,8,9,10,11,12},1),{5,4,3,2,9,8,7,6,5,4,3,2}),11)),VALUE(MID(G1084,14,1))=IF(MOD(SUMPRODUCT(--MID(G1084,{1,2,3,4,5,6,7,8,9,10,11,12,13},1),{6,5,4,3,2,9,8,7,6,5,4,3,2}),11)&lt;2,0,11-MOD(SUMPRODUCT(--MID(G1084,{1,2,3,4,5,6,7,8,9,10,11,12,13},1),{6,5,4,3,2,9,8,7,6,5,4,3,2}),11))),"OK","AVISO: dígito verificador (conferir na org)"))))</f>
      </c>
      <c r="I1084" s="6">
        <f>IF(G1084="","",IF(COUNTIF($G$2:$G$2001,G1084)&gt;1,"DUPLICADO","OK"))</f>
      </c>
      <c r="J1084" s="6">
        <f>IF(COUNTA(A1084:F1084)=0,"",IF(AND(A1084&lt;&gt;"",E1084&lt;&gt;""),"OK","ERRO: faltam "&amp;IF(A1084="","CNPJ; ","")&amp;IF(E1084="","Novo gerente; ","")))</f>
      </c>
      <c r="K1084" s="6">
        <f>IF(COUNTA(A1084:F1084)=0,"",IF(AND(LEFT(H1084,4)&lt;&gt;"ERRO",I1084="OK",J1084="OK"),"OK","REVISAR"))</f>
      </c>
    </row>
    <row r="1085">
      <c r="A1085" s="5"/>
      <c r="B1085" s="4"/>
      <c r="C1085" s="4"/>
      <c r="D1085" s="4"/>
      <c r="E1085" s="5"/>
      <c r="F1085" s="4"/>
      <c r="G1085" s="6">
        <f>IF(A1085="","",SUBSTITUTE(SUBSTITUTE(SUBSTITUTE(SUBSTITUTE(SUBSTITUTE(SUBSTITUTE(SUBSTITUTE(TRIM(A1085),".",""),"/",""),"-","")," ",""),"(",""),")",""),"+",""))</f>
      </c>
      <c r="H1085" s="6">
        <f>IF(G1085="","",IF(LEN(G1085)&lt;&gt;14,"ERRO: "&amp;LEN(G1085)&amp;" dígitos",IF(NOT(ISNUMBER(VALUE(G1085))),"ERRO: não numérico",IF(AND(VALUE(MID(G1085,13,1))=IF(MOD(SUMPRODUCT(--MID(G1085,{1,2,3,4,5,6,7,8,9,10,11,12},1),{5,4,3,2,9,8,7,6,5,4,3,2}),11)&lt;2,0,11-MOD(SUMPRODUCT(--MID(G1085,{1,2,3,4,5,6,7,8,9,10,11,12},1),{5,4,3,2,9,8,7,6,5,4,3,2}),11)),VALUE(MID(G1085,14,1))=IF(MOD(SUMPRODUCT(--MID(G1085,{1,2,3,4,5,6,7,8,9,10,11,12,13},1),{6,5,4,3,2,9,8,7,6,5,4,3,2}),11)&lt;2,0,11-MOD(SUMPRODUCT(--MID(G1085,{1,2,3,4,5,6,7,8,9,10,11,12,13},1),{6,5,4,3,2,9,8,7,6,5,4,3,2}),11))),"OK","AVISO: dígito verificador (conferir na org)"))))</f>
      </c>
      <c r="I1085" s="6">
        <f>IF(G1085="","",IF(COUNTIF($G$2:$G$2001,G1085)&gt;1,"DUPLICADO","OK"))</f>
      </c>
      <c r="J1085" s="6">
        <f>IF(COUNTA(A1085:F1085)=0,"",IF(AND(A1085&lt;&gt;"",E1085&lt;&gt;""),"OK","ERRO: faltam "&amp;IF(A1085="","CNPJ; ","")&amp;IF(E1085="","Novo gerente; ","")))</f>
      </c>
      <c r="K1085" s="6">
        <f>IF(COUNTA(A1085:F1085)=0,"",IF(AND(LEFT(H1085,4)&lt;&gt;"ERRO",I1085="OK",J1085="OK"),"OK","REVISAR"))</f>
      </c>
    </row>
    <row r="1086">
      <c r="A1086" s="5"/>
      <c r="B1086" s="4"/>
      <c r="C1086" s="4"/>
      <c r="D1086" s="4"/>
      <c r="E1086" s="5"/>
      <c r="F1086" s="4"/>
      <c r="G1086" s="6">
        <f>IF(A1086="","",SUBSTITUTE(SUBSTITUTE(SUBSTITUTE(SUBSTITUTE(SUBSTITUTE(SUBSTITUTE(SUBSTITUTE(TRIM(A1086),".",""),"/",""),"-","")," ",""),"(",""),")",""),"+",""))</f>
      </c>
      <c r="H1086" s="6">
        <f>IF(G1086="","",IF(LEN(G1086)&lt;&gt;14,"ERRO: "&amp;LEN(G1086)&amp;" dígitos",IF(NOT(ISNUMBER(VALUE(G1086))),"ERRO: não numérico",IF(AND(VALUE(MID(G1086,13,1))=IF(MOD(SUMPRODUCT(--MID(G1086,{1,2,3,4,5,6,7,8,9,10,11,12},1),{5,4,3,2,9,8,7,6,5,4,3,2}),11)&lt;2,0,11-MOD(SUMPRODUCT(--MID(G1086,{1,2,3,4,5,6,7,8,9,10,11,12},1),{5,4,3,2,9,8,7,6,5,4,3,2}),11)),VALUE(MID(G1086,14,1))=IF(MOD(SUMPRODUCT(--MID(G1086,{1,2,3,4,5,6,7,8,9,10,11,12,13},1),{6,5,4,3,2,9,8,7,6,5,4,3,2}),11)&lt;2,0,11-MOD(SUMPRODUCT(--MID(G1086,{1,2,3,4,5,6,7,8,9,10,11,12,13},1),{6,5,4,3,2,9,8,7,6,5,4,3,2}),11))),"OK","AVISO: dígito verificador (conferir na org)"))))</f>
      </c>
      <c r="I1086" s="6">
        <f>IF(G1086="","",IF(COUNTIF($G$2:$G$2001,G1086)&gt;1,"DUPLICADO","OK"))</f>
      </c>
      <c r="J1086" s="6">
        <f>IF(COUNTA(A1086:F1086)=0,"",IF(AND(A1086&lt;&gt;"",E1086&lt;&gt;""),"OK","ERRO: faltam "&amp;IF(A1086="","CNPJ; ","")&amp;IF(E1086="","Novo gerente; ","")))</f>
      </c>
      <c r="K1086" s="6">
        <f>IF(COUNTA(A1086:F1086)=0,"",IF(AND(LEFT(H1086,4)&lt;&gt;"ERRO",I1086="OK",J1086="OK"),"OK","REVISAR"))</f>
      </c>
    </row>
    <row r="1087">
      <c r="A1087" s="5"/>
      <c r="B1087" s="4"/>
      <c r="C1087" s="4"/>
      <c r="D1087" s="4"/>
      <c r="E1087" s="5"/>
      <c r="F1087" s="4"/>
      <c r="G1087" s="6">
        <f>IF(A1087="","",SUBSTITUTE(SUBSTITUTE(SUBSTITUTE(SUBSTITUTE(SUBSTITUTE(SUBSTITUTE(SUBSTITUTE(TRIM(A1087),".",""),"/",""),"-","")," ",""),"(",""),")",""),"+",""))</f>
      </c>
      <c r="H1087" s="6">
        <f>IF(G1087="","",IF(LEN(G1087)&lt;&gt;14,"ERRO: "&amp;LEN(G1087)&amp;" dígitos",IF(NOT(ISNUMBER(VALUE(G1087))),"ERRO: não numérico",IF(AND(VALUE(MID(G1087,13,1))=IF(MOD(SUMPRODUCT(--MID(G1087,{1,2,3,4,5,6,7,8,9,10,11,12},1),{5,4,3,2,9,8,7,6,5,4,3,2}),11)&lt;2,0,11-MOD(SUMPRODUCT(--MID(G1087,{1,2,3,4,5,6,7,8,9,10,11,12},1),{5,4,3,2,9,8,7,6,5,4,3,2}),11)),VALUE(MID(G1087,14,1))=IF(MOD(SUMPRODUCT(--MID(G1087,{1,2,3,4,5,6,7,8,9,10,11,12,13},1),{6,5,4,3,2,9,8,7,6,5,4,3,2}),11)&lt;2,0,11-MOD(SUMPRODUCT(--MID(G1087,{1,2,3,4,5,6,7,8,9,10,11,12,13},1),{6,5,4,3,2,9,8,7,6,5,4,3,2}),11))),"OK","AVISO: dígito verificador (conferir na org)"))))</f>
      </c>
      <c r="I1087" s="6">
        <f>IF(G1087="","",IF(COUNTIF($G$2:$G$2001,G1087)&gt;1,"DUPLICADO","OK"))</f>
      </c>
      <c r="J1087" s="6">
        <f>IF(COUNTA(A1087:F1087)=0,"",IF(AND(A1087&lt;&gt;"",E1087&lt;&gt;""),"OK","ERRO: faltam "&amp;IF(A1087="","CNPJ; ","")&amp;IF(E1087="","Novo gerente; ","")))</f>
      </c>
      <c r="K1087" s="6">
        <f>IF(COUNTA(A1087:F1087)=0,"",IF(AND(LEFT(H1087,4)&lt;&gt;"ERRO",I1087="OK",J1087="OK"),"OK","REVISAR"))</f>
      </c>
    </row>
    <row r="1088">
      <c r="A1088" s="5"/>
      <c r="B1088" s="4"/>
      <c r="C1088" s="4"/>
      <c r="D1088" s="4"/>
      <c r="E1088" s="5"/>
      <c r="F1088" s="4"/>
      <c r="G1088" s="6">
        <f>IF(A1088="","",SUBSTITUTE(SUBSTITUTE(SUBSTITUTE(SUBSTITUTE(SUBSTITUTE(SUBSTITUTE(SUBSTITUTE(TRIM(A1088),".",""),"/",""),"-","")," ",""),"(",""),")",""),"+",""))</f>
      </c>
      <c r="H1088" s="6">
        <f>IF(G1088="","",IF(LEN(G1088)&lt;&gt;14,"ERRO: "&amp;LEN(G1088)&amp;" dígitos",IF(NOT(ISNUMBER(VALUE(G1088))),"ERRO: não numérico",IF(AND(VALUE(MID(G1088,13,1))=IF(MOD(SUMPRODUCT(--MID(G1088,{1,2,3,4,5,6,7,8,9,10,11,12},1),{5,4,3,2,9,8,7,6,5,4,3,2}),11)&lt;2,0,11-MOD(SUMPRODUCT(--MID(G1088,{1,2,3,4,5,6,7,8,9,10,11,12},1),{5,4,3,2,9,8,7,6,5,4,3,2}),11)),VALUE(MID(G1088,14,1))=IF(MOD(SUMPRODUCT(--MID(G1088,{1,2,3,4,5,6,7,8,9,10,11,12,13},1),{6,5,4,3,2,9,8,7,6,5,4,3,2}),11)&lt;2,0,11-MOD(SUMPRODUCT(--MID(G1088,{1,2,3,4,5,6,7,8,9,10,11,12,13},1),{6,5,4,3,2,9,8,7,6,5,4,3,2}),11))),"OK","AVISO: dígito verificador (conferir na org)"))))</f>
      </c>
      <c r="I1088" s="6">
        <f>IF(G1088="","",IF(COUNTIF($G$2:$G$2001,G1088)&gt;1,"DUPLICADO","OK"))</f>
      </c>
      <c r="J1088" s="6">
        <f>IF(COUNTA(A1088:F1088)=0,"",IF(AND(A1088&lt;&gt;"",E1088&lt;&gt;""),"OK","ERRO: faltam "&amp;IF(A1088="","CNPJ; ","")&amp;IF(E1088="","Novo gerente; ","")))</f>
      </c>
      <c r="K1088" s="6">
        <f>IF(COUNTA(A1088:F1088)=0,"",IF(AND(LEFT(H1088,4)&lt;&gt;"ERRO",I1088="OK",J1088="OK"),"OK","REVISAR"))</f>
      </c>
    </row>
    <row r="1089">
      <c r="A1089" s="5"/>
      <c r="B1089" s="4"/>
      <c r="C1089" s="4"/>
      <c r="D1089" s="4"/>
      <c r="E1089" s="5"/>
      <c r="F1089" s="4"/>
      <c r="G1089" s="6">
        <f>IF(A1089="","",SUBSTITUTE(SUBSTITUTE(SUBSTITUTE(SUBSTITUTE(SUBSTITUTE(SUBSTITUTE(SUBSTITUTE(TRIM(A1089),".",""),"/",""),"-","")," ",""),"(",""),")",""),"+",""))</f>
      </c>
      <c r="H1089" s="6">
        <f>IF(G1089="","",IF(LEN(G1089)&lt;&gt;14,"ERRO: "&amp;LEN(G1089)&amp;" dígitos",IF(NOT(ISNUMBER(VALUE(G1089))),"ERRO: não numérico",IF(AND(VALUE(MID(G1089,13,1))=IF(MOD(SUMPRODUCT(--MID(G1089,{1,2,3,4,5,6,7,8,9,10,11,12},1),{5,4,3,2,9,8,7,6,5,4,3,2}),11)&lt;2,0,11-MOD(SUMPRODUCT(--MID(G1089,{1,2,3,4,5,6,7,8,9,10,11,12},1),{5,4,3,2,9,8,7,6,5,4,3,2}),11)),VALUE(MID(G1089,14,1))=IF(MOD(SUMPRODUCT(--MID(G1089,{1,2,3,4,5,6,7,8,9,10,11,12,13},1),{6,5,4,3,2,9,8,7,6,5,4,3,2}),11)&lt;2,0,11-MOD(SUMPRODUCT(--MID(G1089,{1,2,3,4,5,6,7,8,9,10,11,12,13},1),{6,5,4,3,2,9,8,7,6,5,4,3,2}),11))),"OK","AVISO: dígito verificador (conferir na org)"))))</f>
      </c>
      <c r="I1089" s="6">
        <f>IF(G1089="","",IF(COUNTIF($G$2:$G$2001,G1089)&gt;1,"DUPLICADO","OK"))</f>
      </c>
      <c r="J1089" s="6">
        <f>IF(COUNTA(A1089:F1089)=0,"",IF(AND(A1089&lt;&gt;"",E1089&lt;&gt;""),"OK","ERRO: faltam "&amp;IF(A1089="","CNPJ; ","")&amp;IF(E1089="","Novo gerente; ","")))</f>
      </c>
      <c r="K1089" s="6">
        <f>IF(COUNTA(A1089:F1089)=0,"",IF(AND(LEFT(H1089,4)&lt;&gt;"ERRO",I1089="OK",J1089="OK"),"OK","REVISAR"))</f>
      </c>
    </row>
    <row r="1090">
      <c r="A1090" s="5"/>
      <c r="B1090" s="4"/>
      <c r="C1090" s="4"/>
      <c r="D1090" s="4"/>
      <c r="E1090" s="5"/>
      <c r="F1090" s="4"/>
      <c r="G1090" s="6">
        <f>IF(A1090="","",SUBSTITUTE(SUBSTITUTE(SUBSTITUTE(SUBSTITUTE(SUBSTITUTE(SUBSTITUTE(SUBSTITUTE(TRIM(A1090),".",""),"/",""),"-","")," ",""),"(",""),")",""),"+",""))</f>
      </c>
      <c r="H1090" s="6">
        <f>IF(G1090="","",IF(LEN(G1090)&lt;&gt;14,"ERRO: "&amp;LEN(G1090)&amp;" dígitos",IF(NOT(ISNUMBER(VALUE(G1090))),"ERRO: não numérico",IF(AND(VALUE(MID(G1090,13,1))=IF(MOD(SUMPRODUCT(--MID(G1090,{1,2,3,4,5,6,7,8,9,10,11,12},1),{5,4,3,2,9,8,7,6,5,4,3,2}),11)&lt;2,0,11-MOD(SUMPRODUCT(--MID(G1090,{1,2,3,4,5,6,7,8,9,10,11,12},1),{5,4,3,2,9,8,7,6,5,4,3,2}),11)),VALUE(MID(G1090,14,1))=IF(MOD(SUMPRODUCT(--MID(G1090,{1,2,3,4,5,6,7,8,9,10,11,12,13},1),{6,5,4,3,2,9,8,7,6,5,4,3,2}),11)&lt;2,0,11-MOD(SUMPRODUCT(--MID(G1090,{1,2,3,4,5,6,7,8,9,10,11,12,13},1),{6,5,4,3,2,9,8,7,6,5,4,3,2}),11))),"OK","AVISO: dígito verificador (conferir na org)"))))</f>
      </c>
      <c r="I1090" s="6">
        <f>IF(G1090="","",IF(COUNTIF($G$2:$G$2001,G1090)&gt;1,"DUPLICADO","OK"))</f>
      </c>
      <c r="J1090" s="6">
        <f>IF(COUNTA(A1090:F1090)=0,"",IF(AND(A1090&lt;&gt;"",E1090&lt;&gt;""),"OK","ERRO: faltam "&amp;IF(A1090="","CNPJ; ","")&amp;IF(E1090="","Novo gerente; ","")))</f>
      </c>
      <c r="K1090" s="6">
        <f>IF(COUNTA(A1090:F1090)=0,"",IF(AND(LEFT(H1090,4)&lt;&gt;"ERRO",I1090="OK",J1090="OK"),"OK","REVISAR"))</f>
      </c>
    </row>
    <row r="1091">
      <c r="A1091" s="5"/>
      <c r="B1091" s="4"/>
      <c r="C1091" s="4"/>
      <c r="D1091" s="4"/>
      <c r="E1091" s="5"/>
      <c r="F1091" s="4"/>
      <c r="G1091" s="6">
        <f>IF(A1091="","",SUBSTITUTE(SUBSTITUTE(SUBSTITUTE(SUBSTITUTE(SUBSTITUTE(SUBSTITUTE(SUBSTITUTE(TRIM(A1091),".",""),"/",""),"-","")," ",""),"(",""),")",""),"+",""))</f>
      </c>
      <c r="H1091" s="6">
        <f>IF(G1091="","",IF(LEN(G1091)&lt;&gt;14,"ERRO: "&amp;LEN(G1091)&amp;" dígitos",IF(NOT(ISNUMBER(VALUE(G1091))),"ERRO: não numérico",IF(AND(VALUE(MID(G1091,13,1))=IF(MOD(SUMPRODUCT(--MID(G1091,{1,2,3,4,5,6,7,8,9,10,11,12},1),{5,4,3,2,9,8,7,6,5,4,3,2}),11)&lt;2,0,11-MOD(SUMPRODUCT(--MID(G1091,{1,2,3,4,5,6,7,8,9,10,11,12},1),{5,4,3,2,9,8,7,6,5,4,3,2}),11)),VALUE(MID(G1091,14,1))=IF(MOD(SUMPRODUCT(--MID(G1091,{1,2,3,4,5,6,7,8,9,10,11,12,13},1),{6,5,4,3,2,9,8,7,6,5,4,3,2}),11)&lt;2,0,11-MOD(SUMPRODUCT(--MID(G1091,{1,2,3,4,5,6,7,8,9,10,11,12,13},1),{6,5,4,3,2,9,8,7,6,5,4,3,2}),11))),"OK","AVISO: dígito verificador (conferir na org)"))))</f>
      </c>
      <c r="I1091" s="6">
        <f>IF(G1091="","",IF(COUNTIF($G$2:$G$2001,G1091)&gt;1,"DUPLICADO","OK"))</f>
      </c>
      <c r="J1091" s="6">
        <f>IF(COUNTA(A1091:F1091)=0,"",IF(AND(A1091&lt;&gt;"",E1091&lt;&gt;""),"OK","ERRO: faltam "&amp;IF(A1091="","CNPJ; ","")&amp;IF(E1091="","Novo gerente; ","")))</f>
      </c>
      <c r="K1091" s="6">
        <f>IF(COUNTA(A1091:F1091)=0,"",IF(AND(LEFT(H1091,4)&lt;&gt;"ERRO",I1091="OK",J1091="OK"),"OK","REVISAR"))</f>
      </c>
    </row>
    <row r="1092">
      <c r="A1092" s="5"/>
      <c r="B1092" s="4"/>
      <c r="C1092" s="4"/>
      <c r="D1092" s="4"/>
      <c r="E1092" s="5"/>
      <c r="F1092" s="4"/>
      <c r="G1092" s="6">
        <f>IF(A1092="","",SUBSTITUTE(SUBSTITUTE(SUBSTITUTE(SUBSTITUTE(SUBSTITUTE(SUBSTITUTE(SUBSTITUTE(TRIM(A1092),".",""),"/",""),"-","")," ",""),"(",""),")",""),"+",""))</f>
      </c>
      <c r="H1092" s="6">
        <f>IF(G1092="","",IF(LEN(G1092)&lt;&gt;14,"ERRO: "&amp;LEN(G1092)&amp;" dígitos",IF(NOT(ISNUMBER(VALUE(G1092))),"ERRO: não numérico",IF(AND(VALUE(MID(G1092,13,1))=IF(MOD(SUMPRODUCT(--MID(G1092,{1,2,3,4,5,6,7,8,9,10,11,12},1),{5,4,3,2,9,8,7,6,5,4,3,2}),11)&lt;2,0,11-MOD(SUMPRODUCT(--MID(G1092,{1,2,3,4,5,6,7,8,9,10,11,12},1),{5,4,3,2,9,8,7,6,5,4,3,2}),11)),VALUE(MID(G1092,14,1))=IF(MOD(SUMPRODUCT(--MID(G1092,{1,2,3,4,5,6,7,8,9,10,11,12,13},1),{6,5,4,3,2,9,8,7,6,5,4,3,2}),11)&lt;2,0,11-MOD(SUMPRODUCT(--MID(G1092,{1,2,3,4,5,6,7,8,9,10,11,12,13},1),{6,5,4,3,2,9,8,7,6,5,4,3,2}),11))),"OK","AVISO: dígito verificador (conferir na org)"))))</f>
      </c>
      <c r="I1092" s="6">
        <f>IF(G1092="","",IF(COUNTIF($G$2:$G$2001,G1092)&gt;1,"DUPLICADO","OK"))</f>
      </c>
      <c r="J1092" s="6">
        <f>IF(COUNTA(A1092:F1092)=0,"",IF(AND(A1092&lt;&gt;"",E1092&lt;&gt;""),"OK","ERRO: faltam "&amp;IF(A1092="","CNPJ; ","")&amp;IF(E1092="","Novo gerente; ","")))</f>
      </c>
      <c r="K1092" s="6">
        <f>IF(COUNTA(A1092:F1092)=0,"",IF(AND(LEFT(H1092,4)&lt;&gt;"ERRO",I1092="OK",J1092="OK"),"OK","REVISAR"))</f>
      </c>
    </row>
    <row r="1093">
      <c r="A1093" s="5"/>
      <c r="B1093" s="4"/>
      <c r="C1093" s="4"/>
      <c r="D1093" s="4"/>
      <c r="E1093" s="5"/>
      <c r="F1093" s="4"/>
      <c r="G1093" s="6">
        <f>IF(A1093="","",SUBSTITUTE(SUBSTITUTE(SUBSTITUTE(SUBSTITUTE(SUBSTITUTE(SUBSTITUTE(SUBSTITUTE(TRIM(A1093),".",""),"/",""),"-","")," ",""),"(",""),")",""),"+",""))</f>
      </c>
      <c r="H1093" s="6">
        <f>IF(G1093="","",IF(LEN(G1093)&lt;&gt;14,"ERRO: "&amp;LEN(G1093)&amp;" dígitos",IF(NOT(ISNUMBER(VALUE(G1093))),"ERRO: não numérico",IF(AND(VALUE(MID(G1093,13,1))=IF(MOD(SUMPRODUCT(--MID(G1093,{1,2,3,4,5,6,7,8,9,10,11,12},1),{5,4,3,2,9,8,7,6,5,4,3,2}),11)&lt;2,0,11-MOD(SUMPRODUCT(--MID(G1093,{1,2,3,4,5,6,7,8,9,10,11,12},1),{5,4,3,2,9,8,7,6,5,4,3,2}),11)),VALUE(MID(G1093,14,1))=IF(MOD(SUMPRODUCT(--MID(G1093,{1,2,3,4,5,6,7,8,9,10,11,12,13},1),{6,5,4,3,2,9,8,7,6,5,4,3,2}),11)&lt;2,0,11-MOD(SUMPRODUCT(--MID(G1093,{1,2,3,4,5,6,7,8,9,10,11,12,13},1),{6,5,4,3,2,9,8,7,6,5,4,3,2}),11))),"OK","AVISO: dígito verificador (conferir na org)"))))</f>
      </c>
      <c r="I1093" s="6">
        <f>IF(G1093="","",IF(COUNTIF($G$2:$G$2001,G1093)&gt;1,"DUPLICADO","OK"))</f>
      </c>
      <c r="J1093" s="6">
        <f>IF(COUNTA(A1093:F1093)=0,"",IF(AND(A1093&lt;&gt;"",E1093&lt;&gt;""),"OK","ERRO: faltam "&amp;IF(A1093="","CNPJ; ","")&amp;IF(E1093="","Novo gerente; ","")))</f>
      </c>
      <c r="K1093" s="6">
        <f>IF(COUNTA(A1093:F1093)=0,"",IF(AND(LEFT(H1093,4)&lt;&gt;"ERRO",I1093="OK",J1093="OK"),"OK","REVISAR"))</f>
      </c>
    </row>
    <row r="1094">
      <c r="A1094" s="5"/>
      <c r="B1094" s="4"/>
      <c r="C1094" s="4"/>
      <c r="D1094" s="4"/>
      <c r="E1094" s="5"/>
      <c r="F1094" s="4"/>
      <c r="G1094" s="6">
        <f>IF(A1094="","",SUBSTITUTE(SUBSTITUTE(SUBSTITUTE(SUBSTITUTE(SUBSTITUTE(SUBSTITUTE(SUBSTITUTE(TRIM(A1094),".",""),"/",""),"-","")," ",""),"(",""),")",""),"+",""))</f>
      </c>
      <c r="H1094" s="6">
        <f>IF(G1094="","",IF(LEN(G1094)&lt;&gt;14,"ERRO: "&amp;LEN(G1094)&amp;" dígitos",IF(NOT(ISNUMBER(VALUE(G1094))),"ERRO: não numérico",IF(AND(VALUE(MID(G1094,13,1))=IF(MOD(SUMPRODUCT(--MID(G1094,{1,2,3,4,5,6,7,8,9,10,11,12},1),{5,4,3,2,9,8,7,6,5,4,3,2}),11)&lt;2,0,11-MOD(SUMPRODUCT(--MID(G1094,{1,2,3,4,5,6,7,8,9,10,11,12},1),{5,4,3,2,9,8,7,6,5,4,3,2}),11)),VALUE(MID(G1094,14,1))=IF(MOD(SUMPRODUCT(--MID(G1094,{1,2,3,4,5,6,7,8,9,10,11,12,13},1),{6,5,4,3,2,9,8,7,6,5,4,3,2}),11)&lt;2,0,11-MOD(SUMPRODUCT(--MID(G1094,{1,2,3,4,5,6,7,8,9,10,11,12,13},1),{6,5,4,3,2,9,8,7,6,5,4,3,2}),11))),"OK","AVISO: dígito verificador (conferir na org)"))))</f>
      </c>
      <c r="I1094" s="6">
        <f>IF(G1094="","",IF(COUNTIF($G$2:$G$2001,G1094)&gt;1,"DUPLICADO","OK"))</f>
      </c>
      <c r="J1094" s="6">
        <f>IF(COUNTA(A1094:F1094)=0,"",IF(AND(A1094&lt;&gt;"",E1094&lt;&gt;""),"OK","ERRO: faltam "&amp;IF(A1094="","CNPJ; ","")&amp;IF(E1094="","Novo gerente; ","")))</f>
      </c>
      <c r="K1094" s="6">
        <f>IF(COUNTA(A1094:F1094)=0,"",IF(AND(LEFT(H1094,4)&lt;&gt;"ERRO",I1094="OK",J1094="OK"),"OK","REVISAR"))</f>
      </c>
    </row>
    <row r="1095">
      <c r="A1095" s="5"/>
      <c r="B1095" s="4"/>
      <c r="C1095" s="4"/>
      <c r="D1095" s="4"/>
      <c r="E1095" s="5"/>
      <c r="F1095" s="4"/>
      <c r="G1095" s="6">
        <f>IF(A1095="","",SUBSTITUTE(SUBSTITUTE(SUBSTITUTE(SUBSTITUTE(SUBSTITUTE(SUBSTITUTE(SUBSTITUTE(TRIM(A1095),".",""),"/",""),"-","")," ",""),"(",""),")",""),"+",""))</f>
      </c>
      <c r="H1095" s="6">
        <f>IF(G1095="","",IF(LEN(G1095)&lt;&gt;14,"ERRO: "&amp;LEN(G1095)&amp;" dígitos",IF(NOT(ISNUMBER(VALUE(G1095))),"ERRO: não numérico",IF(AND(VALUE(MID(G1095,13,1))=IF(MOD(SUMPRODUCT(--MID(G1095,{1,2,3,4,5,6,7,8,9,10,11,12},1),{5,4,3,2,9,8,7,6,5,4,3,2}),11)&lt;2,0,11-MOD(SUMPRODUCT(--MID(G1095,{1,2,3,4,5,6,7,8,9,10,11,12},1),{5,4,3,2,9,8,7,6,5,4,3,2}),11)),VALUE(MID(G1095,14,1))=IF(MOD(SUMPRODUCT(--MID(G1095,{1,2,3,4,5,6,7,8,9,10,11,12,13},1),{6,5,4,3,2,9,8,7,6,5,4,3,2}),11)&lt;2,0,11-MOD(SUMPRODUCT(--MID(G1095,{1,2,3,4,5,6,7,8,9,10,11,12,13},1),{6,5,4,3,2,9,8,7,6,5,4,3,2}),11))),"OK","AVISO: dígito verificador (conferir na org)"))))</f>
      </c>
      <c r="I1095" s="6">
        <f>IF(G1095="","",IF(COUNTIF($G$2:$G$2001,G1095)&gt;1,"DUPLICADO","OK"))</f>
      </c>
      <c r="J1095" s="6">
        <f>IF(COUNTA(A1095:F1095)=0,"",IF(AND(A1095&lt;&gt;"",E1095&lt;&gt;""),"OK","ERRO: faltam "&amp;IF(A1095="","CNPJ; ","")&amp;IF(E1095="","Novo gerente; ","")))</f>
      </c>
      <c r="K1095" s="6">
        <f>IF(COUNTA(A1095:F1095)=0,"",IF(AND(LEFT(H1095,4)&lt;&gt;"ERRO",I1095="OK",J1095="OK"),"OK","REVISAR"))</f>
      </c>
    </row>
    <row r="1096">
      <c r="A1096" s="5"/>
      <c r="B1096" s="4"/>
      <c r="C1096" s="4"/>
      <c r="D1096" s="4"/>
      <c r="E1096" s="5"/>
      <c r="F1096" s="4"/>
      <c r="G1096" s="6">
        <f>IF(A1096="","",SUBSTITUTE(SUBSTITUTE(SUBSTITUTE(SUBSTITUTE(SUBSTITUTE(SUBSTITUTE(SUBSTITUTE(TRIM(A1096),".",""),"/",""),"-","")," ",""),"(",""),")",""),"+",""))</f>
      </c>
      <c r="H1096" s="6">
        <f>IF(G1096="","",IF(LEN(G1096)&lt;&gt;14,"ERRO: "&amp;LEN(G1096)&amp;" dígitos",IF(NOT(ISNUMBER(VALUE(G1096))),"ERRO: não numérico",IF(AND(VALUE(MID(G1096,13,1))=IF(MOD(SUMPRODUCT(--MID(G1096,{1,2,3,4,5,6,7,8,9,10,11,12},1),{5,4,3,2,9,8,7,6,5,4,3,2}),11)&lt;2,0,11-MOD(SUMPRODUCT(--MID(G1096,{1,2,3,4,5,6,7,8,9,10,11,12},1),{5,4,3,2,9,8,7,6,5,4,3,2}),11)),VALUE(MID(G1096,14,1))=IF(MOD(SUMPRODUCT(--MID(G1096,{1,2,3,4,5,6,7,8,9,10,11,12,13},1),{6,5,4,3,2,9,8,7,6,5,4,3,2}),11)&lt;2,0,11-MOD(SUMPRODUCT(--MID(G1096,{1,2,3,4,5,6,7,8,9,10,11,12,13},1),{6,5,4,3,2,9,8,7,6,5,4,3,2}),11))),"OK","AVISO: dígito verificador (conferir na org)"))))</f>
      </c>
      <c r="I1096" s="6">
        <f>IF(G1096="","",IF(COUNTIF($G$2:$G$2001,G1096)&gt;1,"DUPLICADO","OK"))</f>
      </c>
      <c r="J1096" s="6">
        <f>IF(COUNTA(A1096:F1096)=0,"",IF(AND(A1096&lt;&gt;"",E1096&lt;&gt;""),"OK","ERRO: faltam "&amp;IF(A1096="","CNPJ; ","")&amp;IF(E1096="","Novo gerente; ","")))</f>
      </c>
      <c r="K1096" s="6">
        <f>IF(COUNTA(A1096:F1096)=0,"",IF(AND(LEFT(H1096,4)&lt;&gt;"ERRO",I1096="OK",J1096="OK"),"OK","REVISAR"))</f>
      </c>
    </row>
    <row r="1097">
      <c r="A1097" s="5"/>
      <c r="B1097" s="4"/>
      <c r="C1097" s="4"/>
      <c r="D1097" s="4"/>
      <c r="E1097" s="5"/>
      <c r="F1097" s="4"/>
      <c r="G1097" s="6">
        <f>IF(A1097="","",SUBSTITUTE(SUBSTITUTE(SUBSTITUTE(SUBSTITUTE(SUBSTITUTE(SUBSTITUTE(SUBSTITUTE(TRIM(A1097),".",""),"/",""),"-","")," ",""),"(",""),")",""),"+",""))</f>
      </c>
      <c r="H1097" s="6">
        <f>IF(G1097="","",IF(LEN(G1097)&lt;&gt;14,"ERRO: "&amp;LEN(G1097)&amp;" dígitos",IF(NOT(ISNUMBER(VALUE(G1097))),"ERRO: não numérico",IF(AND(VALUE(MID(G1097,13,1))=IF(MOD(SUMPRODUCT(--MID(G1097,{1,2,3,4,5,6,7,8,9,10,11,12},1),{5,4,3,2,9,8,7,6,5,4,3,2}),11)&lt;2,0,11-MOD(SUMPRODUCT(--MID(G1097,{1,2,3,4,5,6,7,8,9,10,11,12},1),{5,4,3,2,9,8,7,6,5,4,3,2}),11)),VALUE(MID(G1097,14,1))=IF(MOD(SUMPRODUCT(--MID(G1097,{1,2,3,4,5,6,7,8,9,10,11,12,13},1),{6,5,4,3,2,9,8,7,6,5,4,3,2}),11)&lt;2,0,11-MOD(SUMPRODUCT(--MID(G1097,{1,2,3,4,5,6,7,8,9,10,11,12,13},1),{6,5,4,3,2,9,8,7,6,5,4,3,2}),11))),"OK","AVISO: dígito verificador (conferir na org)"))))</f>
      </c>
      <c r="I1097" s="6">
        <f>IF(G1097="","",IF(COUNTIF($G$2:$G$2001,G1097)&gt;1,"DUPLICADO","OK"))</f>
      </c>
      <c r="J1097" s="6">
        <f>IF(COUNTA(A1097:F1097)=0,"",IF(AND(A1097&lt;&gt;"",E1097&lt;&gt;""),"OK","ERRO: faltam "&amp;IF(A1097="","CNPJ; ","")&amp;IF(E1097="","Novo gerente; ","")))</f>
      </c>
      <c r="K1097" s="6">
        <f>IF(COUNTA(A1097:F1097)=0,"",IF(AND(LEFT(H1097,4)&lt;&gt;"ERRO",I1097="OK",J1097="OK"),"OK","REVISAR"))</f>
      </c>
    </row>
    <row r="1098">
      <c r="A1098" s="5"/>
      <c r="B1098" s="4"/>
      <c r="C1098" s="4"/>
      <c r="D1098" s="4"/>
      <c r="E1098" s="5"/>
      <c r="F1098" s="4"/>
      <c r="G1098" s="6">
        <f>IF(A1098="","",SUBSTITUTE(SUBSTITUTE(SUBSTITUTE(SUBSTITUTE(SUBSTITUTE(SUBSTITUTE(SUBSTITUTE(TRIM(A1098),".",""),"/",""),"-","")," ",""),"(",""),")",""),"+",""))</f>
      </c>
      <c r="H1098" s="6">
        <f>IF(G1098="","",IF(LEN(G1098)&lt;&gt;14,"ERRO: "&amp;LEN(G1098)&amp;" dígitos",IF(NOT(ISNUMBER(VALUE(G1098))),"ERRO: não numérico",IF(AND(VALUE(MID(G1098,13,1))=IF(MOD(SUMPRODUCT(--MID(G1098,{1,2,3,4,5,6,7,8,9,10,11,12},1),{5,4,3,2,9,8,7,6,5,4,3,2}),11)&lt;2,0,11-MOD(SUMPRODUCT(--MID(G1098,{1,2,3,4,5,6,7,8,9,10,11,12},1),{5,4,3,2,9,8,7,6,5,4,3,2}),11)),VALUE(MID(G1098,14,1))=IF(MOD(SUMPRODUCT(--MID(G1098,{1,2,3,4,5,6,7,8,9,10,11,12,13},1),{6,5,4,3,2,9,8,7,6,5,4,3,2}),11)&lt;2,0,11-MOD(SUMPRODUCT(--MID(G1098,{1,2,3,4,5,6,7,8,9,10,11,12,13},1),{6,5,4,3,2,9,8,7,6,5,4,3,2}),11))),"OK","AVISO: dígito verificador (conferir na org)"))))</f>
      </c>
      <c r="I1098" s="6">
        <f>IF(G1098="","",IF(COUNTIF($G$2:$G$2001,G1098)&gt;1,"DUPLICADO","OK"))</f>
      </c>
      <c r="J1098" s="6">
        <f>IF(COUNTA(A1098:F1098)=0,"",IF(AND(A1098&lt;&gt;"",E1098&lt;&gt;""),"OK","ERRO: faltam "&amp;IF(A1098="","CNPJ; ","")&amp;IF(E1098="","Novo gerente; ","")))</f>
      </c>
      <c r="K1098" s="6">
        <f>IF(COUNTA(A1098:F1098)=0,"",IF(AND(LEFT(H1098,4)&lt;&gt;"ERRO",I1098="OK",J1098="OK"),"OK","REVISAR"))</f>
      </c>
    </row>
    <row r="1099">
      <c r="A1099" s="5"/>
      <c r="B1099" s="4"/>
      <c r="C1099" s="4"/>
      <c r="D1099" s="4"/>
      <c r="E1099" s="5"/>
      <c r="F1099" s="4"/>
      <c r="G1099" s="6">
        <f>IF(A1099="","",SUBSTITUTE(SUBSTITUTE(SUBSTITUTE(SUBSTITUTE(SUBSTITUTE(SUBSTITUTE(SUBSTITUTE(TRIM(A1099),".",""),"/",""),"-","")," ",""),"(",""),")",""),"+",""))</f>
      </c>
      <c r="H1099" s="6">
        <f>IF(G1099="","",IF(LEN(G1099)&lt;&gt;14,"ERRO: "&amp;LEN(G1099)&amp;" dígitos",IF(NOT(ISNUMBER(VALUE(G1099))),"ERRO: não numérico",IF(AND(VALUE(MID(G1099,13,1))=IF(MOD(SUMPRODUCT(--MID(G1099,{1,2,3,4,5,6,7,8,9,10,11,12},1),{5,4,3,2,9,8,7,6,5,4,3,2}),11)&lt;2,0,11-MOD(SUMPRODUCT(--MID(G1099,{1,2,3,4,5,6,7,8,9,10,11,12},1),{5,4,3,2,9,8,7,6,5,4,3,2}),11)),VALUE(MID(G1099,14,1))=IF(MOD(SUMPRODUCT(--MID(G1099,{1,2,3,4,5,6,7,8,9,10,11,12,13},1),{6,5,4,3,2,9,8,7,6,5,4,3,2}),11)&lt;2,0,11-MOD(SUMPRODUCT(--MID(G1099,{1,2,3,4,5,6,7,8,9,10,11,12,13},1),{6,5,4,3,2,9,8,7,6,5,4,3,2}),11))),"OK","AVISO: dígito verificador (conferir na org)"))))</f>
      </c>
      <c r="I1099" s="6">
        <f>IF(G1099="","",IF(COUNTIF($G$2:$G$2001,G1099)&gt;1,"DUPLICADO","OK"))</f>
      </c>
      <c r="J1099" s="6">
        <f>IF(COUNTA(A1099:F1099)=0,"",IF(AND(A1099&lt;&gt;"",E1099&lt;&gt;""),"OK","ERRO: faltam "&amp;IF(A1099="","CNPJ; ","")&amp;IF(E1099="","Novo gerente; ","")))</f>
      </c>
      <c r="K1099" s="6">
        <f>IF(COUNTA(A1099:F1099)=0,"",IF(AND(LEFT(H1099,4)&lt;&gt;"ERRO",I1099="OK",J1099="OK"),"OK","REVISAR"))</f>
      </c>
    </row>
    <row r="1100">
      <c r="A1100" s="5"/>
      <c r="B1100" s="4"/>
      <c r="C1100" s="4"/>
      <c r="D1100" s="4"/>
      <c r="E1100" s="5"/>
      <c r="F1100" s="4"/>
      <c r="G1100" s="6">
        <f>IF(A1100="","",SUBSTITUTE(SUBSTITUTE(SUBSTITUTE(SUBSTITUTE(SUBSTITUTE(SUBSTITUTE(SUBSTITUTE(TRIM(A1100),".",""),"/",""),"-","")," ",""),"(",""),")",""),"+",""))</f>
      </c>
      <c r="H1100" s="6">
        <f>IF(G1100="","",IF(LEN(G1100)&lt;&gt;14,"ERRO: "&amp;LEN(G1100)&amp;" dígitos",IF(NOT(ISNUMBER(VALUE(G1100))),"ERRO: não numérico",IF(AND(VALUE(MID(G1100,13,1))=IF(MOD(SUMPRODUCT(--MID(G1100,{1,2,3,4,5,6,7,8,9,10,11,12},1),{5,4,3,2,9,8,7,6,5,4,3,2}),11)&lt;2,0,11-MOD(SUMPRODUCT(--MID(G1100,{1,2,3,4,5,6,7,8,9,10,11,12},1),{5,4,3,2,9,8,7,6,5,4,3,2}),11)),VALUE(MID(G1100,14,1))=IF(MOD(SUMPRODUCT(--MID(G1100,{1,2,3,4,5,6,7,8,9,10,11,12,13},1),{6,5,4,3,2,9,8,7,6,5,4,3,2}),11)&lt;2,0,11-MOD(SUMPRODUCT(--MID(G1100,{1,2,3,4,5,6,7,8,9,10,11,12,13},1),{6,5,4,3,2,9,8,7,6,5,4,3,2}),11))),"OK","AVISO: dígito verificador (conferir na org)"))))</f>
      </c>
      <c r="I1100" s="6">
        <f>IF(G1100="","",IF(COUNTIF($G$2:$G$2001,G1100)&gt;1,"DUPLICADO","OK"))</f>
      </c>
      <c r="J1100" s="6">
        <f>IF(COUNTA(A1100:F1100)=0,"",IF(AND(A1100&lt;&gt;"",E1100&lt;&gt;""),"OK","ERRO: faltam "&amp;IF(A1100="","CNPJ; ","")&amp;IF(E1100="","Novo gerente; ","")))</f>
      </c>
      <c r="K1100" s="6">
        <f>IF(COUNTA(A1100:F1100)=0,"",IF(AND(LEFT(H1100,4)&lt;&gt;"ERRO",I1100="OK",J1100="OK"),"OK","REVISAR"))</f>
      </c>
    </row>
    <row r="1101">
      <c r="A1101" s="5"/>
      <c r="B1101" s="4"/>
      <c r="C1101" s="4"/>
      <c r="D1101" s="4"/>
      <c r="E1101" s="5"/>
      <c r="F1101" s="4"/>
      <c r="G1101" s="6">
        <f>IF(A1101="","",SUBSTITUTE(SUBSTITUTE(SUBSTITUTE(SUBSTITUTE(SUBSTITUTE(SUBSTITUTE(SUBSTITUTE(TRIM(A1101),".",""),"/",""),"-","")," ",""),"(",""),")",""),"+",""))</f>
      </c>
      <c r="H1101" s="6">
        <f>IF(G1101="","",IF(LEN(G1101)&lt;&gt;14,"ERRO: "&amp;LEN(G1101)&amp;" dígitos",IF(NOT(ISNUMBER(VALUE(G1101))),"ERRO: não numérico",IF(AND(VALUE(MID(G1101,13,1))=IF(MOD(SUMPRODUCT(--MID(G1101,{1,2,3,4,5,6,7,8,9,10,11,12},1),{5,4,3,2,9,8,7,6,5,4,3,2}),11)&lt;2,0,11-MOD(SUMPRODUCT(--MID(G1101,{1,2,3,4,5,6,7,8,9,10,11,12},1),{5,4,3,2,9,8,7,6,5,4,3,2}),11)),VALUE(MID(G1101,14,1))=IF(MOD(SUMPRODUCT(--MID(G1101,{1,2,3,4,5,6,7,8,9,10,11,12,13},1),{6,5,4,3,2,9,8,7,6,5,4,3,2}),11)&lt;2,0,11-MOD(SUMPRODUCT(--MID(G1101,{1,2,3,4,5,6,7,8,9,10,11,12,13},1),{6,5,4,3,2,9,8,7,6,5,4,3,2}),11))),"OK","AVISO: dígito verificador (conferir na org)"))))</f>
      </c>
      <c r="I1101" s="6">
        <f>IF(G1101="","",IF(COUNTIF($G$2:$G$2001,G1101)&gt;1,"DUPLICADO","OK"))</f>
      </c>
      <c r="J1101" s="6">
        <f>IF(COUNTA(A1101:F1101)=0,"",IF(AND(A1101&lt;&gt;"",E1101&lt;&gt;""),"OK","ERRO: faltam "&amp;IF(A1101="","CNPJ; ","")&amp;IF(E1101="","Novo gerente; ","")))</f>
      </c>
      <c r="K1101" s="6">
        <f>IF(COUNTA(A1101:F1101)=0,"",IF(AND(LEFT(H1101,4)&lt;&gt;"ERRO",I1101="OK",J1101="OK"),"OK","REVISAR"))</f>
      </c>
    </row>
    <row r="1102">
      <c r="A1102" s="5"/>
      <c r="B1102" s="4"/>
      <c r="C1102" s="4"/>
      <c r="D1102" s="4"/>
      <c r="E1102" s="5"/>
      <c r="F1102" s="4"/>
      <c r="G1102" s="6">
        <f>IF(A1102="","",SUBSTITUTE(SUBSTITUTE(SUBSTITUTE(SUBSTITUTE(SUBSTITUTE(SUBSTITUTE(SUBSTITUTE(TRIM(A1102),".",""),"/",""),"-","")," ",""),"(",""),")",""),"+",""))</f>
      </c>
      <c r="H1102" s="6">
        <f>IF(G1102="","",IF(LEN(G1102)&lt;&gt;14,"ERRO: "&amp;LEN(G1102)&amp;" dígitos",IF(NOT(ISNUMBER(VALUE(G1102))),"ERRO: não numérico",IF(AND(VALUE(MID(G1102,13,1))=IF(MOD(SUMPRODUCT(--MID(G1102,{1,2,3,4,5,6,7,8,9,10,11,12},1),{5,4,3,2,9,8,7,6,5,4,3,2}),11)&lt;2,0,11-MOD(SUMPRODUCT(--MID(G1102,{1,2,3,4,5,6,7,8,9,10,11,12},1),{5,4,3,2,9,8,7,6,5,4,3,2}),11)),VALUE(MID(G1102,14,1))=IF(MOD(SUMPRODUCT(--MID(G1102,{1,2,3,4,5,6,7,8,9,10,11,12,13},1),{6,5,4,3,2,9,8,7,6,5,4,3,2}),11)&lt;2,0,11-MOD(SUMPRODUCT(--MID(G1102,{1,2,3,4,5,6,7,8,9,10,11,12,13},1),{6,5,4,3,2,9,8,7,6,5,4,3,2}),11))),"OK","AVISO: dígito verificador (conferir na org)"))))</f>
      </c>
      <c r="I1102" s="6">
        <f>IF(G1102="","",IF(COUNTIF($G$2:$G$2001,G1102)&gt;1,"DUPLICADO","OK"))</f>
      </c>
      <c r="J1102" s="6">
        <f>IF(COUNTA(A1102:F1102)=0,"",IF(AND(A1102&lt;&gt;"",E1102&lt;&gt;""),"OK","ERRO: faltam "&amp;IF(A1102="","CNPJ; ","")&amp;IF(E1102="","Novo gerente; ","")))</f>
      </c>
      <c r="K1102" s="6">
        <f>IF(COUNTA(A1102:F1102)=0,"",IF(AND(LEFT(H1102,4)&lt;&gt;"ERRO",I1102="OK",J1102="OK"),"OK","REVISAR"))</f>
      </c>
    </row>
    <row r="1103">
      <c r="A1103" s="5"/>
      <c r="B1103" s="4"/>
      <c r="C1103" s="4"/>
      <c r="D1103" s="4"/>
      <c r="E1103" s="5"/>
      <c r="F1103" s="4"/>
      <c r="G1103" s="6">
        <f>IF(A1103="","",SUBSTITUTE(SUBSTITUTE(SUBSTITUTE(SUBSTITUTE(SUBSTITUTE(SUBSTITUTE(SUBSTITUTE(TRIM(A1103),".",""),"/",""),"-","")," ",""),"(",""),")",""),"+",""))</f>
      </c>
      <c r="H1103" s="6">
        <f>IF(G1103="","",IF(LEN(G1103)&lt;&gt;14,"ERRO: "&amp;LEN(G1103)&amp;" dígitos",IF(NOT(ISNUMBER(VALUE(G1103))),"ERRO: não numérico",IF(AND(VALUE(MID(G1103,13,1))=IF(MOD(SUMPRODUCT(--MID(G1103,{1,2,3,4,5,6,7,8,9,10,11,12},1),{5,4,3,2,9,8,7,6,5,4,3,2}),11)&lt;2,0,11-MOD(SUMPRODUCT(--MID(G1103,{1,2,3,4,5,6,7,8,9,10,11,12},1),{5,4,3,2,9,8,7,6,5,4,3,2}),11)),VALUE(MID(G1103,14,1))=IF(MOD(SUMPRODUCT(--MID(G1103,{1,2,3,4,5,6,7,8,9,10,11,12,13},1),{6,5,4,3,2,9,8,7,6,5,4,3,2}),11)&lt;2,0,11-MOD(SUMPRODUCT(--MID(G1103,{1,2,3,4,5,6,7,8,9,10,11,12,13},1),{6,5,4,3,2,9,8,7,6,5,4,3,2}),11))),"OK","AVISO: dígito verificador (conferir na org)"))))</f>
      </c>
      <c r="I1103" s="6">
        <f>IF(G1103="","",IF(COUNTIF($G$2:$G$2001,G1103)&gt;1,"DUPLICADO","OK"))</f>
      </c>
      <c r="J1103" s="6">
        <f>IF(COUNTA(A1103:F1103)=0,"",IF(AND(A1103&lt;&gt;"",E1103&lt;&gt;""),"OK","ERRO: faltam "&amp;IF(A1103="","CNPJ; ","")&amp;IF(E1103="","Novo gerente; ","")))</f>
      </c>
      <c r="K1103" s="6">
        <f>IF(COUNTA(A1103:F1103)=0,"",IF(AND(LEFT(H1103,4)&lt;&gt;"ERRO",I1103="OK",J1103="OK"),"OK","REVISAR"))</f>
      </c>
    </row>
    <row r="1104">
      <c r="A1104" s="5"/>
      <c r="B1104" s="4"/>
      <c r="C1104" s="4"/>
      <c r="D1104" s="4"/>
      <c r="E1104" s="5"/>
      <c r="F1104" s="4"/>
      <c r="G1104" s="6">
        <f>IF(A1104="","",SUBSTITUTE(SUBSTITUTE(SUBSTITUTE(SUBSTITUTE(SUBSTITUTE(SUBSTITUTE(SUBSTITUTE(TRIM(A1104),".",""),"/",""),"-","")," ",""),"(",""),")",""),"+",""))</f>
      </c>
      <c r="H1104" s="6">
        <f>IF(G1104="","",IF(LEN(G1104)&lt;&gt;14,"ERRO: "&amp;LEN(G1104)&amp;" dígitos",IF(NOT(ISNUMBER(VALUE(G1104))),"ERRO: não numérico",IF(AND(VALUE(MID(G1104,13,1))=IF(MOD(SUMPRODUCT(--MID(G1104,{1,2,3,4,5,6,7,8,9,10,11,12},1),{5,4,3,2,9,8,7,6,5,4,3,2}),11)&lt;2,0,11-MOD(SUMPRODUCT(--MID(G1104,{1,2,3,4,5,6,7,8,9,10,11,12},1),{5,4,3,2,9,8,7,6,5,4,3,2}),11)),VALUE(MID(G1104,14,1))=IF(MOD(SUMPRODUCT(--MID(G1104,{1,2,3,4,5,6,7,8,9,10,11,12,13},1),{6,5,4,3,2,9,8,7,6,5,4,3,2}),11)&lt;2,0,11-MOD(SUMPRODUCT(--MID(G1104,{1,2,3,4,5,6,7,8,9,10,11,12,13},1),{6,5,4,3,2,9,8,7,6,5,4,3,2}),11))),"OK","AVISO: dígito verificador (conferir na org)"))))</f>
      </c>
      <c r="I1104" s="6">
        <f>IF(G1104="","",IF(COUNTIF($G$2:$G$2001,G1104)&gt;1,"DUPLICADO","OK"))</f>
      </c>
      <c r="J1104" s="6">
        <f>IF(COUNTA(A1104:F1104)=0,"",IF(AND(A1104&lt;&gt;"",E1104&lt;&gt;""),"OK","ERRO: faltam "&amp;IF(A1104="","CNPJ; ","")&amp;IF(E1104="","Novo gerente; ","")))</f>
      </c>
      <c r="K1104" s="6">
        <f>IF(COUNTA(A1104:F1104)=0,"",IF(AND(LEFT(H1104,4)&lt;&gt;"ERRO",I1104="OK",J1104="OK"),"OK","REVISAR"))</f>
      </c>
    </row>
    <row r="1105">
      <c r="A1105" s="5"/>
      <c r="B1105" s="4"/>
      <c r="C1105" s="4"/>
      <c r="D1105" s="4"/>
      <c r="E1105" s="5"/>
      <c r="F1105" s="4"/>
      <c r="G1105" s="6">
        <f>IF(A1105="","",SUBSTITUTE(SUBSTITUTE(SUBSTITUTE(SUBSTITUTE(SUBSTITUTE(SUBSTITUTE(SUBSTITUTE(TRIM(A1105),".",""),"/",""),"-","")," ",""),"(",""),")",""),"+",""))</f>
      </c>
      <c r="H1105" s="6">
        <f>IF(G1105="","",IF(LEN(G1105)&lt;&gt;14,"ERRO: "&amp;LEN(G1105)&amp;" dígitos",IF(NOT(ISNUMBER(VALUE(G1105))),"ERRO: não numérico",IF(AND(VALUE(MID(G1105,13,1))=IF(MOD(SUMPRODUCT(--MID(G1105,{1,2,3,4,5,6,7,8,9,10,11,12},1),{5,4,3,2,9,8,7,6,5,4,3,2}),11)&lt;2,0,11-MOD(SUMPRODUCT(--MID(G1105,{1,2,3,4,5,6,7,8,9,10,11,12},1),{5,4,3,2,9,8,7,6,5,4,3,2}),11)),VALUE(MID(G1105,14,1))=IF(MOD(SUMPRODUCT(--MID(G1105,{1,2,3,4,5,6,7,8,9,10,11,12,13},1),{6,5,4,3,2,9,8,7,6,5,4,3,2}),11)&lt;2,0,11-MOD(SUMPRODUCT(--MID(G1105,{1,2,3,4,5,6,7,8,9,10,11,12,13},1),{6,5,4,3,2,9,8,7,6,5,4,3,2}),11))),"OK","AVISO: dígito verificador (conferir na org)"))))</f>
      </c>
      <c r="I1105" s="6">
        <f>IF(G1105="","",IF(COUNTIF($G$2:$G$2001,G1105)&gt;1,"DUPLICADO","OK"))</f>
      </c>
      <c r="J1105" s="6">
        <f>IF(COUNTA(A1105:F1105)=0,"",IF(AND(A1105&lt;&gt;"",E1105&lt;&gt;""),"OK","ERRO: faltam "&amp;IF(A1105="","CNPJ; ","")&amp;IF(E1105="","Novo gerente; ","")))</f>
      </c>
      <c r="K1105" s="6">
        <f>IF(COUNTA(A1105:F1105)=0,"",IF(AND(LEFT(H1105,4)&lt;&gt;"ERRO",I1105="OK",J1105="OK"),"OK","REVISAR"))</f>
      </c>
    </row>
    <row r="1106">
      <c r="A1106" s="5"/>
      <c r="B1106" s="4"/>
      <c r="C1106" s="4"/>
      <c r="D1106" s="4"/>
      <c r="E1106" s="5"/>
      <c r="F1106" s="4"/>
      <c r="G1106" s="6">
        <f>IF(A1106="","",SUBSTITUTE(SUBSTITUTE(SUBSTITUTE(SUBSTITUTE(SUBSTITUTE(SUBSTITUTE(SUBSTITUTE(TRIM(A1106),".",""),"/",""),"-","")," ",""),"(",""),")",""),"+",""))</f>
      </c>
      <c r="H1106" s="6">
        <f>IF(G1106="","",IF(LEN(G1106)&lt;&gt;14,"ERRO: "&amp;LEN(G1106)&amp;" dígitos",IF(NOT(ISNUMBER(VALUE(G1106))),"ERRO: não numérico",IF(AND(VALUE(MID(G1106,13,1))=IF(MOD(SUMPRODUCT(--MID(G1106,{1,2,3,4,5,6,7,8,9,10,11,12},1),{5,4,3,2,9,8,7,6,5,4,3,2}),11)&lt;2,0,11-MOD(SUMPRODUCT(--MID(G1106,{1,2,3,4,5,6,7,8,9,10,11,12},1),{5,4,3,2,9,8,7,6,5,4,3,2}),11)),VALUE(MID(G1106,14,1))=IF(MOD(SUMPRODUCT(--MID(G1106,{1,2,3,4,5,6,7,8,9,10,11,12,13},1),{6,5,4,3,2,9,8,7,6,5,4,3,2}),11)&lt;2,0,11-MOD(SUMPRODUCT(--MID(G1106,{1,2,3,4,5,6,7,8,9,10,11,12,13},1),{6,5,4,3,2,9,8,7,6,5,4,3,2}),11))),"OK","AVISO: dígito verificador (conferir na org)"))))</f>
      </c>
      <c r="I1106" s="6">
        <f>IF(G1106="","",IF(COUNTIF($G$2:$G$2001,G1106)&gt;1,"DUPLICADO","OK"))</f>
      </c>
      <c r="J1106" s="6">
        <f>IF(COUNTA(A1106:F1106)=0,"",IF(AND(A1106&lt;&gt;"",E1106&lt;&gt;""),"OK","ERRO: faltam "&amp;IF(A1106="","CNPJ; ","")&amp;IF(E1106="","Novo gerente; ","")))</f>
      </c>
      <c r="K1106" s="6">
        <f>IF(COUNTA(A1106:F1106)=0,"",IF(AND(LEFT(H1106,4)&lt;&gt;"ERRO",I1106="OK",J1106="OK"),"OK","REVISAR"))</f>
      </c>
    </row>
    <row r="1107">
      <c r="A1107" s="5"/>
      <c r="B1107" s="4"/>
      <c r="C1107" s="4"/>
      <c r="D1107" s="4"/>
      <c r="E1107" s="5"/>
      <c r="F1107" s="4"/>
      <c r="G1107" s="6">
        <f>IF(A1107="","",SUBSTITUTE(SUBSTITUTE(SUBSTITUTE(SUBSTITUTE(SUBSTITUTE(SUBSTITUTE(SUBSTITUTE(TRIM(A1107),".",""),"/",""),"-","")," ",""),"(",""),")",""),"+",""))</f>
      </c>
      <c r="H1107" s="6">
        <f>IF(G1107="","",IF(LEN(G1107)&lt;&gt;14,"ERRO: "&amp;LEN(G1107)&amp;" dígitos",IF(NOT(ISNUMBER(VALUE(G1107))),"ERRO: não numérico",IF(AND(VALUE(MID(G1107,13,1))=IF(MOD(SUMPRODUCT(--MID(G1107,{1,2,3,4,5,6,7,8,9,10,11,12},1),{5,4,3,2,9,8,7,6,5,4,3,2}),11)&lt;2,0,11-MOD(SUMPRODUCT(--MID(G1107,{1,2,3,4,5,6,7,8,9,10,11,12},1),{5,4,3,2,9,8,7,6,5,4,3,2}),11)),VALUE(MID(G1107,14,1))=IF(MOD(SUMPRODUCT(--MID(G1107,{1,2,3,4,5,6,7,8,9,10,11,12,13},1),{6,5,4,3,2,9,8,7,6,5,4,3,2}),11)&lt;2,0,11-MOD(SUMPRODUCT(--MID(G1107,{1,2,3,4,5,6,7,8,9,10,11,12,13},1),{6,5,4,3,2,9,8,7,6,5,4,3,2}),11))),"OK","AVISO: dígito verificador (conferir na org)"))))</f>
      </c>
      <c r="I1107" s="6">
        <f>IF(G1107="","",IF(COUNTIF($G$2:$G$2001,G1107)&gt;1,"DUPLICADO","OK"))</f>
      </c>
      <c r="J1107" s="6">
        <f>IF(COUNTA(A1107:F1107)=0,"",IF(AND(A1107&lt;&gt;"",E1107&lt;&gt;""),"OK","ERRO: faltam "&amp;IF(A1107="","CNPJ; ","")&amp;IF(E1107="","Novo gerente; ","")))</f>
      </c>
      <c r="K1107" s="6">
        <f>IF(COUNTA(A1107:F1107)=0,"",IF(AND(LEFT(H1107,4)&lt;&gt;"ERRO",I1107="OK",J1107="OK"),"OK","REVISAR"))</f>
      </c>
    </row>
    <row r="1108">
      <c r="A1108" s="5"/>
      <c r="B1108" s="4"/>
      <c r="C1108" s="4"/>
      <c r="D1108" s="4"/>
      <c r="E1108" s="5"/>
      <c r="F1108" s="4"/>
      <c r="G1108" s="6">
        <f>IF(A1108="","",SUBSTITUTE(SUBSTITUTE(SUBSTITUTE(SUBSTITUTE(SUBSTITUTE(SUBSTITUTE(SUBSTITUTE(TRIM(A1108),".",""),"/",""),"-","")," ",""),"(",""),")",""),"+",""))</f>
      </c>
      <c r="H1108" s="6">
        <f>IF(G1108="","",IF(LEN(G1108)&lt;&gt;14,"ERRO: "&amp;LEN(G1108)&amp;" dígitos",IF(NOT(ISNUMBER(VALUE(G1108))),"ERRO: não numérico",IF(AND(VALUE(MID(G1108,13,1))=IF(MOD(SUMPRODUCT(--MID(G1108,{1,2,3,4,5,6,7,8,9,10,11,12},1),{5,4,3,2,9,8,7,6,5,4,3,2}),11)&lt;2,0,11-MOD(SUMPRODUCT(--MID(G1108,{1,2,3,4,5,6,7,8,9,10,11,12},1),{5,4,3,2,9,8,7,6,5,4,3,2}),11)),VALUE(MID(G1108,14,1))=IF(MOD(SUMPRODUCT(--MID(G1108,{1,2,3,4,5,6,7,8,9,10,11,12,13},1),{6,5,4,3,2,9,8,7,6,5,4,3,2}),11)&lt;2,0,11-MOD(SUMPRODUCT(--MID(G1108,{1,2,3,4,5,6,7,8,9,10,11,12,13},1),{6,5,4,3,2,9,8,7,6,5,4,3,2}),11))),"OK","AVISO: dígito verificador (conferir na org)"))))</f>
      </c>
      <c r="I1108" s="6">
        <f>IF(G1108="","",IF(COUNTIF($G$2:$G$2001,G1108)&gt;1,"DUPLICADO","OK"))</f>
      </c>
      <c r="J1108" s="6">
        <f>IF(COUNTA(A1108:F1108)=0,"",IF(AND(A1108&lt;&gt;"",E1108&lt;&gt;""),"OK","ERRO: faltam "&amp;IF(A1108="","CNPJ; ","")&amp;IF(E1108="","Novo gerente; ","")))</f>
      </c>
      <c r="K1108" s="6">
        <f>IF(COUNTA(A1108:F1108)=0,"",IF(AND(LEFT(H1108,4)&lt;&gt;"ERRO",I1108="OK",J1108="OK"),"OK","REVISAR"))</f>
      </c>
    </row>
    <row r="1109">
      <c r="A1109" s="5"/>
      <c r="B1109" s="4"/>
      <c r="C1109" s="4"/>
      <c r="D1109" s="4"/>
      <c r="E1109" s="5"/>
      <c r="F1109" s="4"/>
      <c r="G1109" s="6">
        <f>IF(A1109="","",SUBSTITUTE(SUBSTITUTE(SUBSTITUTE(SUBSTITUTE(SUBSTITUTE(SUBSTITUTE(SUBSTITUTE(TRIM(A1109),".",""),"/",""),"-","")," ",""),"(",""),")",""),"+",""))</f>
      </c>
      <c r="H1109" s="6">
        <f>IF(G1109="","",IF(LEN(G1109)&lt;&gt;14,"ERRO: "&amp;LEN(G1109)&amp;" dígitos",IF(NOT(ISNUMBER(VALUE(G1109))),"ERRO: não numérico",IF(AND(VALUE(MID(G1109,13,1))=IF(MOD(SUMPRODUCT(--MID(G1109,{1,2,3,4,5,6,7,8,9,10,11,12},1),{5,4,3,2,9,8,7,6,5,4,3,2}),11)&lt;2,0,11-MOD(SUMPRODUCT(--MID(G1109,{1,2,3,4,5,6,7,8,9,10,11,12},1),{5,4,3,2,9,8,7,6,5,4,3,2}),11)),VALUE(MID(G1109,14,1))=IF(MOD(SUMPRODUCT(--MID(G1109,{1,2,3,4,5,6,7,8,9,10,11,12,13},1),{6,5,4,3,2,9,8,7,6,5,4,3,2}),11)&lt;2,0,11-MOD(SUMPRODUCT(--MID(G1109,{1,2,3,4,5,6,7,8,9,10,11,12,13},1),{6,5,4,3,2,9,8,7,6,5,4,3,2}),11))),"OK","AVISO: dígito verificador (conferir na org)"))))</f>
      </c>
      <c r="I1109" s="6">
        <f>IF(G1109="","",IF(COUNTIF($G$2:$G$2001,G1109)&gt;1,"DUPLICADO","OK"))</f>
      </c>
      <c r="J1109" s="6">
        <f>IF(COUNTA(A1109:F1109)=0,"",IF(AND(A1109&lt;&gt;"",E1109&lt;&gt;""),"OK","ERRO: faltam "&amp;IF(A1109="","CNPJ; ","")&amp;IF(E1109="","Novo gerente; ","")))</f>
      </c>
      <c r="K1109" s="6">
        <f>IF(COUNTA(A1109:F1109)=0,"",IF(AND(LEFT(H1109,4)&lt;&gt;"ERRO",I1109="OK",J1109="OK"),"OK","REVISAR"))</f>
      </c>
    </row>
    <row r="1110">
      <c r="A1110" s="5"/>
      <c r="B1110" s="4"/>
      <c r="C1110" s="4"/>
      <c r="D1110" s="4"/>
      <c r="E1110" s="5"/>
      <c r="F1110" s="4"/>
      <c r="G1110" s="6">
        <f>IF(A1110="","",SUBSTITUTE(SUBSTITUTE(SUBSTITUTE(SUBSTITUTE(SUBSTITUTE(SUBSTITUTE(SUBSTITUTE(TRIM(A1110),".",""),"/",""),"-","")," ",""),"(",""),")",""),"+",""))</f>
      </c>
      <c r="H1110" s="6">
        <f>IF(G1110="","",IF(LEN(G1110)&lt;&gt;14,"ERRO: "&amp;LEN(G1110)&amp;" dígitos",IF(NOT(ISNUMBER(VALUE(G1110))),"ERRO: não numérico",IF(AND(VALUE(MID(G1110,13,1))=IF(MOD(SUMPRODUCT(--MID(G1110,{1,2,3,4,5,6,7,8,9,10,11,12},1),{5,4,3,2,9,8,7,6,5,4,3,2}),11)&lt;2,0,11-MOD(SUMPRODUCT(--MID(G1110,{1,2,3,4,5,6,7,8,9,10,11,12},1),{5,4,3,2,9,8,7,6,5,4,3,2}),11)),VALUE(MID(G1110,14,1))=IF(MOD(SUMPRODUCT(--MID(G1110,{1,2,3,4,5,6,7,8,9,10,11,12,13},1),{6,5,4,3,2,9,8,7,6,5,4,3,2}),11)&lt;2,0,11-MOD(SUMPRODUCT(--MID(G1110,{1,2,3,4,5,6,7,8,9,10,11,12,13},1),{6,5,4,3,2,9,8,7,6,5,4,3,2}),11))),"OK","AVISO: dígito verificador (conferir na org)"))))</f>
      </c>
      <c r="I1110" s="6">
        <f>IF(G1110="","",IF(COUNTIF($G$2:$G$2001,G1110)&gt;1,"DUPLICADO","OK"))</f>
      </c>
      <c r="J1110" s="6">
        <f>IF(COUNTA(A1110:F1110)=0,"",IF(AND(A1110&lt;&gt;"",E1110&lt;&gt;""),"OK","ERRO: faltam "&amp;IF(A1110="","CNPJ; ","")&amp;IF(E1110="","Novo gerente; ","")))</f>
      </c>
      <c r="K1110" s="6">
        <f>IF(COUNTA(A1110:F1110)=0,"",IF(AND(LEFT(H1110,4)&lt;&gt;"ERRO",I1110="OK",J1110="OK"),"OK","REVISAR"))</f>
      </c>
    </row>
    <row r="1111">
      <c r="A1111" s="5"/>
      <c r="B1111" s="4"/>
      <c r="C1111" s="4"/>
      <c r="D1111" s="4"/>
      <c r="E1111" s="5"/>
      <c r="F1111" s="4"/>
      <c r="G1111" s="6">
        <f>IF(A1111="","",SUBSTITUTE(SUBSTITUTE(SUBSTITUTE(SUBSTITUTE(SUBSTITUTE(SUBSTITUTE(SUBSTITUTE(TRIM(A1111),".",""),"/",""),"-","")," ",""),"(",""),")",""),"+",""))</f>
      </c>
      <c r="H1111" s="6">
        <f>IF(G1111="","",IF(LEN(G1111)&lt;&gt;14,"ERRO: "&amp;LEN(G1111)&amp;" dígitos",IF(NOT(ISNUMBER(VALUE(G1111))),"ERRO: não numérico",IF(AND(VALUE(MID(G1111,13,1))=IF(MOD(SUMPRODUCT(--MID(G1111,{1,2,3,4,5,6,7,8,9,10,11,12},1),{5,4,3,2,9,8,7,6,5,4,3,2}),11)&lt;2,0,11-MOD(SUMPRODUCT(--MID(G1111,{1,2,3,4,5,6,7,8,9,10,11,12},1),{5,4,3,2,9,8,7,6,5,4,3,2}),11)),VALUE(MID(G1111,14,1))=IF(MOD(SUMPRODUCT(--MID(G1111,{1,2,3,4,5,6,7,8,9,10,11,12,13},1),{6,5,4,3,2,9,8,7,6,5,4,3,2}),11)&lt;2,0,11-MOD(SUMPRODUCT(--MID(G1111,{1,2,3,4,5,6,7,8,9,10,11,12,13},1),{6,5,4,3,2,9,8,7,6,5,4,3,2}),11))),"OK","AVISO: dígito verificador (conferir na org)"))))</f>
      </c>
      <c r="I1111" s="6">
        <f>IF(G1111="","",IF(COUNTIF($G$2:$G$2001,G1111)&gt;1,"DUPLICADO","OK"))</f>
      </c>
      <c r="J1111" s="6">
        <f>IF(COUNTA(A1111:F1111)=0,"",IF(AND(A1111&lt;&gt;"",E1111&lt;&gt;""),"OK","ERRO: faltam "&amp;IF(A1111="","CNPJ; ","")&amp;IF(E1111="","Novo gerente; ","")))</f>
      </c>
      <c r="K1111" s="6">
        <f>IF(COUNTA(A1111:F1111)=0,"",IF(AND(LEFT(H1111,4)&lt;&gt;"ERRO",I1111="OK",J1111="OK"),"OK","REVISAR"))</f>
      </c>
    </row>
    <row r="1112">
      <c r="A1112" s="5"/>
      <c r="B1112" s="4"/>
      <c r="C1112" s="4"/>
      <c r="D1112" s="4"/>
      <c r="E1112" s="5"/>
      <c r="F1112" s="4"/>
      <c r="G1112" s="6">
        <f>IF(A1112="","",SUBSTITUTE(SUBSTITUTE(SUBSTITUTE(SUBSTITUTE(SUBSTITUTE(SUBSTITUTE(SUBSTITUTE(TRIM(A1112),".",""),"/",""),"-","")," ",""),"(",""),")",""),"+",""))</f>
      </c>
      <c r="H1112" s="6">
        <f>IF(G1112="","",IF(LEN(G1112)&lt;&gt;14,"ERRO: "&amp;LEN(G1112)&amp;" dígitos",IF(NOT(ISNUMBER(VALUE(G1112))),"ERRO: não numérico",IF(AND(VALUE(MID(G1112,13,1))=IF(MOD(SUMPRODUCT(--MID(G1112,{1,2,3,4,5,6,7,8,9,10,11,12},1),{5,4,3,2,9,8,7,6,5,4,3,2}),11)&lt;2,0,11-MOD(SUMPRODUCT(--MID(G1112,{1,2,3,4,5,6,7,8,9,10,11,12},1),{5,4,3,2,9,8,7,6,5,4,3,2}),11)),VALUE(MID(G1112,14,1))=IF(MOD(SUMPRODUCT(--MID(G1112,{1,2,3,4,5,6,7,8,9,10,11,12,13},1),{6,5,4,3,2,9,8,7,6,5,4,3,2}),11)&lt;2,0,11-MOD(SUMPRODUCT(--MID(G1112,{1,2,3,4,5,6,7,8,9,10,11,12,13},1),{6,5,4,3,2,9,8,7,6,5,4,3,2}),11))),"OK","AVISO: dígito verificador (conferir na org)"))))</f>
      </c>
      <c r="I1112" s="6">
        <f>IF(G1112="","",IF(COUNTIF($G$2:$G$2001,G1112)&gt;1,"DUPLICADO","OK"))</f>
      </c>
      <c r="J1112" s="6">
        <f>IF(COUNTA(A1112:F1112)=0,"",IF(AND(A1112&lt;&gt;"",E1112&lt;&gt;""),"OK","ERRO: faltam "&amp;IF(A1112="","CNPJ; ","")&amp;IF(E1112="","Novo gerente; ","")))</f>
      </c>
      <c r="K1112" s="6">
        <f>IF(COUNTA(A1112:F1112)=0,"",IF(AND(LEFT(H1112,4)&lt;&gt;"ERRO",I1112="OK",J1112="OK"),"OK","REVISAR"))</f>
      </c>
    </row>
    <row r="1113">
      <c r="A1113" s="5"/>
      <c r="B1113" s="4"/>
      <c r="C1113" s="4"/>
      <c r="D1113" s="4"/>
      <c r="E1113" s="5"/>
      <c r="F1113" s="4"/>
      <c r="G1113" s="6">
        <f>IF(A1113="","",SUBSTITUTE(SUBSTITUTE(SUBSTITUTE(SUBSTITUTE(SUBSTITUTE(SUBSTITUTE(SUBSTITUTE(TRIM(A1113),".",""),"/",""),"-","")," ",""),"(",""),")",""),"+",""))</f>
      </c>
      <c r="H1113" s="6">
        <f>IF(G1113="","",IF(LEN(G1113)&lt;&gt;14,"ERRO: "&amp;LEN(G1113)&amp;" dígitos",IF(NOT(ISNUMBER(VALUE(G1113))),"ERRO: não numérico",IF(AND(VALUE(MID(G1113,13,1))=IF(MOD(SUMPRODUCT(--MID(G1113,{1,2,3,4,5,6,7,8,9,10,11,12},1),{5,4,3,2,9,8,7,6,5,4,3,2}),11)&lt;2,0,11-MOD(SUMPRODUCT(--MID(G1113,{1,2,3,4,5,6,7,8,9,10,11,12},1),{5,4,3,2,9,8,7,6,5,4,3,2}),11)),VALUE(MID(G1113,14,1))=IF(MOD(SUMPRODUCT(--MID(G1113,{1,2,3,4,5,6,7,8,9,10,11,12,13},1),{6,5,4,3,2,9,8,7,6,5,4,3,2}),11)&lt;2,0,11-MOD(SUMPRODUCT(--MID(G1113,{1,2,3,4,5,6,7,8,9,10,11,12,13},1),{6,5,4,3,2,9,8,7,6,5,4,3,2}),11))),"OK","AVISO: dígito verificador (conferir na org)"))))</f>
      </c>
      <c r="I1113" s="6">
        <f>IF(G1113="","",IF(COUNTIF($G$2:$G$2001,G1113)&gt;1,"DUPLICADO","OK"))</f>
      </c>
      <c r="J1113" s="6">
        <f>IF(COUNTA(A1113:F1113)=0,"",IF(AND(A1113&lt;&gt;"",E1113&lt;&gt;""),"OK","ERRO: faltam "&amp;IF(A1113="","CNPJ; ","")&amp;IF(E1113="","Novo gerente; ","")))</f>
      </c>
      <c r="K1113" s="6">
        <f>IF(COUNTA(A1113:F1113)=0,"",IF(AND(LEFT(H1113,4)&lt;&gt;"ERRO",I1113="OK",J1113="OK"),"OK","REVISAR"))</f>
      </c>
    </row>
    <row r="1114">
      <c r="A1114" s="5"/>
      <c r="B1114" s="4"/>
      <c r="C1114" s="4"/>
      <c r="D1114" s="4"/>
      <c r="E1114" s="5"/>
      <c r="F1114" s="4"/>
      <c r="G1114" s="6">
        <f>IF(A1114="","",SUBSTITUTE(SUBSTITUTE(SUBSTITUTE(SUBSTITUTE(SUBSTITUTE(SUBSTITUTE(SUBSTITUTE(TRIM(A1114),".",""),"/",""),"-","")," ",""),"(",""),")",""),"+",""))</f>
      </c>
      <c r="H1114" s="6">
        <f>IF(G1114="","",IF(LEN(G1114)&lt;&gt;14,"ERRO: "&amp;LEN(G1114)&amp;" dígitos",IF(NOT(ISNUMBER(VALUE(G1114))),"ERRO: não numérico",IF(AND(VALUE(MID(G1114,13,1))=IF(MOD(SUMPRODUCT(--MID(G1114,{1,2,3,4,5,6,7,8,9,10,11,12},1),{5,4,3,2,9,8,7,6,5,4,3,2}),11)&lt;2,0,11-MOD(SUMPRODUCT(--MID(G1114,{1,2,3,4,5,6,7,8,9,10,11,12},1),{5,4,3,2,9,8,7,6,5,4,3,2}),11)),VALUE(MID(G1114,14,1))=IF(MOD(SUMPRODUCT(--MID(G1114,{1,2,3,4,5,6,7,8,9,10,11,12,13},1),{6,5,4,3,2,9,8,7,6,5,4,3,2}),11)&lt;2,0,11-MOD(SUMPRODUCT(--MID(G1114,{1,2,3,4,5,6,7,8,9,10,11,12,13},1),{6,5,4,3,2,9,8,7,6,5,4,3,2}),11))),"OK","AVISO: dígito verificador (conferir na org)"))))</f>
      </c>
      <c r="I1114" s="6">
        <f>IF(G1114="","",IF(COUNTIF($G$2:$G$2001,G1114)&gt;1,"DUPLICADO","OK"))</f>
      </c>
      <c r="J1114" s="6">
        <f>IF(COUNTA(A1114:F1114)=0,"",IF(AND(A1114&lt;&gt;"",E1114&lt;&gt;""),"OK","ERRO: faltam "&amp;IF(A1114="","CNPJ; ","")&amp;IF(E1114="","Novo gerente; ","")))</f>
      </c>
      <c r="K1114" s="6">
        <f>IF(COUNTA(A1114:F1114)=0,"",IF(AND(LEFT(H1114,4)&lt;&gt;"ERRO",I1114="OK",J1114="OK"),"OK","REVISAR"))</f>
      </c>
    </row>
    <row r="1115">
      <c r="A1115" s="5"/>
      <c r="B1115" s="4"/>
      <c r="C1115" s="4"/>
      <c r="D1115" s="4"/>
      <c r="E1115" s="5"/>
      <c r="F1115" s="4"/>
      <c r="G1115" s="6">
        <f>IF(A1115="","",SUBSTITUTE(SUBSTITUTE(SUBSTITUTE(SUBSTITUTE(SUBSTITUTE(SUBSTITUTE(SUBSTITUTE(TRIM(A1115),".",""),"/",""),"-","")," ",""),"(",""),")",""),"+",""))</f>
      </c>
      <c r="H1115" s="6">
        <f>IF(G1115="","",IF(LEN(G1115)&lt;&gt;14,"ERRO: "&amp;LEN(G1115)&amp;" dígitos",IF(NOT(ISNUMBER(VALUE(G1115))),"ERRO: não numérico",IF(AND(VALUE(MID(G1115,13,1))=IF(MOD(SUMPRODUCT(--MID(G1115,{1,2,3,4,5,6,7,8,9,10,11,12},1),{5,4,3,2,9,8,7,6,5,4,3,2}),11)&lt;2,0,11-MOD(SUMPRODUCT(--MID(G1115,{1,2,3,4,5,6,7,8,9,10,11,12},1),{5,4,3,2,9,8,7,6,5,4,3,2}),11)),VALUE(MID(G1115,14,1))=IF(MOD(SUMPRODUCT(--MID(G1115,{1,2,3,4,5,6,7,8,9,10,11,12,13},1),{6,5,4,3,2,9,8,7,6,5,4,3,2}),11)&lt;2,0,11-MOD(SUMPRODUCT(--MID(G1115,{1,2,3,4,5,6,7,8,9,10,11,12,13},1),{6,5,4,3,2,9,8,7,6,5,4,3,2}),11))),"OK","AVISO: dígito verificador (conferir na org)"))))</f>
      </c>
      <c r="I1115" s="6">
        <f>IF(G1115="","",IF(COUNTIF($G$2:$G$2001,G1115)&gt;1,"DUPLICADO","OK"))</f>
      </c>
      <c r="J1115" s="6">
        <f>IF(COUNTA(A1115:F1115)=0,"",IF(AND(A1115&lt;&gt;"",E1115&lt;&gt;""),"OK","ERRO: faltam "&amp;IF(A1115="","CNPJ; ","")&amp;IF(E1115="","Novo gerente; ","")))</f>
      </c>
      <c r="K1115" s="6">
        <f>IF(COUNTA(A1115:F1115)=0,"",IF(AND(LEFT(H1115,4)&lt;&gt;"ERRO",I1115="OK",J1115="OK"),"OK","REVISAR"))</f>
      </c>
    </row>
    <row r="1116">
      <c r="A1116" s="5"/>
      <c r="B1116" s="4"/>
      <c r="C1116" s="4"/>
      <c r="D1116" s="4"/>
      <c r="E1116" s="5"/>
      <c r="F1116" s="4"/>
      <c r="G1116" s="6">
        <f>IF(A1116="","",SUBSTITUTE(SUBSTITUTE(SUBSTITUTE(SUBSTITUTE(SUBSTITUTE(SUBSTITUTE(SUBSTITUTE(TRIM(A1116),".",""),"/",""),"-","")," ",""),"(",""),")",""),"+",""))</f>
      </c>
      <c r="H1116" s="6">
        <f>IF(G1116="","",IF(LEN(G1116)&lt;&gt;14,"ERRO: "&amp;LEN(G1116)&amp;" dígitos",IF(NOT(ISNUMBER(VALUE(G1116))),"ERRO: não numérico",IF(AND(VALUE(MID(G1116,13,1))=IF(MOD(SUMPRODUCT(--MID(G1116,{1,2,3,4,5,6,7,8,9,10,11,12},1),{5,4,3,2,9,8,7,6,5,4,3,2}),11)&lt;2,0,11-MOD(SUMPRODUCT(--MID(G1116,{1,2,3,4,5,6,7,8,9,10,11,12},1),{5,4,3,2,9,8,7,6,5,4,3,2}),11)),VALUE(MID(G1116,14,1))=IF(MOD(SUMPRODUCT(--MID(G1116,{1,2,3,4,5,6,7,8,9,10,11,12,13},1),{6,5,4,3,2,9,8,7,6,5,4,3,2}),11)&lt;2,0,11-MOD(SUMPRODUCT(--MID(G1116,{1,2,3,4,5,6,7,8,9,10,11,12,13},1),{6,5,4,3,2,9,8,7,6,5,4,3,2}),11))),"OK","AVISO: dígito verificador (conferir na org)"))))</f>
      </c>
      <c r="I1116" s="6">
        <f>IF(G1116="","",IF(COUNTIF($G$2:$G$2001,G1116)&gt;1,"DUPLICADO","OK"))</f>
      </c>
      <c r="J1116" s="6">
        <f>IF(COUNTA(A1116:F1116)=0,"",IF(AND(A1116&lt;&gt;"",E1116&lt;&gt;""),"OK","ERRO: faltam "&amp;IF(A1116="","CNPJ; ","")&amp;IF(E1116="","Novo gerente; ","")))</f>
      </c>
      <c r="K1116" s="6">
        <f>IF(COUNTA(A1116:F1116)=0,"",IF(AND(LEFT(H1116,4)&lt;&gt;"ERRO",I1116="OK",J1116="OK"),"OK","REVISAR"))</f>
      </c>
    </row>
    <row r="1117">
      <c r="A1117" s="5"/>
      <c r="B1117" s="4"/>
      <c r="C1117" s="4"/>
      <c r="D1117" s="4"/>
      <c r="E1117" s="5"/>
      <c r="F1117" s="4"/>
      <c r="G1117" s="6">
        <f>IF(A1117="","",SUBSTITUTE(SUBSTITUTE(SUBSTITUTE(SUBSTITUTE(SUBSTITUTE(SUBSTITUTE(SUBSTITUTE(TRIM(A1117),".",""),"/",""),"-","")," ",""),"(",""),")",""),"+",""))</f>
      </c>
      <c r="H1117" s="6">
        <f>IF(G1117="","",IF(LEN(G1117)&lt;&gt;14,"ERRO: "&amp;LEN(G1117)&amp;" dígitos",IF(NOT(ISNUMBER(VALUE(G1117))),"ERRO: não numérico",IF(AND(VALUE(MID(G1117,13,1))=IF(MOD(SUMPRODUCT(--MID(G1117,{1,2,3,4,5,6,7,8,9,10,11,12},1),{5,4,3,2,9,8,7,6,5,4,3,2}),11)&lt;2,0,11-MOD(SUMPRODUCT(--MID(G1117,{1,2,3,4,5,6,7,8,9,10,11,12},1),{5,4,3,2,9,8,7,6,5,4,3,2}),11)),VALUE(MID(G1117,14,1))=IF(MOD(SUMPRODUCT(--MID(G1117,{1,2,3,4,5,6,7,8,9,10,11,12,13},1),{6,5,4,3,2,9,8,7,6,5,4,3,2}),11)&lt;2,0,11-MOD(SUMPRODUCT(--MID(G1117,{1,2,3,4,5,6,7,8,9,10,11,12,13},1),{6,5,4,3,2,9,8,7,6,5,4,3,2}),11))),"OK","AVISO: dígito verificador (conferir na org)"))))</f>
      </c>
      <c r="I1117" s="6">
        <f>IF(G1117="","",IF(COUNTIF($G$2:$G$2001,G1117)&gt;1,"DUPLICADO","OK"))</f>
      </c>
      <c r="J1117" s="6">
        <f>IF(COUNTA(A1117:F1117)=0,"",IF(AND(A1117&lt;&gt;"",E1117&lt;&gt;""),"OK","ERRO: faltam "&amp;IF(A1117="","CNPJ; ","")&amp;IF(E1117="","Novo gerente; ","")))</f>
      </c>
      <c r="K1117" s="6">
        <f>IF(COUNTA(A1117:F1117)=0,"",IF(AND(LEFT(H1117,4)&lt;&gt;"ERRO",I1117="OK",J1117="OK"),"OK","REVISAR"))</f>
      </c>
    </row>
    <row r="1118">
      <c r="A1118" s="5"/>
      <c r="B1118" s="4"/>
      <c r="C1118" s="4"/>
      <c r="D1118" s="4"/>
      <c r="E1118" s="5"/>
      <c r="F1118" s="4"/>
      <c r="G1118" s="6">
        <f>IF(A1118="","",SUBSTITUTE(SUBSTITUTE(SUBSTITUTE(SUBSTITUTE(SUBSTITUTE(SUBSTITUTE(SUBSTITUTE(TRIM(A1118),".",""),"/",""),"-","")," ",""),"(",""),")",""),"+",""))</f>
      </c>
      <c r="H1118" s="6">
        <f>IF(G1118="","",IF(LEN(G1118)&lt;&gt;14,"ERRO: "&amp;LEN(G1118)&amp;" dígitos",IF(NOT(ISNUMBER(VALUE(G1118))),"ERRO: não numérico",IF(AND(VALUE(MID(G1118,13,1))=IF(MOD(SUMPRODUCT(--MID(G1118,{1,2,3,4,5,6,7,8,9,10,11,12},1),{5,4,3,2,9,8,7,6,5,4,3,2}),11)&lt;2,0,11-MOD(SUMPRODUCT(--MID(G1118,{1,2,3,4,5,6,7,8,9,10,11,12},1),{5,4,3,2,9,8,7,6,5,4,3,2}),11)),VALUE(MID(G1118,14,1))=IF(MOD(SUMPRODUCT(--MID(G1118,{1,2,3,4,5,6,7,8,9,10,11,12,13},1),{6,5,4,3,2,9,8,7,6,5,4,3,2}),11)&lt;2,0,11-MOD(SUMPRODUCT(--MID(G1118,{1,2,3,4,5,6,7,8,9,10,11,12,13},1),{6,5,4,3,2,9,8,7,6,5,4,3,2}),11))),"OK","AVISO: dígito verificador (conferir na org)"))))</f>
      </c>
      <c r="I1118" s="6">
        <f>IF(G1118="","",IF(COUNTIF($G$2:$G$2001,G1118)&gt;1,"DUPLICADO","OK"))</f>
      </c>
      <c r="J1118" s="6">
        <f>IF(COUNTA(A1118:F1118)=0,"",IF(AND(A1118&lt;&gt;"",E1118&lt;&gt;""),"OK","ERRO: faltam "&amp;IF(A1118="","CNPJ; ","")&amp;IF(E1118="","Novo gerente; ","")))</f>
      </c>
      <c r="K1118" s="6">
        <f>IF(COUNTA(A1118:F1118)=0,"",IF(AND(LEFT(H1118,4)&lt;&gt;"ERRO",I1118="OK",J1118="OK"),"OK","REVISAR"))</f>
      </c>
    </row>
    <row r="1119">
      <c r="A1119" s="5"/>
      <c r="B1119" s="4"/>
      <c r="C1119" s="4"/>
      <c r="D1119" s="4"/>
      <c r="E1119" s="5"/>
      <c r="F1119" s="4"/>
      <c r="G1119" s="6">
        <f>IF(A1119="","",SUBSTITUTE(SUBSTITUTE(SUBSTITUTE(SUBSTITUTE(SUBSTITUTE(SUBSTITUTE(SUBSTITUTE(TRIM(A1119),".",""),"/",""),"-","")," ",""),"(",""),")",""),"+",""))</f>
      </c>
      <c r="H1119" s="6">
        <f>IF(G1119="","",IF(LEN(G1119)&lt;&gt;14,"ERRO: "&amp;LEN(G1119)&amp;" dígitos",IF(NOT(ISNUMBER(VALUE(G1119))),"ERRO: não numérico",IF(AND(VALUE(MID(G1119,13,1))=IF(MOD(SUMPRODUCT(--MID(G1119,{1,2,3,4,5,6,7,8,9,10,11,12},1),{5,4,3,2,9,8,7,6,5,4,3,2}),11)&lt;2,0,11-MOD(SUMPRODUCT(--MID(G1119,{1,2,3,4,5,6,7,8,9,10,11,12},1),{5,4,3,2,9,8,7,6,5,4,3,2}),11)),VALUE(MID(G1119,14,1))=IF(MOD(SUMPRODUCT(--MID(G1119,{1,2,3,4,5,6,7,8,9,10,11,12,13},1),{6,5,4,3,2,9,8,7,6,5,4,3,2}),11)&lt;2,0,11-MOD(SUMPRODUCT(--MID(G1119,{1,2,3,4,5,6,7,8,9,10,11,12,13},1),{6,5,4,3,2,9,8,7,6,5,4,3,2}),11))),"OK","AVISO: dígito verificador (conferir na org)"))))</f>
      </c>
      <c r="I1119" s="6">
        <f>IF(G1119="","",IF(COUNTIF($G$2:$G$2001,G1119)&gt;1,"DUPLICADO","OK"))</f>
      </c>
      <c r="J1119" s="6">
        <f>IF(COUNTA(A1119:F1119)=0,"",IF(AND(A1119&lt;&gt;"",E1119&lt;&gt;""),"OK","ERRO: faltam "&amp;IF(A1119="","CNPJ; ","")&amp;IF(E1119="","Novo gerente; ","")))</f>
      </c>
      <c r="K1119" s="6">
        <f>IF(COUNTA(A1119:F1119)=0,"",IF(AND(LEFT(H1119,4)&lt;&gt;"ERRO",I1119="OK",J1119="OK"),"OK","REVISAR"))</f>
      </c>
    </row>
    <row r="1120">
      <c r="A1120" s="5"/>
      <c r="B1120" s="4"/>
      <c r="C1120" s="4"/>
      <c r="D1120" s="4"/>
      <c r="E1120" s="5"/>
      <c r="F1120" s="4"/>
      <c r="G1120" s="6">
        <f>IF(A1120="","",SUBSTITUTE(SUBSTITUTE(SUBSTITUTE(SUBSTITUTE(SUBSTITUTE(SUBSTITUTE(SUBSTITUTE(TRIM(A1120),".",""),"/",""),"-","")," ",""),"(",""),")",""),"+",""))</f>
      </c>
      <c r="H1120" s="6">
        <f>IF(G1120="","",IF(LEN(G1120)&lt;&gt;14,"ERRO: "&amp;LEN(G1120)&amp;" dígitos",IF(NOT(ISNUMBER(VALUE(G1120))),"ERRO: não numérico",IF(AND(VALUE(MID(G1120,13,1))=IF(MOD(SUMPRODUCT(--MID(G1120,{1,2,3,4,5,6,7,8,9,10,11,12},1),{5,4,3,2,9,8,7,6,5,4,3,2}),11)&lt;2,0,11-MOD(SUMPRODUCT(--MID(G1120,{1,2,3,4,5,6,7,8,9,10,11,12},1),{5,4,3,2,9,8,7,6,5,4,3,2}),11)),VALUE(MID(G1120,14,1))=IF(MOD(SUMPRODUCT(--MID(G1120,{1,2,3,4,5,6,7,8,9,10,11,12,13},1),{6,5,4,3,2,9,8,7,6,5,4,3,2}),11)&lt;2,0,11-MOD(SUMPRODUCT(--MID(G1120,{1,2,3,4,5,6,7,8,9,10,11,12,13},1),{6,5,4,3,2,9,8,7,6,5,4,3,2}),11))),"OK","AVISO: dígito verificador (conferir na org)"))))</f>
      </c>
      <c r="I1120" s="6">
        <f>IF(G1120="","",IF(COUNTIF($G$2:$G$2001,G1120)&gt;1,"DUPLICADO","OK"))</f>
      </c>
      <c r="J1120" s="6">
        <f>IF(COUNTA(A1120:F1120)=0,"",IF(AND(A1120&lt;&gt;"",E1120&lt;&gt;""),"OK","ERRO: faltam "&amp;IF(A1120="","CNPJ; ","")&amp;IF(E1120="","Novo gerente; ","")))</f>
      </c>
      <c r="K1120" s="6">
        <f>IF(COUNTA(A1120:F1120)=0,"",IF(AND(LEFT(H1120,4)&lt;&gt;"ERRO",I1120="OK",J1120="OK"),"OK","REVISAR"))</f>
      </c>
    </row>
    <row r="1121">
      <c r="A1121" s="5"/>
      <c r="B1121" s="4"/>
      <c r="C1121" s="4"/>
      <c r="D1121" s="4"/>
      <c r="E1121" s="5"/>
      <c r="F1121" s="4"/>
      <c r="G1121" s="6">
        <f>IF(A1121="","",SUBSTITUTE(SUBSTITUTE(SUBSTITUTE(SUBSTITUTE(SUBSTITUTE(SUBSTITUTE(SUBSTITUTE(TRIM(A1121),".",""),"/",""),"-","")," ",""),"(",""),")",""),"+",""))</f>
      </c>
      <c r="H1121" s="6">
        <f>IF(G1121="","",IF(LEN(G1121)&lt;&gt;14,"ERRO: "&amp;LEN(G1121)&amp;" dígitos",IF(NOT(ISNUMBER(VALUE(G1121))),"ERRO: não numérico",IF(AND(VALUE(MID(G1121,13,1))=IF(MOD(SUMPRODUCT(--MID(G1121,{1,2,3,4,5,6,7,8,9,10,11,12},1),{5,4,3,2,9,8,7,6,5,4,3,2}),11)&lt;2,0,11-MOD(SUMPRODUCT(--MID(G1121,{1,2,3,4,5,6,7,8,9,10,11,12},1),{5,4,3,2,9,8,7,6,5,4,3,2}),11)),VALUE(MID(G1121,14,1))=IF(MOD(SUMPRODUCT(--MID(G1121,{1,2,3,4,5,6,7,8,9,10,11,12,13},1),{6,5,4,3,2,9,8,7,6,5,4,3,2}),11)&lt;2,0,11-MOD(SUMPRODUCT(--MID(G1121,{1,2,3,4,5,6,7,8,9,10,11,12,13},1),{6,5,4,3,2,9,8,7,6,5,4,3,2}),11))),"OK","AVISO: dígito verificador (conferir na org)"))))</f>
      </c>
      <c r="I1121" s="6">
        <f>IF(G1121="","",IF(COUNTIF($G$2:$G$2001,G1121)&gt;1,"DUPLICADO","OK"))</f>
      </c>
      <c r="J1121" s="6">
        <f>IF(COUNTA(A1121:F1121)=0,"",IF(AND(A1121&lt;&gt;"",E1121&lt;&gt;""),"OK","ERRO: faltam "&amp;IF(A1121="","CNPJ; ","")&amp;IF(E1121="","Novo gerente; ","")))</f>
      </c>
      <c r="K1121" s="6">
        <f>IF(COUNTA(A1121:F1121)=0,"",IF(AND(LEFT(H1121,4)&lt;&gt;"ERRO",I1121="OK",J1121="OK"),"OK","REVISAR"))</f>
      </c>
    </row>
    <row r="1122">
      <c r="A1122" s="5"/>
      <c r="B1122" s="4"/>
      <c r="C1122" s="4"/>
      <c r="D1122" s="4"/>
      <c r="E1122" s="5"/>
      <c r="F1122" s="4"/>
      <c r="G1122" s="6">
        <f>IF(A1122="","",SUBSTITUTE(SUBSTITUTE(SUBSTITUTE(SUBSTITUTE(SUBSTITUTE(SUBSTITUTE(SUBSTITUTE(TRIM(A1122),".",""),"/",""),"-","")," ",""),"(",""),")",""),"+",""))</f>
      </c>
      <c r="H1122" s="6">
        <f>IF(G1122="","",IF(LEN(G1122)&lt;&gt;14,"ERRO: "&amp;LEN(G1122)&amp;" dígitos",IF(NOT(ISNUMBER(VALUE(G1122))),"ERRO: não numérico",IF(AND(VALUE(MID(G1122,13,1))=IF(MOD(SUMPRODUCT(--MID(G1122,{1,2,3,4,5,6,7,8,9,10,11,12},1),{5,4,3,2,9,8,7,6,5,4,3,2}),11)&lt;2,0,11-MOD(SUMPRODUCT(--MID(G1122,{1,2,3,4,5,6,7,8,9,10,11,12},1),{5,4,3,2,9,8,7,6,5,4,3,2}),11)),VALUE(MID(G1122,14,1))=IF(MOD(SUMPRODUCT(--MID(G1122,{1,2,3,4,5,6,7,8,9,10,11,12,13},1),{6,5,4,3,2,9,8,7,6,5,4,3,2}),11)&lt;2,0,11-MOD(SUMPRODUCT(--MID(G1122,{1,2,3,4,5,6,7,8,9,10,11,12,13},1),{6,5,4,3,2,9,8,7,6,5,4,3,2}),11))),"OK","AVISO: dígito verificador (conferir na org)"))))</f>
      </c>
      <c r="I1122" s="6">
        <f>IF(G1122="","",IF(COUNTIF($G$2:$G$2001,G1122)&gt;1,"DUPLICADO","OK"))</f>
      </c>
      <c r="J1122" s="6">
        <f>IF(COUNTA(A1122:F1122)=0,"",IF(AND(A1122&lt;&gt;"",E1122&lt;&gt;""),"OK","ERRO: faltam "&amp;IF(A1122="","CNPJ; ","")&amp;IF(E1122="","Novo gerente; ","")))</f>
      </c>
      <c r="K1122" s="6">
        <f>IF(COUNTA(A1122:F1122)=0,"",IF(AND(LEFT(H1122,4)&lt;&gt;"ERRO",I1122="OK",J1122="OK"),"OK","REVISAR"))</f>
      </c>
    </row>
    <row r="1123">
      <c r="A1123" s="5"/>
      <c r="B1123" s="4"/>
      <c r="C1123" s="4"/>
      <c r="D1123" s="4"/>
      <c r="E1123" s="5"/>
      <c r="F1123" s="4"/>
      <c r="G1123" s="6">
        <f>IF(A1123="","",SUBSTITUTE(SUBSTITUTE(SUBSTITUTE(SUBSTITUTE(SUBSTITUTE(SUBSTITUTE(SUBSTITUTE(TRIM(A1123),".",""),"/",""),"-","")," ",""),"(",""),")",""),"+",""))</f>
      </c>
      <c r="H1123" s="6">
        <f>IF(G1123="","",IF(LEN(G1123)&lt;&gt;14,"ERRO: "&amp;LEN(G1123)&amp;" dígitos",IF(NOT(ISNUMBER(VALUE(G1123))),"ERRO: não numérico",IF(AND(VALUE(MID(G1123,13,1))=IF(MOD(SUMPRODUCT(--MID(G1123,{1,2,3,4,5,6,7,8,9,10,11,12},1),{5,4,3,2,9,8,7,6,5,4,3,2}),11)&lt;2,0,11-MOD(SUMPRODUCT(--MID(G1123,{1,2,3,4,5,6,7,8,9,10,11,12},1),{5,4,3,2,9,8,7,6,5,4,3,2}),11)),VALUE(MID(G1123,14,1))=IF(MOD(SUMPRODUCT(--MID(G1123,{1,2,3,4,5,6,7,8,9,10,11,12,13},1),{6,5,4,3,2,9,8,7,6,5,4,3,2}),11)&lt;2,0,11-MOD(SUMPRODUCT(--MID(G1123,{1,2,3,4,5,6,7,8,9,10,11,12,13},1),{6,5,4,3,2,9,8,7,6,5,4,3,2}),11))),"OK","AVISO: dígito verificador (conferir na org)"))))</f>
      </c>
      <c r="I1123" s="6">
        <f>IF(G1123="","",IF(COUNTIF($G$2:$G$2001,G1123)&gt;1,"DUPLICADO","OK"))</f>
      </c>
      <c r="J1123" s="6">
        <f>IF(COUNTA(A1123:F1123)=0,"",IF(AND(A1123&lt;&gt;"",E1123&lt;&gt;""),"OK","ERRO: faltam "&amp;IF(A1123="","CNPJ; ","")&amp;IF(E1123="","Novo gerente; ","")))</f>
      </c>
      <c r="K1123" s="6">
        <f>IF(COUNTA(A1123:F1123)=0,"",IF(AND(LEFT(H1123,4)&lt;&gt;"ERRO",I1123="OK",J1123="OK"),"OK","REVISAR"))</f>
      </c>
    </row>
    <row r="1124">
      <c r="A1124" s="5"/>
      <c r="B1124" s="4"/>
      <c r="C1124" s="4"/>
      <c r="D1124" s="4"/>
      <c r="E1124" s="5"/>
      <c r="F1124" s="4"/>
      <c r="G1124" s="6">
        <f>IF(A1124="","",SUBSTITUTE(SUBSTITUTE(SUBSTITUTE(SUBSTITUTE(SUBSTITUTE(SUBSTITUTE(SUBSTITUTE(TRIM(A1124),".",""),"/",""),"-","")," ",""),"(",""),")",""),"+",""))</f>
      </c>
      <c r="H1124" s="6">
        <f>IF(G1124="","",IF(LEN(G1124)&lt;&gt;14,"ERRO: "&amp;LEN(G1124)&amp;" dígitos",IF(NOT(ISNUMBER(VALUE(G1124))),"ERRO: não numérico",IF(AND(VALUE(MID(G1124,13,1))=IF(MOD(SUMPRODUCT(--MID(G1124,{1,2,3,4,5,6,7,8,9,10,11,12},1),{5,4,3,2,9,8,7,6,5,4,3,2}),11)&lt;2,0,11-MOD(SUMPRODUCT(--MID(G1124,{1,2,3,4,5,6,7,8,9,10,11,12},1),{5,4,3,2,9,8,7,6,5,4,3,2}),11)),VALUE(MID(G1124,14,1))=IF(MOD(SUMPRODUCT(--MID(G1124,{1,2,3,4,5,6,7,8,9,10,11,12,13},1),{6,5,4,3,2,9,8,7,6,5,4,3,2}),11)&lt;2,0,11-MOD(SUMPRODUCT(--MID(G1124,{1,2,3,4,5,6,7,8,9,10,11,12,13},1),{6,5,4,3,2,9,8,7,6,5,4,3,2}),11))),"OK","AVISO: dígito verificador (conferir na org)"))))</f>
      </c>
      <c r="I1124" s="6">
        <f>IF(G1124="","",IF(COUNTIF($G$2:$G$2001,G1124)&gt;1,"DUPLICADO","OK"))</f>
      </c>
      <c r="J1124" s="6">
        <f>IF(COUNTA(A1124:F1124)=0,"",IF(AND(A1124&lt;&gt;"",E1124&lt;&gt;""),"OK","ERRO: faltam "&amp;IF(A1124="","CNPJ; ","")&amp;IF(E1124="","Novo gerente; ","")))</f>
      </c>
      <c r="K1124" s="6">
        <f>IF(COUNTA(A1124:F1124)=0,"",IF(AND(LEFT(H1124,4)&lt;&gt;"ERRO",I1124="OK",J1124="OK"),"OK","REVISAR"))</f>
      </c>
    </row>
    <row r="1125">
      <c r="A1125" s="5"/>
      <c r="B1125" s="4"/>
      <c r="C1125" s="4"/>
      <c r="D1125" s="4"/>
      <c r="E1125" s="5"/>
      <c r="F1125" s="4"/>
      <c r="G1125" s="6">
        <f>IF(A1125="","",SUBSTITUTE(SUBSTITUTE(SUBSTITUTE(SUBSTITUTE(SUBSTITUTE(SUBSTITUTE(SUBSTITUTE(TRIM(A1125),".",""),"/",""),"-","")," ",""),"(",""),")",""),"+",""))</f>
      </c>
      <c r="H1125" s="6">
        <f>IF(G1125="","",IF(LEN(G1125)&lt;&gt;14,"ERRO: "&amp;LEN(G1125)&amp;" dígitos",IF(NOT(ISNUMBER(VALUE(G1125))),"ERRO: não numérico",IF(AND(VALUE(MID(G1125,13,1))=IF(MOD(SUMPRODUCT(--MID(G1125,{1,2,3,4,5,6,7,8,9,10,11,12},1),{5,4,3,2,9,8,7,6,5,4,3,2}),11)&lt;2,0,11-MOD(SUMPRODUCT(--MID(G1125,{1,2,3,4,5,6,7,8,9,10,11,12},1),{5,4,3,2,9,8,7,6,5,4,3,2}),11)),VALUE(MID(G1125,14,1))=IF(MOD(SUMPRODUCT(--MID(G1125,{1,2,3,4,5,6,7,8,9,10,11,12,13},1),{6,5,4,3,2,9,8,7,6,5,4,3,2}),11)&lt;2,0,11-MOD(SUMPRODUCT(--MID(G1125,{1,2,3,4,5,6,7,8,9,10,11,12,13},1),{6,5,4,3,2,9,8,7,6,5,4,3,2}),11))),"OK","AVISO: dígito verificador (conferir na org)"))))</f>
      </c>
      <c r="I1125" s="6">
        <f>IF(G1125="","",IF(COUNTIF($G$2:$G$2001,G1125)&gt;1,"DUPLICADO","OK"))</f>
      </c>
      <c r="J1125" s="6">
        <f>IF(COUNTA(A1125:F1125)=0,"",IF(AND(A1125&lt;&gt;"",E1125&lt;&gt;""),"OK","ERRO: faltam "&amp;IF(A1125="","CNPJ; ","")&amp;IF(E1125="","Novo gerente; ","")))</f>
      </c>
      <c r="K1125" s="6">
        <f>IF(COUNTA(A1125:F1125)=0,"",IF(AND(LEFT(H1125,4)&lt;&gt;"ERRO",I1125="OK",J1125="OK"),"OK","REVISAR"))</f>
      </c>
    </row>
    <row r="1126">
      <c r="A1126" s="5"/>
      <c r="B1126" s="4"/>
      <c r="C1126" s="4"/>
      <c r="D1126" s="4"/>
      <c r="E1126" s="5"/>
      <c r="F1126" s="4"/>
      <c r="G1126" s="6">
        <f>IF(A1126="","",SUBSTITUTE(SUBSTITUTE(SUBSTITUTE(SUBSTITUTE(SUBSTITUTE(SUBSTITUTE(SUBSTITUTE(TRIM(A1126),".",""),"/",""),"-","")," ",""),"(",""),")",""),"+",""))</f>
      </c>
      <c r="H1126" s="6">
        <f>IF(G1126="","",IF(LEN(G1126)&lt;&gt;14,"ERRO: "&amp;LEN(G1126)&amp;" dígitos",IF(NOT(ISNUMBER(VALUE(G1126))),"ERRO: não numérico",IF(AND(VALUE(MID(G1126,13,1))=IF(MOD(SUMPRODUCT(--MID(G1126,{1,2,3,4,5,6,7,8,9,10,11,12},1),{5,4,3,2,9,8,7,6,5,4,3,2}),11)&lt;2,0,11-MOD(SUMPRODUCT(--MID(G1126,{1,2,3,4,5,6,7,8,9,10,11,12},1),{5,4,3,2,9,8,7,6,5,4,3,2}),11)),VALUE(MID(G1126,14,1))=IF(MOD(SUMPRODUCT(--MID(G1126,{1,2,3,4,5,6,7,8,9,10,11,12,13},1),{6,5,4,3,2,9,8,7,6,5,4,3,2}),11)&lt;2,0,11-MOD(SUMPRODUCT(--MID(G1126,{1,2,3,4,5,6,7,8,9,10,11,12,13},1),{6,5,4,3,2,9,8,7,6,5,4,3,2}),11))),"OK","AVISO: dígito verificador (conferir na org)"))))</f>
      </c>
      <c r="I1126" s="6">
        <f>IF(G1126="","",IF(COUNTIF($G$2:$G$2001,G1126)&gt;1,"DUPLICADO","OK"))</f>
      </c>
      <c r="J1126" s="6">
        <f>IF(COUNTA(A1126:F1126)=0,"",IF(AND(A1126&lt;&gt;"",E1126&lt;&gt;""),"OK","ERRO: faltam "&amp;IF(A1126="","CNPJ; ","")&amp;IF(E1126="","Novo gerente; ","")))</f>
      </c>
      <c r="K1126" s="6">
        <f>IF(COUNTA(A1126:F1126)=0,"",IF(AND(LEFT(H1126,4)&lt;&gt;"ERRO",I1126="OK",J1126="OK"),"OK","REVISAR"))</f>
      </c>
    </row>
    <row r="1127">
      <c r="A1127" s="5"/>
      <c r="B1127" s="4"/>
      <c r="C1127" s="4"/>
      <c r="D1127" s="4"/>
      <c r="E1127" s="5"/>
      <c r="F1127" s="4"/>
      <c r="G1127" s="6">
        <f>IF(A1127="","",SUBSTITUTE(SUBSTITUTE(SUBSTITUTE(SUBSTITUTE(SUBSTITUTE(SUBSTITUTE(SUBSTITUTE(TRIM(A1127),".",""),"/",""),"-","")," ",""),"(",""),")",""),"+",""))</f>
      </c>
      <c r="H1127" s="6">
        <f>IF(G1127="","",IF(LEN(G1127)&lt;&gt;14,"ERRO: "&amp;LEN(G1127)&amp;" dígitos",IF(NOT(ISNUMBER(VALUE(G1127))),"ERRO: não numérico",IF(AND(VALUE(MID(G1127,13,1))=IF(MOD(SUMPRODUCT(--MID(G1127,{1,2,3,4,5,6,7,8,9,10,11,12},1),{5,4,3,2,9,8,7,6,5,4,3,2}),11)&lt;2,0,11-MOD(SUMPRODUCT(--MID(G1127,{1,2,3,4,5,6,7,8,9,10,11,12},1),{5,4,3,2,9,8,7,6,5,4,3,2}),11)),VALUE(MID(G1127,14,1))=IF(MOD(SUMPRODUCT(--MID(G1127,{1,2,3,4,5,6,7,8,9,10,11,12,13},1),{6,5,4,3,2,9,8,7,6,5,4,3,2}),11)&lt;2,0,11-MOD(SUMPRODUCT(--MID(G1127,{1,2,3,4,5,6,7,8,9,10,11,12,13},1),{6,5,4,3,2,9,8,7,6,5,4,3,2}),11))),"OK","AVISO: dígito verificador (conferir na org)"))))</f>
      </c>
      <c r="I1127" s="6">
        <f>IF(G1127="","",IF(COUNTIF($G$2:$G$2001,G1127)&gt;1,"DUPLICADO","OK"))</f>
      </c>
      <c r="J1127" s="6">
        <f>IF(COUNTA(A1127:F1127)=0,"",IF(AND(A1127&lt;&gt;"",E1127&lt;&gt;""),"OK","ERRO: faltam "&amp;IF(A1127="","CNPJ; ","")&amp;IF(E1127="","Novo gerente; ","")))</f>
      </c>
      <c r="K1127" s="6">
        <f>IF(COUNTA(A1127:F1127)=0,"",IF(AND(LEFT(H1127,4)&lt;&gt;"ERRO",I1127="OK",J1127="OK"),"OK","REVISAR"))</f>
      </c>
    </row>
    <row r="1128">
      <c r="A1128" s="5"/>
      <c r="B1128" s="4"/>
      <c r="C1128" s="4"/>
      <c r="D1128" s="4"/>
      <c r="E1128" s="5"/>
      <c r="F1128" s="4"/>
      <c r="G1128" s="6">
        <f>IF(A1128="","",SUBSTITUTE(SUBSTITUTE(SUBSTITUTE(SUBSTITUTE(SUBSTITUTE(SUBSTITUTE(SUBSTITUTE(TRIM(A1128),".",""),"/",""),"-","")," ",""),"(",""),")",""),"+",""))</f>
      </c>
      <c r="H1128" s="6">
        <f>IF(G1128="","",IF(LEN(G1128)&lt;&gt;14,"ERRO: "&amp;LEN(G1128)&amp;" dígitos",IF(NOT(ISNUMBER(VALUE(G1128))),"ERRO: não numérico",IF(AND(VALUE(MID(G1128,13,1))=IF(MOD(SUMPRODUCT(--MID(G1128,{1,2,3,4,5,6,7,8,9,10,11,12},1),{5,4,3,2,9,8,7,6,5,4,3,2}),11)&lt;2,0,11-MOD(SUMPRODUCT(--MID(G1128,{1,2,3,4,5,6,7,8,9,10,11,12},1),{5,4,3,2,9,8,7,6,5,4,3,2}),11)),VALUE(MID(G1128,14,1))=IF(MOD(SUMPRODUCT(--MID(G1128,{1,2,3,4,5,6,7,8,9,10,11,12,13},1),{6,5,4,3,2,9,8,7,6,5,4,3,2}),11)&lt;2,0,11-MOD(SUMPRODUCT(--MID(G1128,{1,2,3,4,5,6,7,8,9,10,11,12,13},1),{6,5,4,3,2,9,8,7,6,5,4,3,2}),11))),"OK","AVISO: dígito verificador (conferir na org)"))))</f>
      </c>
      <c r="I1128" s="6">
        <f>IF(G1128="","",IF(COUNTIF($G$2:$G$2001,G1128)&gt;1,"DUPLICADO","OK"))</f>
      </c>
      <c r="J1128" s="6">
        <f>IF(COUNTA(A1128:F1128)=0,"",IF(AND(A1128&lt;&gt;"",E1128&lt;&gt;""),"OK","ERRO: faltam "&amp;IF(A1128="","CNPJ; ","")&amp;IF(E1128="","Novo gerente; ","")))</f>
      </c>
      <c r="K1128" s="6">
        <f>IF(COUNTA(A1128:F1128)=0,"",IF(AND(LEFT(H1128,4)&lt;&gt;"ERRO",I1128="OK",J1128="OK"),"OK","REVISAR"))</f>
      </c>
    </row>
    <row r="1129">
      <c r="A1129" s="5"/>
      <c r="B1129" s="4"/>
      <c r="C1129" s="4"/>
      <c r="D1129" s="4"/>
      <c r="E1129" s="5"/>
      <c r="F1129" s="4"/>
      <c r="G1129" s="6">
        <f>IF(A1129="","",SUBSTITUTE(SUBSTITUTE(SUBSTITUTE(SUBSTITUTE(SUBSTITUTE(SUBSTITUTE(SUBSTITUTE(TRIM(A1129),".",""),"/",""),"-","")," ",""),"(",""),")",""),"+",""))</f>
      </c>
      <c r="H1129" s="6">
        <f>IF(G1129="","",IF(LEN(G1129)&lt;&gt;14,"ERRO: "&amp;LEN(G1129)&amp;" dígitos",IF(NOT(ISNUMBER(VALUE(G1129))),"ERRO: não numérico",IF(AND(VALUE(MID(G1129,13,1))=IF(MOD(SUMPRODUCT(--MID(G1129,{1,2,3,4,5,6,7,8,9,10,11,12},1),{5,4,3,2,9,8,7,6,5,4,3,2}),11)&lt;2,0,11-MOD(SUMPRODUCT(--MID(G1129,{1,2,3,4,5,6,7,8,9,10,11,12},1),{5,4,3,2,9,8,7,6,5,4,3,2}),11)),VALUE(MID(G1129,14,1))=IF(MOD(SUMPRODUCT(--MID(G1129,{1,2,3,4,5,6,7,8,9,10,11,12,13},1),{6,5,4,3,2,9,8,7,6,5,4,3,2}),11)&lt;2,0,11-MOD(SUMPRODUCT(--MID(G1129,{1,2,3,4,5,6,7,8,9,10,11,12,13},1),{6,5,4,3,2,9,8,7,6,5,4,3,2}),11))),"OK","AVISO: dígito verificador (conferir na org)"))))</f>
      </c>
      <c r="I1129" s="6">
        <f>IF(G1129="","",IF(COUNTIF($G$2:$G$2001,G1129)&gt;1,"DUPLICADO","OK"))</f>
      </c>
      <c r="J1129" s="6">
        <f>IF(COUNTA(A1129:F1129)=0,"",IF(AND(A1129&lt;&gt;"",E1129&lt;&gt;""),"OK","ERRO: faltam "&amp;IF(A1129="","CNPJ; ","")&amp;IF(E1129="","Novo gerente; ","")))</f>
      </c>
      <c r="K1129" s="6">
        <f>IF(COUNTA(A1129:F1129)=0,"",IF(AND(LEFT(H1129,4)&lt;&gt;"ERRO",I1129="OK",J1129="OK"),"OK","REVISAR"))</f>
      </c>
    </row>
    <row r="1130">
      <c r="A1130" s="5"/>
      <c r="B1130" s="4"/>
      <c r="C1130" s="4"/>
      <c r="D1130" s="4"/>
      <c r="E1130" s="5"/>
      <c r="F1130" s="4"/>
      <c r="G1130" s="6">
        <f>IF(A1130="","",SUBSTITUTE(SUBSTITUTE(SUBSTITUTE(SUBSTITUTE(SUBSTITUTE(SUBSTITUTE(SUBSTITUTE(TRIM(A1130),".",""),"/",""),"-","")," ",""),"(",""),")",""),"+",""))</f>
      </c>
      <c r="H1130" s="6">
        <f>IF(G1130="","",IF(LEN(G1130)&lt;&gt;14,"ERRO: "&amp;LEN(G1130)&amp;" dígitos",IF(NOT(ISNUMBER(VALUE(G1130))),"ERRO: não numérico",IF(AND(VALUE(MID(G1130,13,1))=IF(MOD(SUMPRODUCT(--MID(G1130,{1,2,3,4,5,6,7,8,9,10,11,12},1),{5,4,3,2,9,8,7,6,5,4,3,2}),11)&lt;2,0,11-MOD(SUMPRODUCT(--MID(G1130,{1,2,3,4,5,6,7,8,9,10,11,12},1),{5,4,3,2,9,8,7,6,5,4,3,2}),11)),VALUE(MID(G1130,14,1))=IF(MOD(SUMPRODUCT(--MID(G1130,{1,2,3,4,5,6,7,8,9,10,11,12,13},1),{6,5,4,3,2,9,8,7,6,5,4,3,2}),11)&lt;2,0,11-MOD(SUMPRODUCT(--MID(G1130,{1,2,3,4,5,6,7,8,9,10,11,12,13},1),{6,5,4,3,2,9,8,7,6,5,4,3,2}),11))),"OK","AVISO: dígito verificador (conferir na org)"))))</f>
      </c>
      <c r="I1130" s="6">
        <f>IF(G1130="","",IF(COUNTIF($G$2:$G$2001,G1130)&gt;1,"DUPLICADO","OK"))</f>
      </c>
      <c r="J1130" s="6">
        <f>IF(COUNTA(A1130:F1130)=0,"",IF(AND(A1130&lt;&gt;"",E1130&lt;&gt;""),"OK","ERRO: faltam "&amp;IF(A1130="","CNPJ; ","")&amp;IF(E1130="","Novo gerente; ","")))</f>
      </c>
      <c r="K1130" s="6">
        <f>IF(COUNTA(A1130:F1130)=0,"",IF(AND(LEFT(H1130,4)&lt;&gt;"ERRO",I1130="OK",J1130="OK"),"OK","REVISAR"))</f>
      </c>
    </row>
    <row r="1131">
      <c r="A1131" s="5"/>
      <c r="B1131" s="4"/>
      <c r="C1131" s="4"/>
      <c r="D1131" s="4"/>
      <c r="E1131" s="5"/>
      <c r="F1131" s="4"/>
      <c r="G1131" s="6">
        <f>IF(A1131="","",SUBSTITUTE(SUBSTITUTE(SUBSTITUTE(SUBSTITUTE(SUBSTITUTE(SUBSTITUTE(SUBSTITUTE(TRIM(A1131),".",""),"/",""),"-","")," ",""),"(",""),")",""),"+",""))</f>
      </c>
      <c r="H1131" s="6">
        <f>IF(G1131="","",IF(LEN(G1131)&lt;&gt;14,"ERRO: "&amp;LEN(G1131)&amp;" dígitos",IF(NOT(ISNUMBER(VALUE(G1131))),"ERRO: não numérico",IF(AND(VALUE(MID(G1131,13,1))=IF(MOD(SUMPRODUCT(--MID(G1131,{1,2,3,4,5,6,7,8,9,10,11,12},1),{5,4,3,2,9,8,7,6,5,4,3,2}),11)&lt;2,0,11-MOD(SUMPRODUCT(--MID(G1131,{1,2,3,4,5,6,7,8,9,10,11,12},1),{5,4,3,2,9,8,7,6,5,4,3,2}),11)),VALUE(MID(G1131,14,1))=IF(MOD(SUMPRODUCT(--MID(G1131,{1,2,3,4,5,6,7,8,9,10,11,12,13},1),{6,5,4,3,2,9,8,7,6,5,4,3,2}),11)&lt;2,0,11-MOD(SUMPRODUCT(--MID(G1131,{1,2,3,4,5,6,7,8,9,10,11,12,13},1),{6,5,4,3,2,9,8,7,6,5,4,3,2}),11))),"OK","AVISO: dígito verificador (conferir na org)"))))</f>
      </c>
      <c r="I1131" s="6">
        <f>IF(G1131="","",IF(COUNTIF($G$2:$G$2001,G1131)&gt;1,"DUPLICADO","OK"))</f>
      </c>
      <c r="J1131" s="6">
        <f>IF(COUNTA(A1131:F1131)=0,"",IF(AND(A1131&lt;&gt;"",E1131&lt;&gt;""),"OK","ERRO: faltam "&amp;IF(A1131="","CNPJ; ","")&amp;IF(E1131="","Novo gerente; ","")))</f>
      </c>
      <c r="K1131" s="6">
        <f>IF(COUNTA(A1131:F1131)=0,"",IF(AND(LEFT(H1131,4)&lt;&gt;"ERRO",I1131="OK",J1131="OK"),"OK","REVISAR"))</f>
      </c>
    </row>
    <row r="1132">
      <c r="A1132" s="5"/>
      <c r="B1132" s="4"/>
      <c r="C1132" s="4"/>
      <c r="D1132" s="4"/>
      <c r="E1132" s="5"/>
      <c r="F1132" s="4"/>
      <c r="G1132" s="6">
        <f>IF(A1132="","",SUBSTITUTE(SUBSTITUTE(SUBSTITUTE(SUBSTITUTE(SUBSTITUTE(SUBSTITUTE(SUBSTITUTE(TRIM(A1132),".",""),"/",""),"-","")," ",""),"(",""),")",""),"+",""))</f>
      </c>
      <c r="H1132" s="6">
        <f>IF(G1132="","",IF(LEN(G1132)&lt;&gt;14,"ERRO: "&amp;LEN(G1132)&amp;" dígitos",IF(NOT(ISNUMBER(VALUE(G1132))),"ERRO: não numérico",IF(AND(VALUE(MID(G1132,13,1))=IF(MOD(SUMPRODUCT(--MID(G1132,{1,2,3,4,5,6,7,8,9,10,11,12},1),{5,4,3,2,9,8,7,6,5,4,3,2}),11)&lt;2,0,11-MOD(SUMPRODUCT(--MID(G1132,{1,2,3,4,5,6,7,8,9,10,11,12},1),{5,4,3,2,9,8,7,6,5,4,3,2}),11)),VALUE(MID(G1132,14,1))=IF(MOD(SUMPRODUCT(--MID(G1132,{1,2,3,4,5,6,7,8,9,10,11,12,13},1),{6,5,4,3,2,9,8,7,6,5,4,3,2}),11)&lt;2,0,11-MOD(SUMPRODUCT(--MID(G1132,{1,2,3,4,5,6,7,8,9,10,11,12,13},1),{6,5,4,3,2,9,8,7,6,5,4,3,2}),11))),"OK","AVISO: dígito verificador (conferir na org)"))))</f>
      </c>
      <c r="I1132" s="6">
        <f>IF(G1132="","",IF(COUNTIF($G$2:$G$2001,G1132)&gt;1,"DUPLICADO","OK"))</f>
      </c>
      <c r="J1132" s="6">
        <f>IF(COUNTA(A1132:F1132)=0,"",IF(AND(A1132&lt;&gt;"",E1132&lt;&gt;""),"OK","ERRO: faltam "&amp;IF(A1132="","CNPJ; ","")&amp;IF(E1132="","Novo gerente; ","")))</f>
      </c>
      <c r="K1132" s="6">
        <f>IF(COUNTA(A1132:F1132)=0,"",IF(AND(LEFT(H1132,4)&lt;&gt;"ERRO",I1132="OK",J1132="OK"),"OK","REVISAR"))</f>
      </c>
    </row>
    <row r="1133">
      <c r="A1133" s="5"/>
      <c r="B1133" s="4"/>
      <c r="C1133" s="4"/>
      <c r="D1133" s="4"/>
      <c r="E1133" s="5"/>
      <c r="F1133" s="4"/>
      <c r="G1133" s="6">
        <f>IF(A1133="","",SUBSTITUTE(SUBSTITUTE(SUBSTITUTE(SUBSTITUTE(SUBSTITUTE(SUBSTITUTE(SUBSTITUTE(TRIM(A1133),".",""),"/",""),"-","")," ",""),"(",""),")",""),"+",""))</f>
      </c>
      <c r="H1133" s="6">
        <f>IF(G1133="","",IF(LEN(G1133)&lt;&gt;14,"ERRO: "&amp;LEN(G1133)&amp;" dígitos",IF(NOT(ISNUMBER(VALUE(G1133))),"ERRO: não numérico",IF(AND(VALUE(MID(G1133,13,1))=IF(MOD(SUMPRODUCT(--MID(G1133,{1,2,3,4,5,6,7,8,9,10,11,12},1),{5,4,3,2,9,8,7,6,5,4,3,2}),11)&lt;2,0,11-MOD(SUMPRODUCT(--MID(G1133,{1,2,3,4,5,6,7,8,9,10,11,12},1),{5,4,3,2,9,8,7,6,5,4,3,2}),11)),VALUE(MID(G1133,14,1))=IF(MOD(SUMPRODUCT(--MID(G1133,{1,2,3,4,5,6,7,8,9,10,11,12,13},1),{6,5,4,3,2,9,8,7,6,5,4,3,2}),11)&lt;2,0,11-MOD(SUMPRODUCT(--MID(G1133,{1,2,3,4,5,6,7,8,9,10,11,12,13},1),{6,5,4,3,2,9,8,7,6,5,4,3,2}),11))),"OK","AVISO: dígito verificador (conferir na org)"))))</f>
      </c>
      <c r="I1133" s="6">
        <f>IF(G1133="","",IF(COUNTIF($G$2:$G$2001,G1133)&gt;1,"DUPLICADO","OK"))</f>
      </c>
      <c r="J1133" s="6">
        <f>IF(COUNTA(A1133:F1133)=0,"",IF(AND(A1133&lt;&gt;"",E1133&lt;&gt;""),"OK","ERRO: faltam "&amp;IF(A1133="","CNPJ; ","")&amp;IF(E1133="","Novo gerente; ","")))</f>
      </c>
      <c r="K1133" s="6">
        <f>IF(COUNTA(A1133:F1133)=0,"",IF(AND(LEFT(H1133,4)&lt;&gt;"ERRO",I1133="OK",J1133="OK"),"OK","REVISAR"))</f>
      </c>
    </row>
    <row r="1134">
      <c r="A1134" s="5"/>
      <c r="B1134" s="4"/>
      <c r="C1134" s="4"/>
      <c r="D1134" s="4"/>
      <c r="E1134" s="5"/>
      <c r="F1134" s="4"/>
      <c r="G1134" s="6">
        <f>IF(A1134="","",SUBSTITUTE(SUBSTITUTE(SUBSTITUTE(SUBSTITUTE(SUBSTITUTE(SUBSTITUTE(SUBSTITUTE(TRIM(A1134),".",""),"/",""),"-","")," ",""),"(",""),")",""),"+",""))</f>
      </c>
      <c r="H1134" s="6">
        <f>IF(G1134="","",IF(LEN(G1134)&lt;&gt;14,"ERRO: "&amp;LEN(G1134)&amp;" dígitos",IF(NOT(ISNUMBER(VALUE(G1134))),"ERRO: não numérico",IF(AND(VALUE(MID(G1134,13,1))=IF(MOD(SUMPRODUCT(--MID(G1134,{1,2,3,4,5,6,7,8,9,10,11,12},1),{5,4,3,2,9,8,7,6,5,4,3,2}),11)&lt;2,0,11-MOD(SUMPRODUCT(--MID(G1134,{1,2,3,4,5,6,7,8,9,10,11,12},1),{5,4,3,2,9,8,7,6,5,4,3,2}),11)),VALUE(MID(G1134,14,1))=IF(MOD(SUMPRODUCT(--MID(G1134,{1,2,3,4,5,6,7,8,9,10,11,12,13},1),{6,5,4,3,2,9,8,7,6,5,4,3,2}),11)&lt;2,0,11-MOD(SUMPRODUCT(--MID(G1134,{1,2,3,4,5,6,7,8,9,10,11,12,13},1),{6,5,4,3,2,9,8,7,6,5,4,3,2}),11))),"OK","AVISO: dígito verificador (conferir na org)"))))</f>
      </c>
      <c r="I1134" s="6">
        <f>IF(G1134="","",IF(COUNTIF($G$2:$G$2001,G1134)&gt;1,"DUPLICADO","OK"))</f>
      </c>
      <c r="J1134" s="6">
        <f>IF(COUNTA(A1134:F1134)=0,"",IF(AND(A1134&lt;&gt;"",E1134&lt;&gt;""),"OK","ERRO: faltam "&amp;IF(A1134="","CNPJ; ","")&amp;IF(E1134="","Novo gerente; ","")))</f>
      </c>
      <c r="K1134" s="6">
        <f>IF(COUNTA(A1134:F1134)=0,"",IF(AND(LEFT(H1134,4)&lt;&gt;"ERRO",I1134="OK",J1134="OK"),"OK","REVISAR"))</f>
      </c>
    </row>
    <row r="1135">
      <c r="A1135" s="5"/>
      <c r="B1135" s="4"/>
      <c r="C1135" s="4"/>
      <c r="D1135" s="4"/>
      <c r="E1135" s="5"/>
      <c r="F1135" s="4"/>
      <c r="G1135" s="6">
        <f>IF(A1135="","",SUBSTITUTE(SUBSTITUTE(SUBSTITUTE(SUBSTITUTE(SUBSTITUTE(SUBSTITUTE(SUBSTITUTE(TRIM(A1135),".",""),"/",""),"-","")," ",""),"(",""),")",""),"+",""))</f>
      </c>
      <c r="H1135" s="6">
        <f>IF(G1135="","",IF(LEN(G1135)&lt;&gt;14,"ERRO: "&amp;LEN(G1135)&amp;" dígitos",IF(NOT(ISNUMBER(VALUE(G1135))),"ERRO: não numérico",IF(AND(VALUE(MID(G1135,13,1))=IF(MOD(SUMPRODUCT(--MID(G1135,{1,2,3,4,5,6,7,8,9,10,11,12},1),{5,4,3,2,9,8,7,6,5,4,3,2}),11)&lt;2,0,11-MOD(SUMPRODUCT(--MID(G1135,{1,2,3,4,5,6,7,8,9,10,11,12},1),{5,4,3,2,9,8,7,6,5,4,3,2}),11)),VALUE(MID(G1135,14,1))=IF(MOD(SUMPRODUCT(--MID(G1135,{1,2,3,4,5,6,7,8,9,10,11,12,13},1),{6,5,4,3,2,9,8,7,6,5,4,3,2}),11)&lt;2,0,11-MOD(SUMPRODUCT(--MID(G1135,{1,2,3,4,5,6,7,8,9,10,11,12,13},1),{6,5,4,3,2,9,8,7,6,5,4,3,2}),11))),"OK","AVISO: dígito verificador (conferir na org)"))))</f>
      </c>
      <c r="I1135" s="6">
        <f>IF(G1135="","",IF(COUNTIF($G$2:$G$2001,G1135)&gt;1,"DUPLICADO","OK"))</f>
      </c>
      <c r="J1135" s="6">
        <f>IF(COUNTA(A1135:F1135)=0,"",IF(AND(A1135&lt;&gt;"",E1135&lt;&gt;""),"OK","ERRO: faltam "&amp;IF(A1135="","CNPJ; ","")&amp;IF(E1135="","Novo gerente; ","")))</f>
      </c>
      <c r="K1135" s="6">
        <f>IF(COUNTA(A1135:F1135)=0,"",IF(AND(LEFT(H1135,4)&lt;&gt;"ERRO",I1135="OK",J1135="OK"),"OK","REVISAR"))</f>
      </c>
    </row>
    <row r="1136">
      <c r="A1136" s="5"/>
      <c r="B1136" s="4"/>
      <c r="C1136" s="4"/>
      <c r="D1136" s="4"/>
      <c r="E1136" s="5"/>
      <c r="F1136" s="4"/>
      <c r="G1136" s="6">
        <f>IF(A1136="","",SUBSTITUTE(SUBSTITUTE(SUBSTITUTE(SUBSTITUTE(SUBSTITUTE(SUBSTITUTE(SUBSTITUTE(TRIM(A1136),".",""),"/",""),"-","")," ",""),"(",""),")",""),"+",""))</f>
      </c>
      <c r="H1136" s="6">
        <f>IF(G1136="","",IF(LEN(G1136)&lt;&gt;14,"ERRO: "&amp;LEN(G1136)&amp;" dígitos",IF(NOT(ISNUMBER(VALUE(G1136))),"ERRO: não numérico",IF(AND(VALUE(MID(G1136,13,1))=IF(MOD(SUMPRODUCT(--MID(G1136,{1,2,3,4,5,6,7,8,9,10,11,12},1),{5,4,3,2,9,8,7,6,5,4,3,2}),11)&lt;2,0,11-MOD(SUMPRODUCT(--MID(G1136,{1,2,3,4,5,6,7,8,9,10,11,12},1),{5,4,3,2,9,8,7,6,5,4,3,2}),11)),VALUE(MID(G1136,14,1))=IF(MOD(SUMPRODUCT(--MID(G1136,{1,2,3,4,5,6,7,8,9,10,11,12,13},1),{6,5,4,3,2,9,8,7,6,5,4,3,2}),11)&lt;2,0,11-MOD(SUMPRODUCT(--MID(G1136,{1,2,3,4,5,6,7,8,9,10,11,12,13},1),{6,5,4,3,2,9,8,7,6,5,4,3,2}),11))),"OK","AVISO: dígito verificador (conferir na org)"))))</f>
      </c>
      <c r="I1136" s="6">
        <f>IF(G1136="","",IF(COUNTIF($G$2:$G$2001,G1136)&gt;1,"DUPLICADO","OK"))</f>
      </c>
      <c r="J1136" s="6">
        <f>IF(COUNTA(A1136:F1136)=0,"",IF(AND(A1136&lt;&gt;"",E1136&lt;&gt;""),"OK","ERRO: faltam "&amp;IF(A1136="","CNPJ; ","")&amp;IF(E1136="","Novo gerente; ","")))</f>
      </c>
      <c r="K1136" s="6">
        <f>IF(COUNTA(A1136:F1136)=0,"",IF(AND(LEFT(H1136,4)&lt;&gt;"ERRO",I1136="OK",J1136="OK"),"OK","REVISAR"))</f>
      </c>
    </row>
    <row r="1137">
      <c r="A1137" s="5"/>
      <c r="B1137" s="4"/>
      <c r="C1137" s="4"/>
      <c r="D1137" s="4"/>
      <c r="E1137" s="5"/>
      <c r="F1137" s="4"/>
      <c r="G1137" s="6">
        <f>IF(A1137="","",SUBSTITUTE(SUBSTITUTE(SUBSTITUTE(SUBSTITUTE(SUBSTITUTE(SUBSTITUTE(SUBSTITUTE(TRIM(A1137),".",""),"/",""),"-","")," ",""),"(",""),")",""),"+",""))</f>
      </c>
      <c r="H1137" s="6">
        <f>IF(G1137="","",IF(LEN(G1137)&lt;&gt;14,"ERRO: "&amp;LEN(G1137)&amp;" dígitos",IF(NOT(ISNUMBER(VALUE(G1137))),"ERRO: não numérico",IF(AND(VALUE(MID(G1137,13,1))=IF(MOD(SUMPRODUCT(--MID(G1137,{1,2,3,4,5,6,7,8,9,10,11,12},1),{5,4,3,2,9,8,7,6,5,4,3,2}),11)&lt;2,0,11-MOD(SUMPRODUCT(--MID(G1137,{1,2,3,4,5,6,7,8,9,10,11,12},1),{5,4,3,2,9,8,7,6,5,4,3,2}),11)),VALUE(MID(G1137,14,1))=IF(MOD(SUMPRODUCT(--MID(G1137,{1,2,3,4,5,6,7,8,9,10,11,12,13},1),{6,5,4,3,2,9,8,7,6,5,4,3,2}),11)&lt;2,0,11-MOD(SUMPRODUCT(--MID(G1137,{1,2,3,4,5,6,7,8,9,10,11,12,13},1),{6,5,4,3,2,9,8,7,6,5,4,3,2}),11))),"OK","AVISO: dígito verificador (conferir na org)"))))</f>
      </c>
      <c r="I1137" s="6">
        <f>IF(G1137="","",IF(COUNTIF($G$2:$G$2001,G1137)&gt;1,"DUPLICADO","OK"))</f>
      </c>
      <c r="J1137" s="6">
        <f>IF(COUNTA(A1137:F1137)=0,"",IF(AND(A1137&lt;&gt;"",E1137&lt;&gt;""),"OK","ERRO: faltam "&amp;IF(A1137="","CNPJ; ","")&amp;IF(E1137="","Novo gerente; ","")))</f>
      </c>
      <c r="K1137" s="6">
        <f>IF(COUNTA(A1137:F1137)=0,"",IF(AND(LEFT(H1137,4)&lt;&gt;"ERRO",I1137="OK",J1137="OK"),"OK","REVISAR"))</f>
      </c>
    </row>
    <row r="1138">
      <c r="A1138" s="5"/>
      <c r="B1138" s="4"/>
      <c r="C1138" s="4"/>
      <c r="D1138" s="4"/>
      <c r="E1138" s="5"/>
      <c r="F1138" s="4"/>
      <c r="G1138" s="6">
        <f>IF(A1138="","",SUBSTITUTE(SUBSTITUTE(SUBSTITUTE(SUBSTITUTE(SUBSTITUTE(SUBSTITUTE(SUBSTITUTE(TRIM(A1138),".",""),"/",""),"-","")," ",""),"(",""),")",""),"+",""))</f>
      </c>
      <c r="H1138" s="6">
        <f>IF(G1138="","",IF(LEN(G1138)&lt;&gt;14,"ERRO: "&amp;LEN(G1138)&amp;" dígitos",IF(NOT(ISNUMBER(VALUE(G1138))),"ERRO: não numérico",IF(AND(VALUE(MID(G1138,13,1))=IF(MOD(SUMPRODUCT(--MID(G1138,{1,2,3,4,5,6,7,8,9,10,11,12},1),{5,4,3,2,9,8,7,6,5,4,3,2}),11)&lt;2,0,11-MOD(SUMPRODUCT(--MID(G1138,{1,2,3,4,5,6,7,8,9,10,11,12},1),{5,4,3,2,9,8,7,6,5,4,3,2}),11)),VALUE(MID(G1138,14,1))=IF(MOD(SUMPRODUCT(--MID(G1138,{1,2,3,4,5,6,7,8,9,10,11,12,13},1),{6,5,4,3,2,9,8,7,6,5,4,3,2}),11)&lt;2,0,11-MOD(SUMPRODUCT(--MID(G1138,{1,2,3,4,5,6,7,8,9,10,11,12,13},1),{6,5,4,3,2,9,8,7,6,5,4,3,2}),11))),"OK","AVISO: dígito verificador (conferir na org)"))))</f>
      </c>
      <c r="I1138" s="6">
        <f>IF(G1138="","",IF(COUNTIF($G$2:$G$2001,G1138)&gt;1,"DUPLICADO","OK"))</f>
      </c>
      <c r="J1138" s="6">
        <f>IF(COUNTA(A1138:F1138)=0,"",IF(AND(A1138&lt;&gt;"",E1138&lt;&gt;""),"OK","ERRO: faltam "&amp;IF(A1138="","CNPJ; ","")&amp;IF(E1138="","Novo gerente; ","")))</f>
      </c>
      <c r="K1138" s="6">
        <f>IF(COUNTA(A1138:F1138)=0,"",IF(AND(LEFT(H1138,4)&lt;&gt;"ERRO",I1138="OK",J1138="OK"),"OK","REVISAR"))</f>
      </c>
    </row>
    <row r="1139">
      <c r="A1139" s="5"/>
      <c r="B1139" s="4"/>
      <c r="C1139" s="4"/>
      <c r="D1139" s="4"/>
      <c r="E1139" s="5"/>
      <c r="F1139" s="4"/>
      <c r="G1139" s="6">
        <f>IF(A1139="","",SUBSTITUTE(SUBSTITUTE(SUBSTITUTE(SUBSTITUTE(SUBSTITUTE(SUBSTITUTE(SUBSTITUTE(TRIM(A1139),".",""),"/",""),"-","")," ",""),"(",""),")",""),"+",""))</f>
      </c>
      <c r="H1139" s="6">
        <f>IF(G1139="","",IF(LEN(G1139)&lt;&gt;14,"ERRO: "&amp;LEN(G1139)&amp;" dígitos",IF(NOT(ISNUMBER(VALUE(G1139))),"ERRO: não numérico",IF(AND(VALUE(MID(G1139,13,1))=IF(MOD(SUMPRODUCT(--MID(G1139,{1,2,3,4,5,6,7,8,9,10,11,12},1),{5,4,3,2,9,8,7,6,5,4,3,2}),11)&lt;2,0,11-MOD(SUMPRODUCT(--MID(G1139,{1,2,3,4,5,6,7,8,9,10,11,12},1),{5,4,3,2,9,8,7,6,5,4,3,2}),11)),VALUE(MID(G1139,14,1))=IF(MOD(SUMPRODUCT(--MID(G1139,{1,2,3,4,5,6,7,8,9,10,11,12,13},1),{6,5,4,3,2,9,8,7,6,5,4,3,2}),11)&lt;2,0,11-MOD(SUMPRODUCT(--MID(G1139,{1,2,3,4,5,6,7,8,9,10,11,12,13},1),{6,5,4,3,2,9,8,7,6,5,4,3,2}),11))),"OK","AVISO: dígito verificador (conferir na org)"))))</f>
      </c>
      <c r="I1139" s="6">
        <f>IF(G1139="","",IF(COUNTIF($G$2:$G$2001,G1139)&gt;1,"DUPLICADO","OK"))</f>
      </c>
      <c r="J1139" s="6">
        <f>IF(COUNTA(A1139:F1139)=0,"",IF(AND(A1139&lt;&gt;"",E1139&lt;&gt;""),"OK","ERRO: faltam "&amp;IF(A1139="","CNPJ; ","")&amp;IF(E1139="","Novo gerente; ","")))</f>
      </c>
      <c r="K1139" s="6">
        <f>IF(COUNTA(A1139:F1139)=0,"",IF(AND(LEFT(H1139,4)&lt;&gt;"ERRO",I1139="OK",J1139="OK"),"OK","REVISAR"))</f>
      </c>
    </row>
    <row r="1140">
      <c r="A1140" s="5"/>
      <c r="B1140" s="4"/>
      <c r="C1140" s="4"/>
      <c r="D1140" s="4"/>
      <c r="E1140" s="5"/>
      <c r="F1140" s="4"/>
      <c r="G1140" s="6">
        <f>IF(A1140="","",SUBSTITUTE(SUBSTITUTE(SUBSTITUTE(SUBSTITUTE(SUBSTITUTE(SUBSTITUTE(SUBSTITUTE(TRIM(A1140),".",""),"/",""),"-","")," ",""),"(",""),")",""),"+",""))</f>
      </c>
      <c r="H1140" s="6">
        <f>IF(G1140="","",IF(LEN(G1140)&lt;&gt;14,"ERRO: "&amp;LEN(G1140)&amp;" dígitos",IF(NOT(ISNUMBER(VALUE(G1140))),"ERRO: não numérico",IF(AND(VALUE(MID(G1140,13,1))=IF(MOD(SUMPRODUCT(--MID(G1140,{1,2,3,4,5,6,7,8,9,10,11,12},1),{5,4,3,2,9,8,7,6,5,4,3,2}),11)&lt;2,0,11-MOD(SUMPRODUCT(--MID(G1140,{1,2,3,4,5,6,7,8,9,10,11,12},1),{5,4,3,2,9,8,7,6,5,4,3,2}),11)),VALUE(MID(G1140,14,1))=IF(MOD(SUMPRODUCT(--MID(G1140,{1,2,3,4,5,6,7,8,9,10,11,12,13},1),{6,5,4,3,2,9,8,7,6,5,4,3,2}),11)&lt;2,0,11-MOD(SUMPRODUCT(--MID(G1140,{1,2,3,4,5,6,7,8,9,10,11,12,13},1),{6,5,4,3,2,9,8,7,6,5,4,3,2}),11))),"OK","AVISO: dígito verificador (conferir na org)"))))</f>
      </c>
      <c r="I1140" s="6">
        <f>IF(G1140="","",IF(COUNTIF($G$2:$G$2001,G1140)&gt;1,"DUPLICADO","OK"))</f>
      </c>
      <c r="J1140" s="6">
        <f>IF(COUNTA(A1140:F1140)=0,"",IF(AND(A1140&lt;&gt;"",E1140&lt;&gt;""),"OK","ERRO: faltam "&amp;IF(A1140="","CNPJ; ","")&amp;IF(E1140="","Novo gerente; ","")))</f>
      </c>
      <c r="K1140" s="6">
        <f>IF(COUNTA(A1140:F1140)=0,"",IF(AND(LEFT(H1140,4)&lt;&gt;"ERRO",I1140="OK",J1140="OK"),"OK","REVISAR"))</f>
      </c>
    </row>
    <row r="1141">
      <c r="A1141" s="5"/>
      <c r="B1141" s="4"/>
      <c r="C1141" s="4"/>
      <c r="D1141" s="4"/>
      <c r="E1141" s="5"/>
      <c r="F1141" s="4"/>
      <c r="G1141" s="6">
        <f>IF(A1141="","",SUBSTITUTE(SUBSTITUTE(SUBSTITUTE(SUBSTITUTE(SUBSTITUTE(SUBSTITUTE(SUBSTITUTE(TRIM(A1141),".",""),"/",""),"-","")," ",""),"(",""),")",""),"+",""))</f>
      </c>
      <c r="H1141" s="6">
        <f>IF(G1141="","",IF(LEN(G1141)&lt;&gt;14,"ERRO: "&amp;LEN(G1141)&amp;" dígitos",IF(NOT(ISNUMBER(VALUE(G1141))),"ERRO: não numérico",IF(AND(VALUE(MID(G1141,13,1))=IF(MOD(SUMPRODUCT(--MID(G1141,{1,2,3,4,5,6,7,8,9,10,11,12},1),{5,4,3,2,9,8,7,6,5,4,3,2}),11)&lt;2,0,11-MOD(SUMPRODUCT(--MID(G1141,{1,2,3,4,5,6,7,8,9,10,11,12},1),{5,4,3,2,9,8,7,6,5,4,3,2}),11)),VALUE(MID(G1141,14,1))=IF(MOD(SUMPRODUCT(--MID(G1141,{1,2,3,4,5,6,7,8,9,10,11,12,13},1),{6,5,4,3,2,9,8,7,6,5,4,3,2}),11)&lt;2,0,11-MOD(SUMPRODUCT(--MID(G1141,{1,2,3,4,5,6,7,8,9,10,11,12,13},1),{6,5,4,3,2,9,8,7,6,5,4,3,2}),11))),"OK","AVISO: dígito verificador (conferir na org)"))))</f>
      </c>
      <c r="I1141" s="6">
        <f>IF(G1141="","",IF(COUNTIF($G$2:$G$2001,G1141)&gt;1,"DUPLICADO","OK"))</f>
      </c>
      <c r="J1141" s="6">
        <f>IF(COUNTA(A1141:F1141)=0,"",IF(AND(A1141&lt;&gt;"",E1141&lt;&gt;""),"OK","ERRO: faltam "&amp;IF(A1141="","CNPJ; ","")&amp;IF(E1141="","Novo gerente; ","")))</f>
      </c>
      <c r="K1141" s="6">
        <f>IF(COUNTA(A1141:F1141)=0,"",IF(AND(LEFT(H1141,4)&lt;&gt;"ERRO",I1141="OK",J1141="OK"),"OK","REVISAR"))</f>
      </c>
    </row>
    <row r="1142">
      <c r="A1142" s="5"/>
      <c r="B1142" s="4"/>
      <c r="C1142" s="4"/>
      <c r="D1142" s="4"/>
      <c r="E1142" s="5"/>
      <c r="F1142" s="4"/>
      <c r="G1142" s="6">
        <f>IF(A1142="","",SUBSTITUTE(SUBSTITUTE(SUBSTITUTE(SUBSTITUTE(SUBSTITUTE(SUBSTITUTE(SUBSTITUTE(TRIM(A1142),".",""),"/",""),"-","")," ",""),"(",""),")",""),"+",""))</f>
      </c>
      <c r="H1142" s="6">
        <f>IF(G1142="","",IF(LEN(G1142)&lt;&gt;14,"ERRO: "&amp;LEN(G1142)&amp;" dígitos",IF(NOT(ISNUMBER(VALUE(G1142))),"ERRO: não numérico",IF(AND(VALUE(MID(G1142,13,1))=IF(MOD(SUMPRODUCT(--MID(G1142,{1,2,3,4,5,6,7,8,9,10,11,12},1),{5,4,3,2,9,8,7,6,5,4,3,2}),11)&lt;2,0,11-MOD(SUMPRODUCT(--MID(G1142,{1,2,3,4,5,6,7,8,9,10,11,12},1),{5,4,3,2,9,8,7,6,5,4,3,2}),11)),VALUE(MID(G1142,14,1))=IF(MOD(SUMPRODUCT(--MID(G1142,{1,2,3,4,5,6,7,8,9,10,11,12,13},1),{6,5,4,3,2,9,8,7,6,5,4,3,2}),11)&lt;2,0,11-MOD(SUMPRODUCT(--MID(G1142,{1,2,3,4,5,6,7,8,9,10,11,12,13},1),{6,5,4,3,2,9,8,7,6,5,4,3,2}),11))),"OK","AVISO: dígito verificador (conferir na org)"))))</f>
      </c>
      <c r="I1142" s="6">
        <f>IF(G1142="","",IF(COUNTIF($G$2:$G$2001,G1142)&gt;1,"DUPLICADO","OK"))</f>
      </c>
      <c r="J1142" s="6">
        <f>IF(COUNTA(A1142:F1142)=0,"",IF(AND(A1142&lt;&gt;"",E1142&lt;&gt;""),"OK","ERRO: faltam "&amp;IF(A1142="","CNPJ; ","")&amp;IF(E1142="","Novo gerente; ","")))</f>
      </c>
      <c r="K1142" s="6">
        <f>IF(COUNTA(A1142:F1142)=0,"",IF(AND(LEFT(H1142,4)&lt;&gt;"ERRO",I1142="OK",J1142="OK"),"OK","REVISAR"))</f>
      </c>
    </row>
    <row r="1143">
      <c r="A1143" s="5"/>
      <c r="B1143" s="4"/>
      <c r="C1143" s="4"/>
      <c r="D1143" s="4"/>
      <c r="E1143" s="5"/>
      <c r="F1143" s="4"/>
      <c r="G1143" s="6">
        <f>IF(A1143="","",SUBSTITUTE(SUBSTITUTE(SUBSTITUTE(SUBSTITUTE(SUBSTITUTE(SUBSTITUTE(SUBSTITUTE(TRIM(A1143),".",""),"/",""),"-","")," ",""),"(",""),")",""),"+",""))</f>
      </c>
      <c r="H1143" s="6">
        <f>IF(G1143="","",IF(LEN(G1143)&lt;&gt;14,"ERRO: "&amp;LEN(G1143)&amp;" dígitos",IF(NOT(ISNUMBER(VALUE(G1143))),"ERRO: não numérico",IF(AND(VALUE(MID(G1143,13,1))=IF(MOD(SUMPRODUCT(--MID(G1143,{1,2,3,4,5,6,7,8,9,10,11,12},1),{5,4,3,2,9,8,7,6,5,4,3,2}),11)&lt;2,0,11-MOD(SUMPRODUCT(--MID(G1143,{1,2,3,4,5,6,7,8,9,10,11,12},1),{5,4,3,2,9,8,7,6,5,4,3,2}),11)),VALUE(MID(G1143,14,1))=IF(MOD(SUMPRODUCT(--MID(G1143,{1,2,3,4,5,6,7,8,9,10,11,12,13},1),{6,5,4,3,2,9,8,7,6,5,4,3,2}),11)&lt;2,0,11-MOD(SUMPRODUCT(--MID(G1143,{1,2,3,4,5,6,7,8,9,10,11,12,13},1),{6,5,4,3,2,9,8,7,6,5,4,3,2}),11))),"OK","AVISO: dígito verificador (conferir na org)"))))</f>
      </c>
      <c r="I1143" s="6">
        <f>IF(G1143="","",IF(COUNTIF($G$2:$G$2001,G1143)&gt;1,"DUPLICADO","OK"))</f>
      </c>
      <c r="J1143" s="6">
        <f>IF(COUNTA(A1143:F1143)=0,"",IF(AND(A1143&lt;&gt;"",E1143&lt;&gt;""),"OK","ERRO: faltam "&amp;IF(A1143="","CNPJ; ","")&amp;IF(E1143="","Novo gerente; ","")))</f>
      </c>
      <c r="K1143" s="6">
        <f>IF(COUNTA(A1143:F1143)=0,"",IF(AND(LEFT(H1143,4)&lt;&gt;"ERRO",I1143="OK",J1143="OK"),"OK","REVISAR"))</f>
      </c>
    </row>
    <row r="1144">
      <c r="A1144" s="5"/>
      <c r="B1144" s="4"/>
      <c r="C1144" s="4"/>
      <c r="D1144" s="4"/>
      <c r="E1144" s="5"/>
      <c r="F1144" s="4"/>
      <c r="G1144" s="6">
        <f>IF(A1144="","",SUBSTITUTE(SUBSTITUTE(SUBSTITUTE(SUBSTITUTE(SUBSTITUTE(SUBSTITUTE(SUBSTITUTE(TRIM(A1144),".",""),"/",""),"-","")," ",""),"(",""),")",""),"+",""))</f>
      </c>
      <c r="H1144" s="6">
        <f>IF(G1144="","",IF(LEN(G1144)&lt;&gt;14,"ERRO: "&amp;LEN(G1144)&amp;" dígitos",IF(NOT(ISNUMBER(VALUE(G1144))),"ERRO: não numérico",IF(AND(VALUE(MID(G1144,13,1))=IF(MOD(SUMPRODUCT(--MID(G1144,{1,2,3,4,5,6,7,8,9,10,11,12},1),{5,4,3,2,9,8,7,6,5,4,3,2}),11)&lt;2,0,11-MOD(SUMPRODUCT(--MID(G1144,{1,2,3,4,5,6,7,8,9,10,11,12},1),{5,4,3,2,9,8,7,6,5,4,3,2}),11)),VALUE(MID(G1144,14,1))=IF(MOD(SUMPRODUCT(--MID(G1144,{1,2,3,4,5,6,7,8,9,10,11,12,13},1),{6,5,4,3,2,9,8,7,6,5,4,3,2}),11)&lt;2,0,11-MOD(SUMPRODUCT(--MID(G1144,{1,2,3,4,5,6,7,8,9,10,11,12,13},1),{6,5,4,3,2,9,8,7,6,5,4,3,2}),11))),"OK","AVISO: dígito verificador (conferir na org)"))))</f>
      </c>
      <c r="I1144" s="6">
        <f>IF(G1144="","",IF(COUNTIF($G$2:$G$2001,G1144)&gt;1,"DUPLICADO","OK"))</f>
      </c>
      <c r="J1144" s="6">
        <f>IF(COUNTA(A1144:F1144)=0,"",IF(AND(A1144&lt;&gt;"",E1144&lt;&gt;""),"OK","ERRO: faltam "&amp;IF(A1144="","CNPJ; ","")&amp;IF(E1144="","Novo gerente; ","")))</f>
      </c>
      <c r="K1144" s="6">
        <f>IF(COUNTA(A1144:F1144)=0,"",IF(AND(LEFT(H1144,4)&lt;&gt;"ERRO",I1144="OK",J1144="OK"),"OK","REVISAR"))</f>
      </c>
    </row>
    <row r="1145">
      <c r="A1145" s="5"/>
      <c r="B1145" s="4"/>
      <c r="C1145" s="4"/>
      <c r="D1145" s="4"/>
      <c r="E1145" s="5"/>
      <c r="F1145" s="4"/>
      <c r="G1145" s="6">
        <f>IF(A1145="","",SUBSTITUTE(SUBSTITUTE(SUBSTITUTE(SUBSTITUTE(SUBSTITUTE(SUBSTITUTE(SUBSTITUTE(TRIM(A1145),".",""),"/",""),"-","")," ",""),"(",""),")",""),"+",""))</f>
      </c>
      <c r="H1145" s="6">
        <f>IF(G1145="","",IF(LEN(G1145)&lt;&gt;14,"ERRO: "&amp;LEN(G1145)&amp;" dígitos",IF(NOT(ISNUMBER(VALUE(G1145))),"ERRO: não numérico",IF(AND(VALUE(MID(G1145,13,1))=IF(MOD(SUMPRODUCT(--MID(G1145,{1,2,3,4,5,6,7,8,9,10,11,12},1),{5,4,3,2,9,8,7,6,5,4,3,2}),11)&lt;2,0,11-MOD(SUMPRODUCT(--MID(G1145,{1,2,3,4,5,6,7,8,9,10,11,12},1),{5,4,3,2,9,8,7,6,5,4,3,2}),11)),VALUE(MID(G1145,14,1))=IF(MOD(SUMPRODUCT(--MID(G1145,{1,2,3,4,5,6,7,8,9,10,11,12,13},1),{6,5,4,3,2,9,8,7,6,5,4,3,2}),11)&lt;2,0,11-MOD(SUMPRODUCT(--MID(G1145,{1,2,3,4,5,6,7,8,9,10,11,12,13},1),{6,5,4,3,2,9,8,7,6,5,4,3,2}),11))),"OK","AVISO: dígito verificador (conferir na org)"))))</f>
      </c>
      <c r="I1145" s="6">
        <f>IF(G1145="","",IF(COUNTIF($G$2:$G$2001,G1145)&gt;1,"DUPLICADO","OK"))</f>
      </c>
      <c r="J1145" s="6">
        <f>IF(COUNTA(A1145:F1145)=0,"",IF(AND(A1145&lt;&gt;"",E1145&lt;&gt;""),"OK","ERRO: faltam "&amp;IF(A1145="","CNPJ; ","")&amp;IF(E1145="","Novo gerente; ","")))</f>
      </c>
      <c r="K1145" s="6">
        <f>IF(COUNTA(A1145:F1145)=0,"",IF(AND(LEFT(H1145,4)&lt;&gt;"ERRO",I1145="OK",J1145="OK"),"OK","REVISAR"))</f>
      </c>
    </row>
    <row r="1146">
      <c r="A1146" s="5"/>
      <c r="B1146" s="4"/>
      <c r="C1146" s="4"/>
      <c r="D1146" s="4"/>
      <c r="E1146" s="5"/>
      <c r="F1146" s="4"/>
      <c r="G1146" s="6">
        <f>IF(A1146="","",SUBSTITUTE(SUBSTITUTE(SUBSTITUTE(SUBSTITUTE(SUBSTITUTE(SUBSTITUTE(SUBSTITUTE(TRIM(A1146),".",""),"/",""),"-","")," ",""),"(",""),")",""),"+",""))</f>
      </c>
      <c r="H1146" s="6">
        <f>IF(G1146="","",IF(LEN(G1146)&lt;&gt;14,"ERRO: "&amp;LEN(G1146)&amp;" dígitos",IF(NOT(ISNUMBER(VALUE(G1146))),"ERRO: não numérico",IF(AND(VALUE(MID(G1146,13,1))=IF(MOD(SUMPRODUCT(--MID(G1146,{1,2,3,4,5,6,7,8,9,10,11,12},1),{5,4,3,2,9,8,7,6,5,4,3,2}),11)&lt;2,0,11-MOD(SUMPRODUCT(--MID(G1146,{1,2,3,4,5,6,7,8,9,10,11,12},1),{5,4,3,2,9,8,7,6,5,4,3,2}),11)),VALUE(MID(G1146,14,1))=IF(MOD(SUMPRODUCT(--MID(G1146,{1,2,3,4,5,6,7,8,9,10,11,12,13},1),{6,5,4,3,2,9,8,7,6,5,4,3,2}),11)&lt;2,0,11-MOD(SUMPRODUCT(--MID(G1146,{1,2,3,4,5,6,7,8,9,10,11,12,13},1),{6,5,4,3,2,9,8,7,6,5,4,3,2}),11))),"OK","AVISO: dígito verificador (conferir na org)"))))</f>
      </c>
      <c r="I1146" s="6">
        <f>IF(G1146="","",IF(COUNTIF($G$2:$G$2001,G1146)&gt;1,"DUPLICADO","OK"))</f>
      </c>
      <c r="J1146" s="6">
        <f>IF(COUNTA(A1146:F1146)=0,"",IF(AND(A1146&lt;&gt;"",E1146&lt;&gt;""),"OK","ERRO: faltam "&amp;IF(A1146="","CNPJ; ","")&amp;IF(E1146="","Novo gerente; ","")))</f>
      </c>
      <c r="K1146" s="6">
        <f>IF(COUNTA(A1146:F1146)=0,"",IF(AND(LEFT(H1146,4)&lt;&gt;"ERRO",I1146="OK",J1146="OK"),"OK","REVISAR"))</f>
      </c>
    </row>
    <row r="1147">
      <c r="A1147" s="5"/>
      <c r="B1147" s="4"/>
      <c r="C1147" s="4"/>
      <c r="D1147" s="4"/>
      <c r="E1147" s="5"/>
      <c r="F1147" s="4"/>
      <c r="G1147" s="6">
        <f>IF(A1147="","",SUBSTITUTE(SUBSTITUTE(SUBSTITUTE(SUBSTITUTE(SUBSTITUTE(SUBSTITUTE(SUBSTITUTE(TRIM(A1147),".",""),"/",""),"-","")," ",""),"(",""),")",""),"+",""))</f>
      </c>
      <c r="H1147" s="6">
        <f>IF(G1147="","",IF(LEN(G1147)&lt;&gt;14,"ERRO: "&amp;LEN(G1147)&amp;" dígitos",IF(NOT(ISNUMBER(VALUE(G1147))),"ERRO: não numérico",IF(AND(VALUE(MID(G1147,13,1))=IF(MOD(SUMPRODUCT(--MID(G1147,{1,2,3,4,5,6,7,8,9,10,11,12},1),{5,4,3,2,9,8,7,6,5,4,3,2}),11)&lt;2,0,11-MOD(SUMPRODUCT(--MID(G1147,{1,2,3,4,5,6,7,8,9,10,11,12},1),{5,4,3,2,9,8,7,6,5,4,3,2}),11)),VALUE(MID(G1147,14,1))=IF(MOD(SUMPRODUCT(--MID(G1147,{1,2,3,4,5,6,7,8,9,10,11,12,13},1),{6,5,4,3,2,9,8,7,6,5,4,3,2}),11)&lt;2,0,11-MOD(SUMPRODUCT(--MID(G1147,{1,2,3,4,5,6,7,8,9,10,11,12,13},1),{6,5,4,3,2,9,8,7,6,5,4,3,2}),11))),"OK","AVISO: dígito verificador (conferir na org)"))))</f>
      </c>
      <c r="I1147" s="6">
        <f>IF(G1147="","",IF(COUNTIF($G$2:$G$2001,G1147)&gt;1,"DUPLICADO","OK"))</f>
      </c>
      <c r="J1147" s="6">
        <f>IF(COUNTA(A1147:F1147)=0,"",IF(AND(A1147&lt;&gt;"",E1147&lt;&gt;""),"OK","ERRO: faltam "&amp;IF(A1147="","CNPJ; ","")&amp;IF(E1147="","Novo gerente; ","")))</f>
      </c>
      <c r="K1147" s="6">
        <f>IF(COUNTA(A1147:F1147)=0,"",IF(AND(LEFT(H1147,4)&lt;&gt;"ERRO",I1147="OK",J1147="OK"),"OK","REVISAR"))</f>
      </c>
    </row>
    <row r="1148">
      <c r="A1148" s="5"/>
      <c r="B1148" s="4"/>
      <c r="C1148" s="4"/>
      <c r="D1148" s="4"/>
      <c r="E1148" s="5"/>
      <c r="F1148" s="4"/>
      <c r="G1148" s="6">
        <f>IF(A1148="","",SUBSTITUTE(SUBSTITUTE(SUBSTITUTE(SUBSTITUTE(SUBSTITUTE(SUBSTITUTE(SUBSTITUTE(TRIM(A1148),".",""),"/",""),"-","")," ",""),"(",""),")",""),"+",""))</f>
      </c>
      <c r="H1148" s="6">
        <f>IF(G1148="","",IF(LEN(G1148)&lt;&gt;14,"ERRO: "&amp;LEN(G1148)&amp;" dígitos",IF(NOT(ISNUMBER(VALUE(G1148))),"ERRO: não numérico",IF(AND(VALUE(MID(G1148,13,1))=IF(MOD(SUMPRODUCT(--MID(G1148,{1,2,3,4,5,6,7,8,9,10,11,12},1),{5,4,3,2,9,8,7,6,5,4,3,2}),11)&lt;2,0,11-MOD(SUMPRODUCT(--MID(G1148,{1,2,3,4,5,6,7,8,9,10,11,12},1),{5,4,3,2,9,8,7,6,5,4,3,2}),11)),VALUE(MID(G1148,14,1))=IF(MOD(SUMPRODUCT(--MID(G1148,{1,2,3,4,5,6,7,8,9,10,11,12,13},1),{6,5,4,3,2,9,8,7,6,5,4,3,2}),11)&lt;2,0,11-MOD(SUMPRODUCT(--MID(G1148,{1,2,3,4,5,6,7,8,9,10,11,12,13},1),{6,5,4,3,2,9,8,7,6,5,4,3,2}),11))),"OK","AVISO: dígito verificador (conferir na org)"))))</f>
      </c>
      <c r="I1148" s="6">
        <f>IF(G1148="","",IF(COUNTIF($G$2:$G$2001,G1148)&gt;1,"DUPLICADO","OK"))</f>
      </c>
      <c r="J1148" s="6">
        <f>IF(COUNTA(A1148:F1148)=0,"",IF(AND(A1148&lt;&gt;"",E1148&lt;&gt;""),"OK","ERRO: faltam "&amp;IF(A1148="","CNPJ; ","")&amp;IF(E1148="","Novo gerente; ","")))</f>
      </c>
      <c r="K1148" s="6">
        <f>IF(COUNTA(A1148:F1148)=0,"",IF(AND(LEFT(H1148,4)&lt;&gt;"ERRO",I1148="OK",J1148="OK"),"OK","REVISAR"))</f>
      </c>
    </row>
    <row r="1149">
      <c r="A1149" s="5"/>
      <c r="B1149" s="4"/>
      <c r="C1149" s="4"/>
      <c r="D1149" s="4"/>
      <c r="E1149" s="5"/>
      <c r="F1149" s="4"/>
      <c r="G1149" s="6">
        <f>IF(A1149="","",SUBSTITUTE(SUBSTITUTE(SUBSTITUTE(SUBSTITUTE(SUBSTITUTE(SUBSTITUTE(SUBSTITUTE(TRIM(A1149),".",""),"/",""),"-","")," ",""),"(",""),")",""),"+",""))</f>
      </c>
      <c r="H1149" s="6">
        <f>IF(G1149="","",IF(LEN(G1149)&lt;&gt;14,"ERRO: "&amp;LEN(G1149)&amp;" dígitos",IF(NOT(ISNUMBER(VALUE(G1149))),"ERRO: não numérico",IF(AND(VALUE(MID(G1149,13,1))=IF(MOD(SUMPRODUCT(--MID(G1149,{1,2,3,4,5,6,7,8,9,10,11,12},1),{5,4,3,2,9,8,7,6,5,4,3,2}),11)&lt;2,0,11-MOD(SUMPRODUCT(--MID(G1149,{1,2,3,4,5,6,7,8,9,10,11,12},1),{5,4,3,2,9,8,7,6,5,4,3,2}),11)),VALUE(MID(G1149,14,1))=IF(MOD(SUMPRODUCT(--MID(G1149,{1,2,3,4,5,6,7,8,9,10,11,12,13},1),{6,5,4,3,2,9,8,7,6,5,4,3,2}),11)&lt;2,0,11-MOD(SUMPRODUCT(--MID(G1149,{1,2,3,4,5,6,7,8,9,10,11,12,13},1),{6,5,4,3,2,9,8,7,6,5,4,3,2}),11))),"OK","AVISO: dígito verificador (conferir na org)"))))</f>
      </c>
      <c r="I1149" s="6">
        <f>IF(G1149="","",IF(COUNTIF($G$2:$G$2001,G1149)&gt;1,"DUPLICADO","OK"))</f>
      </c>
      <c r="J1149" s="6">
        <f>IF(COUNTA(A1149:F1149)=0,"",IF(AND(A1149&lt;&gt;"",E1149&lt;&gt;""),"OK","ERRO: faltam "&amp;IF(A1149="","CNPJ; ","")&amp;IF(E1149="","Novo gerente; ","")))</f>
      </c>
      <c r="K1149" s="6">
        <f>IF(COUNTA(A1149:F1149)=0,"",IF(AND(LEFT(H1149,4)&lt;&gt;"ERRO",I1149="OK",J1149="OK"),"OK","REVISAR"))</f>
      </c>
    </row>
    <row r="1150">
      <c r="A1150" s="5"/>
      <c r="B1150" s="4"/>
      <c r="C1150" s="4"/>
      <c r="D1150" s="4"/>
      <c r="E1150" s="5"/>
      <c r="F1150" s="4"/>
      <c r="G1150" s="6">
        <f>IF(A1150="","",SUBSTITUTE(SUBSTITUTE(SUBSTITUTE(SUBSTITUTE(SUBSTITUTE(SUBSTITUTE(SUBSTITUTE(TRIM(A1150),".",""),"/",""),"-","")," ",""),"(",""),")",""),"+",""))</f>
      </c>
      <c r="H1150" s="6">
        <f>IF(G1150="","",IF(LEN(G1150)&lt;&gt;14,"ERRO: "&amp;LEN(G1150)&amp;" dígitos",IF(NOT(ISNUMBER(VALUE(G1150))),"ERRO: não numérico",IF(AND(VALUE(MID(G1150,13,1))=IF(MOD(SUMPRODUCT(--MID(G1150,{1,2,3,4,5,6,7,8,9,10,11,12},1),{5,4,3,2,9,8,7,6,5,4,3,2}),11)&lt;2,0,11-MOD(SUMPRODUCT(--MID(G1150,{1,2,3,4,5,6,7,8,9,10,11,12},1),{5,4,3,2,9,8,7,6,5,4,3,2}),11)),VALUE(MID(G1150,14,1))=IF(MOD(SUMPRODUCT(--MID(G1150,{1,2,3,4,5,6,7,8,9,10,11,12,13},1),{6,5,4,3,2,9,8,7,6,5,4,3,2}),11)&lt;2,0,11-MOD(SUMPRODUCT(--MID(G1150,{1,2,3,4,5,6,7,8,9,10,11,12,13},1),{6,5,4,3,2,9,8,7,6,5,4,3,2}),11))),"OK","AVISO: dígito verificador (conferir na org)"))))</f>
      </c>
      <c r="I1150" s="6">
        <f>IF(G1150="","",IF(COUNTIF($G$2:$G$2001,G1150)&gt;1,"DUPLICADO","OK"))</f>
      </c>
      <c r="J1150" s="6">
        <f>IF(COUNTA(A1150:F1150)=0,"",IF(AND(A1150&lt;&gt;"",E1150&lt;&gt;""),"OK","ERRO: faltam "&amp;IF(A1150="","CNPJ; ","")&amp;IF(E1150="","Novo gerente; ","")))</f>
      </c>
      <c r="K1150" s="6">
        <f>IF(COUNTA(A1150:F1150)=0,"",IF(AND(LEFT(H1150,4)&lt;&gt;"ERRO",I1150="OK",J1150="OK"),"OK","REVISAR"))</f>
      </c>
    </row>
    <row r="1151">
      <c r="A1151" s="5"/>
      <c r="B1151" s="4"/>
      <c r="C1151" s="4"/>
      <c r="D1151" s="4"/>
      <c r="E1151" s="5"/>
      <c r="F1151" s="4"/>
      <c r="G1151" s="6">
        <f>IF(A1151="","",SUBSTITUTE(SUBSTITUTE(SUBSTITUTE(SUBSTITUTE(SUBSTITUTE(SUBSTITUTE(SUBSTITUTE(TRIM(A1151),".",""),"/",""),"-","")," ",""),"(",""),")",""),"+",""))</f>
      </c>
      <c r="H1151" s="6">
        <f>IF(G1151="","",IF(LEN(G1151)&lt;&gt;14,"ERRO: "&amp;LEN(G1151)&amp;" dígitos",IF(NOT(ISNUMBER(VALUE(G1151))),"ERRO: não numérico",IF(AND(VALUE(MID(G1151,13,1))=IF(MOD(SUMPRODUCT(--MID(G1151,{1,2,3,4,5,6,7,8,9,10,11,12},1),{5,4,3,2,9,8,7,6,5,4,3,2}),11)&lt;2,0,11-MOD(SUMPRODUCT(--MID(G1151,{1,2,3,4,5,6,7,8,9,10,11,12},1),{5,4,3,2,9,8,7,6,5,4,3,2}),11)),VALUE(MID(G1151,14,1))=IF(MOD(SUMPRODUCT(--MID(G1151,{1,2,3,4,5,6,7,8,9,10,11,12,13},1),{6,5,4,3,2,9,8,7,6,5,4,3,2}),11)&lt;2,0,11-MOD(SUMPRODUCT(--MID(G1151,{1,2,3,4,5,6,7,8,9,10,11,12,13},1),{6,5,4,3,2,9,8,7,6,5,4,3,2}),11))),"OK","AVISO: dígito verificador (conferir na org)"))))</f>
      </c>
      <c r="I1151" s="6">
        <f>IF(G1151="","",IF(COUNTIF($G$2:$G$2001,G1151)&gt;1,"DUPLICADO","OK"))</f>
      </c>
      <c r="J1151" s="6">
        <f>IF(COUNTA(A1151:F1151)=0,"",IF(AND(A1151&lt;&gt;"",E1151&lt;&gt;""),"OK","ERRO: faltam "&amp;IF(A1151="","CNPJ; ","")&amp;IF(E1151="","Novo gerente; ","")))</f>
      </c>
      <c r="K1151" s="6">
        <f>IF(COUNTA(A1151:F1151)=0,"",IF(AND(LEFT(H1151,4)&lt;&gt;"ERRO",I1151="OK",J1151="OK"),"OK","REVISAR"))</f>
      </c>
    </row>
    <row r="1152">
      <c r="A1152" s="5"/>
      <c r="B1152" s="4"/>
      <c r="C1152" s="4"/>
      <c r="D1152" s="4"/>
      <c r="E1152" s="5"/>
      <c r="F1152" s="4"/>
      <c r="G1152" s="6">
        <f>IF(A1152="","",SUBSTITUTE(SUBSTITUTE(SUBSTITUTE(SUBSTITUTE(SUBSTITUTE(SUBSTITUTE(SUBSTITUTE(TRIM(A1152),".",""),"/",""),"-","")," ",""),"(",""),")",""),"+",""))</f>
      </c>
      <c r="H1152" s="6">
        <f>IF(G1152="","",IF(LEN(G1152)&lt;&gt;14,"ERRO: "&amp;LEN(G1152)&amp;" dígitos",IF(NOT(ISNUMBER(VALUE(G1152))),"ERRO: não numérico",IF(AND(VALUE(MID(G1152,13,1))=IF(MOD(SUMPRODUCT(--MID(G1152,{1,2,3,4,5,6,7,8,9,10,11,12},1),{5,4,3,2,9,8,7,6,5,4,3,2}),11)&lt;2,0,11-MOD(SUMPRODUCT(--MID(G1152,{1,2,3,4,5,6,7,8,9,10,11,12},1),{5,4,3,2,9,8,7,6,5,4,3,2}),11)),VALUE(MID(G1152,14,1))=IF(MOD(SUMPRODUCT(--MID(G1152,{1,2,3,4,5,6,7,8,9,10,11,12,13},1),{6,5,4,3,2,9,8,7,6,5,4,3,2}),11)&lt;2,0,11-MOD(SUMPRODUCT(--MID(G1152,{1,2,3,4,5,6,7,8,9,10,11,12,13},1),{6,5,4,3,2,9,8,7,6,5,4,3,2}),11))),"OK","AVISO: dígito verificador (conferir na org)"))))</f>
      </c>
      <c r="I1152" s="6">
        <f>IF(G1152="","",IF(COUNTIF($G$2:$G$2001,G1152)&gt;1,"DUPLICADO","OK"))</f>
      </c>
      <c r="J1152" s="6">
        <f>IF(COUNTA(A1152:F1152)=0,"",IF(AND(A1152&lt;&gt;"",E1152&lt;&gt;""),"OK","ERRO: faltam "&amp;IF(A1152="","CNPJ; ","")&amp;IF(E1152="","Novo gerente; ","")))</f>
      </c>
      <c r="K1152" s="6">
        <f>IF(COUNTA(A1152:F1152)=0,"",IF(AND(LEFT(H1152,4)&lt;&gt;"ERRO",I1152="OK",J1152="OK"),"OK","REVISAR"))</f>
      </c>
    </row>
    <row r="1153">
      <c r="A1153" s="5"/>
      <c r="B1153" s="4"/>
      <c r="C1153" s="4"/>
      <c r="D1153" s="4"/>
      <c r="E1153" s="5"/>
      <c r="F1153" s="4"/>
      <c r="G1153" s="6">
        <f>IF(A1153="","",SUBSTITUTE(SUBSTITUTE(SUBSTITUTE(SUBSTITUTE(SUBSTITUTE(SUBSTITUTE(SUBSTITUTE(TRIM(A1153),".",""),"/",""),"-","")," ",""),"(",""),")",""),"+",""))</f>
      </c>
      <c r="H1153" s="6">
        <f>IF(G1153="","",IF(LEN(G1153)&lt;&gt;14,"ERRO: "&amp;LEN(G1153)&amp;" dígitos",IF(NOT(ISNUMBER(VALUE(G1153))),"ERRO: não numérico",IF(AND(VALUE(MID(G1153,13,1))=IF(MOD(SUMPRODUCT(--MID(G1153,{1,2,3,4,5,6,7,8,9,10,11,12},1),{5,4,3,2,9,8,7,6,5,4,3,2}),11)&lt;2,0,11-MOD(SUMPRODUCT(--MID(G1153,{1,2,3,4,5,6,7,8,9,10,11,12},1),{5,4,3,2,9,8,7,6,5,4,3,2}),11)),VALUE(MID(G1153,14,1))=IF(MOD(SUMPRODUCT(--MID(G1153,{1,2,3,4,5,6,7,8,9,10,11,12,13},1),{6,5,4,3,2,9,8,7,6,5,4,3,2}),11)&lt;2,0,11-MOD(SUMPRODUCT(--MID(G1153,{1,2,3,4,5,6,7,8,9,10,11,12,13},1),{6,5,4,3,2,9,8,7,6,5,4,3,2}),11))),"OK","AVISO: dígito verificador (conferir na org)"))))</f>
      </c>
      <c r="I1153" s="6">
        <f>IF(G1153="","",IF(COUNTIF($G$2:$G$2001,G1153)&gt;1,"DUPLICADO","OK"))</f>
      </c>
      <c r="J1153" s="6">
        <f>IF(COUNTA(A1153:F1153)=0,"",IF(AND(A1153&lt;&gt;"",E1153&lt;&gt;""),"OK","ERRO: faltam "&amp;IF(A1153="","CNPJ; ","")&amp;IF(E1153="","Novo gerente; ","")))</f>
      </c>
      <c r="K1153" s="6">
        <f>IF(COUNTA(A1153:F1153)=0,"",IF(AND(LEFT(H1153,4)&lt;&gt;"ERRO",I1153="OK",J1153="OK"),"OK","REVISAR"))</f>
      </c>
    </row>
    <row r="1154">
      <c r="A1154" s="5"/>
      <c r="B1154" s="4"/>
      <c r="C1154" s="4"/>
      <c r="D1154" s="4"/>
      <c r="E1154" s="5"/>
      <c r="F1154" s="4"/>
      <c r="G1154" s="6">
        <f>IF(A1154="","",SUBSTITUTE(SUBSTITUTE(SUBSTITUTE(SUBSTITUTE(SUBSTITUTE(SUBSTITUTE(SUBSTITUTE(TRIM(A1154),".",""),"/",""),"-","")," ",""),"(",""),")",""),"+",""))</f>
      </c>
      <c r="H1154" s="6">
        <f>IF(G1154="","",IF(LEN(G1154)&lt;&gt;14,"ERRO: "&amp;LEN(G1154)&amp;" dígitos",IF(NOT(ISNUMBER(VALUE(G1154))),"ERRO: não numérico",IF(AND(VALUE(MID(G1154,13,1))=IF(MOD(SUMPRODUCT(--MID(G1154,{1,2,3,4,5,6,7,8,9,10,11,12},1),{5,4,3,2,9,8,7,6,5,4,3,2}),11)&lt;2,0,11-MOD(SUMPRODUCT(--MID(G1154,{1,2,3,4,5,6,7,8,9,10,11,12},1),{5,4,3,2,9,8,7,6,5,4,3,2}),11)),VALUE(MID(G1154,14,1))=IF(MOD(SUMPRODUCT(--MID(G1154,{1,2,3,4,5,6,7,8,9,10,11,12,13},1),{6,5,4,3,2,9,8,7,6,5,4,3,2}),11)&lt;2,0,11-MOD(SUMPRODUCT(--MID(G1154,{1,2,3,4,5,6,7,8,9,10,11,12,13},1),{6,5,4,3,2,9,8,7,6,5,4,3,2}),11))),"OK","AVISO: dígito verificador (conferir na org)"))))</f>
      </c>
      <c r="I1154" s="6">
        <f>IF(G1154="","",IF(COUNTIF($G$2:$G$2001,G1154)&gt;1,"DUPLICADO","OK"))</f>
      </c>
      <c r="J1154" s="6">
        <f>IF(COUNTA(A1154:F1154)=0,"",IF(AND(A1154&lt;&gt;"",E1154&lt;&gt;""),"OK","ERRO: faltam "&amp;IF(A1154="","CNPJ; ","")&amp;IF(E1154="","Novo gerente; ","")))</f>
      </c>
      <c r="K1154" s="6">
        <f>IF(COUNTA(A1154:F1154)=0,"",IF(AND(LEFT(H1154,4)&lt;&gt;"ERRO",I1154="OK",J1154="OK"),"OK","REVISAR"))</f>
      </c>
    </row>
    <row r="1155">
      <c r="A1155" s="5"/>
      <c r="B1155" s="4"/>
      <c r="C1155" s="4"/>
      <c r="D1155" s="4"/>
      <c r="E1155" s="5"/>
      <c r="F1155" s="4"/>
      <c r="G1155" s="6">
        <f>IF(A1155="","",SUBSTITUTE(SUBSTITUTE(SUBSTITUTE(SUBSTITUTE(SUBSTITUTE(SUBSTITUTE(SUBSTITUTE(TRIM(A1155),".",""),"/",""),"-","")," ",""),"(",""),")",""),"+",""))</f>
      </c>
      <c r="H1155" s="6">
        <f>IF(G1155="","",IF(LEN(G1155)&lt;&gt;14,"ERRO: "&amp;LEN(G1155)&amp;" dígitos",IF(NOT(ISNUMBER(VALUE(G1155))),"ERRO: não numérico",IF(AND(VALUE(MID(G1155,13,1))=IF(MOD(SUMPRODUCT(--MID(G1155,{1,2,3,4,5,6,7,8,9,10,11,12},1),{5,4,3,2,9,8,7,6,5,4,3,2}),11)&lt;2,0,11-MOD(SUMPRODUCT(--MID(G1155,{1,2,3,4,5,6,7,8,9,10,11,12},1),{5,4,3,2,9,8,7,6,5,4,3,2}),11)),VALUE(MID(G1155,14,1))=IF(MOD(SUMPRODUCT(--MID(G1155,{1,2,3,4,5,6,7,8,9,10,11,12,13},1),{6,5,4,3,2,9,8,7,6,5,4,3,2}),11)&lt;2,0,11-MOD(SUMPRODUCT(--MID(G1155,{1,2,3,4,5,6,7,8,9,10,11,12,13},1),{6,5,4,3,2,9,8,7,6,5,4,3,2}),11))),"OK","AVISO: dígito verificador (conferir na org)"))))</f>
      </c>
      <c r="I1155" s="6">
        <f>IF(G1155="","",IF(COUNTIF($G$2:$G$2001,G1155)&gt;1,"DUPLICADO","OK"))</f>
      </c>
      <c r="J1155" s="6">
        <f>IF(COUNTA(A1155:F1155)=0,"",IF(AND(A1155&lt;&gt;"",E1155&lt;&gt;""),"OK","ERRO: faltam "&amp;IF(A1155="","CNPJ; ","")&amp;IF(E1155="","Novo gerente; ","")))</f>
      </c>
      <c r="K1155" s="6">
        <f>IF(COUNTA(A1155:F1155)=0,"",IF(AND(LEFT(H1155,4)&lt;&gt;"ERRO",I1155="OK",J1155="OK"),"OK","REVISAR"))</f>
      </c>
    </row>
    <row r="1156">
      <c r="A1156" s="5"/>
      <c r="B1156" s="4"/>
      <c r="C1156" s="4"/>
      <c r="D1156" s="4"/>
      <c r="E1156" s="5"/>
      <c r="F1156" s="4"/>
      <c r="G1156" s="6">
        <f>IF(A1156="","",SUBSTITUTE(SUBSTITUTE(SUBSTITUTE(SUBSTITUTE(SUBSTITUTE(SUBSTITUTE(SUBSTITUTE(TRIM(A1156),".",""),"/",""),"-","")," ",""),"(",""),")",""),"+",""))</f>
      </c>
      <c r="H1156" s="6">
        <f>IF(G1156="","",IF(LEN(G1156)&lt;&gt;14,"ERRO: "&amp;LEN(G1156)&amp;" dígitos",IF(NOT(ISNUMBER(VALUE(G1156))),"ERRO: não numérico",IF(AND(VALUE(MID(G1156,13,1))=IF(MOD(SUMPRODUCT(--MID(G1156,{1,2,3,4,5,6,7,8,9,10,11,12},1),{5,4,3,2,9,8,7,6,5,4,3,2}),11)&lt;2,0,11-MOD(SUMPRODUCT(--MID(G1156,{1,2,3,4,5,6,7,8,9,10,11,12},1),{5,4,3,2,9,8,7,6,5,4,3,2}),11)),VALUE(MID(G1156,14,1))=IF(MOD(SUMPRODUCT(--MID(G1156,{1,2,3,4,5,6,7,8,9,10,11,12,13},1),{6,5,4,3,2,9,8,7,6,5,4,3,2}),11)&lt;2,0,11-MOD(SUMPRODUCT(--MID(G1156,{1,2,3,4,5,6,7,8,9,10,11,12,13},1),{6,5,4,3,2,9,8,7,6,5,4,3,2}),11))),"OK","AVISO: dígito verificador (conferir na org)"))))</f>
      </c>
      <c r="I1156" s="6">
        <f>IF(G1156="","",IF(COUNTIF($G$2:$G$2001,G1156)&gt;1,"DUPLICADO","OK"))</f>
      </c>
      <c r="J1156" s="6">
        <f>IF(COUNTA(A1156:F1156)=0,"",IF(AND(A1156&lt;&gt;"",E1156&lt;&gt;""),"OK","ERRO: faltam "&amp;IF(A1156="","CNPJ; ","")&amp;IF(E1156="","Novo gerente; ","")))</f>
      </c>
      <c r="K1156" s="6">
        <f>IF(COUNTA(A1156:F1156)=0,"",IF(AND(LEFT(H1156,4)&lt;&gt;"ERRO",I1156="OK",J1156="OK"),"OK","REVISAR"))</f>
      </c>
    </row>
    <row r="1157">
      <c r="A1157" s="5"/>
      <c r="B1157" s="4"/>
      <c r="C1157" s="4"/>
      <c r="D1157" s="4"/>
      <c r="E1157" s="5"/>
      <c r="F1157" s="4"/>
      <c r="G1157" s="6">
        <f>IF(A1157="","",SUBSTITUTE(SUBSTITUTE(SUBSTITUTE(SUBSTITUTE(SUBSTITUTE(SUBSTITUTE(SUBSTITUTE(TRIM(A1157),".",""),"/",""),"-","")," ",""),"(",""),")",""),"+",""))</f>
      </c>
      <c r="H1157" s="6">
        <f>IF(G1157="","",IF(LEN(G1157)&lt;&gt;14,"ERRO: "&amp;LEN(G1157)&amp;" dígitos",IF(NOT(ISNUMBER(VALUE(G1157))),"ERRO: não numérico",IF(AND(VALUE(MID(G1157,13,1))=IF(MOD(SUMPRODUCT(--MID(G1157,{1,2,3,4,5,6,7,8,9,10,11,12},1),{5,4,3,2,9,8,7,6,5,4,3,2}),11)&lt;2,0,11-MOD(SUMPRODUCT(--MID(G1157,{1,2,3,4,5,6,7,8,9,10,11,12},1),{5,4,3,2,9,8,7,6,5,4,3,2}),11)),VALUE(MID(G1157,14,1))=IF(MOD(SUMPRODUCT(--MID(G1157,{1,2,3,4,5,6,7,8,9,10,11,12,13},1),{6,5,4,3,2,9,8,7,6,5,4,3,2}),11)&lt;2,0,11-MOD(SUMPRODUCT(--MID(G1157,{1,2,3,4,5,6,7,8,9,10,11,12,13},1),{6,5,4,3,2,9,8,7,6,5,4,3,2}),11))),"OK","AVISO: dígito verificador (conferir na org)"))))</f>
      </c>
      <c r="I1157" s="6">
        <f>IF(G1157="","",IF(COUNTIF($G$2:$G$2001,G1157)&gt;1,"DUPLICADO","OK"))</f>
      </c>
      <c r="J1157" s="6">
        <f>IF(COUNTA(A1157:F1157)=0,"",IF(AND(A1157&lt;&gt;"",E1157&lt;&gt;""),"OK","ERRO: faltam "&amp;IF(A1157="","CNPJ; ","")&amp;IF(E1157="","Novo gerente; ","")))</f>
      </c>
      <c r="K1157" s="6">
        <f>IF(COUNTA(A1157:F1157)=0,"",IF(AND(LEFT(H1157,4)&lt;&gt;"ERRO",I1157="OK",J1157="OK"),"OK","REVISAR"))</f>
      </c>
    </row>
    <row r="1158">
      <c r="A1158" s="5"/>
      <c r="B1158" s="4"/>
      <c r="C1158" s="4"/>
      <c r="D1158" s="4"/>
      <c r="E1158" s="5"/>
      <c r="F1158" s="4"/>
      <c r="G1158" s="6">
        <f>IF(A1158="","",SUBSTITUTE(SUBSTITUTE(SUBSTITUTE(SUBSTITUTE(SUBSTITUTE(SUBSTITUTE(SUBSTITUTE(TRIM(A1158),".",""),"/",""),"-","")," ",""),"(",""),")",""),"+",""))</f>
      </c>
      <c r="H1158" s="6">
        <f>IF(G1158="","",IF(LEN(G1158)&lt;&gt;14,"ERRO: "&amp;LEN(G1158)&amp;" dígitos",IF(NOT(ISNUMBER(VALUE(G1158))),"ERRO: não numérico",IF(AND(VALUE(MID(G1158,13,1))=IF(MOD(SUMPRODUCT(--MID(G1158,{1,2,3,4,5,6,7,8,9,10,11,12},1),{5,4,3,2,9,8,7,6,5,4,3,2}),11)&lt;2,0,11-MOD(SUMPRODUCT(--MID(G1158,{1,2,3,4,5,6,7,8,9,10,11,12},1),{5,4,3,2,9,8,7,6,5,4,3,2}),11)),VALUE(MID(G1158,14,1))=IF(MOD(SUMPRODUCT(--MID(G1158,{1,2,3,4,5,6,7,8,9,10,11,12,13},1),{6,5,4,3,2,9,8,7,6,5,4,3,2}),11)&lt;2,0,11-MOD(SUMPRODUCT(--MID(G1158,{1,2,3,4,5,6,7,8,9,10,11,12,13},1),{6,5,4,3,2,9,8,7,6,5,4,3,2}),11))),"OK","AVISO: dígito verificador (conferir na org)"))))</f>
      </c>
      <c r="I1158" s="6">
        <f>IF(G1158="","",IF(COUNTIF($G$2:$G$2001,G1158)&gt;1,"DUPLICADO","OK"))</f>
      </c>
      <c r="J1158" s="6">
        <f>IF(COUNTA(A1158:F1158)=0,"",IF(AND(A1158&lt;&gt;"",E1158&lt;&gt;""),"OK","ERRO: faltam "&amp;IF(A1158="","CNPJ; ","")&amp;IF(E1158="","Novo gerente; ","")))</f>
      </c>
      <c r="K1158" s="6">
        <f>IF(COUNTA(A1158:F1158)=0,"",IF(AND(LEFT(H1158,4)&lt;&gt;"ERRO",I1158="OK",J1158="OK"),"OK","REVISAR"))</f>
      </c>
    </row>
    <row r="1159">
      <c r="A1159" s="5"/>
      <c r="B1159" s="4"/>
      <c r="C1159" s="4"/>
      <c r="D1159" s="4"/>
      <c r="E1159" s="5"/>
      <c r="F1159" s="4"/>
      <c r="G1159" s="6">
        <f>IF(A1159="","",SUBSTITUTE(SUBSTITUTE(SUBSTITUTE(SUBSTITUTE(SUBSTITUTE(SUBSTITUTE(SUBSTITUTE(TRIM(A1159),".",""),"/",""),"-","")," ",""),"(",""),")",""),"+",""))</f>
      </c>
      <c r="H1159" s="6">
        <f>IF(G1159="","",IF(LEN(G1159)&lt;&gt;14,"ERRO: "&amp;LEN(G1159)&amp;" dígitos",IF(NOT(ISNUMBER(VALUE(G1159))),"ERRO: não numérico",IF(AND(VALUE(MID(G1159,13,1))=IF(MOD(SUMPRODUCT(--MID(G1159,{1,2,3,4,5,6,7,8,9,10,11,12},1),{5,4,3,2,9,8,7,6,5,4,3,2}),11)&lt;2,0,11-MOD(SUMPRODUCT(--MID(G1159,{1,2,3,4,5,6,7,8,9,10,11,12},1),{5,4,3,2,9,8,7,6,5,4,3,2}),11)),VALUE(MID(G1159,14,1))=IF(MOD(SUMPRODUCT(--MID(G1159,{1,2,3,4,5,6,7,8,9,10,11,12,13},1),{6,5,4,3,2,9,8,7,6,5,4,3,2}),11)&lt;2,0,11-MOD(SUMPRODUCT(--MID(G1159,{1,2,3,4,5,6,7,8,9,10,11,12,13},1),{6,5,4,3,2,9,8,7,6,5,4,3,2}),11))),"OK","AVISO: dígito verificador (conferir na org)"))))</f>
      </c>
      <c r="I1159" s="6">
        <f>IF(G1159="","",IF(COUNTIF($G$2:$G$2001,G1159)&gt;1,"DUPLICADO","OK"))</f>
      </c>
      <c r="J1159" s="6">
        <f>IF(COUNTA(A1159:F1159)=0,"",IF(AND(A1159&lt;&gt;"",E1159&lt;&gt;""),"OK","ERRO: faltam "&amp;IF(A1159="","CNPJ; ","")&amp;IF(E1159="","Novo gerente; ","")))</f>
      </c>
      <c r="K1159" s="6">
        <f>IF(COUNTA(A1159:F1159)=0,"",IF(AND(LEFT(H1159,4)&lt;&gt;"ERRO",I1159="OK",J1159="OK"),"OK","REVISAR"))</f>
      </c>
    </row>
    <row r="1160">
      <c r="A1160" s="5"/>
      <c r="B1160" s="4"/>
      <c r="C1160" s="4"/>
      <c r="D1160" s="4"/>
      <c r="E1160" s="5"/>
      <c r="F1160" s="4"/>
      <c r="G1160" s="6">
        <f>IF(A1160="","",SUBSTITUTE(SUBSTITUTE(SUBSTITUTE(SUBSTITUTE(SUBSTITUTE(SUBSTITUTE(SUBSTITUTE(TRIM(A1160),".",""),"/",""),"-","")," ",""),"(",""),")",""),"+",""))</f>
      </c>
      <c r="H1160" s="6">
        <f>IF(G1160="","",IF(LEN(G1160)&lt;&gt;14,"ERRO: "&amp;LEN(G1160)&amp;" dígitos",IF(NOT(ISNUMBER(VALUE(G1160))),"ERRO: não numérico",IF(AND(VALUE(MID(G1160,13,1))=IF(MOD(SUMPRODUCT(--MID(G1160,{1,2,3,4,5,6,7,8,9,10,11,12},1),{5,4,3,2,9,8,7,6,5,4,3,2}),11)&lt;2,0,11-MOD(SUMPRODUCT(--MID(G1160,{1,2,3,4,5,6,7,8,9,10,11,12},1),{5,4,3,2,9,8,7,6,5,4,3,2}),11)),VALUE(MID(G1160,14,1))=IF(MOD(SUMPRODUCT(--MID(G1160,{1,2,3,4,5,6,7,8,9,10,11,12,13},1),{6,5,4,3,2,9,8,7,6,5,4,3,2}),11)&lt;2,0,11-MOD(SUMPRODUCT(--MID(G1160,{1,2,3,4,5,6,7,8,9,10,11,12,13},1),{6,5,4,3,2,9,8,7,6,5,4,3,2}),11))),"OK","AVISO: dígito verificador (conferir na org)"))))</f>
      </c>
      <c r="I1160" s="6">
        <f>IF(G1160="","",IF(COUNTIF($G$2:$G$2001,G1160)&gt;1,"DUPLICADO","OK"))</f>
      </c>
      <c r="J1160" s="6">
        <f>IF(COUNTA(A1160:F1160)=0,"",IF(AND(A1160&lt;&gt;"",E1160&lt;&gt;""),"OK","ERRO: faltam "&amp;IF(A1160="","CNPJ; ","")&amp;IF(E1160="","Novo gerente; ","")))</f>
      </c>
      <c r="K1160" s="6">
        <f>IF(COUNTA(A1160:F1160)=0,"",IF(AND(LEFT(H1160,4)&lt;&gt;"ERRO",I1160="OK",J1160="OK"),"OK","REVISAR"))</f>
      </c>
    </row>
    <row r="1161">
      <c r="A1161" s="5"/>
      <c r="B1161" s="4"/>
      <c r="C1161" s="4"/>
      <c r="D1161" s="4"/>
      <c r="E1161" s="5"/>
      <c r="F1161" s="4"/>
      <c r="G1161" s="6">
        <f>IF(A1161="","",SUBSTITUTE(SUBSTITUTE(SUBSTITUTE(SUBSTITUTE(SUBSTITUTE(SUBSTITUTE(SUBSTITUTE(TRIM(A1161),".",""),"/",""),"-","")," ",""),"(",""),")",""),"+",""))</f>
      </c>
      <c r="H1161" s="6">
        <f>IF(G1161="","",IF(LEN(G1161)&lt;&gt;14,"ERRO: "&amp;LEN(G1161)&amp;" dígitos",IF(NOT(ISNUMBER(VALUE(G1161))),"ERRO: não numérico",IF(AND(VALUE(MID(G1161,13,1))=IF(MOD(SUMPRODUCT(--MID(G1161,{1,2,3,4,5,6,7,8,9,10,11,12},1),{5,4,3,2,9,8,7,6,5,4,3,2}),11)&lt;2,0,11-MOD(SUMPRODUCT(--MID(G1161,{1,2,3,4,5,6,7,8,9,10,11,12},1),{5,4,3,2,9,8,7,6,5,4,3,2}),11)),VALUE(MID(G1161,14,1))=IF(MOD(SUMPRODUCT(--MID(G1161,{1,2,3,4,5,6,7,8,9,10,11,12,13},1),{6,5,4,3,2,9,8,7,6,5,4,3,2}),11)&lt;2,0,11-MOD(SUMPRODUCT(--MID(G1161,{1,2,3,4,5,6,7,8,9,10,11,12,13},1),{6,5,4,3,2,9,8,7,6,5,4,3,2}),11))),"OK","AVISO: dígito verificador (conferir na org)"))))</f>
      </c>
      <c r="I1161" s="6">
        <f>IF(G1161="","",IF(COUNTIF($G$2:$G$2001,G1161)&gt;1,"DUPLICADO","OK"))</f>
      </c>
      <c r="J1161" s="6">
        <f>IF(COUNTA(A1161:F1161)=0,"",IF(AND(A1161&lt;&gt;"",E1161&lt;&gt;""),"OK","ERRO: faltam "&amp;IF(A1161="","CNPJ; ","")&amp;IF(E1161="","Novo gerente; ","")))</f>
      </c>
      <c r="K1161" s="6">
        <f>IF(COUNTA(A1161:F1161)=0,"",IF(AND(LEFT(H1161,4)&lt;&gt;"ERRO",I1161="OK",J1161="OK"),"OK","REVISAR"))</f>
      </c>
    </row>
    <row r="1162">
      <c r="A1162" s="5"/>
      <c r="B1162" s="4"/>
      <c r="C1162" s="4"/>
      <c r="D1162" s="4"/>
      <c r="E1162" s="5"/>
      <c r="F1162" s="4"/>
      <c r="G1162" s="6">
        <f>IF(A1162="","",SUBSTITUTE(SUBSTITUTE(SUBSTITUTE(SUBSTITUTE(SUBSTITUTE(SUBSTITUTE(SUBSTITUTE(TRIM(A1162),".",""),"/",""),"-","")," ",""),"(",""),")",""),"+",""))</f>
      </c>
      <c r="H1162" s="6">
        <f>IF(G1162="","",IF(LEN(G1162)&lt;&gt;14,"ERRO: "&amp;LEN(G1162)&amp;" dígitos",IF(NOT(ISNUMBER(VALUE(G1162))),"ERRO: não numérico",IF(AND(VALUE(MID(G1162,13,1))=IF(MOD(SUMPRODUCT(--MID(G1162,{1,2,3,4,5,6,7,8,9,10,11,12},1),{5,4,3,2,9,8,7,6,5,4,3,2}),11)&lt;2,0,11-MOD(SUMPRODUCT(--MID(G1162,{1,2,3,4,5,6,7,8,9,10,11,12},1),{5,4,3,2,9,8,7,6,5,4,3,2}),11)),VALUE(MID(G1162,14,1))=IF(MOD(SUMPRODUCT(--MID(G1162,{1,2,3,4,5,6,7,8,9,10,11,12,13},1),{6,5,4,3,2,9,8,7,6,5,4,3,2}),11)&lt;2,0,11-MOD(SUMPRODUCT(--MID(G1162,{1,2,3,4,5,6,7,8,9,10,11,12,13},1),{6,5,4,3,2,9,8,7,6,5,4,3,2}),11))),"OK","AVISO: dígito verificador (conferir na org)"))))</f>
      </c>
      <c r="I1162" s="6">
        <f>IF(G1162="","",IF(COUNTIF($G$2:$G$2001,G1162)&gt;1,"DUPLICADO","OK"))</f>
      </c>
      <c r="J1162" s="6">
        <f>IF(COUNTA(A1162:F1162)=0,"",IF(AND(A1162&lt;&gt;"",E1162&lt;&gt;""),"OK","ERRO: faltam "&amp;IF(A1162="","CNPJ; ","")&amp;IF(E1162="","Novo gerente; ","")))</f>
      </c>
      <c r="K1162" s="6">
        <f>IF(COUNTA(A1162:F1162)=0,"",IF(AND(LEFT(H1162,4)&lt;&gt;"ERRO",I1162="OK",J1162="OK"),"OK","REVISAR"))</f>
      </c>
    </row>
    <row r="1163">
      <c r="A1163" s="5"/>
      <c r="B1163" s="4"/>
      <c r="C1163" s="4"/>
      <c r="D1163" s="4"/>
      <c r="E1163" s="5"/>
      <c r="F1163" s="4"/>
      <c r="G1163" s="6">
        <f>IF(A1163="","",SUBSTITUTE(SUBSTITUTE(SUBSTITUTE(SUBSTITUTE(SUBSTITUTE(SUBSTITUTE(SUBSTITUTE(TRIM(A1163),".",""),"/",""),"-","")," ",""),"(",""),")",""),"+",""))</f>
      </c>
      <c r="H1163" s="6">
        <f>IF(G1163="","",IF(LEN(G1163)&lt;&gt;14,"ERRO: "&amp;LEN(G1163)&amp;" dígitos",IF(NOT(ISNUMBER(VALUE(G1163))),"ERRO: não numérico",IF(AND(VALUE(MID(G1163,13,1))=IF(MOD(SUMPRODUCT(--MID(G1163,{1,2,3,4,5,6,7,8,9,10,11,12},1),{5,4,3,2,9,8,7,6,5,4,3,2}),11)&lt;2,0,11-MOD(SUMPRODUCT(--MID(G1163,{1,2,3,4,5,6,7,8,9,10,11,12},1),{5,4,3,2,9,8,7,6,5,4,3,2}),11)),VALUE(MID(G1163,14,1))=IF(MOD(SUMPRODUCT(--MID(G1163,{1,2,3,4,5,6,7,8,9,10,11,12,13},1),{6,5,4,3,2,9,8,7,6,5,4,3,2}),11)&lt;2,0,11-MOD(SUMPRODUCT(--MID(G1163,{1,2,3,4,5,6,7,8,9,10,11,12,13},1),{6,5,4,3,2,9,8,7,6,5,4,3,2}),11))),"OK","AVISO: dígito verificador (conferir na org)"))))</f>
      </c>
      <c r="I1163" s="6">
        <f>IF(G1163="","",IF(COUNTIF($G$2:$G$2001,G1163)&gt;1,"DUPLICADO","OK"))</f>
      </c>
      <c r="J1163" s="6">
        <f>IF(COUNTA(A1163:F1163)=0,"",IF(AND(A1163&lt;&gt;"",E1163&lt;&gt;""),"OK","ERRO: faltam "&amp;IF(A1163="","CNPJ; ","")&amp;IF(E1163="","Novo gerente; ","")))</f>
      </c>
      <c r="K1163" s="6">
        <f>IF(COUNTA(A1163:F1163)=0,"",IF(AND(LEFT(H1163,4)&lt;&gt;"ERRO",I1163="OK",J1163="OK"),"OK","REVISAR"))</f>
      </c>
    </row>
    <row r="1164">
      <c r="A1164" s="5"/>
      <c r="B1164" s="4"/>
      <c r="C1164" s="4"/>
      <c r="D1164" s="4"/>
      <c r="E1164" s="5"/>
      <c r="F1164" s="4"/>
      <c r="G1164" s="6">
        <f>IF(A1164="","",SUBSTITUTE(SUBSTITUTE(SUBSTITUTE(SUBSTITUTE(SUBSTITUTE(SUBSTITUTE(SUBSTITUTE(TRIM(A1164),".",""),"/",""),"-","")," ",""),"(",""),")",""),"+",""))</f>
      </c>
      <c r="H1164" s="6">
        <f>IF(G1164="","",IF(LEN(G1164)&lt;&gt;14,"ERRO: "&amp;LEN(G1164)&amp;" dígitos",IF(NOT(ISNUMBER(VALUE(G1164))),"ERRO: não numérico",IF(AND(VALUE(MID(G1164,13,1))=IF(MOD(SUMPRODUCT(--MID(G1164,{1,2,3,4,5,6,7,8,9,10,11,12},1),{5,4,3,2,9,8,7,6,5,4,3,2}),11)&lt;2,0,11-MOD(SUMPRODUCT(--MID(G1164,{1,2,3,4,5,6,7,8,9,10,11,12},1),{5,4,3,2,9,8,7,6,5,4,3,2}),11)),VALUE(MID(G1164,14,1))=IF(MOD(SUMPRODUCT(--MID(G1164,{1,2,3,4,5,6,7,8,9,10,11,12,13},1),{6,5,4,3,2,9,8,7,6,5,4,3,2}),11)&lt;2,0,11-MOD(SUMPRODUCT(--MID(G1164,{1,2,3,4,5,6,7,8,9,10,11,12,13},1),{6,5,4,3,2,9,8,7,6,5,4,3,2}),11))),"OK","AVISO: dígito verificador (conferir na org)"))))</f>
      </c>
      <c r="I1164" s="6">
        <f>IF(G1164="","",IF(COUNTIF($G$2:$G$2001,G1164)&gt;1,"DUPLICADO","OK"))</f>
      </c>
      <c r="J1164" s="6">
        <f>IF(COUNTA(A1164:F1164)=0,"",IF(AND(A1164&lt;&gt;"",E1164&lt;&gt;""),"OK","ERRO: faltam "&amp;IF(A1164="","CNPJ; ","")&amp;IF(E1164="","Novo gerente; ","")))</f>
      </c>
      <c r="K1164" s="6">
        <f>IF(COUNTA(A1164:F1164)=0,"",IF(AND(LEFT(H1164,4)&lt;&gt;"ERRO",I1164="OK",J1164="OK"),"OK","REVISAR"))</f>
      </c>
    </row>
    <row r="1165">
      <c r="A1165" s="5"/>
      <c r="B1165" s="4"/>
      <c r="C1165" s="4"/>
      <c r="D1165" s="4"/>
      <c r="E1165" s="5"/>
      <c r="F1165" s="4"/>
      <c r="G1165" s="6">
        <f>IF(A1165="","",SUBSTITUTE(SUBSTITUTE(SUBSTITUTE(SUBSTITUTE(SUBSTITUTE(SUBSTITUTE(SUBSTITUTE(TRIM(A1165),".",""),"/",""),"-","")," ",""),"(",""),")",""),"+",""))</f>
      </c>
      <c r="H1165" s="6">
        <f>IF(G1165="","",IF(LEN(G1165)&lt;&gt;14,"ERRO: "&amp;LEN(G1165)&amp;" dígitos",IF(NOT(ISNUMBER(VALUE(G1165))),"ERRO: não numérico",IF(AND(VALUE(MID(G1165,13,1))=IF(MOD(SUMPRODUCT(--MID(G1165,{1,2,3,4,5,6,7,8,9,10,11,12},1),{5,4,3,2,9,8,7,6,5,4,3,2}),11)&lt;2,0,11-MOD(SUMPRODUCT(--MID(G1165,{1,2,3,4,5,6,7,8,9,10,11,12},1),{5,4,3,2,9,8,7,6,5,4,3,2}),11)),VALUE(MID(G1165,14,1))=IF(MOD(SUMPRODUCT(--MID(G1165,{1,2,3,4,5,6,7,8,9,10,11,12,13},1),{6,5,4,3,2,9,8,7,6,5,4,3,2}),11)&lt;2,0,11-MOD(SUMPRODUCT(--MID(G1165,{1,2,3,4,5,6,7,8,9,10,11,12,13},1),{6,5,4,3,2,9,8,7,6,5,4,3,2}),11))),"OK","AVISO: dígito verificador (conferir na org)"))))</f>
      </c>
      <c r="I1165" s="6">
        <f>IF(G1165="","",IF(COUNTIF($G$2:$G$2001,G1165)&gt;1,"DUPLICADO","OK"))</f>
      </c>
      <c r="J1165" s="6">
        <f>IF(COUNTA(A1165:F1165)=0,"",IF(AND(A1165&lt;&gt;"",E1165&lt;&gt;""),"OK","ERRO: faltam "&amp;IF(A1165="","CNPJ; ","")&amp;IF(E1165="","Novo gerente; ","")))</f>
      </c>
      <c r="K1165" s="6">
        <f>IF(COUNTA(A1165:F1165)=0,"",IF(AND(LEFT(H1165,4)&lt;&gt;"ERRO",I1165="OK",J1165="OK"),"OK","REVISAR"))</f>
      </c>
    </row>
    <row r="1166">
      <c r="A1166" s="5"/>
      <c r="B1166" s="4"/>
      <c r="C1166" s="4"/>
      <c r="D1166" s="4"/>
      <c r="E1166" s="5"/>
      <c r="F1166" s="4"/>
      <c r="G1166" s="6">
        <f>IF(A1166="","",SUBSTITUTE(SUBSTITUTE(SUBSTITUTE(SUBSTITUTE(SUBSTITUTE(SUBSTITUTE(SUBSTITUTE(TRIM(A1166),".",""),"/",""),"-","")," ",""),"(",""),")",""),"+",""))</f>
      </c>
      <c r="H1166" s="6">
        <f>IF(G1166="","",IF(LEN(G1166)&lt;&gt;14,"ERRO: "&amp;LEN(G1166)&amp;" dígitos",IF(NOT(ISNUMBER(VALUE(G1166))),"ERRO: não numérico",IF(AND(VALUE(MID(G1166,13,1))=IF(MOD(SUMPRODUCT(--MID(G1166,{1,2,3,4,5,6,7,8,9,10,11,12},1),{5,4,3,2,9,8,7,6,5,4,3,2}),11)&lt;2,0,11-MOD(SUMPRODUCT(--MID(G1166,{1,2,3,4,5,6,7,8,9,10,11,12},1),{5,4,3,2,9,8,7,6,5,4,3,2}),11)),VALUE(MID(G1166,14,1))=IF(MOD(SUMPRODUCT(--MID(G1166,{1,2,3,4,5,6,7,8,9,10,11,12,13},1),{6,5,4,3,2,9,8,7,6,5,4,3,2}),11)&lt;2,0,11-MOD(SUMPRODUCT(--MID(G1166,{1,2,3,4,5,6,7,8,9,10,11,12,13},1),{6,5,4,3,2,9,8,7,6,5,4,3,2}),11))),"OK","AVISO: dígito verificador (conferir na org)"))))</f>
      </c>
      <c r="I1166" s="6">
        <f>IF(G1166="","",IF(COUNTIF($G$2:$G$2001,G1166)&gt;1,"DUPLICADO","OK"))</f>
      </c>
      <c r="J1166" s="6">
        <f>IF(COUNTA(A1166:F1166)=0,"",IF(AND(A1166&lt;&gt;"",E1166&lt;&gt;""),"OK","ERRO: faltam "&amp;IF(A1166="","CNPJ; ","")&amp;IF(E1166="","Novo gerente; ","")))</f>
      </c>
      <c r="K1166" s="6">
        <f>IF(COUNTA(A1166:F1166)=0,"",IF(AND(LEFT(H1166,4)&lt;&gt;"ERRO",I1166="OK",J1166="OK"),"OK","REVISAR"))</f>
      </c>
    </row>
    <row r="1167">
      <c r="A1167" s="5"/>
      <c r="B1167" s="4"/>
      <c r="C1167" s="4"/>
      <c r="D1167" s="4"/>
      <c r="E1167" s="5"/>
      <c r="F1167" s="4"/>
      <c r="G1167" s="6">
        <f>IF(A1167="","",SUBSTITUTE(SUBSTITUTE(SUBSTITUTE(SUBSTITUTE(SUBSTITUTE(SUBSTITUTE(SUBSTITUTE(TRIM(A1167),".",""),"/",""),"-","")," ",""),"(",""),")",""),"+",""))</f>
      </c>
      <c r="H1167" s="6">
        <f>IF(G1167="","",IF(LEN(G1167)&lt;&gt;14,"ERRO: "&amp;LEN(G1167)&amp;" dígitos",IF(NOT(ISNUMBER(VALUE(G1167))),"ERRO: não numérico",IF(AND(VALUE(MID(G1167,13,1))=IF(MOD(SUMPRODUCT(--MID(G1167,{1,2,3,4,5,6,7,8,9,10,11,12},1),{5,4,3,2,9,8,7,6,5,4,3,2}),11)&lt;2,0,11-MOD(SUMPRODUCT(--MID(G1167,{1,2,3,4,5,6,7,8,9,10,11,12},1),{5,4,3,2,9,8,7,6,5,4,3,2}),11)),VALUE(MID(G1167,14,1))=IF(MOD(SUMPRODUCT(--MID(G1167,{1,2,3,4,5,6,7,8,9,10,11,12,13},1),{6,5,4,3,2,9,8,7,6,5,4,3,2}),11)&lt;2,0,11-MOD(SUMPRODUCT(--MID(G1167,{1,2,3,4,5,6,7,8,9,10,11,12,13},1),{6,5,4,3,2,9,8,7,6,5,4,3,2}),11))),"OK","AVISO: dígito verificador (conferir na org)"))))</f>
      </c>
      <c r="I1167" s="6">
        <f>IF(G1167="","",IF(COUNTIF($G$2:$G$2001,G1167)&gt;1,"DUPLICADO","OK"))</f>
      </c>
      <c r="J1167" s="6">
        <f>IF(COUNTA(A1167:F1167)=0,"",IF(AND(A1167&lt;&gt;"",E1167&lt;&gt;""),"OK","ERRO: faltam "&amp;IF(A1167="","CNPJ; ","")&amp;IF(E1167="","Novo gerente; ","")))</f>
      </c>
      <c r="K1167" s="6">
        <f>IF(COUNTA(A1167:F1167)=0,"",IF(AND(LEFT(H1167,4)&lt;&gt;"ERRO",I1167="OK",J1167="OK"),"OK","REVISAR"))</f>
      </c>
    </row>
    <row r="1168">
      <c r="A1168" s="5"/>
      <c r="B1168" s="4"/>
      <c r="C1168" s="4"/>
      <c r="D1168" s="4"/>
      <c r="E1168" s="5"/>
      <c r="F1168" s="4"/>
      <c r="G1168" s="6">
        <f>IF(A1168="","",SUBSTITUTE(SUBSTITUTE(SUBSTITUTE(SUBSTITUTE(SUBSTITUTE(SUBSTITUTE(SUBSTITUTE(TRIM(A1168),".",""),"/",""),"-","")," ",""),"(",""),")",""),"+",""))</f>
      </c>
      <c r="H1168" s="6">
        <f>IF(G1168="","",IF(LEN(G1168)&lt;&gt;14,"ERRO: "&amp;LEN(G1168)&amp;" dígitos",IF(NOT(ISNUMBER(VALUE(G1168))),"ERRO: não numérico",IF(AND(VALUE(MID(G1168,13,1))=IF(MOD(SUMPRODUCT(--MID(G1168,{1,2,3,4,5,6,7,8,9,10,11,12},1),{5,4,3,2,9,8,7,6,5,4,3,2}),11)&lt;2,0,11-MOD(SUMPRODUCT(--MID(G1168,{1,2,3,4,5,6,7,8,9,10,11,12},1),{5,4,3,2,9,8,7,6,5,4,3,2}),11)),VALUE(MID(G1168,14,1))=IF(MOD(SUMPRODUCT(--MID(G1168,{1,2,3,4,5,6,7,8,9,10,11,12,13},1),{6,5,4,3,2,9,8,7,6,5,4,3,2}),11)&lt;2,0,11-MOD(SUMPRODUCT(--MID(G1168,{1,2,3,4,5,6,7,8,9,10,11,12,13},1),{6,5,4,3,2,9,8,7,6,5,4,3,2}),11))),"OK","AVISO: dígito verificador (conferir na org)"))))</f>
      </c>
      <c r="I1168" s="6">
        <f>IF(G1168="","",IF(COUNTIF($G$2:$G$2001,G1168)&gt;1,"DUPLICADO","OK"))</f>
      </c>
      <c r="J1168" s="6">
        <f>IF(COUNTA(A1168:F1168)=0,"",IF(AND(A1168&lt;&gt;"",E1168&lt;&gt;""),"OK","ERRO: faltam "&amp;IF(A1168="","CNPJ; ","")&amp;IF(E1168="","Novo gerente; ","")))</f>
      </c>
      <c r="K1168" s="6">
        <f>IF(COUNTA(A1168:F1168)=0,"",IF(AND(LEFT(H1168,4)&lt;&gt;"ERRO",I1168="OK",J1168="OK"),"OK","REVISAR"))</f>
      </c>
    </row>
    <row r="1169">
      <c r="A1169" s="5"/>
      <c r="B1169" s="4"/>
      <c r="C1169" s="4"/>
      <c r="D1169" s="4"/>
      <c r="E1169" s="5"/>
      <c r="F1169" s="4"/>
      <c r="G1169" s="6">
        <f>IF(A1169="","",SUBSTITUTE(SUBSTITUTE(SUBSTITUTE(SUBSTITUTE(SUBSTITUTE(SUBSTITUTE(SUBSTITUTE(TRIM(A1169),".",""),"/",""),"-","")," ",""),"(",""),")",""),"+",""))</f>
      </c>
      <c r="H1169" s="6">
        <f>IF(G1169="","",IF(LEN(G1169)&lt;&gt;14,"ERRO: "&amp;LEN(G1169)&amp;" dígitos",IF(NOT(ISNUMBER(VALUE(G1169))),"ERRO: não numérico",IF(AND(VALUE(MID(G1169,13,1))=IF(MOD(SUMPRODUCT(--MID(G1169,{1,2,3,4,5,6,7,8,9,10,11,12},1),{5,4,3,2,9,8,7,6,5,4,3,2}),11)&lt;2,0,11-MOD(SUMPRODUCT(--MID(G1169,{1,2,3,4,5,6,7,8,9,10,11,12},1),{5,4,3,2,9,8,7,6,5,4,3,2}),11)),VALUE(MID(G1169,14,1))=IF(MOD(SUMPRODUCT(--MID(G1169,{1,2,3,4,5,6,7,8,9,10,11,12,13},1),{6,5,4,3,2,9,8,7,6,5,4,3,2}),11)&lt;2,0,11-MOD(SUMPRODUCT(--MID(G1169,{1,2,3,4,5,6,7,8,9,10,11,12,13},1),{6,5,4,3,2,9,8,7,6,5,4,3,2}),11))),"OK","AVISO: dígito verificador (conferir na org)"))))</f>
      </c>
      <c r="I1169" s="6">
        <f>IF(G1169="","",IF(COUNTIF($G$2:$G$2001,G1169)&gt;1,"DUPLICADO","OK"))</f>
      </c>
      <c r="J1169" s="6">
        <f>IF(COUNTA(A1169:F1169)=0,"",IF(AND(A1169&lt;&gt;"",E1169&lt;&gt;""),"OK","ERRO: faltam "&amp;IF(A1169="","CNPJ; ","")&amp;IF(E1169="","Novo gerente; ","")))</f>
      </c>
      <c r="K1169" s="6">
        <f>IF(COUNTA(A1169:F1169)=0,"",IF(AND(LEFT(H1169,4)&lt;&gt;"ERRO",I1169="OK",J1169="OK"),"OK","REVISAR"))</f>
      </c>
    </row>
    <row r="1170">
      <c r="A1170" s="5"/>
      <c r="B1170" s="4"/>
      <c r="C1170" s="4"/>
      <c r="D1170" s="4"/>
      <c r="E1170" s="5"/>
      <c r="F1170" s="4"/>
      <c r="G1170" s="6">
        <f>IF(A1170="","",SUBSTITUTE(SUBSTITUTE(SUBSTITUTE(SUBSTITUTE(SUBSTITUTE(SUBSTITUTE(SUBSTITUTE(TRIM(A1170),".",""),"/",""),"-","")," ",""),"(",""),")",""),"+",""))</f>
      </c>
      <c r="H1170" s="6">
        <f>IF(G1170="","",IF(LEN(G1170)&lt;&gt;14,"ERRO: "&amp;LEN(G1170)&amp;" dígitos",IF(NOT(ISNUMBER(VALUE(G1170))),"ERRO: não numérico",IF(AND(VALUE(MID(G1170,13,1))=IF(MOD(SUMPRODUCT(--MID(G1170,{1,2,3,4,5,6,7,8,9,10,11,12},1),{5,4,3,2,9,8,7,6,5,4,3,2}),11)&lt;2,0,11-MOD(SUMPRODUCT(--MID(G1170,{1,2,3,4,5,6,7,8,9,10,11,12},1),{5,4,3,2,9,8,7,6,5,4,3,2}),11)),VALUE(MID(G1170,14,1))=IF(MOD(SUMPRODUCT(--MID(G1170,{1,2,3,4,5,6,7,8,9,10,11,12,13},1),{6,5,4,3,2,9,8,7,6,5,4,3,2}),11)&lt;2,0,11-MOD(SUMPRODUCT(--MID(G1170,{1,2,3,4,5,6,7,8,9,10,11,12,13},1),{6,5,4,3,2,9,8,7,6,5,4,3,2}),11))),"OK","AVISO: dígito verificador (conferir na org)"))))</f>
      </c>
      <c r="I1170" s="6">
        <f>IF(G1170="","",IF(COUNTIF($G$2:$G$2001,G1170)&gt;1,"DUPLICADO","OK"))</f>
      </c>
      <c r="J1170" s="6">
        <f>IF(COUNTA(A1170:F1170)=0,"",IF(AND(A1170&lt;&gt;"",E1170&lt;&gt;""),"OK","ERRO: faltam "&amp;IF(A1170="","CNPJ; ","")&amp;IF(E1170="","Novo gerente; ","")))</f>
      </c>
      <c r="K1170" s="6">
        <f>IF(COUNTA(A1170:F1170)=0,"",IF(AND(LEFT(H1170,4)&lt;&gt;"ERRO",I1170="OK",J1170="OK"),"OK","REVISAR"))</f>
      </c>
    </row>
    <row r="1171">
      <c r="A1171" s="5"/>
      <c r="B1171" s="4"/>
      <c r="C1171" s="4"/>
      <c r="D1171" s="4"/>
      <c r="E1171" s="5"/>
      <c r="F1171" s="4"/>
      <c r="G1171" s="6">
        <f>IF(A1171="","",SUBSTITUTE(SUBSTITUTE(SUBSTITUTE(SUBSTITUTE(SUBSTITUTE(SUBSTITUTE(SUBSTITUTE(TRIM(A1171),".",""),"/",""),"-","")," ",""),"(",""),")",""),"+",""))</f>
      </c>
      <c r="H1171" s="6">
        <f>IF(G1171="","",IF(LEN(G1171)&lt;&gt;14,"ERRO: "&amp;LEN(G1171)&amp;" dígitos",IF(NOT(ISNUMBER(VALUE(G1171))),"ERRO: não numérico",IF(AND(VALUE(MID(G1171,13,1))=IF(MOD(SUMPRODUCT(--MID(G1171,{1,2,3,4,5,6,7,8,9,10,11,12},1),{5,4,3,2,9,8,7,6,5,4,3,2}),11)&lt;2,0,11-MOD(SUMPRODUCT(--MID(G1171,{1,2,3,4,5,6,7,8,9,10,11,12},1),{5,4,3,2,9,8,7,6,5,4,3,2}),11)),VALUE(MID(G1171,14,1))=IF(MOD(SUMPRODUCT(--MID(G1171,{1,2,3,4,5,6,7,8,9,10,11,12,13},1),{6,5,4,3,2,9,8,7,6,5,4,3,2}),11)&lt;2,0,11-MOD(SUMPRODUCT(--MID(G1171,{1,2,3,4,5,6,7,8,9,10,11,12,13},1),{6,5,4,3,2,9,8,7,6,5,4,3,2}),11))),"OK","AVISO: dígito verificador (conferir na org)"))))</f>
      </c>
      <c r="I1171" s="6">
        <f>IF(G1171="","",IF(COUNTIF($G$2:$G$2001,G1171)&gt;1,"DUPLICADO","OK"))</f>
      </c>
      <c r="J1171" s="6">
        <f>IF(COUNTA(A1171:F1171)=0,"",IF(AND(A1171&lt;&gt;"",E1171&lt;&gt;""),"OK","ERRO: faltam "&amp;IF(A1171="","CNPJ; ","")&amp;IF(E1171="","Novo gerente; ","")))</f>
      </c>
      <c r="K1171" s="6">
        <f>IF(COUNTA(A1171:F1171)=0,"",IF(AND(LEFT(H1171,4)&lt;&gt;"ERRO",I1171="OK",J1171="OK"),"OK","REVISAR"))</f>
      </c>
    </row>
    <row r="1172">
      <c r="A1172" s="5"/>
      <c r="B1172" s="4"/>
      <c r="C1172" s="4"/>
      <c r="D1172" s="4"/>
      <c r="E1172" s="5"/>
      <c r="F1172" s="4"/>
      <c r="G1172" s="6">
        <f>IF(A1172="","",SUBSTITUTE(SUBSTITUTE(SUBSTITUTE(SUBSTITUTE(SUBSTITUTE(SUBSTITUTE(SUBSTITUTE(TRIM(A1172),".",""),"/",""),"-","")," ",""),"(",""),")",""),"+",""))</f>
      </c>
      <c r="H1172" s="6">
        <f>IF(G1172="","",IF(LEN(G1172)&lt;&gt;14,"ERRO: "&amp;LEN(G1172)&amp;" dígitos",IF(NOT(ISNUMBER(VALUE(G1172))),"ERRO: não numérico",IF(AND(VALUE(MID(G1172,13,1))=IF(MOD(SUMPRODUCT(--MID(G1172,{1,2,3,4,5,6,7,8,9,10,11,12},1),{5,4,3,2,9,8,7,6,5,4,3,2}),11)&lt;2,0,11-MOD(SUMPRODUCT(--MID(G1172,{1,2,3,4,5,6,7,8,9,10,11,12},1),{5,4,3,2,9,8,7,6,5,4,3,2}),11)),VALUE(MID(G1172,14,1))=IF(MOD(SUMPRODUCT(--MID(G1172,{1,2,3,4,5,6,7,8,9,10,11,12,13},1),{6,5,4,3,2,9,8,7,6,5,4,3,2}),11)&lt;2,0,11-MOD(SUMPRODUCT(--MID(G1172,{1,2,3,4,5,6,7,8,9,10,11,12,13},1),{6,5,4,3,2,9,8,7,6,5,4,3,2}),11))),"OK","AVISO: dígito verificador (conferir na org)"))))</f>
      </c>
      <c r="I1172" s="6">
        <f>IF(G1172="","",IF(COUNTIF($G$2:$G$2001,G1172)&gt;1,"DUPLICADO","OK"))</f>
      </c>
      <c r="J1172" s="6">
        <f>IF(COUNTA(A1172:F1172)=0,"",IF(AND(A1172&lt;&gt;"",E1172&lt;&gt;""),"OK","ERRO: faltam "&amp;IF(A1172="","CNPJ; ","")&amp;IF(E1172="","Novo gerente; ","")))</f>
      </c>
      <c r="K1172" s="6">
        <f>IF(COUNTA(A1172:F1172)=0,"",IF(AND(LEFT(H1172,4)&lt;&gt;"ERRO",I1172="OK",J1172="OK"),"OK","REVISAR"))</f>
      </c>
    </row>
    <row r="1173">
      <c r="A1173" s="5"/>
      <c r="B1173" s="4"/>
      <c r="C1173" s="4"/>
      <c r="D1173" s="4"/>
      <c r="E1173" s="5"/>
      <c r="F1173" s="4"/>
      <c r="G1173" s="6">
        <f>IF(A1173="","",SUBSTITUTE(SUBSTITUTE(SUBSTITUTE(SUBSTITUTE(SUBSTITUTE(SUBSTITUTE(SUBSTITUTE(TRIM(A1173),".",""),"/",""),"-","")," ",""),"(",""),")",""),"+",""))</f>
      </c>
      <c r="H1173" s="6">
        <f>IF(G1173="","",IF(LEN(G1173)&lt;&gt;14,"ERRO: "&amp;LEN(G1173)&amp;" dígitos",IF(NOT(ISNUMBER(VALUE(G1173))),"ERRO: não numérico",IF(AND(VALUE(MID(G1173,13,1))=IF(MOD(SUMPRODUCT(--MID(G1173,{1,2,3,4,5,6,7,8,9,10,11,12},1),{5,4,3,2,9,8,7,6,5,4,3,2}),11)&lt;2,0,11-MOD(SUMPRODUCT(--MID(G1173,{1,2,3,4,5,6,7,8,9,10,11,12},1),{5,4,3,2,9,8,7,6,5,4,3,2}),11)),VALUE(MID(G1173,14,1))=IF(MOD(SUMPRODUCT(--MID(G1173,{1,2,3,4,5,6,7,8,9,10,11,12,13},1),{6,5,4,3,2,9,8,7,6,5,4,3,2}),11)&lt;2,0,11-MOD(SUMPRODUCT(--MID(G1173,{1,2,3,4,5,6,7,8,9,10,11,12,13},1),{6,5,4,3,2,9,8,7,6,5,4,3,2}),11))),"OK","AVISO: dígito verificador (conferir na org)"))))</f>
      </c>
      <c r="I1173" s="6">
        <f>IF(G1173="","",IF(COUNTIF($G$2:$G$2001,G1173)&gt;1,"DUPLICADO","OK"))</f>
      </c>
      <c r="J1173" s="6">
        <f>IF(COUNTA(A1173:F1173)=0,"",IF(AND(A1173&lt;&gt;"",E1173&lt;&gt;""),"OK","ERRO: faltam "&amp;IF(A1173="","CNPJ; ","")&amp;IF(E1173="","Novo gerente; ","")))</f>
      </c>
      <c r="K1173" s="6">
        <f>IF(COUNTA(A1173:F1173)=0,"",IF(AND(LEFT(H1173,4)&lt;&gt;"ERRO",I1173="OK",J1173="OK"),"OK","REVISAR"))</f>
      </c>
    </row>
    <row r="1174">
      <c r="A1174" s="5"/>
      <c r="B1174" s="4"/>
      <c r="C1174" s="4"/>
      <c r="D1174" s="4"/>
      <c r="E1174" s="5"/>
      <c r="F1174" s="4"/>
      <c r="G1174" s="6">
        <f>IF(A1174="","",SUBSTITUTE(SUBSTITUTE(SUBSTITUTE(SUBSTITUTE(SUBSTITUTE(SUBSTITUTE(SUBSTITUTE(TRIM(A1174),".",""),"/",""),"-","")," ",""),"(",""),")",""),"+",""))</f>
      </c>
      <c r="H1174" s="6">
        <f>IF(G1174="","",IF(LEN(G1174)&lt;&gt;14,"ERRO: "&amp;LEN(G1174)&amp;" dígitos",IF(NOT(ISNUMBER(VALUE(G1174))),"ERRO: não numérico",IF(AND(VALUE(MID(G1174,13,1))=IF(MOD(SUMPRODUCT(--MID(G1174,{1,2,3,4,5,6,7,8,9,10,11,12},1),{5,4,3,2,9,8,7,6,5,4,3,2}),11)&lt;2,0,11-MOD(SUMPRODUCT(--MID(G1174,{1,2,3,4,5,6,7,8,9,10,11,12},1),{5,4,3,2,9,8,7,6,5,4,3,2}),11)),VALUE(MID(G1174,14,1))=IF(MOD(SUMPRODUCT(--MID(G1174,{1,2,3,4,5,6,7,8,9,10,11,12,13},1),{6,5,4,3,2,9,8,7,6,5,4,3,2}),11)&lt;2,0,11-MOD(SUMPRODUCT(--MID(G1174,{1,2,3,4,5,6,7,8,9,10,11,12,13},1),{6,5,4,3,2,9,8,7,6,5,4,3,2}),11))),"OK","AVISO: dígito verificador (conferir na org)"))))</f>
      </c>
      <c r="I1174" s="6">
        <f>IF(G1174="","",IF(COUNTIF($G$2:$G$2001,G1174)&gt;1,"DUPLICADO","OK"))</f>
      </c>
      <c r="J1174" s="6">
        <f>IF(COUNTA(A1174:F1174)=0,"",IF(AND(A1174&lt;&gt;"",E1174&lt;&gt;""),"OK","ERRO: faltam "&amp;IF(A1174="","CNPJ; ","")&amp;IF(E1174="","Novo gerente; ","")))</f>
      </c>
      <c r="K1174" s="6">
        <f>IF(COUNTA(A1174:F1174)=0,"",IF(AND(LEFT(H1174,4)&lt;&gt;"ERRO",I1174="OK",J1174="OK"),"OK","REVISAR"))</f>
      </c>
    </row>
    <row r="1175">
      <c r="A1175" s="5"/>
      <c r="B1175" s="4"/>
      <c r="C1175" s="4"/>
      <c r="D1175" s="4"/>
      <c r="E1175" s="5"/>
      <c r="F1175" s="4"/>
      <c r="G1175" s="6">
        <f>IF(A1175="","",SUBSTITUTE(SUBSTITUTE(SUBSTITUTE(SUBSTITUTE(SUBSTITUTE(SUBSTITUTE(SUBSTITUTE(TRIM(A1175),".",""),"/",""),"-","")," ",""),"(",""),")",""),"+",""))</f>
      </c>
      <c r="H1175" s="6">
        <f>IF(G1175="","",IF(LEN(G1175)&lt;&gt;14,"ERRO: "&amp;LEN(G1175)&amp;" dígitos",IF(NOT(ISNUMBER(VALUE(G1175))),"ERRO: não numérico",IF(AND(VALUE(MID(G1175,13,1))=IF(MOD(SUMPRODUCT(--MID(G1175,{1,2,3,4,5,6,7,8,9,10,11,12},1),{5,4,3,2,9,8,7,6,5,4,3,2}),11)&lt;2,0,11-MOD(SUMPRODUCT(--MID(G1175,{1,2,3,4,5,6,7,8,9,10,11,12},1),{5,4,3,2,9,8,7,6,5,4,3,2}),11)),VALUE(MID(G1175,14,1))=IF(MOD(SUMPRODUCT(--MID(G1175,{1,2,3,4,5,6,7,8,9,10,11,12,13},1),{6,5,4,3,2,9,8,7,6,5,4,3,2}),11)&lt;2,0,11-MOD(SUMPRODUCT(--MID(G1175,{1,2,3,4,5,6,7,8,9,10,11,12,13},1),{6,5,4,3,2,9,8,7,6,5,4,3,2}),11))),"OK","AVISO: dígito verificador (conferir na org)"))))</f>
      </c>
      <c r="I1175" s="6">
        <f>IF(G1175="","",IF(COUNTIF($G$2:$G$2001,G1175)&gt;1,"DUPLICADO","OK"))</f>
      </c>
      <c r="J1175" s="6">
        <f>IF(COUNTA(A1175:F1175)=0,"",IF(AND(A1175&lt;&gt;"",E1175&lt;&gt;""),"OK","ERRO: faltam "&amp;IF(A1175="","CNPJ; ","")&amp;IF(E1175="","Novo gerente; ","")))</f>
      </c>
      <c r="K1175" s="6">
        <f>IF(COUNTA(A1175:F1175)=0,"",IF(AND(LEFT(H1175,4)&lt;&gt;"ERRO",I1175="OK",J1175="OK"),"OK","REVISAR"))</f>
      </c>
    </row>
    <row r="1176">
      <c r="A1176" s="5"/>
      <c r="B1176" s="4"/>
      <c r="C1176" s="4"/>
      <c r="D1176" s="4"/>
      <c r="E1176" s="5"/>
      <c r="F1176" s="4"/>
      <c r="G1176" s="6">
        <f>IF(A1176="","",SUBSTITUTE(SUBSTITUTE(SUBSTITUTE(SUBSTITUTE(SUBSTITUTE(SUBSTITUTE(SUBSTITUTE(TRIM(A1176),".",""),"/",""),"-","")," ",""),"(",""),")",""),"+",""))</f>
      </c>
      <c r="H1176" s="6">
        <f>IF(G1176="","",IF(LEN(G1176)&lt;&gt;14,"ERRO: "&amp;LEN(G1176)&amp;" dígitos",IF(NOT(ISNUMBER(VALUE(G1176))),"ERRO: não numérico",IF(AND(VALUE(MID(G1176,13,1))=IF(MOD(SUMPRODUCT(--MID(G1176,{1,2,3,4,5,6,7,8,9,10,11,12},1),{5,4,3,2,9,8,7,6,5,4,3,2}),11)&lt;2,0,11-MOD(SUMPRODUCT(--MID(G1176,{1,2,3,4,5,6,7,8,9,10,11,12},1),{5,4,3,2,9,8,7,6,5,4,3,2}),11)),VALUE(MID(G1176,14,1))=IF(MOD(SUMPRODUCT(--MID(G1176,{1,2,3,4,5,6,7,8,9,10,11,12,13},1),{6,5,4,3,2,9,8,7,6,5,4,3,2}),11)&lt;2,0,11-MOD(SUMPRODUCT(--MID(G1176,{1,2,3,4,5,6,7,8,9,10,11,12,13},1),{6,5,4,3,2,9,8,7,6,5,4,3,2}),11))),"OK","AVISO: dígito verificador (conferir na org)"))))</f>
      </c>
      <c r="I1176" s="6">
        <f>IF(G1176="","",IF(COUNTIF($G$2:$G$2001,G1176)&gt;1,"DUPLICADO","OK"))</f>
      </c>
      <c r="J1176" s="6">
        <f>IF(COUNTA(A1176:F1176)=0,"",IF(AND(A1176&lt;&gt;"",E1176&lt;&gt;""),"OK","ERRO: faltam "&amp;IF(A1176="","CNPJ; ","")&amp;IF(E1176="","Novo gerente; ","")))</f>
      </c>
      <c r="K1176" s="6">
        <f>IF(COUNTA(A1176:F1176)=0,"",IF(AND(LEFT(H1176,4)&lt;&gt;"ERRO",I1176="OK",J1176="OK"),"OK","REVISAR"))</f>
      </c>
    </row>
    <row r="1177">
      <c r="A1177" s="5"/>
      <c r="B1177" s="4"/>
      <c r="C1177" s="4"/>
      <c r="D1177" s="4"/>
      <c r="E1177" s="5"/>
      <c r="F1177" s="4"/>
      <c r="G1177" s="6">
        <f>IF(A1177="","",SUBSTITUTE(SUBSTITUTE(SUBSTITUTE(SUBSTITUTE(SUBSTITUTE(SUBSTITUTE(SUBSTITUTE(TRIM(A1177),".",""),"/",""),"-","")," ",""),"(",""),")",""),"+",""))</f>
      </c>
      <c r="H1177" s="6">
        <f>IF(G1177="","",IF(LEN(G1177)&lt;&gt;14,"ERRO: "&amp;LEN(G1177)&amp;" dígitos",IF(NOT(ISNUMBER(VALUE(G1177))),"ERRO: não numérico",IF(AND(VALUE(MID(G1177,13,1))=IF(MOD(SUMPRODUCT(--MID(G1177,{1,2,3,4,5,6,7,8,9,10,11,12},1),{5,4,3,2,9,8,7,6,5,4,3,2}),11)&lt;2,0,11-MOD(SUMPRODUCT(--MID(G1177,{1,2,3,4,5,6,7,8,9,10,11,12},1),{5,4,3,2,9,8,7,6,5,4,3,2}),11)),VALUE(MID(G1177,14,1))=IF(MOD(SUMPRODUCT(--MID(G1177,{1,2,3,4,5,6,7,8,9,10,11,12,13},1),{6,5,4,3,2,9,8,7,6,5,4,3,2}),11)&lt;2,0,11-MOD(SUMPRODUCT(--MID(G1177,{1,2,3,4,5,6,7,8,9,10,11,12,13},1),{6,5,4,3,2,9,8,7,6,5,4,3,2}),11))),"OK","AVISO: dígito verificador (conferir na org)"))))</f>
      </c>
      <c r="I1177" s="6">
        <f>IF(G1177="","",IF(COUNTIF($G$2:$G$2001,G1177)&gt;1,"DUPLICADO","OK"))</f>
      </c>
      <c r="J1177" s="6">
        <f>IF(COUNTA(A1177:F1177)=0,"",IF(AND(A1177&lt;&gt;"",E1177&lt;&gt;""),"OK","ERRO: faltam "&amp;IF(A1177="","CNPJ; ","")&amp;IF(E1177="","Novo gerente; ","")))</f>
      </c>
      <c r="K1177" s="6">
        <f>IF(COUNTA(A1177:F1177)=0,"",IF(AND(LEFT(H1177,4)&lt;&gt;"ERRO",I1177="OK",J1177="OK"),"OK","REVISAR"))</f>
      </c>
    </row>
    <row r="1178">
      <c r="A1178" s="5"/>
      <c r="B1178" s="4"/>
      <c r="C1178" s="4"/>
      <c r="D1178" s="4"/>
      <c r="E1178" s="5"/>
      <c r="F1178" s="4"/>
      <c r="G1178" s="6">
        <f>IF(A1178="","",SUBSTITUTE(SUBSTITUTE(SUBSTITUTE(SUBSTITUTE(SUBSTITUTE(SUBSTITUTE(SUBSTITUTE(TRIM(A1178),".",""),"/",""),"-","")," ",""),"(",""),")",""),"+",""))</f>
      </c>
      <c r="H1178" s="6">
        <f>IF(G1178="","",IF(LEN(G1178)&lt;&gt;14,"ERRO: "&amp;LEN(G1178)&amp;" dígitos",IF(NOT(ISNUMBER(VALUE(G1178))),"ERRO: não numérico",IF(AND(VALUE(MID(G1178,13,1))=IF(MOD(SUMPRODUCT(--MID(G1178,{1,2,3,4,5,6,7,8,9,10,11,12},1),{5,4,3,2,9,8,7,6,5,4,3,2}),11)&lt;2,0,11-MOD(SUMPRODUCT(--MID(G1178,{1,2,3,4,5,6,7,8,9,10,11,12},1),{5,4,3,2,9,8,7,6,5,4,3,2}),11)),VALUE(MID(G1178,14,1))=IF(MOD(SUMPRODUCT(--MID(G1178,{1,2,3,4,5,6,7,8,9,10,11,12,13},1),{6,5,4,3,2,9,8,7,6,5,4,3,2}),11)&lt;2,0,11-MOD(SUMPRODUCT(--MID(G1178,{1,2,3,4,5,6,7,8,9,10,11,12,13},1),{6,5,4,3,2,9,8,7,6,5,4,3,2}),11))),"OK","AVISO: dígito verificador (conferir na org)"))))</f>
      </c>
      <c r="I1178" s="6">
        <f>IF(G1178="","",IF(COUNTIF($G$2:$G$2001,G1178)&gt;1,"DUPLICADO","OK"))</f>
      </c>
      <c r="J1178" s="6">
        <f>IF(COUNTA(A1178:F1178)=0,"",IF(AND(A1178&lt;&gt;"",E1178&lt;&gt;""),"OK","ERRO: faltam "&amp;IF(A1178="","CNPJ; ","")&amp;IF(E1178="","Novo gerente; ","")))</f>
      </c>
      <c r="K1178" s="6">
        <f>IF(COUNTA(A1178:F1178)=0,"",IF(AND(LEFT(H1178,4)&lt;&gt;"ERRO",I1178="OK",J1178="OK"),"OK","REVISAR"))</f>
      </c>
    </row>
    <row r="1179">
      <c r="A1179" s="5"/>
      <c r="B1179" s="4"/>
      <c r="C1179" s="4"/>
      <c r="D1179" s="4"/>
      <c r="E1179" s="5"/>
      <c r="F1179" s="4"/>
      <c r="G1179" s="6">
        <f>IF(A1179="","",SUBSTITUTE(SUBSTITUTE(SUBSTITUTE(SUBSTITUTE(SUBSTITUTE(SUBSTITUTE(SUBSTITUTE(TRIM(A1179),".",""),"/",""),"-","")," ",""),"(",""),")",""),"+",""))</f>
      </c>
      <c r="H1179" s="6">
        <f>IF(G1179="","",IF(LEN(G1179)&lt;&gt;14,"ERRO: "&amp;LEN(G1179)&amp;" dígitos",IF(NOT(ISNUMBER(VALUE(G1179))),"ERRO: não numérico",IF(AND(VALUE(MID(G1179,13,1))=IF(MOD(SUMPRODUCT(--MID(G1179,{1,2,3,4,5,6,7,8,9,10,11,12},1),{5,4,3,2,9,8,7,6,5,4,3,2}),11)&lt;2,0,11-MOD(SUMPRODUCT(--MID(G1179,{1,2,3,4,5,6,7,8,9,10,11,12},1),{5,4,3,2,9,8,7,6,5,4,3,2}),11)),VALUE(MID(G1179,14,1))=IF(MOD(SUMPRODUCT(--MID(G1179,{1,2,3,4,5,6,7,8,9,10,11,12,13},1),{6,5,4,3,2,9,8,7,6,5,4,3,2}),11)&lt;2,0,11-MOD(SUMPRODUCT(--MID(G1179,{1,2,3,4,5,6,7,8,9,10,11,12,13},1),{6,5,4,3,2,9,8,7,6,5,4,3,2}),11))),"OK","AVISO: dígito verificador (conferir na org)"))))</f>
      </c>
      <c r="I1179" s="6">
        <f>IF(G1179="","",IF(COUNTIF($G$2:$G$2001,G1179)&gt;1,"DUPLICADO","OK"))</f>
      </c>
      <c r="J1179" s="6">
        <f>IF(COUNTA(A1179:F1179)=0,"",IF(AND(A1179&lt;&gt;"",E1179&lt;&gt;""),"OK","ERRO: faltam "&amp;IF(A1179="","CNPJ; ","")&amp;IF(E1179="","Novo gerente; ","")))</f>
      </c>
      <c r="K1179" s="6">
        <f>IF(COUNTA(A1179:F1179)=0,"",IF(AND(LEFT(H1179,4)&lt;&gt;"ERRO",I1179="OK",J1179="OK"),"OK","REVISAR"))</f>
      </c>
    </row>
    <row r="1180">
      <c r="A1180" s="5"/>
      <c r="B1180" s="4"/>
      <c r="C1180" s="4"/>
      <c r="D1180" s="4"/>
      <c r="E1180" s="5"/>
      <c r="F1180" s="4"/>
      <c r="G1180" s="6">
        <f>IF(A1180="","",SUBSTITUTE(SUBSTITUTE(SUBSTITUTE(SUBSTITUTE(SUBSTITUTE(SUBSTITUTE(SUBSTITUTE(TRIM(A1180),".",""),"/",""),"-","")," ",""),"(",""),")",""),"+",""))</f>
      </c>
      <c r="H1180" s="6">
        <f>IF(G1180="","",IF(LEN(G1180)&lt;&gt;14,"ERRO: "&amp;LEN(G1180)&amp;" dígitos",IF(NOT(ISNUMBER(VALUE(G1180))),"ERRO: não numérico",IF(AND(VALUE(MID(G1180,13,1))=IF(MOD(SUMPRODUCT(--MID(G1180,{1,2,3,4,5,6,7,8,9,10,11,12},1),{5,4,3,2,9,8,7,6,5,4,3,2}),11)&lt;2,0,11-MOD(SUMPRODUCT(--MID(G1180,{1,2,3,4,5,6,7,8,9,10,11,12},1),{5,4,3,2,9,8,7,6,5,4,3,2}),11)),VALUE(MID(G1180,14,1))=IF(MOD(SUMPRODUCT(--MID(G1180,{1,2,3,4,5,6,7,8,9,10,11,12,13},1),{6,5,4,3,2,9,8,7,6,5,4,3,2}),11)&lt;2,0,11-MOD(SUMPRODUCT(--MID(G1180,{1,2,3,4,5,6,7,8,9,10,11,12,13},1),{6,5,4,3,2,9,8,7,6,5,4,3,2}),11))),"OK","AVISO: dígito verificador (conferir na org)"))))</f>
      </c>
      <c r="I1180" s="6">
        <f>IF(G1180="","",IF(COUNTIF($G$2:$G$2001,G1180)&gt;1,"DUPLICADO","OK"))</f>
      </c>
      <c r="J1180" s="6">
        <f>IF(COUNTA(A1180:F1180)=0,"",IF(AND(A1180&lt;&gt;"",E1180&lt;&gt;""),"OK","ERRO: faltam "&amp;IF(A1180="","CNPJ; ","")&amp;IF(E1180="","Novo gerente; ","")))</f>
      </c>
      <c r="K1180" s="6">
        <f>IF(COUNTA(A1180:F1180)=0,"",IF(AND(LEFT(H1180,4)&lt;&gt;"ERRO",I1180="OK",J1180="OK"),"OK","REVISAR"))</f>
      </c>
    </row>
    <row r="1181">
      <c r="A1181" s="5"/>
      <c r="B1181" s="4"/>
      <c r="C1181" s="4"/>
      <c r="D1181" s="4"/>
      <c r="E1181" s="5"/>
      <c r="F1181" s="4"/>
      <c r="G1181" s="6">
        <f>IF(A1181="","",SUBSTITUTE(SUBSTITUTE(SUBSTITUTE(SUBSTITUTE(SUBSTITUTE(SUBSTITUTE(SUBSTITUTE(TRIM(A1181),".",""),"/",""),"-","")," ",""),"(",""),")",""),"+",""))</f>
      </c>
      <c r="H1181" s="6">
        <f>IF(G1181="","",IF(LEN(G1181)&lt;&gt;14,"ERRO: "&amp;LEN(G1181)&amp;" dígitos",IF(NOT(ISNUMBER(VALUE(G1181))),"ERRO: não numérico",IF(AND(VALUE(MID(G1181,13,1))=IF(MOD(SUMPRODUCT(--MID(G1181,{1,2,3,4,5,6,7,8,9,10,11,12},1),{5,4,3,2,9,8,7,6,5,4,3,2}),11)&lt;2,0,11-MOD(SUMPRODUCT(--MID(G1181,{1,2,3,4,5,6,7,8,9,10,11,12},1),{5,4,3,2,9,8,7,6,5,4,3,2}),11)),VALUE(MID(G1181,14,1))=IF(MOD(SUMPRODUCT(--MID(G1181,{1,2,3,4,5,6,7,8,9,10,11,12,13},1),{6,5,4,3,2,9,8,7,6,5,4,3,2}),11)&lt;2,0,11-MOD(SUMPRODUCT(--MID(G1181,{1,2,3,4,5,6,7,8,9,10,11,12,13},1),{6,5,4,3,2,9,8,7,6,5,4,3,2}),11))),"OK","AVISO: dígito verificador (conferir na org)"))))</f>
      </c>
      <c r="I1181" s="6">
        <f>IF(G1181="","",IF(COUNTIF($G$2:$G$2001,G1181)&gt;1,"DUPLICADO","OK"))</f>
      </c>
      <c r="J1181" s="6">
        <f>IF(COUNTA(A1181:F1181)=0,"",IF(AND(A1181&lt;&gt;"",E1181&lt;&gt;""),"OK","ERRO: faltam "&amp;IF(A1181="","CNPJ; ","")&amp;IF(E1181="","Novo gerente; ","")))</f>
      </c>
      <c r="K1181" s="6">
        <f>IF(COUNTA(A1181:F1181)=0,"",IF(AND(LEFT(H1181,4)&lt;&gt;"ERRO",I1181="OK",J1181="OK"),"OK","REVISAR"))</f>
      </c>
    </row>
    <row r="1182">
      <c r="A1182" s="5"/>
      <c r="B1182" s="4"/>
      <c r="C1182" s="4"/>
      <c r="D1182" s="4"/>
      <c r="E1182" s="5"/>
      <c r="F1182" s="4"/>
      <c r="G1182" s="6">
        <f>IF(A1182="","",SUBSTITUTE(SUBSTITUTE(SUBSTITUTE(SUBSTITUTE(SUBSTITUTE(SUBSTITUTE(SUBSTITUTE(TRIM(A1182),".",""),"/",""),"-","")," ",""),"(",""),")",""),"+",""))</f>
      </c>
      <c r="H1182" s="6">
        <f>IF(G1182="","",IF(LEN(G1182)&lt;&gt;14,"ERRO: "&amp;LEN(G1182)&amp;" dígitos",IF(NOT(ISNUMBER(VALUE(G1182))),"ERRO: não numérico",IF(AND(VALUE(MID(G1182,13,1))=IF(MOD(SUMPRODUCT(--MID(G1182,{1,2,3,4,5,6,7,8,9,10,11,12},1),{5,4,3,2,9,8,7,6,5,4,3,2}),11)&lt;2,0,11-MOD(SUMPRODUCT(--MID(G1182,{1,2,3,4,5,6,7,8,9,10,11,12},1),{5,4,3,2,9,8,7,6,5,4,3,2}),11)),VALUE(MID(G1182,14,1))=IF(MOD(SUMPRODUCT(--MID(G1182,{1,2,3,4,5,6,7,8,9,10,11,12,13},1),{6,5,4,3,2,9,8,7,6,5,4,3,2}),11)&lt;2,0,11-MOD(SUMPRODUCT(--MID(G1182,{1,2,3,4,5,6,7,8,9,10,11,12,13},1),{6,5,4,3,2,9,8,7,6,5,4,3,2}),11))),"OK","AVISO: dígito verificador (conferir na org)"))))</f>
      </c>
      <c r="I1182" s="6">
        <f>IF(G1182="","",IF(COUNTIF($G$2:$G$2001,G1182)&gt;1,"DUPLICADO","OK"))</f>
      </c>
      <c r="J1182" s="6">
        <f>IF(COUNTA(A1182:F1182)=0,"",IF(AND(A1182&lt;&gt;"",E1182&lt;&gt;""),"OK","ERRO: faltam "&amp;IF(A1182="","CNPJ; ","")&amp;IF(E1182="","Novo gerente; ","")))</f>
      </c>
      <c r="K1182" s="6">
        <f>IF(COUNTA(A1182:F1182)=0,"",IF(AND(LEFT(H1182,4)&lt;&gt;"ERRO",I1182="OK",J1182="OK"),"OK","REVISAR"))</f>
      </c>
    </row>
    <row r="1183">
      <c r="A1183" s="5"/>
      <c r="B1183" s="4"/>
      <c r="C1183" s="4"/>
      <c r="D1183" s="4"/>
      <c r="E1183" s="5"/>
      <c r="F1183" s="4"/>
      <c r="G1183" s="6">
        <f>IF(A1183="","",SUBSTITUTE(SUBSTITUTE(SUBSTITUTE(SUBSTITUTE(SUBSTITUTE(SUBSTITUTE(SUBSTITUTE(TRIM(A1183),".",""),"/",""),"-","")," ",""),"(",""),")",""),"+",""))</f>
      </c>
      <c r="H1183" s="6">
        <f>IF(G1183="","",IF(LEN(G1183)&lt;&gt;14,"ERRO: "&amp;LEN(G1183)&amp;" dígitos",IF(NOT(ISNUMBER(VALUE(G1183))),"ERRO: não numérico",IF(AND(VALUE(MID(G1183,13,1))=IF(MOD(SUMPRODUCT(--MID(G1183,{1,2,3,4,5,6,7,8,9,10,11,12},1),{5,4,3,2,9,8,7,6,5,4,3,2}),11)&lt;2,0,11-MOD(SUMPRODUCT(--MID(G1183,{1,2,3,4,5,6,7,8,9,10,11,12},1),{5,4,3,2,9,8,7,6,5,4,3,2}),11)),VALUE(MID(G1183,14,1))=IF(MOD(SUMPRODUCT(--MID(G1183,{1,2,3,4,5,6,7,8,9,10,11,12,13},1),{6,5,4,3,2,9,8,7,6,5,4,3,2}),11)&lt;2,0,11-MOD(SUMPRODUCT(--MID(G1183,{1,2,3,4,5,6,7,8,9,10,11,12,13},1),{6,5,4,3,2,9,8,7,6,5,4,3,2}),11))),"OK","AVISO: dígito verificador (conferir na org)"))))</f>
      </c>
      <c r="I1183" s="6">
        <f>IF(G1183="","",IF(COUNTIF($G$2:$G$2001,G1183)&gt;1,"DUPLICADO","OK"))</f>
      </c>
      <c r="J1183" s="6">
        <f>IF(COUNTA(A1183:F1183)=0,"",IF(AND(A1183&lt;&gt;"",E1183&lt;&gt;""),"OK","ERRO: faltam "&amp;IF(A1183="","CNPJ; ","")&amp;IF(E1183="","Novo gerente; ","")))</f>
      </c>
      <c r="K1183" s="6">
        <f>IF(COUNTA(A1183:F1183)=0,"",IF(AND(LEFT(H1183,4)&lt;&gt;"ERRO",I1183="OK",J1183="OK"),"OK","REVISAR"))</f>
      </c>
    </row>
    <row r="1184">
      <c r="A1184" s="5"/>
      <c r="B1184" s="4"/>
      <c r="C1184" s="4"/>
      <c r="D1184" s="4"/>
      <c r="E1184" s="5"/>
      <c r="F1184" s="4"/>
      <c r="G1184" s="6">
        <f>IF(A1184="","",SUBSTITUTE(SUBSTITUTE(SUBSTITUTE(SUBSTITUTE(SUBSTITUTE(SUBSTITUTE(SUBSTITUTE(TRIM(A1184),".",""),"/",""),"-","")," ",""),"(",""),")",""),"+",""))</f>
      </c>
      <c r="H1184" s="6">
        <f>IF(G1184="","",IF(LEN(G1184)&lt;&gt;14,"ERRO: "&amp;LEN(G1184)&amp;" dígitos",IF(NOT(ISNUMBER(VALUE(G1184))),"ERRO: não numérico",IF(AND(VALUE(MID(G1184,13,1))=IF(MOD(SUMPRODUCT(--MID(G1184,{1,2,3,4,5,6,7,8,9,10,11,12},1),{5,4,3,2,9,8,7,6,5,4,3,2}),11)&lt;2,0,11-MOD(SUMPRODUCT(--MID(G1184,{1,2,3,4,5,6,7,8,9,10,11,12},1),{5,4,3,2,9,8,7,6,5,4,3,2}),11)),VALUE(MID(G1184,14,1))=IF(MOD(SUMPRODUCT(--MID(G1184,{1,2,3,4,5,6,7,8,9,10,11,12,13},1),{6,5,4,3,2,9,8,7,6,5,4,3,2}),11)&lt;2,0,11-MOD(SUMPRODUCT(--MID(G1184,{1,2,3,4,5,6,7,8,9,10,11,12,13},1),{6,5,4,3,2,9,8,7,6,5,4,3,2}),11))),"OK","AVISO: dígito verificador (conferir na org)"))))</f>
      </c>
      <c r="I1184" s="6">
        <f>IF(G1184="","",IF(COUNTIF($G$2:$G$2001,G1184)&gt;1,"DUPLICADO","OK"))</f>
      </c>
      <c r="J1184" s="6">
        <f>IF(COUNTA(A1184:F1184)=0,"",IF(AND(A1184&lt;&gt;"",E1184&lt;&gt;""),"OK","ERRO: faltam "&amp;IF(A1184="","CNPJ; ","")&amp;IF(E1184="","Novo gerente; ","")))</f>
      </c>
      <c r="K1184" s="6">
        <f>IF(COUNTA(A1184:F1184)=0,"",IF(AND(LEFT(H1184,4)&lt;&gt;"ERRO",I1184="OK",J1184="OK"),"OK","REVISAR"))</f>
      </c>
    </row>
    <row r="1185">
      <c r="A1185" s="5"/>
      <c r="B1185" s="4"/>
      <c r="C1185" s="4"/>
      <c r="D1185" s="4"/>
      <c r="E1185" s="5"/>
      <c r="F1185" s="4"/>
      <c r="G1185" s="6">
        <f>IF(A1185="","",SUBSTITUTE(SUBSTITUTE(SUBSTITUTE(SUBSTITUTE(SUBSTITUTE(SUBSTITUTE(SUBSTITUTE(TRIM(A1185),".",""),"/",""),"-","")," ",""),"(",""),")",""),"+",""))</f>
      </c>
      <c r="H1185" s="6">
        <f>IF(G1185="","",IF(LEN(G1185)&lt;&gt;14,"ERRO: "&amp;LEN(G1185)&amp;" dígitos",IF(NOT(ISNUMBER(VALUE(G1185))),"ERRO: não numérico",IF(AND(VALUE(MID(G1185,13,1))=IF(MOD(SUMPRODUCT(--MID(G1185,{1,2,3,4,5,6,7,8,9,10,11,12},1),{5,4,3,2,9,8,7,6,5,4,3,2}),11)&lt;2,0,11-MOD(SUMPRODUCT(--MID(G1185,{1,2,3,4,5,6,7,8,9,10,11,12},1),{5,4,3,2,9,8,7,6,5,4,3,2}),11)),VALUE(MID(G1185,14,1))=IF(MOD(SUMPRODUCT(--MID(G1185,{1,2,3,4,5,6,7,8,9,10,11,12,13},1),{6,5,4,3,2,9,8,7,6,5,4,3,2}),11)&lt;2,0,11-MOD(SUMPRODUCT(--MID(G1185,{1,2,3,4,5,6,7,8,9,10,11,12,13},1),{6,5,4,3,2,9,8,7,6,5,4,3,2}),11))),"OK","AVISO: dígito verificador (conferir na org)"))))</f>
      </c>
      <c r="I1185" s="6">
        <f>IF(G1185="","",IF(COUNTIF($G$2:$G$2001,G1185)&gt;1,"DUPLICADO","OK"))</f>
      </c>
      <c r="J1185" s="6">
        <f>IF(COUNTA(A1185:F1185)=0,"",IF(AND(A1185&lt;&gt;"",E1185&lt;&gt;""),"OK","ERRO: faltam "&amp;IF(A1185="","CNPJ; ","")&amp;IF(E1185="","Novo gerente; ","")))</f>
      </c>
      <c r="K1185" s="6">
        <f>IF(COUNTA(A1185:F1185)=0,"",IF(AND(LEFT(H1185,4)&lt;&gt;"ERRO",I1185="OK",J1185="OK"),"OK","REVISAR"))</f>
      </c>
    </row>
    <row r="1186">
      <c r="A1186" s="5"/>
      <c r="B1186" s="4"/>
      <c r="C1186" s="4"/>
      <c r="D1186" s="4"/>
      <c r="E1186" s="5"/>
      <c r="F1186" s="4"/>
      <c r="G1186" s="6">
        <f>IF(A1186="","",SUBSTITUTE(SUBSTITUTE(SUBSTITUTE(SUBSTITUTE(SUBSTITUTE(SUBSTITUTE(SUBSTITUTE(TRIM(A1186),".",""),"/",""),"-","")," ",""),"(",""),")",""),"+",""))</f>
      </c>
      <c r="H1186" s="6">
        <f>IF(G1186="","",IF(LEN(G1186)&lt;&gt;14,"ERRO: "&amp;LEN(G1186)&amp;" dígitos",IF(NOT(ISNUMBER(VALUE(G1186))),"ERRO: não numérico",IF(AND(VALUE(MID(G1186,13,1))=IF(MOD(SUMPRODUCT(--MID(G1186,{1,2,3,4,5,6,7,8,9,10,11,12},1),{5,4,3,2,9,8,7,6,5,4,3,2}),11)&lt;2,0,11-MOD(SUMPRODUCT(--MID(G1186,{1,2,3,4,5,6,7,8,9,10,11,12},1),{5,4,3,2,9,8,7,6,5,4,3,2}),11)),VALUE(MID(G1186,14,1))=IF(MOD(SUMPRODUCT(--MID(G1186,{1,2,3,4,5,6,7,8,9,10,11,12,13},1),{6,5,4,3,2,9,8,7,6,5,4,3,2}),11)&lt;2,0,11-MOD(SUMPRODUCT(--MID(G1186,{1,2,3,4,5,6,7,8,9,10,11,12,13},1),{6,5,4,3,2,9,8,7,6,5,4,3,2}),11))),"OK","AVISO: dígito verificador (conferir na org)"))))</f>
      </c>
      <c r="I1186" s="6">
        <f>IF(G1186="","",IF(COUNTIF($G$2:$G$2001,G1186)&gt;1,"DUPLICADO","OK"))</f>
      </c>
      <c r="J1186" s="6">
        <f>IF(COUNTA(A1186:F1186)=0,"",IF(AND(A1186&lt;&gt;"",E1186&lt;&gt;""),"OK","ERRO: faltam "&amp;IF(A1186="","CNPJ; ","")&amp;IF(E1186="","Novo gerente; ","")))</f>
      </c>
      <c r="K1186" s="6">
        <f>IF(COUNTA(A1186:F1186)=0,"",IF(AND(LEFT(H1186,4)&lt;&gt;"ERRO",I1186="OK",J1186="OK"),"OK","REVISAR"))</f>
      </c>
    </row>
    <row r="1187">
      <c r="A1187" s="5"/>
      <c r="B1187" s="4"/>
      <c r="C1187" s="4"/>
      <c r="D1187" s="4"/>
      <c r="E1187" s="5"/>
      <c r="F1187" s="4"/>
      <c r="G1187" s="6">
        <f>IF(A1187="","",SUBSTITUTE(SUBSTITUTE(SUBSTITUTE(SUBSTITUTE(SUBSTITUTE(SUBSTITUTE(SUBSTITUTE(TRIM(A1187),".",""),"/",""),"-","")," ",""),"(",""),")",""),"+",""))</f>
      </c>
      <c r="H1187" s="6">
        <f>IF(G1187="","",IF(LEN(G1187)&lt;&gt;14,"ERRO: "&amp;LEN(G1187)&amp;" dígitos",IF(NOT(ISNUMBER(VALUE(G1187))),"ERRO: não numérico",IF(AND(VALUE(MID(G1187,13,1))=IF(MOD(SUMPRODUCT(--MID(G1187,{1,2,3,4,5,6,7,8,9,10,11,12},1),{5,4,3,2,9,8,7,6,5,4,3,2}),11)&lt;2,0,11-MOD(SUMPRODUCT(--MID(G1187,{1,2,3,4,5,6,7,8,9,10,11,12},1),{5,4,3,2,9,8,7,6,5,4,3,2}),11)),VALUE(MID(G1187,14,1))=IF(MOD(SUMPRODUCT(--MID(G1187,{1,2,3,4,5,6,7,8,9,10,11,12,13},1),{6,5,4,3,2,9,8,7,6,5,4,3,2}),11)&lt;2,0,11-MOD(SUMPRODUCT(--MID(G1187,{1,2,3,4,5,6,7,8,9,10,11,12,13},1),{6,5,4,3,2,9,8,7,6,5,4,3,2}),11))),"OK","AVISO: dígito verificador (conferir na org)"))))</f>
      </c>
      <c r="I1187" s="6">
        <f>IF(G1187="","",IF(COUNTIF($G$2:$G$2001,G1187)&gt;1,"DUPLICADO","OK"))</f>
      </c>
      <c r="J1187" s="6">
        <f>IF(COUNTA(A1187:F1187)=0,"",IF(AND(A1187&lt;&gt;"",E1187&lt;&gt;""),"OK","ERRO: faltam "&amp;IF(A1187="","CNPJ; ","")&amp;IF(E1187="","Novo gerente; ","")))</f>
      </c>
      <c r="K1187" s="6">
        <f>IF(COUNTA(A1187:F1187)=0,"",IF(AND(LEFT(H1187,4)&lt;&gt;"ERRO",I1187="OK",J1187="OK"),"OK","REVISAR"))</f>
      </c>
    </row>
    <row r="1188">
      <c r="A1188" s="5"/>
      <c r="B1188" s="4"/>
      <c r="C1188" s="4"/>
      <c r="D1188" s="4"/>
      <c r="E1188" s="5"/>
      <c r="F1188" s="4"/>
      <c r="G1188" s="6">
        <f>IF(A1188="","",SUBSTITUTE(SUBSTITUTE(SUBSTITUTE(SUBSTITUTE(SUBSTITUTE(SUBSTITUTE(SUBSTITUTE(TRIM(A1188),".",""),"/",""),"-","")," ",""),"(",""),")",""),"+",""))</f>
      </c>
      <c r="H1188" s="6">
        <f>IF(G1188="","",IF(LEN(G1188)&lt;&gt;14,"ERRO: "&amp;LEN(G1188)&amp;" dígitos",IF(NOT(ISNUMBER(VALUE(G1188))),"ERRO: não numérico",IF(AND(VALUE(MID(G1188,13,1))=IF(MOD(SUMPRODUCT(--MID(G1188,{1,2,3,4,5,6,7,8,9,10,11,12},1),{5,4,3,2,9,8,7,6,5,4,3,2}),11)&lt;2,0,11-MOD(SUMPRODUCT(--MID(G1188,{1,2,3,4,5,6,7,8,9,10,11,12},1),{5,4,3,2,9,8,7,6,5,4,3,2}),11)),VALUE(MID(G1188,14,1))=IF(MOD(SUMPRODUCT(--MID(G1188,{1,2,3,4,5,6,7,8,9,10,11,12,13},1),{6,5,4,3,2,9,8,7,6,5,4,3,2}),11)&lt;2,0,11-MOD(SUMPRODUCT(--MID(G1188,{1,2,3,4,5,6,7,8,9,10,11,12,13},1),{6,5,4,3,2,9,8,7,6,5,4,3,2}),11))),"OK","AVISO: dígito verificador (conferir na org)"))))</f>
      </c>
      <c r="I1188" s="6">
        <f>IF(G1188="","",IF(COUNTIF($G$2:$G$2001,G1188)&gt;1,"DUPLICADO","OK"))</f>
      </c>
      <c r="J1188" s="6">
        <f>IF(COUNTA(A1188:F1188)=0,"",IF(AND(A1188&lt;&gt;"",E1188&lt;&gt;""),"OK","ERRO: faltam "&amp;IF(A1188="","CNPJ; ","")&amp;IF(E1188="","Novo gerente; ","")))</f>
      </c>
      <c r="K1188" s="6">
        <f>IF(COUNTA(A1188:F1188)=0,"",IF(AND(LEFT(H1188,4)&lt;&gt;"ERRO",I1188="OK",J1188="OK"),"OK","REVISAR"))</f>
      </c>
    </row>
    <row r="1189">
      <c r="A1189" s="5"/>
      <c r="B1189" s="4"/>
      <c r="C1189" s="4"/>
      <c r="D1189" s="4"/>
      <c r="E1189" s="5"/>
      <c r="F1189" s="4"/>
      <c r="G1189" s="6">
        <f>IF(A1189="","",SUBSTITUTE(SUBSTITUTE(SUBSTITUTE(SUBSTITUTE(SUBSTITUTE(SUBSTITUTE(SUBSTITUTE(TRIM(A1189),".",""),"/",""),"-","")," ",""),"(",""),")",""),"+",""))</f>
      </c>
      <c r="H1189" s="6">
        <f>IF(G1189="","",IF(LEN(G1189)&lt;&gt;14,"ERRO: "&amp;LEN(G1189)&amp;" dígitos",IF(NOT(ISNUMBER(VALUE(G1189))),"ERRO: não numérico",IF(AND(VALUE(MID(G1189,13,1))=IF(MOD(SUMPRODUCT(--MID(G1189,{1,2,3,4,5,6,7,8,9,10,11,12},1),{5,4,3,2,9,8,7,6,5,4,3,2}),11)&lt;2,0,11-MOD(SUMPRODUCT(--MID(G1189,{1,2,3,4,5,6,7,8,9,10,11,12},1),{5,4,3,2,9,8,7,6,5,4,3,2}),11)),VALUE(MID(G1189,14,1))=IF(MOD(SUMPRODUCT(--MID(G1189,{1,2,3,4,5,6,7,8,9,10,11,12,13},1),{6,5,4,3,2,9,8,7,6,5,4,3,2}),11)&lt;2,0,11-MOD(SUMPRODUCT(--MID(G1189,{1,2,3,4,5,6,7,8,9,10,11,12,13},1),{6,5,4,3,2,9,8,7,6,5,4,3,2}),11))),"OK","AVISO: dígito verificador (conferir na org)"))))</f>
      </c>
      <c r="I1189" s="6">
        <f>IF(G1189="","",IF(COUNTIF($G$2:$G$2001,G1189)&gt;1,"DUPLICADO","OK"))</f>
      </c>
      <c r="J1189" s="6">
        <f>IF(COUNTA(A1189:F1189)=0,"",IF(AND(A1189&lt;&gt;"",E1189&lt;&gt;""),"OK","ERRO: faltam "&amp;IF(A1189="","CNPJ; ","")&amp;IF(E1189="","Novo gerente; ","")))</f>
      </c>
      <c r="K1189" s="6">
        <f>IF(COUNTA(A1189:F1189)=0,"",IF(AND(LEFT(H1189,4)&lt;&gt;"ERRO",I1189="OK",J1189="OK"),"OK","REVISAR"))</f>
      </c>
    </row>
    <row r="1190">
      <c r="A1190" s="5"/>
      <c r="B1190" s="4"/>
      <c r="C1190" s="4"/>
      <c r="D1190" s="4"/>
      <c r="E1190" s="5"/>
      <c r="F1190" s="4"/>
      <c r="G1190" s="6">
        <f>IF(A1190="","",SUBSTITUTE(SUBSTITUTE(SUBSTITUTE(SUBSTITUTE(SUBSTITUTE(SUBSTITUTE(SUBSTITUTE(TRIM(A1190),".",""),"/",""),"-","")," ",""),"(",""),")",""),"+",""))</f>
      </c>
      <c r="H1190" s="6">
        <f>IF(G1190="","",IF(LEN(G1190)&lt;&gt;14,"ERRO: "&amp;LEN(G1190)&amp;" dígitos",IF(NOT(ISNUMBER(VALUE(G1190))),"ERRO: não numérico",IF(AND(VALUE(MID(G1190,13,1))=IF(MOD(SUMPRODUCT(--MID(G1190,{1,2,3,4,5,6,7,8,9,10,11,12},1),{5,4,3,2,9,8,7,6,5,4,3,2}),11)&lt;2,0,11-MOD(SUMPRODUCT(--MID(G1190,{1,2,3,4,5,6,7,8,9,10,11,12},1),{5,4,3,2,9,8,7,6,5,4,3,2}),11)),VALUE(MID(G1190,14,1))=IF(MOD(SUMPRODUCT(--MID(G1190,{1,2,3,4,5,6,7,8,9,10,11,12,13},1),{6,5,4,3,2,9,8,7,6,5,4,3,2}),11)&lt;2,0,11-MOD(SUMPRODUCT(--MID(G1190,{1,2,3,4,5,6,7,8,9,10,11,12,13},1),{6,5,4,3,2,9,8,7,6,5,4,3,2}),11))),"OK","AVISO: dígito verificador (conferir na org)"))))</f>
      </c>
      <c r="I1190" s="6">
        <f>IF(G1190="","",IF(COUNTIF($G$2:$G$2001,G1190)&gt;1,"DUPLICADO","OK"))</f>
      </c>
      <c r="J1190" s="6">
        <f>IF(COUNTA(A1190:F1190)=0,"",IF(AND(A1190&lt;&gt;"",E1190&lt;&gt;""),"OK","ERRO: faltam "&amp;IF(A1190="","CNPJ; ","")&amp;IF(E1190="","Novo gerente; ","")))</f>
      </c>
      <c r="K1190" s="6">
        <f>IF(COUNTA(A1190:F1190)=0,"",IF(AND(LEFT(H1190,4)&lt;&gt;"ERRO",I1190="OK",J1190="OK"),"OK","REVISAR"))</f>
      </c>
    </row>
    <row r="1191">
      <c r="A1191" s="5"/>
      <c r="B1191" s="4"/>
      <c r="C1191" s="4"/>
      <c r="D1191" s="4"/>
      <c r="E1191" s="5"/>
      <c r="F1191" s="4"/>
      <c r="G1191" s="6">
        <f>IF(A1191="","",SUBSTITUTE(SUBSTITUTE(SUBSTITUTE(SUBSTITUTE(SUBSTITUTE(SUBSTITUTE(SUBSTITUTE(TRIM(A1191),".",""),"/",""),"-","")," ",""),"(",""),")",""),"+",""))</f>
      </c>
      <c r="H1191" s="6">
        <f>IF(G1191="","",IF(LEN(G1191)&lt;&gt;14,"ERRO: "&amp;LEN(G1191)&amp;" dígitos",IF(NOT(ISNUMBER(VALUE(G1191))),"ERRO: não numérico",IF(AND(VALUE(MID(G1191,13,1))=IF(MOD(SUMPRODUCT(--MID(G1191,{1,2,3,4,5,6,7,8,9,10,11,12},1),{5,4,3,2,9,8,7,6,5,4,3,2}),11)&lt;2,0,11-MOD(SUMPRODUCT(--MID(G1191,{1,2,3,4,5,6,7,8,9,10,11,12},1),{5,4,3,2,9,8,7,6,5,4,3,2}),11)),VALUE(MID(G1191,14,1))=IF(MOD(SUMPRODUCT(--MID(G1191,{1,2,3,4,5,6,7,8,9,10,11,12,13},1),{6,5,4,3,2,9,8,7,6,5,4,3,2}),11)&lt;2,0,11-MOD(SUMPRODUCT(--MID(G1191,{1,2,3,4,5,6,7,8,9,10,11,12,13},1),{6,5,4,3,2,9,8,7,6,5,4,3,2}),11))),"OK","AVISO: dígito verificador (conferir na org)"))))</f>
      </c>
      <c r="I1191" s="6">
        <f>IF(G1191="","",IF(COUNTIF($G$2:$G$2001,G1191)&gt;1,"DUPLICADO","OK"))</f>
      </c>
      <c r="J1191" s="6">
        <f>IF(COUNTA(A1191:F1191)=0,"",IF(AND(A1191&lt;&gt;"",E1191&lt;&gt;""),"OK","ERRO: faltam "&amp;IF(A1191="","CNPJ; ","")&amp;IF(E1191="","Novo gerente; ","")))</f>
      </c>
      <c r="K1191" s="6">
        <f>IF(COUNTA(A1191:F1191)=0,"",IF(AND(LEFT(H1191,4)&lt;&gt;"ERRO",I1191="OK",J1191="OK"),"OK","REVISAR"))</f>
      </c>
    </row>
    <row r="1192">
      <c r="A1192" s="5"/>
      <c r="B1192" s="4"/>
      <c r="C1192" s="4"/>
      <c r="D1192" s="4"/>
      <c r="E1192" s="5"/>
      <c r="F1192" s="4"/>
      <c r="G1192" s="6">
        <f>IF(A1192="","",SUBSTITUTE(SUBSTITUTE(SUBSTITUTE(SUBSTITUTE(SUBSTITUTE(SUBSTITUTE(SUBSTITUTE(TRIM(A1192),".",""),"/",""),"-","")," ",""),"(",""),")",""),"+",""))</f>
      </c>
      <c r="H1192" s="6">
        <f>IF(G1192="","",IF(LEN(G1192)&lt;&gt;14,"ERRO: "&amp;LEN(G1192)&amp;" dígitos",IF(NOT(ISNUMBER(VALUE(G1192))),"ERRO: não numérico",IF(AND(VALUE(MID(G1192,13,1))=IF(MOD(SUMPRODUCT(--MID(G1192,{1,2,3,4,5,6,7,8,9,10,11,12},1),{5,4,3,2,9,8,7,6,5,4,3,2}),11)&lt;2,0,11-MOD(SUMPRODUCT(--MID(G1192,{1,2,3,4,5,6,7,8,9,10,11,12},1),{5,4,3,2,9,8,7,6,5,4,3,2}),11)),VALUE(MID(G1192,14,1))=IF(MOD(SUMPRODUCT(--MID(G1192,{1,2,3,4,5,6,7,8,9,10,11,12,13},1),{6,5,4,3,2,9,8,7,6,5,4,3,2}),11)&lt;2,0,11-MOD(SUMPRODUCT(--MID(G1192,{1,2,3,4,5,6,7,8,9,10,11,12,13},1),{6,5,4,3,2,9,8,7,6,5,4,3,2}),11))),"OK","AVISO: dígito verificador (conferir na org)"))))</f>
      </c>
      <c r="I1192" s="6">
        <f>IF(G1192="","",IF(COUNTIF($G$2:$G$2001,G1192)&gt;1,"DUPLICADO","OK"))</f>
      </c>
      <c r="J1192" s="6">
        <f>IF(COUNTA(A1192:F1192)=0,"",IF(AND(A1192&lt;&gt;"",E1192&lt;&gt;""),"OK","ERRO: faltam "&amp;IF(A1192="","CNPJ; ","")&amp;IF(E1192="","Novo gerente; ","")))</f>
      </c>
      <c r="K1192" s="6">
        <f>IF(COUNTA(A1192:F1192)=0,"",IF(AND(LEFT(H1192,4)&lt;&gt;"ERRO",I1192="OK",J1192="OK"),"OK","REVISAR"))</f>
      </c>
    </row>
    <row r="1193">
      <c r="A1193" s="5"/>
      <c r="B1193" s="4"/>
      <c r="C1193" s="4"/>
      <c r="D1193" s="4"/>
      <c r="E1193" s="5"/>
      <c r="F1193" s="4"/>
      <c r="G1193" s="6">
        <f>IF(A1193="","",SUBSTITUTE(SUBSTITUTE(SUBSTITUTE(SUBSTITUTE(SUBSTITUTE(SUBSTITUTE(SUBSTITUTE(TRIM(A1193),".",""),"/",""),"-","")," ",""),"(",""),")",""),"+",""))</f>
      </c>
      <c r="H1193" s="6">
        <f>IF(G1193="","",IF(LEN(G1193)&lt;&gt;14,"ERRO: "&amp;LEN(G1193)&amp;" dígitos",IF(NOT(ISNUMBER(VALUE(G1193))),"ERRO: não numérico",IF(AND(VALUE(MID(G1193,13,1))=IF(MOD(SUMPRODUCT(--MID(G1193,{1,2,3,4,5,6,7,8,9,10,11,12},1),{5,4,3,2,9,8,7,6,5,4,3,2}),11)&lt;2,0,11-MOD(SUMPRODUCT(--MID(G1193,{1,2,3,4,5,6,7,8,9,10,11,12},1),{5,4,3,2,9,8,7,6,5,4,3,2}),11)),VALUE(MID(G1193,14,1))=IF(MOD(SUMPRODUCT(--MID(G1193,{1,2,3,4,5,6,7,8,9,10,11,12,13},1),{6,5,4,3,2,9,8,7,6,5,4,3,2}),11)&lt;2,0,11-MOD(SUMPRODUCT(--MID(G1193,{1,2,3,4,5,6,7,8,9,10,11,12,13},1),{6,5,4,3,2,9,8,7,6,5,4,3,2}),11))),"OK","AVISO: dígito verificador (conferir na org)"))))</f>
      </c>
      <c r="I1193" s="6">
        <f>IF(G1193="","",IF(COUNTIF($G$2:$G$2001,G1193)&gt;1,"DUPLICADO","OK"))</f>
      </c>
      <c r="J1193" s="6">
        <f>IF(COUNTA(A1193:F1193)=0,"",IF(AND(A1193&lt;&gt;"",E1193&lt;&gt;""),"OK","ERRO: faltam "&amp;IF(A1193="","CNPJ; ","")&amp;IF(E1193="","Novo gerente; ","")))</f>
      </c>
      <c r="K1193" s="6">
        <f>IF(COUNTA(A1193:F1193)=0,"",IF(AND(LEFT(H1193,4)&lt;&gt;"ERRO",I1193="OK",J1193="OK"),"OK","REVISAR"))</f>
      </c>
    </row>
    <row r="1194">
      <c r="A1194" s="5"/>
      <c r="B1194" s="4"/>
      <c r="C1194" s="4"/>
      <c r="D1194" s="4"/>
      <c r="E1194" s="5"/>
      <c r="F1194" s="4"/>
      <c r="G1194" s="6">
        <f>IF(A1194="","",SUBSTITUTE(SUBSTITUTE(SUBSTITUTE(SUBSTITUTE(SUBSTITUTE(SUBSTITUTE(SUBSTITUTE(TRIM(A1194),".",""),"/",""),"-","")," ",""),"(",""),")",""),"+",""))</f>
      </c>
      <c r="H1194" s="6">
        <f>IF(G1194="","",IF(LEN(G1194)&lt;&gt;14,"ERRO: "&amp;LEN(G1194)&amp;" dígitos",IF(NOT(ISNUMBER(VALUE(G1194))),"ERRO: não numérico",IF(AND(VALUE(MID(G1194,13,1))=IF(MOD(SUMPRODUCT(--MID(G1194,{1,2,3,4,5,6,7,8,9,10,11,12},1),{5,4,3,2,9,8,7,6,5,4,3,2}),11)&lt;2,0,11-MOD(SUMPRODUCT(--MID(G1194,{1,2,3,4,5,6,7,8,9,10,11,12},1),{5,4,3,2,9,8,7,6,5,4,3,2}),11)),VALUE(MID(G1194,14,1))=IF(MOD(SUMPRODUCT(--MID(G1194,{1,2,3,4,5,6,7,8,9,10,11,12,13},1),{6,5,4,3,2,9,8,7,6,5,4,3,2}),11)&lt;2,0,11-MOD(SUMPRODUCT(--MID(G1194,{1,2,3,4,5,6,7,8,9,10,11,12,13},1),{6,5,4,3,2,9,8,7,6,5,4,3,2}),11))),"OK","AVISO: dígito verificador (conferir na org)"))))</f>
      </c>
      <c r="I1194" s="6">
        <f>IF(G1194="","",IF(COUNTIF($G$2:$G$2001,G1194)&gt;1,"DUPLICADO","OK"))</f>
      </c>
      <c r="J1194" s="6">
        <f>IF(COUNTA(A1194:F1194)=0,"",IF(AND(A1194&lt;&gt;"",E1194&lt;&gt;""),"OK","ERRO: faltam "&amp;IF(A1194="","CNPJ; ","")&amp;IF(E1194="","Novo gerente; ","")))</f>
      </c>
      <c r="K1194" s="6">
        <f>IF(COUNTA(A1194:F1194)=0,"",IF(AND(LEFT(H1194,4)&lt;&gt;"ERRO",I1194="OK",J1194="OK"),"OK","REVISAR"))</f>
      </c>
    </row>
    <row r="1195">
      <c r="A1195" s="5"/>
      <c r="B1195" s="4"/>
      <c r="C1195" s="4"/>
      <c r="D1195" s="4"/>
      <c r="E1195" s="5"/>
      <c r="F1195" s="4"/>
      <c r="G1195" s="6">
        <f>IF(A1195="","",SUBSTITUTE(SUBSTITUTE(SUBSTITUTE(SUBSTITUTE(SUBSTITUTE(SUBSTITUTE(SUBSTITUTE(TRIM(A1195),".",""),"/",""),"-","")," ",""),"(",""),")",""),"+",""))</f>
      </c>
      <c r="H1195" s="6">
        <f>IF(G1195="","",IF(LEN(G1195)&lt;&gt;14,"ERRO: "&amp;LEN(G1195)&amp;" dígitos",IF(NOT(ISNUMBER(VALUE(G1195))),"ERRO: não numérico",IF(AND(VALUE(MID(G1195,13,1))=IF(MOD(SUMPRODUCT(--MID(G1195,{1,2,3,4,5,6,7,8,9,10,11,12},1),{5,4,3,2,9,8,7,6,5,4,3,2}),11)&lt;2,0,11-MOD(SUMPRODUCT(--MID(G1195,{1,2,3,4,5,6,7,8,9,10,11,12},1),{5,4,3,2,9,8,7,6,5,4,3,2}),11)),VALUE(MID(G1195,14,1))=IF(MOD(SUMPRODUCT(--MID(G1195,{1,2,3,4,5,6,7,8,9,10,11,12,13},1),{6,5,4,3,2,9,8,7,6,5,4,3,2}),11)&lt;2,0,11-MOD(SUMPRODUCT(--MID(G1195,{1,2,3,4,5,6,7,8,9,10,11,12,13},1),{6,5,4,3,2,9,8,7,6,5,4,3,2}),11))),"OK","AVISO: dígito verificador (conferir na org)"))))</f>
      </c>
      <c r="I1195" s="6">
        <f>IF(G1195="","",IF(COUNTIF($G$2:$G$2001,G1195)&gt;1,"DUPLICADO","OK"))</f>
      </c>
      <c r="J1195" s="6">
        <f>IF(COUNTA(A1195:F1195)=0,"",IF(AND(A1195&lt;&gt;"",E1195&lt;&gt;""),"OK","ERRO: faltam "&amp;IF(A1195="","CNPJ; ","")&amp;IF(E1195="","Novo gerente; ","")))</f>
      </c>
      <c r="K1195" s="6">
        <f>IF(COUNTA(A1195:F1195)=0,"",IF(AND(LEFT(H1195,4)&lt;&gt;"ERRO",I1195="OK",J1195="OK"),"OK","REVISAR"))</f>
      </c>
    </row>
    <row r="1196">
      <c r="A1196" s="5"/>
      <c r="B1196" s="4"/>
      <c r="C1196" s="4"/>
      <c r="D1196" s="4"/>
      <c r="E1196" s="5"/>
      <c r="F1196" s="4"/>
      <c r="G1196" s="6">
        <f>IF(A1196="","",SUBSTITUTE(SUBSTITUTE(SUBSTITUTE(SUBSTITUTE(SUBSTITUTE(SUBSTITUTE(SUBSTITUTE(TRIM(A1196),".",""),"/",""),"-","")," ",""),"(",""),")",""),"+",""))</f>
      </c>
      <c r="H1196" s="6">
        <f>IF(G1196="","",IF(LEN(G1196)&lt;&gt;14,"ERRO: "&amp;LEN(G1196)&amp;" dígitos",IF(NOT(ISNUMBER(VALUE(G1196))),"ERRO: não numérico",IF(AND(VALUE(MID(G1196,13,1))=IF(MOD(SUMPRODUCT(--MID(G1196,{1,2,3,4,5,6,7,8,9,10,11,12},1),{5,4,3,2,9,8,7,6,5,4,3,2}),11)&lt;2,0,11-MOD(SUMPRODUCT(--MID(G1196,{1,2,3,4,5,6,7,8,9,10,11,12},1),{5,4,3,2,9,8,7,6,5,4,3,2}),11)),VALUE(MID(G1196,14,1))=IF(MOD(SUMPRODUCT(--MID(G1196,{1,2,3,4,5,6,7,8,9,10,11,12,13},1),{6,5,4,3,2,9,8,7,6,5,4,3,2}),11)&lt;2,0,11-MOD(SUMPRODUCT(--MID(G1196,{1,2,3,4,5,6,7,8,9,10,11,12,13},1),{6,5,4,3,2,9,8,7,6,5,4,3,2}),11))),"OK","AVISO: dígito verificador (conferir na org)"))))</f>
      </c>
      <c r="I1196" s="6">
        <f>IF(G1196="","",IF(COUNTIF($G$2:$G$2001,G1196)&gt;1,"DUPLICADO","OK"))</f>
      </c>
      <c r="J1196" s="6">
        <f>IF(COUNTA(A1196:F1196)=0,"",IF(AND(A1196&lt;&gt;"",E1196&lt;&gt;""),"OK","ERRO: faltam "&amp;IF(A1196="","CNPJ; ","")&amp;IF(E1196="","Novo gerente; ","")))</f>
      </c>
      <c r="K1196" s="6">
        <f>IF(COUNTA(A1196:F1196)=0,"",IF(AND(LEFT(H1196,4)&lt;&gt;"ERRO",I1196="OK",J1196="OK"),"OK","REVISAR"))</f>
      </c>
    </row>
    <row r="1197">
      <c r="A1197" s="5"/>
      <c r="B1197" s="4"/>
      <c r="C1197" s="4"/>
      <c r="D1197" s="4"/>
      <c r="E1197" s="5"/>
      <c r="F1197" s="4"/>
      <c r="G1197" s="6">
        <f>IF(A1197="","",SUBSTITUTE(SUBSTITUTE(SUBSTITUTE(SUBSTITUTE(SUBSTITUTE(SUBSTITUTE(SUBSTITUTE(TRIM(A1197),".",""),"/",""),"-","")," ",""),"(",""),")",""),"+",""))</f>
      </c>
      <c r="H1197" s="6">
        <f>IF(G1197="","",IF(LEN(G1197)&lt;&gt;14,"ERRO: "&amp;LEN(G1197)&amp;" dígitos",IF(NOT(ISNUMBER(VALUE(G1197))),"ERRO: não numérico",IF(AND(VALUE(MID(G1197,13,1))=IF(MOD(SUMPRODUCT(--MID(G1197,{1,2,3,4,5,6,7,8,9,10,11,12},1),{5,4,3,2,9,8,7,6,5,4,3,2}),11)&lt;2,0,11-MOD(SUMPRODUCT(--MID(G1197,{1,2,3,4,5,6,7,8,9,10,11,12},1),{5,4,3,2,9,8,7,6,5,4,3,2}),11)),VALUE(MID(G1197,14,1))=IF(MOD(SUMPRODUCT(--MID(G1197,{1,2,3,4,5,6,7,8,9,10,11,12,13},1),{6,5,4,3,2,9,8,7,6,5,4,3,2}),11)&lt;2,0,11-MOD(SUMPRODUCT(--MID(G1197,{1,2,3,4,5,6,7,8,9,10,11,12,13},1),{6,5,4,3,2,9,8,7,6,5,4,3,2}),11))),"OK","AVISO: dígito verificador (conferir na org)"))))</f>
      </c>
      <c r="I1197" s="6">
        <f>IF(G1197="","",IF(COUNTIF($G$2:$G$2001,G1197)&gt;1,"DUPLICADO","OK"))</f>
      </c>
      <c r="J1197" s="6">
        <f>IF(COUNTA(A1197:F1197)=0,"",IF(AND(A1197&lt;&gt;"",E1197&lt;&gt;""),"OK","ERRO: faltam "&amp;IF(A1197="","CNPJ; ","")&amp;IF(E1197="","Novo gerente; ","")))</f>
      </c>
      <c r="K1197" s="6">
        <f>IF(COUNTA(A1197:F1197)=0,"",IF(AND(LEFT(H1197,4)&lt;&gt;"ERRO",I1197="OK",J1197="OK"),"OK","REVISAR"))</f>
      </c>
    </row>
    <row r="1198">
      <c r="A1198" s="5"/>
      <c r="B1198" s="4"/>
      <c r="C1198" s="4"/>
      <c r="D1198" s="4"/>
      <c r="E1198" s="5"/>
      <c r="F1198" s="4"/>
      <c r="G1198" s="6">
        <f>IF(A1198="","",SUBSTITUTE(SUBSTITUTE(SUBSTITUTE(SUBSTITUTE(SUBSTITUTE(SUBSTITUTE(SUBSTITUTE(TRIM(A1198),".",""),"/",""),"-","")," ",""),"(",""),")",""),"+",""))</f>
      </c>
      <c r="H1198" s="6">
        <f>IF(G1198="","",IF(LEN(G1198)&lt;&gt;14,"ERRO: "&amp;LEN(G1198)&amp;" dígitos",IF(NOT(ISNUMBER(VALUE(G1198))),"ERRO: não numérico",IF(AND(VALUE(MID(G1198,13,1))=IF(MOD(SUMPRODUCT(--MID(G1198,{1,2,3,4,5,6,7,8,9,10,11,12},1),{5,4,3,2,9,8,7,6,5,4,3,2}),11)&lt;2,0,11-MOD(SUMPRODUCT(--MID(G1198,{1,2,3,4,5,6,7,8,9,10,11,12},1),{5,4,3,2,9,8,7,6,5,4,3,2}),11)),VALUE(MID(G1198,14,1))=IF(MOD(SUMPRODUCT(--MID(G1198,{1,2,3,4,5,6,7,8,9,10,11,12,13},1),{6,5,4,3,2,9,8,7,6,5,4,3,2}),11)&lt;2,0,11-MOD(SUMPRODUCT(--MID(G1198,{1,2,3,4,5,6,7,8,9,10,11,12,13},1),{6,5,4,3,2,9,8,7,6,5,4,3,2}),11))),"OK","AVISO: dígito verificador (conferir na org)"))))</f>
      </c>
      <c r="I1198" s="6">
        <f>IF(G1198="","",IF(COUNTIF($G$2:$G$2001,G1198)&gt;1,"DUPLICADO","OK"))</f>
      </c>
      <c r="J1198" s="6">
        <f>IF(COUNTA(A1198:F1198)=0,"",IF(AND(A1198&lt;&gt;"",E1198&lt;&gt;""),"OK","ERRO: faltam "&amp;IF(A1198="","CNPJ; ","")&amp;IF(E1198="","Novo gerente; ","")))</f>
      </c>
      <c r="K1198" s="6">
        <f>IF(COUNTA(A1198:F1198)=0,"",IF(AND(LEFT(H1198,4)&lt;&gt;"ERRO",I1198="OK",J1198="OK"),"OK","REVISAR"))</f>
      </c>
    </row>
    <row r="1199">
      <c r="A1199" s="5"/>
      <c r="B1199" s="4"/>
      <c r="C1199" s="4"/>
      <c r="D1199" s="4"/>
      <c r="E1199" s="5"/>
      <c r="F1199" s="4"/>
      <c r="G1199" s="6">
        <f>IF(A1199="","",SUBSTITUTE(SUBSTITUTE(SUBSTITUTE(SUBSTITUTE(SUBSTITUTE(SUBSTITUTE(SUBSTITUTE(TRIM(A1199),".",""),"/",""),"-","")," ",""),"(",""),")",""),"+",""))</f>
      </c>
      <c r="H1199" s="6">
        <f>IF(G1199="","",IF(LEN(G1199)&lt;&gt;14,"ERRO: "&amp;LEN(G1199)&amp;" dígitos",IF(NOT(ISNUMBER(VALUE(G1199))),"ERRO: não numérico",IF(AND(VALUE(MID(G1199,13,1))=IF(MOD(SUMPRODUCT(--MID(G1199,{1,2,3,4,5,6,7,8,9,10,11,12},1),{5,4,3,2,9,8,7,6,5,4,3,2}),11)&lt;2,0,11-MOD(SUMPRODUCT(--MID(G1199,{1,2,3,4,5,6,7,8,9,10,11,12},1),{5,4,3,2,9,8,7,6,5,4,3,2}),11)),VALUE(MID(G1199,14,1))=IF(MOD(SUMPRODUCT(--MID(G1199,{1,2,3,4,5,6,7,8,9,10,11,12,13},1),{6,5,4,3,2,9,8,7,6,5,4,3,2}),11)&lt;2,0,11-MOD(SUMPRODUCT(--MID(G1199,{1,2,3,4,5,6,7,8,9,10,11,12,13},1),{6,5,4,3,2,9,8,7,6,5,4,3,2}),11))),"OK","AVISO: dígito verificador (conferir na org)"))))</f>
      </c>
      <c r="I1199" s="6">
        <f>IF(G1199="","",IF(COUNTIF($G$2:$G$2001,G1199)&gt;1,"DUPLICADO","OK"))</f>
      </c>
      <c r="J1199" s="6">
        <f>IF(COUNTA(A1199:F1199)=0,"",IF(AND(A1199&lt;&gt;"",E1199&lt;&gt;""),"OK","ERRO: faltam "&amp;IF(A1199="","CNPJ; ","")&amp;IF(E1199="","Novo gerente; ","")))</f>
      </c>
      <c r="K1199" s="6">
        <f>IF(COUNTA(A1199:F1199)=0,"",IF(AND(LEFT(H1199,4)&lt;&gt;"ERRO",I1199="OK",J1199="OK"),"OK","REVISAR"))</f>
      </c>
    </row>
    <row r="1200">
      <c r="A1200" s="5"/>
      <c r="B1200" s="4"/>
      <c r="C1200" s="4"/>
      <c r="D1200" s="4"/>
      <c r="E1200" s="5"/>
      <c r="F1200" s="4"/>
      <c r="G1200" s="6">
        <f>IF(A1200="","",SUBSTITUTE(SUBSTITUTE(SUBSTITUTE(SUBSTITUTE(SUBSTITUTE(SUBSTITUTE(SUBSTITUTE(TRIM(A1200),".",""),"/",""),"-","")," ",""),"(",""),")",""),"+",""))</f>
      </c>
      <c r="H1200" s="6">
        <f>IF(G1200="","",IF(LEN(G1200)&lt;&gt;14,"ERRO: "&amp;LEN(G1200)&amp;" dígitos",IF(NOT(ISNUMBER(VALUE(G1200))),"ERRO: não numérico",IF(AND(VALUE(MID(G1200,13,1))=IF(MOD(SUMPRODUCT(--MID(G1200,{1,2,3,4,5,6,7,8,9,10,11,12},1),{5,4,3,2,9,8,7,6,5,4,3,2}),11)&lt;2,0,11-MOD(SUMPRODUCT(--MID(G1200,{1,2,3,4,5,6,7,8,9,10,11,12},1),{5,4,3,2,9,8,7,6,5,4,3,2}),11)),VALUE(MID(G1200,14,1))=IF(MOD(SUMPRODUCT(--MID(G1200,{1,2,3,4,5,6,7,8,9,10,11,12,13},1),{6,5,4,3,2,9,8,7,6,5,4,3,2}),11)&lt;2,0,11-MOD(SUMPRODUCT(--MID(G1200,{1,2,3,4,5,6,7,8,9,10,11,12,13},1),{6,5,4,3,2,9,8,7,6,5,4,3,2}),11))),"OK","AVISO: dígito verificador (conferir na org)"))))</f>
      </c>
      <c r="I1200" s="6">
        <f>IF(G1200="","",IF(COUNTIF($G$2:$G$2001,G1200)&gt;1,"DUPLICADO","OK"))</f>
      </c>
      <c r="J1200" s="6">
        <f>IF(COUNTA(A1200:F1200)=0,"",IF(AND(A1200&lt;&gt;"",E1200&lt;&gt;""),"OK","ERRO: faltam "&amp;IF(A1200="","CNPJ; ","")&amp;IF(E1200="","Novo gerente; ","")))</f>
      </c>
      <c r="K1200" s="6">
        <f>IF(COUNTA(A1200:F1200)=0,"",IF(AND(LEFT(H1200,4)&lt;&gt;"ERRO",I1200="OK",J1200="OK"),"OK","REVISAR"))</f>
      </c>
    </row>
    <row r="1201">
      <c r="A1201" s="5"/>
      <c r="B1201" s="4"/>
      <c r="C1201" s="4"/>
      <c r="D1201" s="4"/>
      <c r="E1201" s="5"/>
      <c r="F1201" s="4"/>
      <c r="G1201" s="6">
        <f>IF(A1201="","",SUBSTITUTE(SUBSTITUTE(SUBSTITUTE(SUBSTITUTE(SUBSTITUTE(SUBSTITUTE(SUBSTITUTE(TRIM(A1201),".",""),"/",""),"-","")," ",""),"(",""),")",""),"+",""))</f>
      </c>
      <c r="H1201" s="6">
        <f>IF(G1201="","",IF(LEN(G1201)&lt;&gt;14,"ERRO: "&amp;LEN(G1201)&amp;" dígitos",IF(NOT(ISNUMBER(VALUE(G1201))),"ERRO: não numérico",IF(AND(VALUE(MID(G1201,13,1))=IF(MOD(SUMPRODUCT(--MID(G1201,{1,2,3,4,5,6,7,8,9,10,11,12},1),{5,4,3,2,9,8,7,6,5,4,3,2}),11)&lt;2,0,11-MOD(SUMPRODUCT(--MID(G1201,{1,2,3,4,5,6,7,8,9,10,11,12},1),{5,4,3,2,9,8,7,6,5,4,3,2}),11)),VALUE(MID(G1201,14,1))=IF(MOD(SUMPRODUCT(--MID(G1201,{1,2,3,4,5,6,7,8,9,10,11,12,13},1),{6,5,4,3,2,9,8,7,6,5,4,3,2}),11)&lt;2,0,11-MOD(SUMPRODUCT(--MID(G1201,{1,2,3,4,5,6,7,8,9,10,11,12,13},1),{6,5,4,3,2,9,8,7,6,5,4,3,2}),11))),"OK","AVISO: dígito verificador (conferir na org)"))))</f>
      </c>
      <c r="I1201" s="6">
        <f>IF(G1201="","",IF(COUNTIF($G$2:$G$2001,G1201)&gt;1,"DUPLICADO","OK"))</f>
      </c>
      <c r="J1201" s="6">
        <f>IF(COUNTA(A1201:F1201)=0,"",IF(AND(A1201&lt;&gt;"",E1201&lt;&gt;""),"OK","ERRO: faltam "&amp;IF(A1201="","CNPJ; ","")&amp;IF(E1201="","Novo gerente; ","")))</f>
      </c>
      <c r="K1201" s="6">
        <f>IF(COUNTA(A1201:F1201)=0,"",IF(AND(LEFT(H1201,4)&lt;&gt;"ERRO",I1201="OK",J1201="OK"),"OK","REVISAR"))</f>
      </c>
    </row>
    <row r="1202">
      <c r="A1202" s="5"/>
      <c r="B1202" s="4"/>
      <c r="C1202" s="4"/>
      <c r="D1202" s="4"/>
      <c r="E1202" s="5"/>
      <c r="F1202" s="4"/>
      <c r="G1202" s="6">
        <f>IF(A1202="","",SUBSTITUTE(SUBSTITUTE(SUBSTITUTE(SUBSTITUTE(SUBSTITUTE(SUBSTITUTE(SUBSTITUTE(TRIM(A1202),".",""),"/",""),"-","")," ",""),"(",""),")",""),"+",""))</f>
      </c>
      <c r="H1202" s="6">
        <f>IF(G1202="","",IF(LEN(G1202)&lt;&gt;14,"ERRO: "&amp;LEN(G1202)&amp;" dígitos",IF(NOT(ISNUMBER(VALUE(G1202))),"ERRO: não numérico",IF(AND(VALUE(MID(G1202,13,1))=IF(MOD(SUMPRODUCT(--MID(G1202,{1,2,3,4,5,6,7,8,9,10,11,12},1),{5,4,3,2,9,8,7,6,5,4,3,2}),11)&lt;2,0,11-MOD(SUMPRODUCT(--MID(G1202,{1,2,3,4,5,6,7,8,9,10,11,12},1),{5,4,3,2,9,8,7,6,5,4,3,2}),11)),VALUE(MID(G1202,14,1))=IF(MOD(SUMPRODUCT(--MID(G1202,{1,2,3,4,5,6,7,8,9,10,11,12,13},1),{6,5,4,3,2,9,8,7,6,5,4,3,2}),11)&lt;2,0,11-MOD(SUMPRODUCT(--MID(G1202,{1,2,3,4,5,6,7,8,9,10,11,12,13},1),{6,5,4,3,2,9,8,7,6,5,4,3,2}),11))),"OK","AVISO: dígito verificador (conferir na org)"))))</f>
      </c>
      <c r="I1202" s="6">
        <f>IF(G1202="","",IF(COUNTIF($G$2:$G$2001,G1202)&gt;1,"DUPLICADO","OK"))</f>
      </c>
      <c r="J1202" s="6">
        <f>IF(COUNTA(A1202:F1202)=0,"",IF(AND(A1202&lt;&gt;"",E1202&lt;&gt;""),"OK","ERRO: faltam "&amp;IF(A1202="","CNPJ; ","")&amp;IF(E1202="","Novo gerente; ","")))</f>
      </c>
      <c r="K1202" s="6">
        <f>IF(COUNTA(A1202:F1202)=0,"",IF(AND(LEFT(H1202,4)&lt;&gt;"ERRO",I1202="OK",J1202="OK"),"OK","REVISAR"))</f>
      </c>
    </row>
    <row r="1203">
      <c r="A1203" s="5"/>
      <c r="B1203" s="4"/>
      <c r="C1203" s="4"/>
      <c r="D1203" s="4"/>
      <c r="E1203" s="5"/>
      <c r="F1203" s="4"/>
      <c r="G1203" s="6">
        <f>IF(A1203="","",SUBSTITUTE(SUBSTITUTE(SUBSTITUTE(SUBSTITUTE(SUBSTITUTE(SUBSTITUTE(SUBSTITUTE(TRIM(A1203),".",""),"/",""),"-","")," ",""),"(",""),")",""),"+",""))</f>
      </c>
      <c r="H1203" s="6">
        <f>IF(G1203="","",IF(LEN(G1203)&lt;&gt;14,"ERRO: "&amp;LEN(G1203)&amp;" dígitos",IF(NOT(ISNUMBER(VALUE(G1203))),"ERRO: não numérico",IF(AND(VALUE(MID(G1203,13,1))=IF(MOD(SUMPRODUCT(--MID(G1203,{1,2,3,4,5,6,7,8,9,10,11,12},1),{5,4,3,2,9,8,7,6,5,4,3,2}),11)&lt;2,0,11-MOD(SUMPRODUCT(--MID(G1203,{1,2,3,4,5,6,7,8,9,10,11,12},1),{5,4,3,2,9,8,7,6,5,4,3,2}),11)),VALUE(MID(G1203,14,1))=IF(MOD(SUMPRODUCT(--MID(G1203,{1,2,3,4,5,6,7,8,9,10,11,12,13},1),{6,5,4,3,2,9,8,7,6,5,4,3,2}),11)&lt;2,0,11-MOD(SUMPRODUCT(--MID(G1203,{1,2,3,4,5,6,7,8,9,10,11,12,13},1),{6,5,4,3,2,9,8,7,6,5,4,3,2}),11))),"OK","AVISO: dígito verificador (conferir na org)"))))</f>
      </c>
      <c r="I1203" s="6">
        <f>IF(G1203="","",IF(COUNTIF($G$2:$G$2001,G1203)&gt;1,"DUPLICADO","OK"))</f>
      </c>
      <c r="J1203" s="6">
        <f>IF(COUNTA(A1203:F1203)=0,"",IF(AND(A1203&lt;&gt;"",E1203&lt;&gt;""),"OK","ERRO: faltam "&amp;IF(A1203="","CNPJ; ","")&amp;IF(E1203="","Novo gerente; ","")))</f>
      </c>
      <c r="K1203" s="6">
        <f>IF(COUNTA(A1203:F1203)=0,"",IF(AND(LEFT(H1203,4)&lt;&gt;"ERRO",I1203="OK",J1203="OK"),"OK","REVISAR"))</f>
      </c>
    </row>
    <row r="1204">
      <c r="A1204" s="5"/>
      <c r="B1204" s="4"/>
      <c r="C1204" s="4"/>
      <c r="D1204" s="4"/>
      <c r="E1204" s="5"/>
      <c r="F1204" s="4"/>
      <c r="G1204" s="6">
        <f>IF(A1204="","",SUBSTITUTE(SUBSTITUTE(SUBSTITUTE(SUBSTITUTE(SUBSTITUTE(SUBSTITUTE(SUBSTITUTE(TRIM(A1204),".",""),"/",""),"-","")," ",""),"(",""),")",""),"+",""))</f>
      </c>
      <c r="H1204" s="6">
        <f>IF(G1204="","",IF(LEN(G1204)&lt;&gt;14,"ERRO: "&amp;LEN(G1204)&amp;" dígitos",IF(NOT(ISNUMBER(VALUE(G1204))),"ERRO: não numérico",IF(AND(VALUE(MID(G1204,13,1))=IF(MOD(SUMPRODUCT(--MID(G1204,{1,2,3,4,5,6,7,8,9,10,11,12},1),{5,4,3,2,9,8,7,6,5,4,3,2}),11)&lt;2,0,11-MOD(SUMPRODUCT(--MID(G1204,{1,2,3,4,5,6,7,8,9,10,11,12},1),{5,4,3,2,9,8,7,6,5,4,3,2}),11)),VALUE(MID(G1204,14,1))=IF(MOD(SUMPRODUCT(--MID(G1204,{1,2,3,4,5,6,7,8,9,10,11,12,13},1),{6,5,4,3,2,9,8,7,6,5,4,3,2}),11)&lt;2,0,11-MOD(SUMPRODUCT(--MID(G1204,{1,2,3,4,5,6,7,8,9,10,11,12,13},1),{6,5,4,3,2,9,8,7,6,5,4,3,2}),11))),"OK","AVISO: dígito verificador (conferir na org)"))))</f>
      </c>
      <c r="I1204" s="6">
        <f>IF(G1204="","",IF(COUNTIF($G$2:$G$2001,G1204)&gt;1,"DUPLICADO","OK"))</f>
      </c>
      <c r="J1204" s="6">
        <f>IF(COUNTA(A1204:F1204)=0,"",IF(AND(A1204&lt;&gt;"",E1204&lt;&gt;""),"OK","ERRO: faltam "&amp;IF(A1204="","CNPJ; ","")&amp;IF(E1204="","Novo gerente; ","")))</f>
      </c>
      <c r="K1204" s="6">
        <f>IF(COUNTA(A1204:F1204)=0,"",IF(AND(LEFT(H1204,4)&lt;&gt;"ERRO",I1204="OK",J1204="OK"),"OK","REVISAR"))</f>
      </c>
    </row>
    <row r="1205">
      <c r="A1205" s="5"/>
      <c r="B1205" s="4"/>
      <c r="C1205" s="4"/>
      <c r="D1205" s="4"/>
      <c r="E1205" s="5"/>
      <c r="F1205" s="4"/>
      <c r="G1205" s="6">
        <f>IF(A1205="","",SUBSTITUTE(SUBSTITUTE(SUBSTITUTE(SUBSTITUTE(SUBSTITUTE(SUBSTITUTE(SUBSTITUTE(TRIM(A1205),".",""),"/",""),"-","")," ",""),"(",""),")",""),"+",""))</f>
      </c>
      <c r="H1205" s="6">
        <f>IF(G1205="","",IF(LEN(G1205)&lt;&gt;14,"ERRO: "&amp;LEN(G1205)&amp;" dígitos",IF(NOT(ISNUMBER(VALUE(G1205))),"ERRO: não numérico",IF(AND(VALUE(MID(G1205,13,1))=IF(MOD(SUMPRODUCT(--MID(G1205,{1,2,3,4,5,6,7,8,9,10,11,12},1),{5,4,3,2,9,8,7,6,5,4,3,2}),11)&lt;2,0,11-MOD(SUMPRODUCT(--MID(G1205,{1,2,3,4,5,6,7,8,9,10,11,12},1),{5,4,3,2,9,8,7,6,5,4,3,2}),11)),VALUE(MID(G1205,14,1))=IF(MOD(SUMPRODUCT(--MID(G1205,{1,2,3,4,5,6,7,8,9,10,11,12,13},1),{6,5,4,3,2,9,8,7,6,5,4,3,2}),11)&lt;2,0,11-MOD(SUMPRODUCT(--MID(G1205,{1,2,3,4,5,6,7,8,9,10,11,12,13},1),{6,5,4,3,2,9,8,7,6,5,4,3,2}),11))),"OK","AVISO: dígito verificador (conferir na org)"))))</f>
      </c>
      <c r="I1205" s="6">
        <f>IF(G1205="","",IF(COUNTIF($G$2:$G$2001,G1205)&gt;1,"DUPLICADO","OK"))</f>
      </c>
      <c r="J1205" s="6">
        <f>IF(COUNTA(A1205:F1205)=0,"",IF(AND(A1205&lt;&gt;"",E1205&lt;&gt;""),"OK","ERRO: faltam "&amp;IF(A1205="","CNPJ; ","")&amp;IF(E1205="","Novo gerente; ","")))</f>
      </c>
      <c r="K1205" s="6">
        <f>IF(COUNTA(A1205:F1205)=0,"",IF(AND(LEFT(H1205,4)&lt;&gt;"ERRO",I1205="OK",J1205="OK"),"OK","REVISAR"))</f>
      </c>
    </row>
    <row r="1206">
      <c r="A1206" s="5"/>
      <c r="B1206" s="4"/>
      <c r="C1206" s="4"/>
      <c r="D1206" s="4"/>
      <c r="E1206" s="5"/>
      <c r="F1206" s="4"/>
      <c r="G1206" s="6">
        <f>IF(A1206="","",SUBSTITUTE(SUBSTITUTE(SUBSTITUTE(SUBSTITUTE(SUBSTITUTE(SUBSTITUTE(SUBSTITUTE(TRIM(A1206),".",""),"/",""),"-","")," ",""),"(",""),")",""),"+",""))</f>
      </c>
      <c r="H1206" s="6">
        <f>IF(G1206="","",IF(LEN(G1206)&lt;&gt;14,"ERRO: "&amp;LEN(G1206)&amp;" dígitos",IF(NOT(ISNUMBER(VALUE(G1206))),"ERRO: não numérico",IF(AND(VALUE(MID(G1206,13,1))=IF(MOD(SUMPRODUCT(--MID(G1206,{1,2,3,4,5,6,7,8,9,10,11,12},1),{5,4,3,2,9,8,7,6,5,4,3,2}),11)&lt;2,0,11-MOD(SUMPRODUCT(--MID(G1206,{1,2,3,4,5,6,7,8,9,10,11,12},1),{5,4,3,2,9,8,7,6,5,4,3,2}),11)),VALUE(MID(G1206,14,1))=IF(MOD(SUMPRODUCT(--MID(G1206,{1,2,3,4,5,6,7,8,9,10,11,12,13},1),{6,5,4,3,2,9,8,7,6,5,4,3,2}),11)&lt;2,0,11-MOD(SUMPRODUCT(--MID(G1206,{1,2,3,4,5,6,7,8,9,10,11,12,13},1),{6,5,4,3,2,9,8,7,6,5,4,3,2}),11))),"OK","AVISO: dígito verificador (conferir na org)"))))</f>
      </c>
      <c r="I1206" s="6">
        <f>IF(G1206="","",IF(COUNTIF($G$2:$G$2001,G1206)&gt;1,"DUPLICADO","OK"))</f>
      </c>
      <c r="J1206" s="6">
        <f>IF(COUNTA(A1206:F1206)=0,"",IF(AND(A1206&lt;&gt;"",E1206&lt;&gt;""),"OK","ERRO: faltam "&amp;IF(A1206="","CNPJ; ","")&amp;IF(E1206="","Novo gerente; ","")))</f>
      </c>
      <c r="K1206" s="6">
        <f>IF(COUNTA(A1206:F1206)=0,"",IF(AND(LEFT(H1206,4)&lt;&gt;"ERRO",I1206="OK",J1206="OK"),"OK","REVISAR"))</f>
      </c>
    </row>
    <row r="1207">
      <c r="A1207" s="5"/>
      <c r="B1207" s="4"/>
      <c r="C1207" s="4"/>
      <c r="D1207" s="4"/>
      <c r="E1207" s="5"/>
      <c r="F1207" s="4"/>
      <c r="G1207" s="6">
        <f>IF(A1207="","",SUBSTITUTE(SUBSTITUTE(SUBSTITUTE(SUBSTITUTE(SUBSTITUTE(SUBSTITUTE(SUBSTITUTE(TRIM(A1207),".",""),"/",""),"-","")," ",""),"(",""),")",""),"+",""))</f>
      </c>
      <c r="H1207" s="6">
        <f>IF(G1207="","",IF(LEN(G1207)&lt;&gt;14,"ERRO: "&amp;LEN(G1207)&amp;" dígitos",IF(NOT(ISNUMBER(VALUE(G1207))),"ERRO: não numérico",IF(AND(VALUE(MID(G1207,13,1))=IF(MOD(SUMPRODUCT(--MID(G1207,{1,2,3,4,5,6,7,8,9,10,11,12},1),{5,4,3,2,9,8,7,6,5,4,3,2}),11)&lt;2,0,11-MOD(SUMPRODUCT(--MID(G1207,{1,2,3,4,5,6,7,8,9,10,11,12},1),{5,4,3,2,9,8,7,6,5,4,3,2}),11)),VALUE(MID(G1207,14,1))=IF(MOD(SUMPRODUCT(--MID(G1207,{1,2,3,4,5,6,7,8,9,10,11,12,13},1),{6,5,4,3,2,9,8,7,6,5,4,3,2}),11)&lt;2,0,11-MOD(SUMPRODUCT(--MID(G1207,{1,2,3,4,5,6,7,8,9,10,11,12,13},1),{6,5,4,3,2,9,8,7,6,5,4,3,2}),11))),"OK","AVISO: dígito verificador (conferir na org)"))))</f>
      </c>
      <c r="I1207" s="6">
        <f>IF(G1207="","",IF(COUNTIF($G$2:$G$2001,G1207)&gt;1,"DUPLICADO","OK"))</f>
      </c>
      <c r="J1207" s="6">
        <f>IF(COUNTA(A1207:F1207)=0,"",IF(AND(A1207&lt;&gt;"",E1207&lt;&gt;""),"OK","ERRO: faltam "&amp;IF(A1207="","CNPJ; ","")&amp;IF(E1207="","Novo gerente; ","")))</f>
      </c>
      <c r="K1207" s="6">
        <f>IF(COUNTA(A1207:F1207)=0,"",IF(AND(LEFT(H1207,4)&lt;&gt;"ERRO",I1207="OK",J1207="OK"),"OK","REVISAR"))</f>
      </c>
    </row>
    <row r="1208">
      <c r="A1208" s="5"/>
      <c r="B1208" s="4"/>
      <c r="C1208" s="4"/>
      <c r="D1208" s="4"/>
      <c r="E1208" s="5"/>
      <c r="F1208" s="4"/>
      <c r="G1208" s="6">
        <f>IF(A1208="","",SUBSTITUTE(SUBSTITUTE(SUBSTITUTE(SUBSTITUTE(SUBSTITUTE(SUBSTITUTE(SUBSTITUTE(TRIM(A1208),".",""),"/",""),"-","")," ",""),"(",""),")",""),"+",""))</f>
      </c>
      <c r="H1208" s="6">
        <f>IF(G1208="","",IF(LEN(G1208)&lt;&gt;14,"ERRO: "&amp;LEN(G1208)&amp;" dígitos",IF(NOT(ISNUMBER(VALUE(G1208))),"ERRO: não numérico",IF(AND(VALUE(MID(G1208,13,1))=IF(MOD(SUMPRODUCT(--MID(G1208,{1,2,3,4,5,6,7,8,9,10,11,12},1),{5,4,3,2,9,8,7,6,5,4,3,2}),11)&lt;2,0,11-MOD(SUMPRODUCT(--MID(G1208,{1,2,3,4,5,6,7,8,9,10,11,12},1),{5,4,3,2,9,8,7,6,5,4,3,2}),11)),VALUE(MID(G1208,14,1))=IF(MOD(SUMPRODUCT(--MID(G1208,{1,2,3,4,5,6,7,8,9,10,11,12,13},1),{6,5,4,3,2,9,8,7,6,5,4,3,2}),11)&lt;2,0,11-MOD(SUMPRODUCT(--MID(G1208,{1,2,3,4,5,6,7,8,9,10,11,12,13},1),{6,5,4,3,2,9,8,7,6,5,4,3,2}),11))),"OK","AVISO: dígito verificador (conferir na org)"))))</f>
      </c>
      <c r="I1208" s="6">
        <f>IF(G1208="","",IF(COUNTIF($G$2:$G$2001,G1208)&gt;1,"DUPLICADO","OK"))</f>
      </c>
      <c r="J1208" s="6">
        <f>IF(COUNTA(A1208:F1208)=0,"",IF(AND(A1208&lt;&gt;"",E1208&lt;&gt;""),"OK","ERRO: faltam "&amp;IF(A1208="","CNPJ; ","")&amp;IF(E1208="","Novo gerente; ","")))</f>
      </c>
      <c r="K1208" s="6">
        <f>IF(COUNTA(A1208:F1208)=0,"",IF(AND(LEFT(H1208,4)&lt;&gt;"ERRO",I1208="OK",J1208="OK"),"OK","REVISAR"))</f>
      </c>
    </row>
    <row r="1209">
      <c r="A1209" s="5"/>
      <c r="B1209" s="4"/>
      <c r="C1209" s="4"/>
      <c r="D1209" s="4"/>
      <c r="E1209" s="5"/>
      <c r="F1209" s="4"/>
      <c r="G1209" s="6">
        <f>IF(A1209="","",SUBSTITUTE(SUBSTITUTE(SUBSTITUTE(SUBSTITUTE(SUBSTITUTE(SUBSTITUTE(SUBSTITUTE(TRIM(A1209),".",""),"/",""),"-","")," ",""),"(",""),")",""),"+",""))</f>
      </c>
      <c r="H1209" s="6">
        <f>IF(G1209="","",IF(LEN(G1209)&lt;&gt;14,"ERRO: "&amp;LEN(G1209)&amp;" dígitos",IF(NOT(ISNUMBER(VALUE(G1209))),"ERRO: não numérico",IF(AND(VALUE(MID(G1209,13,1))=IF(MOD(SUMPRODUCT(--MID(G1209,{1,2,3,4,5,6,7,8,9,10,11,12},1),{5,4,3,2,9,8,7,6,5,4,3,2}),11)&lt;2,0,11-MOD(SUMPRODUCT(--MID(G1209,{1,2,3,4,5,6,7,8,9,10,11,12},1),{5,4,3,2,9,8,7,6,5,4,3,2}),11)),VALUE(MID(G1209,14,1))=IF(MOD(SUMPRODUCT(--MID(G1209,{1,2,3,4,5,6,7,8,9,10,11,12,13},1),{6,5,4,3,2,9,8,7,6,5,4,3,2}),11)&lt;2,0,11-MOD(SUMPRODUCT(--MID(G1209,{1,2,3,4,5,6,7,8,9,10,11,12,13},1),{6,5,4,3,2,9,8,7,6,5,4,3,2}),11))),"OK","AVISO: dígito verificador (conferir na org)"))))</f>
      </c>
      <c r="I1209" s="6">
        <f>IF(G1209="","",IF(COUNTIF($G$2:$G$2001,G1209)&gt;1,"DUPLICADO","OK"))</f>
      </c>
      <c r="J1209" s="6">
        <f>IF(COUNTA(A1209:F1209)=0,"",IF(AND(A1209&lt;&gt;"",E1209&lt;&gt;""),"OK","ERRO: faltam "&amp;IF(A1209="","CNPJ; ","")&amp;IF(E1209="","Novo gerente; ","")))</f>
      </c>
      <c r="K1209" s="6">
        <f>IF(COUNTA(A1209:F1209)=0,"",IF(AND(LEFT(H1209,4)&lt;&gt;"ERRO",I1209="OK",J1209="OK"),"OK","REVISAR"))</f>
      </c>
    </row>
    <row r="1210">
      <c r="A1210" s="5"/>
      <c r="B1210" s="4"/>
      <c r="C1210" s="4"/>
      <c r="D1210" s="4"/>
      <c r="E1210" s="5"/>
      <c r="F1210" s="4"/>
      <c r="G1210" s="6">
        <f>IF(A1210="","",SUBSTITUTE(SUBSTITUTE(SUBSTITUTE(SUBSTITUTE(SUBSTITUTE(SUBSTITUTE(SUBSTITUTE(TRIM(A1210),".",""),"/",""),"-","")," ",""),"(",""),")",""),"+",""))</f>
      </c>
      <c r="H1210" s="6">
        <f>IF(G1210="","",IF(LEN(G1210)&lt;&gt;14,"ERRO: "&amp;LEN(G1210)&amp;" dígitos",IF(NOT(ISNUMBER(VALUE(G1210))),"ERRO: não numérico",IF(AND(VALUE(MID(G1210,13,1))=IF(MOD(SUMPRODUCT(--MID(G1210,{1,2,3,4,5,6,7,8,9,10,11,12},1),{5,4,3,2,9,8,7,6,5,4,3,2}),11)&lt;2,0,11-MOD(SUMPRODUCT(--MID(G1210,{1,2,3,4,5,6,7,8,9,10,11,12},1),{5,4,3,2,9,8,7,6,5,4,3,2}),11)),VALUE(MID(G1210,14,1))=IF(MOD(SUMPRODUCT(--MID(G1210,{1,2,3,4,5,6,7,8,9,10,11,12,13},1),{6,5,4,3,2,9,8,7,6,5,4,3,2}),11)&lt;2,0,11-MOD(SUMPRODUCT(--MID(G1210,{1,2,3,4,5,6,7,8,9,10,11,12,13},1),{6,5,4,3,2,9,8,7,6,5,4,3,2}),11))),"OK","AVISO: dígito verificador (conferir na org)"))))</f>
      </c>
      <c r="I1210" s="6">
        <f>IF(G1210="","",IF(COUNTIF($G$2:$G$2001,G1210)&gt;1,"DUPLICADO","OK"))</f>
      </c>
      <c r="J1210" s="6">
        <f>IF(COUNTA(A1210:F1210)=0,"",IF(AND(A1210&lt;&gt;"",E1210&lt;&gt;""),"OK","ERRO: faltam "&amp;IF(A1210="","CNPJ; ","")&amp;IF(E1210="","Novo gerente; ","")))</f>
      </c>
      <c r="K1210" s="6">
        <f>IF(COUNTA(A1210:F1210)=0,"",IF(AND(LEFT(H1210,4)&lt;&gt;"ERRO",I1210="OK",J1210="OK"),"OK","REVISAR"))</f>
      </c>
    </row>
    <row r="1211">
      <c r="A1211" s="5"/>
      <c r="B1211" s="4"/>
      <c r="C1211" s="4"/>
      <c r="D1211" s="4"/>
      <c r="E1211" s="5"/>
      <c r="F1211" s="4"/>
      <c r="G1211" s="6">
        <f>IF(A1211="","",SUBSTITUTE(SUBSTITUTE(SUBSTITUTE(SUBSTITUTE(SUBSTITUTE(SUBSTITUTE(SUBSTITUTE(TRIM(A1211),".",""),"/",""),"-","")," ",""),"(",""),")",""),"+",""))</f>
      </c>
      <c r="H1211" s="6">
        <f>IF(G1211="","",IF(LEN(G1211)&lt;&gt;14,"ERRO: "&amp;LEN(G1211)&amp;" dígitos",IF(NOT(ISNUMBER(VALUE(G1211))),"ERRO: não numérico",IF(AND(VALUE(MID(G1211,13,1))=IF(MOD(SUMPRODUCT(--MID(G1211,{1,2,3,4,5,6,7,8,9,10,11,12},1),{5,4,3,2,9,8,7,6,5,4,3,2}),11)&lt;2,0,11-MOD(SUMPRODUCT(--MID(G1211,{1,2,3,4,5,6,7,8,9,10,11,12},1),{5,4,3,2,9,8,7,6,5,4,3,2}),11)),VALUE(MID(G1211,14,1))=IF(MOD(SUMPRODUCT(--MID(G1211,{1,2,3,4,5,6,7,8,9,10,11,12,13},1),{6,5,4,3,2,9,8,7,6,5,4,3,2}),11)&lt;2,0,11-MOD(SUMPRODUCT(--MID(G1211,{1,2,3,4,5,6,7,8,9,10,11,12,13},1),{6,5,4,3,2,9,8,7,6,5,4,3,2}),11))),"OK","AVISO: dígito verificador (conferir na org)"))))</f>
      </c>
      <c r="I1211" s="6">
        <f>IF(G1211="","",IF(COUNTIF($G$2:$G$2001,G1211)&gt;1,"DUPLICADO","OK"))</f>
      </c>
      <c r="J1211" s="6">
        <f>IF(COUNTA(A1211:F1211)=0,"",IF(AND(A1211&lt;&gt;"",E1211&lt;&gt;""),"OK","ERRO: faltam "&amp;IF(A1211="","CNPJ; ","")&amp;IF(E1211="","Novo gerente; ","")))</f>
      </c>
      <c r="K1211" s="6">
        <f>IF(COUNTA(A1211:F1211)=0,"",IF(AND(LEFT(H1211,4)&lt;&gt;"ERRO",I1211="OK",J1211="OK"),"OK","REVISAR"))</f>
      </c>
    </row>
    <row r="1212">
      <c r="A1212" s="5"/>
      <c r="B1212" s="4"/>
      <c r="C1212" s="4"/>
      <c r="D1212" s="4"/>
      <c r="E1212" s="5"/>
      <c r="F1212" s="4"/>
      <c r="G1212" s="6">
        <f>IF(A1212="","",SUBSTITUTE(SUBSTITUTE(SUBSTITUTE(SUBSTITUTE(SUBSTITUTE(SUBSTITUTE(SUBSTITUTE(TRIM(A1212),".",""),"/",""),"-","")," ",""),"(",""),")",""),"+",""))</f>
      </c>
      <c r="H1212" s="6">
        <f>IF(G1212="","",IF(LEN(G1212)&lt;&gt;14,"ERRO: "&amp;LEN(G1212)&amp;" dígitos",IF(NOT(ISNUMBER(VALUE(G1212))),"ERRO: não numérico",IF(AND(VALUE(MID(G1212,13,1))=IF(MOD(SUMPRODUCT(--MID(G1212,{1,2,3,4,5,6,7,8,9,10,11,12},1),{5,4,3,2,9,8,7,6,5,4,3,2}),11)&lt;2,0,11-MOD(SUMPRODUCT(--MID(G1212,{1,2,3,4,5,6,7,8,9,10,11,12},1),{5,4,3,2,9,8,7,6,5,4,3,2}),11)),VALUE(MID(G1212,14,1))=IF(MOD(SUMPRODUCT(--MID(G1212,{1,2,3,4,5,6,7,8,9,10,11,12,13},1),{6,5,4,3,2,9,8,7,6,5,4,3,2}),11)&lt;2,0,11-MOD(SUMPRODUCT(--MID(G1212,{1,2,3,4,5,6,7,8,9,10,11,12,13},1),{6,5,4,3,2,9,8,7,6,5,4,3,2}),11))),"OK","AVISO: dígito verificador (conferir na org)"))))</f>
      </c>
      <c r="I1212" s="6">
        <f>IF(G1212="","",IF(COUNTIF($G$2:$G$2001,G1212)&gt;1,"DUPLICADO","OK"))</f>
      </c>
      <c r="J1212" s="6">
        <f>IF(COUNTA(A1212:F1212)=0,"",IF(AND(A1212&lt;&gt;"",E1212&lt;&gt;""),"OK","ERRO: faltam "&amp;IF(A1212="","CNPJ; ","")&amp;IF(E1212="","Novo gerente; ","")))</f>
      </c>
      <c r="K1212" s="6">
        <f>IF(COUNTA(A1212:F1212)=0,"",IF(AND(LEFT(H1212,4)&lt;&gt;"ERRO",I1212="OK",J1212="OK"),"OK","REVISAR"))</f>
      </c>
    </row>
    <row r="1213">
      <c r="A1213" s="5"/>
      <c r="B1213" s="4"/>
      <c r="C1213" s="4"/>
      <c r="D1213" s="4"/>
      <c r="E1213" s="5"/>
      <c r="F1213" s="4"/>
      <c r="G1213" s="6">
        <f>IF(A1213="","",SUBSTITUTE(SUBSTITUTE(SUBSTITUTE(SUBSTITUTE(SUBSTITUTE(SUBSTITUTE(SUBSTITUTE(TRIM(A1213),".",""),"/",""),"-","")," ",""),"(",""),")",""),"+",""))</f>
      </c>
      <c r="H1213" s="6">
        <f>IF(G1213="","",IF(LEN(G1213)&lt;&gt;14,"ERRO: "&amp;LEN(G1213)&amp;" dígitos",IF(NOT(ISNUMBER(VALUE(G1213))),"ERRO: não numérico",IF(AND(VALUE(MID(G1213,13,1))=IF(MOD(SUMPRODUCT(--MID(G1213,{1,2,3,4,5,6,7,8,9,10,11,12},1),{5,4,3,2,9,8,7,6,5,4,3,2}),11)&lt;2,0,11-MOD(SUMPRODUCT(--MID(G1213,{1,2,3,4,5,6,7,8,9,10,11,12},1),{5,4,3,2,9,8,7,6,5,4,3,2}),11)),VALUE(MID(G1213,14,1))=IF(MOD(SUMPRODUCT(--MID(G1213,{1,2,3,4,5,6,7,8,9,10,11,12,13},1),{6,5,4,3,2,9,8,7,6,5,4,3,2}),11)&lt;2,0,11-MOD(SUMPRODUCT(--MID(G1213,{1,2,3,4,5,6,7,8,9,10,11,12,13},1),{6,5,4,3,2,9,8,7,6,5,4,3,2}),11))),"OK","AVISO: dígito verificador (conferir na org)"))))</f>
      </c>
      <c r="I1213" s="6">
        <f>IF(G1213="","",IF(COUNTIF($G$2:$G$2001,G1213)&gt;1,"DUPLICADO","OK"))</f>
      </c>
      <c r="J1213" s="6">
        <f>IF(COUNTA(A1213:F1213)=0,"",IF(AND(A1213&lt;&gt;"",E1213&lt;&gt;""),"OK","ERRO: faltam "&amp;IF(A1213="","CNPJ; ","")&amp;IF(E1213="","Novo gerente; ","")))</f>
      </c>
      <c r="K1213" s="6">
        <f>IF(COUNTA(A1213:F1213)=0,"",IF(AND(LEFT(H1213,4)&lt;&gt;"ERRO",I1213="OK",J1213="OK"),"OK","REVISAR"))</f>
      </c>
    </row>
    <row r="1214">
      <c r="A1214" s="5"/>
      <c r="B1214" s="4"/>
      <c r="C1214" s="4"/>
      <c r="D1214" s="4"/>
      <c r="E1214" s="5"/>
      <c r="F1214" s="4"/>
      <c r="G1214" s="6">
        <f>IF(A1214="","",SUBSTITUTE(SUBSTITUTE(SUBSTITUTE(SUBSTITUTE(SUBSTITUTE(SUBSTITUTE(SUBSTITUTE(TRIM(A1214),".",""),"/",""),"-","")," ",""),"(",""),")",""),"+",""))</f>
      </c>
      <c r="H1214" s="6">
        <f>IF(G1214="","",IF(LEN(G1214)&lt;&gt;14,"ERRO: "&amp;LEN(G1214)&amp;" dígitos",IF(NOT(ISNUMBER(VALUE(G1214))),"ERRO: não numérico",IF(AND(VALUE(MID(G1214,13,1))=IF(MOD(SUMPRODUCT(--MID(G1214,{1,2,3,4,5,6,7,8,9,10,11,12},1),{5,4,3,2,9,8,7,6,5,4,3,2}),11)&lt;2,0,11-MOD(SUMPRODUCT(--MID(G1214,{1,2,3,4,5,6,7,8,9,10,11,12},1),{5,4,3,2,9,8,7,6,5,4,3,2}),11)),VALUE(MID(G1214,14,1))=IF(MOD(SUMPRODUCT(--MID(G1214,{1,2,3,4,5,6,7,8,9,10,11,12,13},1),{6,5,4,3,2,9,8,7,6,5,4,3,2}),11)&lt;2,0,11-MOD(SUMPRODUCT(--MID(G1214,{1,2,3,4,5,6,7,8,9,10,11,12,13},1),{6,5,4,3,2,9,8,7,6,5,4,3,2}),11))),"OK","AVISO: dígito verificador (conferir na org)"))))</f>
      </c>
      <c r="I1214" s="6">
        <f>IF(G1214="","",IF(COUNTIF($G$2:$G$2001,G1214)&gt;1,"DUPLICADO","OK"))</f>
      </c>
      <c r="J1214" s="6">
        <f>IF(COUNTA(A1214:F1214)=0,"",IF(AND(A1214&lt;&gt;"",E1214&lt;&gt;""),"OK","ERRO: faltam "&amp;IF(A1214="","CNPJ; ","")&amp;IF(E1214="","Novo gerente; ","")))</f>
      </c>
      <c r="K1214" s="6">
        <f>IF(COUNTA(A1214:F1214)=0,"",IF(AND(LEFT(H1214,4)&lt;&gt;"ERRO",I1214="OK",J1214="OK"),"OK","REVISAR"))</f>
      </c>
    </row>
    <row r="1215">
      <c r="A1215" s="5"/>
      <c r="B1215" s="4"/>
      <c r="C1215" s="4"/>
      <c r="D1215" s="4"/>
      <c r="E1215" s="5"/>
      <c r="F1215" s="4"/>
      <c r="G1215" s="6">
        <f>IF(A1215="","",SUBSTITUTE(SUBSTITUTE(SUBSTITUTE(SUBSTITUTE(SUBSTITUTE(SUBSTITUTE(SUBSTITUTE(TRIM(A1215),".",""),"/",""),"-","")," ",""),"(",""),")",""),"+",""))</f>
      </c>
      <c r="H1215" s="6">
        <f>IF(G1215="","",IF(LEN(G1215)&lt;&gt;14,"ERRO: "&amp;LEN(G1215)&amp;" dígitos",IF(NOT(ISNUMBER(VALUE(G1215))),"ERRO: não numérico",IF(AND(VALUE(MID(G1215,13,1))=IF(MOD(SUMPRODUCT(--MID(G1215,{1,2,3,4,5,6,7,8,9,10,11,12},1),{5,4,3,2,9,8,7,6,5,4,3,2}),11)&lt;2,0,11-MOD(SUMPRODUCT(--MID(G1215,{1,2,3,4,5,6,7,8,9,10,11,12},1),{5,4,3,2,9,8,7,6,5,4,3,2}),11)),VALUE(MID(G1215,14,1))=IF(MOD(SUMPRODUCT(--MID(G1215,{1,2,3,4,5,6,7,8,9,10,11,12,13},1),{6,5,4,3,2,9,8,7,6,5,4,3,2}),11)&lt;2,0,11-MOD(SUMPRODUCT(--MID(G1215,{1,2,3,4,5,6,7,8,9,10,11,12,13},1),{6,5,4,3,2,9,8,7,6,5,4,3,2}),11))),"OK","AVISO: dígito verificador (conferir na org)"))))</f>
      </c>
      <c r="I1215" s="6">
        <f>IF(G1215="","",IF(COUNTIF($G$2:$G$2001,G1215)&gt;1,"DUPLICADO","OK"))</f>
      </c>
      <c r="J1215" s="6">
        <f>IF(COUNTA(A1215:F1215)=0,"",IF(AND(A1215&lt;&gt;"",E1215&lt;&gt;""),"OK","ERRO: faltam "&amp;IF(A1215="","CNPJ; ","")&amp;IF(E1215="","Novo gerente; ","")))</f>
      </c>
      <c r="K1215" s="6">
        <f>IF(COUNTA(A1215:F1215)=0,"",IF(AND(LEFT(H1215,4)&lt;&gt;"ERRO",I1215="OK",J1215="OK"),"OK","REVISAR"))</f>
      </c>
    </row>
    <row r="1216">
      <c r="A1216" s="5"/>
      <c r="B1216" s="4"/>
      <c r="C1216" s="4"/>
      <c r="D1216" s="4"/>
      <c r="E1216" s="5"/>
      <c r="F1216" s="4"/>
      <c r="G1216" s="6">
        <f>IF(A1216="","",SUBSTITUTE(SUBSTITUTE(SUBSTITUTE(SUBSTITUTE(SUBSTITUTE(SUBSTITUTE(SUBSTITUTE(TRIM(A1216),".",""),"/",""),"-","")," ",""),"(",""),")",""),"+",""))</f>
      </c>
      <c r="H1216" s="6">
        <f>IF(G1216="","",IF(LEN(G1216)&lt;&gt;14,"ERRO: "&amp;LEN(G1216)&amp;" dígitos",IF(NOT(ISNUMBER(VALUE(G1216))),"ERRO: não numérico",IF(AND(VALUE(MID(G1216,13,1))=IF(MOD(SUMPRODUCT(--MID(G1216,{1,2,3,4,5,6,7,8,9,10,11,12},1),{5,4,3,2,9,8,7,6,5,4,3,2}),11)&lt;2,0,11-MOD(SUMPRODUCT(--MID(G1216,{1,2,3,4,5,6,7,8,9,10,11,12},1),{5,4,3,2,9,8,7,6,5,4,3,2}),11)),VALUE(MID(G1216,14,1))=IF(MOD(SUMPRODUCT(--MID(G1216,{1,2,3,4,5,6,7,8,9,10,11,12,13},1),{6,5,4,3,2,9,8,7,6,5,4,3,2}),11)&lt;2,0,11-MOD(SUMPRODUCT(--MID(G1216,{1,2,3,4,5,6,7,8,9,10,11,12,13},1),{6,5,4,3,2,9,8,7,6,5,4,3,2}),11))),"OK","AVISO: dígito verificador (conferir na org)"))))</f>
      </c>
      <c r="I1216" s="6">
        <f>IF(G1216="","",IF(COUNTIF($G$2:$G$2001,G1216)&gt;1,"DUPLICADO","OK"))</f>
      </c>
      <c r="J1216" s="6">
        <f>IF(COUNTA(A1216:F1216)=0,"",IF(AND(A1216&lt;&gt;"",E1216&lt;&gt;""),"OK","ERRO: faltam "&amp;IF(A1216="","CNPJ; ","")&amp;IF(E1216="","Novo gerente; ","")))</f>
      </c>
      <c r="K1216" s="6">
        <f>IF(COUNTA(A1216:F1216)=0,"",IF(AND(LEFT(H1216,4)&lt;&gt;"ERRO",I1216="OK",J1216="OK"),"OK","REVISAR"))</f>
      </c>
    </row>
    <row r="1217">
      <c r="A1217" s="5"/>
      <c r="B1217" s="4"/>
      <c r="C1217" s="4"/>
      <c r="D1217" s="4"/>
      <c r="E1217" s="5"/>
      <c r="F1217" s="4"/>
      <c r="G1217" s="6">
        <f>IF(A1217="","",SUBSTITUTE(SUBSTITUTE(SUBSTITUTE(SUBSTITUTE(SUBSTITUTE(SUBSTITUTE(SUBSTITUTE(TRIM(A1217),".",""),"/",""),"-","")," ",""),"(",""),")",""),"+",""))</f>
      </c>
      <c r="H1217" s="6">
        <f>IF(G1217="","",IF(LEN(G1217)&lt;&gt;14,"ERRO: "&amp;LEN(G1217)&amp;" dígitos",IF(NOT(ISNUMBER(VALUE(G1217))),"ERRO: não numérico",IF(AND(VALUE(MID(G1217,13,1))=IF(MOD(SUMPRODUCT(--MID(G1217,{1,2,3,4,5,6,7,8,9,10,11,12},1),{5,4,3,2,9,8,7,6,5,4,3,2}),11)&lt;2,0,11-MOD(SUMPRODUCT(--MID(G1217,{1,2,3,4,5,6,7,8,9,10,11,12},1),{5,4,3,2,9,8,7,6,5,4,3,2}),11)),VALUE(MID(G1217,14,1))=IF(MOD(SUMPRODUCT(--MID(G1217,{1,2,3,4,5,6,7,8,9,10,11,12,13},1),{6,5,4,3,2,9,8,7,6,5,4,3,2}),11)&lt;2,0,11-MOD(SUMPRODUCT(--MID(G1217,{1,2,3,4,5,6,7,8,9,10,11,12,13},1),{6,5,4,3,2,9,8,7,6,5,4,3,2}),11))),"OK","AVISO: dígito verificador (conferir na org)"))))</f>
      </c>
      <c r="I1217" s="6">
        <f>IF(G1217="","",IF(COUNTIF($G$2:$G$2001,G1217)&gt;1,"DUPLICADO","OK"))</f>
      </c>
      <c r="J1217" s="6">
        <f>IF(COUNTA(A1217:F1217)=0,"",IF(AND(A1217&lt;&gt;"",E1217&lt;&gt;""),"OK","ERRO: faltam "&amp;IF(A1217="","CNPJ; ","")&amp;IF(E1217="","Novo gerente; ","")))</f>
      </c>
      <c r="K1217" s="6">
        <f>IF(COUNTA(A1217:F1217)=0,"",IF(AND(LEFT(H1217,4)&lt;&gt;"ERRO",I1217="OK",J1217="OK"),"OK","REVISAR"))</f>
      </c>
    </row>
    <row r="1218">
      <c r="A1218" s="5"/>
      <c r="B1218" s="4"/>
      <c r="C1218" s="4"/>
      <c r="D1218" s="4"/>
      <c r="E1218" s="5"/>
      <c r="F1218" s="4"/>
      <c r="G1218" s="6">
        <f>IF(A1218="","",SUBSTITUTE(SUBSTITUTE(SUBSTITUTE(SUBSTITUTE(SUBSTITUTE(SUBSTITUTE(SUBSTITUTE(TRIM(A1218),".",""),"/",""),"-","")," ",""),"(",""),")",""),"+",""))</f>
      </c>
      <c r="H1218" s="6">
        <f>IF(G1218="","",IF(LEN(G1218)&lt;&gt;14,"ERRO: "&amp;LEN(G1218)&amp;" dígitos",IF(NOT(ISNUMBER(VALUE(G1218))),"ERRO: não numérico",IF(AND(VALUE(MID(G1218,13,1))=IF(MOD(SUMPRODUCT(--MID(G1218,{1,2,3,4,5,6,7,8,9,10,11,12},1),{5,4,3,2,9,8,7,6,5,4,3,2}),11)&lt;2,0,11-MOD(SUMPRODUCT(--MID(G1218,{1,2,3,4,5,6,7,8,9,10,11,12},1),{5,4,3,2,9,8,7,6,5,4,3,2}),11)),VALUE(MID(G1218,14,1))=IF(MOD(SUMPRODUCT(--MID(G1218,{1,2,3,4,5,6,7,8,9,10,11,12,13},1),{6,5,4,3,2,9,8,7,6,5,4,3,2}),11)&lt;2,0,11-MOD(SUMPRODUCT(--MID(G1218,{1,2,3,4,5,6,7,8,9,10,11,12,13},1),{6,5,4,3,2,9,8,7,6,5,4,3,2}),11))),"OK","AVISO: dígito verificador (conferir na org)"))))</f>
      </c>
      <c r="I1218" s="6">
        <f>IF(G1218="","",IF(COUNTIF($G$2:$G$2001,G1218)&gt;1,"DUPLICADO","OK"))</f>
      </c>
      <c r="J1218" s="6">
        <f>IF(COUNTA(A1218:F1218)=0,"",IF(AND(A1218&lt;&gt;"",E1218&lt;&gt;""),"OK","ERRO: faltam "&amp;IF(A1218="","CNPJ; ","")&amp;IF(E1218="","Novo gerente; ","")))</f>
      </c>
      <c r="K1218" s="6">
        <f>IF(COUNTA(A1218:F1218)=0,"",IF(AND(LEFT(H1218,4)&lt;&gt;"ERRO",I1218="OK",J1218="OK"),"OK","REVISAR"))</f>
      </c>
    </row>
    <row r="1219">
      <c r="A1219" s="5"/>
      <c r="B1219" s="4"/>
      <c r="C1219" s="4"/>
      <c r="D1219" s="4"/>
      <c r="E1219" s="5"/>
      <c r="F1219" s="4"/>
      <c r="G1219" s="6">
        <f>IF(A1219="","",SUBSTITUTE(SUBSTITUTE(SUBSTITUTE(SUBSTITUTE(SUBSTITUTE(SUBSTITUTE(SUBSTITUTE(TRIM(A1219),".",""),"/",""),"-","")," ",""),"(",""),")",""),"+",""))</f>
      </c>
      <c r="H1219" s="6">
        <f>IF(G1219="","",IF(LEN(G1219)&lt;&gt;14,"ERRO: "&amp;LEN(G1219)&amp;" dígitos",IF(NOT(ISNUMBER(VALUE(G1219))),"ERRO: não numérico",IF(AND(VALUE(MID(G1219,13,1))=IF(MOD(SUMPRODUCT(--MID(G1219,{1,2,3,4,5,6,7,8,9,10,11,12},1),{5,4,3,2,9,8,7,6,5,4,3,2}),11)&lt;2,0,11-MOD(SUMPRODUCT(--MID(G1219,{1,2,3,4,5,6,7,8,9,10,11,12},1),{5,4,3,2,9,8,7,6,5,4,3,2}),11)),VALUE(MID(G1219,14,1))=IF(MOD(SUMPRODUCT(--MID(G1219,{1,2,3,4,5,6,7,8,9,10,11,12,13},1),{6,5,4,3,2,9,8,7,6,5,4,3,2}),11)&lt;2,0,11-MOD(SUMPRODUCT(--MID(G1219,{1,2,3,4,5,6,7,8,9,10,11,12,13},1),{6,5,4,3,2,9,8,7,6,5,4,3,2}),11))),"OK","AVISO: dígito verificador (conferir na org)"))))</f>
      </c>
      <c r="I1219" s="6">
        <f>IF(G1219="","",IF(COUNTIF($G$2:$G$2001,G1219)&gt;1,"DUPLICADO","OK"))</f>
      </c>
      <c r="J1219" s="6">
        <f>IF(COUNTA(A1219:F1219)=0,"",IF(AND(A1219&lt;&gt;"",E1219&lt;&gt;""),"OK","ERRO: faltam "&amp;IF(A1219="","CNPJ; ","")&amp;IF(E1219="","Novo gerente; ","")))</f>
      </c>
      <c r="K1219" s="6">
        <f>IF(COUNTA(A1219:F1219)=0,"",IF(AND(LEFT(H1219,4)&lt;&gt;"ERRO",I1219="OK",J1219="OK"),"OK","REVISAR"))</f>
      </c>
    </row>
    <row r="1220">
      <c r="A1220" s="5"/>
      <c r="B1220" s="4"/>
      <c r="C1220" s="4"/>
      <c r="D1220" s="4"/>
      <c r="E1220" s="5"/>
      <c r="F1220" s="4"/>
      <c r="G1220" s="6">
        <f>IF(A1220="","",SUBSTITUTE(SUBSTITUTE(SUBSTITUTE(SUBSTITUTE(SUBSTITUTE(SUBSTITUTE(SUBSTITUTE(TRIM(A1220),".",""),"/",""),"-","")," ",""),"(",""),")",""),"+",""))</f>
      </c>
      <c r="H1220" s="6">
        <f>IF(G1220="","",IF(LEN(G1220)&lt;&gt;14,"ERRO: "&amp;LEN(G1220)&amp;" dígitos",IF(NOT(ISNUMBER(VALUE(G1220))),"ERRO: não numérico",IF(AND(VALUE(MID(G1220,13,1))=IF(MOD(SUMPRODUCT(--MID(G1220,{1,2,3,4,5,6,7,8,9,10,11,12},1),{5,4,3,2,9,8,7,6,5,4,3,2}),11)&lt;2,0,11-MOD(SUMPRODUCT(--MID(G1220,{1,2,3,4,5,6,7,8,9,10,11,12},1),{5,4,3,2,9,8,7,6,5,4,3,2}),11)),VALUE(MID(G1220,14,1))=IF(MOD(SUMPRODUCT(--MID(G1220,{1,2,3,4,5,6,7,8,9,10,11,12,13},1),{6,5,4,3,2,9,8,7,6,5,4,3,2}),11)&lt;2,0,11-MOD(SUMPRODUCT(--MID(G1220,{1,2,3,4,5,6,7,8,9,10,11,12,13},1),{6,5,4,3,2,9,8,7,6,5,4,3,2}),11))),"OK","AVISO: dígito verificador (conferir na org)"))))</f>
      </c>
      <c r="I1220" s="6">
        <f>IF(G1220="","",IF(COUNTIF($G$2:$G$2001,G1220)&gt;1,"DUPLICADO","OK"))</f>
      </c>
      <c r="J1220" s="6">
        <f>IF(COUNTA(A1220:F1220)=0,"",IF(AND(A1220&lt;&gt;"",E1220&lt;&gt;""),"OK","ERRO: faltam "&amp;IF(A1220="","CNPJ; ","")&amp;IF(E1220="","Novo gerente; ","")))</f>
      </c>
      <c r="K1220" s="6">
        <f>IF(COUNTA(A1220:F1220)=0,"",IF(AND(LEFT(H1220,4)&lt;&gt;"ERRO",I1220="OK",J1220="OK"),"OK","REVISAR"))</f>
      </c>
    </row>
    <row r="1221">
      <c r="A1221" s="5"/>
      <c r="B1221" s="4"/>
      <c r="C1221" s="4"/>
      <c r="D1221" s="4"/>
      <c r="E1221" s="5"/>
      <c r="F1221" s="4"/>
      <c r="G1221" s="6">
        <f>IF(A1221="","",SUBSTITUTE(SUBSTITUTE(SUBSTITUTE(SUBSTITUTE(SUBSTITUTE(SUBSTITUTE(SUBSTITUTE(TRIM(A1221),".",""),"/",""),"-","")," ",""),"(",""),")",""),"+",""))</f>
      </c>
      <c r="H1221" s="6">
        <f>IF(G1221="","",IF(LEN(G1221)&lt;&gt;14,"ERRO: "&amp;LEN(G1221)&amp;" dígitos",IF(NOT(ISNUMBER(VALUE(G1221))),"ERRO: não numérico",IF(AND(VALUE(MID(G1221,13,1))=IF(MOD(SUMPRODUCT(--MID(G1221,{1,2,3,4,5,6,7,8,9,10,11,12},1),{5,4,3,2,9,8,7,6,5,4,3,2}),11)&lt;2,0,11-MOD(SUMPRODUCT(--MID(G1221,{1,2,3,4,5,6,7,8,9,10,11,12},1),{5,4,3,2,9,8,7,6,5,4,3,2}),11)),VALUE(MID(G1221,14,1))=IF(MOD(SUMPRODUCT(--MID(G1221,{1,2,3,4,5,6,7,8,9,10,11,12,13},1),{6,5,4,3,2,9,8,7,6,5,4,3,2}),11)&lt;2,0,11-MOD(SUMPRODUCT(--MID(G1221,{1,2,3,4,5,6,7,8,9,10,11,12,13},1),{6,5,4,3,2,9,8,7,6,5,4,3,2}),11))),"OK","AVISO: dígito verificador (conferir na org)"))))</f>
      </c>
      <c r="I1221" s="6">
        <f>IF(G1221="","",IF(COUNTIF($G$2:$G$2001,G1221)&gt;1,"DUPLICADO","OK"))</f>
      </c>
      <c r="J1221" s="6">
        <f>IF(COUNTA(A1221:F1221)=0,"",IF(AND(A1221&lt;&gt;"",E1221&lt;&gt;""),"OK","ERRO: faltam "&amp;IF(A1221="","CNPJ; ","")&amp;IF(E1221="","Novo gerente; ","")))</f>
      </c>
      <c r="K1221" s="6">
        <f>IF(COUNTA(A1221:F1221)=0,"",IF(AND(LEFT(H1221,4)&lt;&gt;"ERRO",I1221="OK",J1221="OK"),"OK","REVISAR"))</f>
      </c>
    </row>
    <row r="1222">
      <c r="A1222" s="5"/>
      <c r="B1222" s="4"/>
      <c r="C1222" s="4"/>
      <c r="D1222" s="4"/>
      <c r="E1222" s="5"/>
      <c r="F1222" s="4"/>
      <c r="G1222" s="6">
        <f>IF(A1222="","",SUBSTITUTE(SUBSTITUTE(SUBSTITUTE(SUBSTITUTE(SUBSTITUTE(SUBSTITUTE(SUBSTITUTE(TRIM(A1222),".",""),"/",""),"-","")," ",""),"(",""),")",""),"+",""))</f>
      </c>
      <c r="H1222" s="6">
        <f>IF(G1222="","",IF(LEN(G1222)&lt;&gt;14,"ERRO: "&amp;LEN(G1222)&amp;" dígitos",IF(NOT(ISNUMBER(VALUE(G1222))),"ERRO: não numérico",IF(AND(VALUE(MID(G1222,13,1))=IF(MOD(SUMPRODUCT(--MID(G1222,{1,2,3,4,5,6,7,8,9,10,11,12},1),{5,4,3,2,9,8,7,6,5,4,3,2}),11)&lt;2,0,11-MOD(SUMPRODUCT(--MID(G1222,{1,2,3,4,5,6,7,8,9,10,11,12},1),{5,4,3,2,9,8,7,6,5,4,3,2}),11)),VALUE(MID(G1222,14,1))=IF(MOD(SUMPRODUCT(--MID(G1222,{1,2,3,4,5,6,7,8,9,10,11,12,13},1),{6,5,4,3,2,9,8,7,6,5,4,3,2}),11)&lt;2,0,11-MOD(SUMPRODUCT(--MID(G1222,{1,2,3,4,5,6,7,8,9,10,11,12,13},1),{6,5,4,3,2,9,8,7,6,5,4,3,2}),11))),"OK","AVISO: dígito verificador (conferir na org)"))))</f>
      </c>
      <c r="I1222" s="6">
        <f>IF(G1222="","",IF(COUNTIF($G$2:$G$2001,G1222)&gt;1,"DUPLICADO","OK"))</f>
      </c>
      <c r="J1222" s="6">
        <f>IF(COUNTA(A1222:F1222)=0,"",IF(AND(A1222&lt;&gt;"",E1222&lt;&gt;""),"OK","ERRO: faltam "&amp;IF(A1222="","CNPJ; ","")&amp;IF(E1222="","Novo gerente; ","")))</f>
      </c>
      <c r="K1222" s="6">
        <f>IF(COUNTA(A1222:F1222)=0,"",IF(AND(LEFT(H1222,4)&lt;&gt;"ERRO",I1222="OK",J1222="OK"),"OK","REVISAR"))</f>
      </c>
    </row>
    <row r="1223">
      <c r="A1223" s="5"/>
      <c r="B1223" s="4"/>
      <c r="C1223" s="4"/>
      <c r="D1223" s="4"/>
      <c r="E1223" s="5"/>
      <c r="F1223" s="4"/>
      <c r="G1223" s="6">
        <f>IF(A1223="","",SUBSTITUTE(SUBSTITUTE(SUBSTITUTE(SUBSTITUTE(SUBSTITUTE(SUBSTITUTE(SUBSTITUTE(TRIM(A1223),".",""),"/",""),"-","")," ",""),"(",""),")",""),"+",""))</f>
      </c>
      <c r="H1223" s="6">
        <f>IF(G1223="","",IF(LEN(G1223)&lt;&gt;14,"ERRO: "&amp;LEN(G1223)&amp;" dígitos",IF(NOT(ISNUMBER(VALUE(G1223))),"ERRO: não numérico",IF(AND(VALUE(MID(G1223,13,1))=IF(MOD(SUMPRODUCT(--MID(G1223,{1,2,3,4,5,6,7,8,9,10,11,12},1),{5,4,3,2,9,8,7,6,5,4,3,2}),11)&lt;2,0,11-MOD(SUMPRODUCT(--MID(G1223,{1,2,3,4,5,6,7,8,9,10,11,12},1),{5,4,3,2,9,8,7,6,5,4,3,2}),11)),VALUE(MID(G1223,14,1))=IF(MOD(SUMPRODUCT(--MID(G1223,{1,2,3,4,5,6,7,8,9,10,11,12,13},1),{6,5,4,3,2,9,8,7,6,5,4,3,2}),11)&lt;2,0,11-MOD(SUMPRODUCT(--MID(G1223,{1,2,3,4,5,6,7,8,9,10,11,12,13},1),{6,5,4,3,2,9,8,7,6,5,4,3,2}),11))),"OK","AVISO: dígito verificador (conferir na org)"))))</f>
      </c>
      <c r="I1223" s="6">
        <f>IF(G1223="","",IF(COUNTIF($G$2:$G$2001,G1223)&gt;1,"DUPLICADO","OK"))</f>
      </c>
      <c r="J1223" s="6">
        <f>IF(COUNTA(A1223:F1223)=0,"",IF(AND(A1223&lt;&gt;"",E1223&lt;&gt;""),"OK","ERRO: faltam "&amp;IF(A1223="","CNPJ; ","")&amp;IF(E1223="","Novo gerente; ","")))</f>
      </c>
      <c r="K1223" s="6">
        <f>IF(COUNTA(A1223:F1223)=0,"",IF(AND(LEFT(H1223,4)&lt;&gt;"ERRO",I1223="OK",J1223="OK"),"OK","REVISAR"))</f>
      </c>
    </row>
    <row r="1224">
      <c r="A1224" s="5"/>
      <c r="B1224" s="4"/>
      <c r="C1224" s="4"/>
      <c r="D1224" s="4"/>
      <c r="E1224" s="5"/>
      <c r="F1224" s="4"/>
      <c r="G1224" s="6">
        <f>IF(A1224="","",SUBSTITUTE(SUBSTITUTE(SUBSTITUTE(SUBSTITUTE(SUBSTITUTE(SUBSTITUTE(SUBSTITUTE(TRIM(A1224),".",""),"/",""),"-","")," ",""),"(",""),")",""),"+",""))</f>
      </c>
      <c r="H1224" s="6">
        <f>IF(G1224="","",IF(LEN(G1224)&lt;&gt;14,"ERRO: "&amp;LEN(G1224)&amp;" dígitos",IF(NOT(ISNUMBER(VALUE(G1224))),"ERRO: não numérico",IF(AND(VALUE(MID(G1224,13,1))=IF(MOD(SUMPRODUCT(--MID(G1224,{1,2,3,4,5,6,7,8,9,10,11,12},1),{5,4,3,2,9,8,7,6,5,4,3,2}),11)&lt;2,0,11-MOD(SUMPRODUCT(--MID(G1224,{1,2,3,4,5,6,7,8,9,10,11,12},1),{5,4,3,2,9,8,7,6,5,4,3,2}),11)),VALUE(MID(G1224,14,1))=IF(MOD(SUMPRODUCT(--MID(G1224,{1,2,3,4,5,6,7,8,9,10,11,12,13},1),{6,5,4,3,2,9,8,7,6,5,4,3,2}),11)&lt;2,0,11-MOD(SUMPRODUCT(--MID(G1224,{1,2,3,4,5,6,7,8,9,10,11,12,13},1),{6,5,4,3,2,9,8,7,6,5,4,3,2}),11))),"OK","AVISO: dígito verificador (conferir na org)"))))</f>
      </c>
      <c r="I1224" s="6">
        <f>IF(G1224="","",IF(COUNTIF($G$2:$G$2001,G1224)&gt;1,"DUPLICADO","OK"))</f>
      </c>
      <c r="J1224" s="6">
        <f>IF(COUNTA(A1224:F1224)=0,"",IF(AND(A1224&lt;&gt;"",E1224&lt;&gt;""),"OK","ERRO: faltam "&amp;IF(A1224="","CNPJ; ","")&amp;IF(E1224="","Novo gerente; ","")))</f>
      </c>
      <c r="K1224" s="6">
        <f>IF(COUNTA(A1224:F1224)=0,"",IF(AND(LEFT(H1224,4)&lt;&gt;"ERRO",I1224="OK",J1224="OK"),"OK","REVISAR"))</f>
      </c>
    </row>
    <row r="1225">
      <c r="A1225" s="5"/>
      <c r="B1225" s="4"/>
      <c r="C1225" s="4"/>
      <c r="D1225" s="4"/>
      <c r="E1225" s="5"/>
      <c r="F1225" s="4"/>
      <c r="G1225" s="6">
        <f>IF(A1225="","",SUBSTITUTE(SUBSTITUTE(SUBSTITUTE(SUBSTITUTE(SUBSTITUTE(SUBSTITUTE(SUBSTITUTE(TRIM(A1225),".",""),"/",""),"-","")," ",""),"(",""),")",""),"+",""))</f>
      </c>
      <c r="H1225" s="6">
        <f>IF(G1225="","",IF(LEN(G1225)&lt;&gt;14,"ERRO: "&amp;LEN(G1225)&amp;" dígitos",IF(NOT(ISNUMBER(VALUE(G1225))),"ERRO: não numérico",IF(AND(VALUE(MID(G1225,13,1))=IF(MOD(SUMPRODUCT(--MID(G1225,{1,2,3,4,5,6,7,8,9,10,11,12},1),{5,4,3,2,9,8,7,6,5,4,3,2}),11)&lt;2,0,11-MOD(SUMPRODUCT(--MID(G1225,{1,2,3,4,5,6,7,8,9,10,11,12},1),{5,4,3,2,9,8,7,6,5,4,3,2}),11)),VALUE(MID(G1225,14,1))=IF(MOD(SUMPRODUCT(--MID(G1225,{1,2,3,4,5,6,7,8,9,10,11,12,13},1),{6,5,4,3,2,9,8,7,6,5,4,3,2}),11)&lt;2,0,11-MOD(SUMPRODUCT(--MID(G1225,{1,2,3,4,5,6,7,8,9,10,11,12,13},1),{6,5,4,3,2,9,8,7,6,5,4,3,2}),11))),"OK","AVISO: dígito verificador (conferir na org)"))))</f>
      </c>
      <c r="I1225" s="6">
        <f>IF(G1225="","",IF(COUNTIF($G$2:$G$2001,G1225)&gt;1,"DUPLICADO","OK"))</f>
      </c>
      <c r="J1225" s="6">
        <f>IF(COUNTA(A1225:F1225)=0,"",IF(AND(A1225&lt;&gt;"",E1225&lt;&gt;""),"OK","ERRO: faltam "&amp;IF(A1225="","CNPJ; ","")&amp;IF(E1225="","Novo gerente; ","")))</f>
      </c>
      <c r="K1225" s="6">
        <f>IF(COUNTA(A1225:F1225)=0,"",IF(AND(LEFT(H1225,4)&lt;&gt;"ERRO",I1225="OK",J1225="OK"),"OK","REVISAR"))</f>
      </c>
    </row>
    <row r="1226">
      <c r="A1226" s="5"/>
      <c r="B1226" s="4"/>
      <c r="C1226" s="4"/>
      <c r="D1226" s="4"/>
      <c r="E1226" s="5"/>
      <c r="F1226" s="4"/>
      <c r="G1226" s="6">
        <f>IF(A1226="","",SUBSTITUTE(SUBSTITUTE(SUBSTITUTE(SUBSTITUTE(SUBSTITUTE(SUBSTITUTE(SUBSTITUTE(TRIM(A1226),".",""),"/",""),"-","")," ",""),"(",""),")",""),"+",""))</f>
      </c>
      <c r="H1226" s="6">
        <f>IF(G1226="","",IF(LEN(G1226)&lt;&gt;14,"ERRO: "&amp;LEN(G1226)&amp;" dígitos",IF(NOT(ISNUMBER(VALUE(G1226))),"ERRO: não numérico",IF(AND(VALUE(MID(G1226,13,1))=IF(MOD(SUMPRODUCT(--MID(G1226,{1,2,3,4,5,6,7,8,9,10,11,12},1),{5,4,3,2,9,8,7,6,5,4,3,2}),11)&lt;2,0,11-MOD(SUMPRODUCT(--MID(G1226,{1,2,3,4,5,6,7,8,9,10,11,12},1),{5,4,3,2,9,8,7,6,5,4,3,2}),11)),VALUE(MID(G1226,14,1))=IF(MOD(SUMPRODUCT(--MID(G1226,{1,2,3,4,5,6,7,8,9,10,11,12,13},1),{6,5,4,3,2,9,8,7,6,5,4,3,2}),11)&lt;2,0,11-MOD(SUMPRODUCT(--MID(G1226,{1,2,3,4,5,6,7,8,9,10,11,12,13},1),{6,5,4,3,2,9,8,7,6,5,4,3,2}),11))),"OK","AVISO: dígito verificador (conferir na org)"))))</f>
      </c>
      <c r="I1226" s="6">
        <f>IF(G1226="","",IF(COUNTIF($G$2:$G$2001,G1226)&gt;1,"DUPLICADO","OK"))</f>
      </c>
      <c r="J1226" s="6">
        <f>IF(COUNTA(A1226:F1226)=0,"",IF(AND(A1226&lt;&gt;"",E1226&lt;&gt;""),"OK","ERRO: faltam "&amp;IF(A1226="","CNPJ; ","")&amp;IF(E1226="","Novo gerente; ","")))</f>
      </c>
      <c r="K1226" s="6">
        <f>IF(COUNTA(A1226:F1226)=0,"",IF(AND(LEFT(H1226,4)&lt;&gt;"ERRO",I1226="OK",J1226="OK"),"OK","REVISAR"))</f>
      </c>
    </row>
    <row r="1227">
      <c r="A1227" s="5"/>
      <c r="B1227" s="4"/>
      <c r="C1227" s="4"/>
      <c r="D1227" s="4"/>
      <c r="E1227" s="5"/>
      <c r="F1227" s="4"/>
      <c r="G1227" s="6">
        <f>IF(A1227="","",SUBSTITUTE(SUBSTITUTE(SUBSTITUTE(SUBSTITUTE(SUBSTITUTE(SUBSTITUTE(SUBSTITUTE(TRIM(A1227),".",""),"/",""),"-","")," ",""),"(",""),")",""),"+",""))</f>
      </c>
      <c r="H1227" s="6">
        <f>IF(G1227="","",IF(LEN(G1227)&lt;&gt;14,"ERRO: "&amp;LEN(G1227)&amp;" dígitos",IF(NOT(ISNUMBER(VALUE(G1227))),"ERRO: não numérico",IF(AND(VALUE(MID(G1227,13,1))=IF(MOD(SUMPRODUCT(--MID(G1227,{1,2,3,4,5,6,7,8,9,10,11,12},1),{5,4,3,2,9,8,7,6,5,4,3,2}),11)&lt;2,0,11-MOD(SUMPRODUCT(--MID(G1227,{1,2,3,4,5,6,7,8,9,10,11,12},1),{5,4,3,2,9,8,7,6,5,4,3,2}),11)),VALUE(MID(G1227,14,1))=IF(MOD(SUMPRODUCT(--MID(G1227,{1,2,3,4,5,6,7,8,9,10,11,12,13},1),{6,5,4,3,2,9,8,7,6,5,4,3,2}),11)&lt;2,0,11-MOD(SUMPRODUCT(--MID(G1227,{1,2,3,4,5,6,7,8,9,10,11,12,13},1),{6,5,4,3,2,9,8,7,6,5,4,3,2}),11))),"OK","AVISO: dígito verificador (conferir na org)"))))</f>
      </c>
      <c r="I1227" s="6">
        <f>IF(G1227="","",IF(COUNTIF($G$2:$G$2001,G1227)&gt;1,"DUPLICADO","OK"))</f>
      </c>
      <c r="J1227" s="6">
        <f>IF(COUNTA(A1227:F1227)=0,"",IF(AND(A1227&lt;&gt;"",E1227&lt;&gt;""),"OK","ERRO: faltam "&amp;IF(A1227="","CNPJ; ","")&amp;IF(E1227="","Novo gerente; ","")))</f>
      </c>
      <c r="K1227" s="6">
        <f>IF(COUNTA(A1227:F1227)=0,"",IF(AND(LEFT(H1227,4)&lt;&gt;"ERRO",I1227="OK",J1227="OK"),"OK","REVISAR"))</f>
      </c>
    </row>
    <row r="1228">
      <c r="A1228" s="5"/>
      <c r="B1228" s="4"/>
      <c r="C1228" s="4"/>
      <c r="D1228" s="4"/>
      <c r="E1228" s="5"/>
      <c r="F1228" s="4"/>
      <c r="G1228" s="6">
        <f>IF(A1228="","",SUBSTITUTE(SUBSTITUTE(SUBSTITUTE(SUBSTITUTE(SUBSTITUTE(SUBSTITUTE(SUBSTITUTE(TRIM(A1228),".",""),"/",""),"-","")," ",""),"(",""),")",""),"+",""))</f>
      </c>
      <c r="H1228" s="6">
        <f>IF(G1228="","",IF(LEN(G1228)&lt;&gt;14,"ERRO: "&amp;LEN(G1228)&amp;" dígitos",IF(NOT(ISNUMBER(VALUE(G1228))),"ERRO: não numérico",IF(AND(VALUE(MID(G1228,13,1))=IF(MOD(SUMPRODUCT(--MID(G1228,{1,2,3,4,5,6,7,8,9,10,11,12},1),{5,4,3,2,9,8,7,6,5,4,3,2}),11)&lt;2,0,11-MOD(SUMPRODUCT(--MID(G1228,{1,2,3,4,5,6,7,8,9,10,11,12},1),{5,4,3,2,9,8,7,6,5,4,3,2}),11)),VALUE(MID(G1228,14,1))=IF(MOD(SUMPRODUCT(--MID(G1228,{1,2,3,4,5,6,7,8,9,10,11,12,13},1),{6,5,4,3,2,9,8,7,6,5,4,3,2}),11)&lt;2,0,11-MOD(SUMPRODUCT(--MID(G1228,{1,2,3,4,5,6,7,8,9,10,11,12,13},1),{6,5,4,3,2,9,8,7,6,5,4,3,2}),11))),"OK","AVISO: dígito verificador (conferir na org)"))))</f>
      </c>
      <c r="I1228" s="6">
        <f>IF(G1228="","",IF(COUNTIF($G$2:$G$2001,G1228)&gt;1,"DUPLICADO","OK"))</f>
      </c>
      <c r="J1228" s="6">
        <f>IF(COUNTA(A1228:F1228)=0,"",IF(AND(A1228&lt;&gt;"",E1228&lt;&gt;""),"OK","ERRO: faltam "&amp;IF(A1228="","CNPJ; ","")&amp;IF(E1228="","Novo gerente; ","")))</f>
      </c>
      <c r="K1228" s="6">
        <f>IF(COUNTA(A1228:F1228)=0,"",IF(AND(LEFT(H1228,4)&lt;&gt;"ERRO",I1228="OK",J1228="OK"),"OK","REVISAR"))</f>
      </c>
    </row>
    <row r="1229">
      <c r="A1229" s="5"/>
      <c r="B1229" s="4"/>
      <c r="C1229" s="4"/>
      <c r="D1229" s="4"/>
      <c r="E1229" s="5"/>
      <c r="F1229" s="4"/>
      <c r="G1229" s="6">
        <f>IF(A1229="","",SUBSTITUTE(SUBSTITUTE(SUBSTITUTE(SUBSTITUTE(SUBSTITUTE(SUBSTITUTE(SUBSTITUTE(TRIM(A1229),".",""),"/",""),"-","")," ",""),"(",""),")",""),"+",""))</f>
      </c>
      <c r="H1229" s="6">
        <f>IF(G1229="","",IF(LEN(G1229)&lt;&gt;14,"ERRO: "&amp;LEN(G1229)&amp;" dígitos",IF(NOT(ISNUMBER(VALUE(G1229))),"ERRO: não numérico",IF(AND(VALUE(MID(G1229,13,1))=IF(MOD(SUMPRODUCT(--MID(G1229,{1,2,3,4,5,6,7,8,9,10,11,12},1),{5,4,3,2,9,8,7,6,5,4,3,2}),11)&lt;2,0,11-MOD(SUMPRODUCT(--MID(G1229,{1,2,3,4,5,6,7,8,9,10,11,12},1),{5,4,3,2,9,8,7,6,5,4,3,2}),11)),VALUE(MID(G1229,14,1))=IF(MOD(SUMPRODUCT(--MID(G1229,{1,2,3,4,5,6,7,8,9,10,11,12,13},1),{6,5,4,3,2,9,8,7,6,5,4,3,2}),11)&lt;2,0,11-MOD(SUMPRODUCT(--MID(G1229,{1,2,3,4,5,6,7,8,9,10,11,12,13},1),{6,5,4,3,2,9,8,7,6,5,4,3,2}),11))),"OK","AVISO: dígito verificador (conferir na org)"))))</f>
      </c>
      <c r="I1229" s="6">
        <f>IF(G1229="","",IF(COUNTIF($G$2:$G$2001,G1229)&gt;1,"DUPLICADO","OK"))</f>
      </c>
      <c r="J1229" s="6">
        <f>IF(COUNTA(A1229:F1229)=0,"",IF(AND(A1229&lt;&gt;"",E1229&lt;&gt;""),"OK","ERRO: faltam "&amp;IF(A1229="","CNPJ; ","")&amp;IF(E1229="","Novo gerente; ","")))</f>
      </c>
      <c r="K1229" s="6">
        <f>IF(COUNTA(A1229:F1229)=0,"",IF(AND(LEFT(H1229,4)&lt;&gt;"ERRO",I1229="OK",J1229="OK"),"OK","REVISAR"))</f>
      </c>
    </row>
    <row r="1230">
      <c r="A1230" s="5"/>
      <c r="B1230" s="4"/>
      <c r="C1230" s="4"/>
      <c r="D1230" s="4"/>
      <c r="E1230" s="5"/>
      <c r="F1230" s="4"/>
      <c r="G1230" s="6">
        <f>IF(A1230="","",SUBSTITUTE(SUBSTITUTE(SUBSTITUTE(SUBSTITUTE(SUBSTITUTE(SUBSTITUTE(SUBSTITUTE(TRIM(A1230),".",""),"/",""),"-","")," ",""),"(",""),")",""),"+",""))</f>
      </c>
      <c r="H1230" s="6">
        <f>IF(G1230="","",IF(LEN(G1230)&lt;&gt;14,"ERRO: "&amp;LEN(G1230)&amp;" dígitos",IF(NOT(ISNUMBER(VALUE(G1230))),"ERRO: não numérico",IF(AND(VALUE(MID(G1230,13,1))=IF(MOD(SUMPRODUCT(--MID(G1230,{1,2,3,4,5,6,7,8,9,10,11,12},1),{5,4,3,2,9,8,7,6,5,4,3,2}),11)&lt;2,0,11-MOD(SUMPRODUCT(--MID(G1230,{1,2,3,4,5,6,7,8,9,10,11,12},1),{5,4,3,2,9,8,7,6,5,4,3,2}),11)),VALUE(MID(G1230,14,1))=IF(MOD(SUMPRODUCT(--MID(G1230,{1,2,3,4,5,6,7,8,9,10,11,12,13},1),{6,5,4,3,2,9,8,7,6,5,4,3,2}),11)&lt;2,0,11-MOD(SUMPRODUCT(--MID(G1230,{1,2,3,4,5,6,7,8,9,10,11,12,13},1),{6,5,4,3,2,9,8,7,6,5,4,3,2}),11))),"OK","AVISO: dígito verificador (conferir na org)"))))</f>
      </c>
      <c r="I1230" s="6">
        <f>IF(G1230="","",IF(COUNTIF($G$2:$G$2001,G1230)&gt;1,"DUPLICADO","OK"))</f>
      </c>
      <c r="J1230" s="6">
        <f>IF(COUNTA(A1230:F1230)=0,"",IF(AND(A1230&lt;&gt;"",E1230&lt;&gt;""),"OK","ERRO: faltam "&amp;IF(A1230="","CNPJ; ","")&amp;IF(E1230="","Novo gerente; ","")))</f>
      </c>
      <c r="K1230" s="6">
        <f>IF(COUNTA(A1230:F1230)=0,"",IF(AND(LEFT(H1230,4)&lt;&gt;"ERRO",I1230="OK",J1230="OK"),"OK","REVISAR"))</f>
      </c>
    </row>
    <row r="1231">
      <c r="A1231" s="5"/>
      <c r="B1231" s="4"/>
      <c r="C1231" s="4"/>
      <c r="D1231" s="4"/>
      <c r="E1231" s="5"/>
      <c r="F1231" s="4"/>
      <c r="G1231" s="6">
        <f>IF(A1231="","",SUBSTITUTE(SUBSTITUTE(SUBSTITUTE(SUBSTITUTE(SUBSTITUTE(SUBSTITUTE(SUBSTITUTE(TRIM(A1231),".",""),"/",""),"-","")," ",""),"(",""),")",""),"+",""))</f>
      </c>
      <c r="H1231" s="6">
        <f>IF(G1231="","",IF(LEN(G1231)&lt;&gt;14,"ERRO: "&amp;LEN(G1231)&amp;" dígitos",IF(NOT(ISNUMBER(VALUE(G1231))),"ERRO: não numérico",IF(AND(VALUE(MID(G1231,13,1))=IF(MOD(SUMPRODUCT(--MID(G1231,{1,2,3,4,5,6,7,8,9,10,11,12},1),{5,4,3,2,9,8,7,6,5,4,3,2}),11)&lt;2,0,11-MOD(SUMPRODUCT(--MID(G1231,{1,2,3,4,5,6,7,8,9,10,11,12},1),{5,4,3,2,9,8,7,6,5,4,3,2}),11)),VALUE(MID(G1231,14,1))=IF(MOD(SUMPRODUCT(--MID(G1231,{1,2,3,4,5,6,7,8,9,10,11,12,13},1),{6,5,4,3,2,9,8,7,6,5,4,3,2}),11)&lt;2,0,11-MOD(SUMPRODUCT(--MID(G1231,{1,2,3,4,5,6,7,8,9,10,11,12,13},1),{6,5,4,3,2,9,8,7,6,5,4,3,2}),11))),"OK","AVISO: dígito verificador (conferir na org)"))))</f>
      </c>
      <c r="I1231" s="6">
        <f>IF(G1231="","",IF(COUNTIF($G$2:$G$2001,G1231)&gt;1,"DUPLICADO","OK"))</f>
      </c>
      <c r="J1231" s="6">
        <f>IF(COUNTA(A1231:F1231)=0,"",IF(AND(A1231&lt;&gt;"",E1231&lt;&gt;""),"OK","ERRO: faltam "&amp;IF(A1231="","CNPJ; ","")&amp;IF(E1231="","Novo gerente; ","")))</f>
      </c>
      <c r="K1231" s="6">
        <f>IF(COUNTA(A1231:F1231)=0,"",IF(AND(LEFT(H1231,4)&lt;&gt;"ERRO",I1231="OK",J1231="OK"),"OK","REVISAR"))</f>
      </c>
    </row>
    <row r="1232">
      <c r="A1232" s="5"/>
      <c r="B1232" s="4"/>
      <c r="C1232" s="4"/>
      <c r="D1232" s="4"/>
      <c r="E1232" s="5"/>
      <c r="F1232" s="4"/>
      <c r="G1232" s="6">
        <f>IF(A1232="","",SUBSTITUTE(SUBSTITUTE(SUBSTITUTE(SUBSTITUTE(SUBSTITUTE(SUBSTITUTE(SUBSTITUTE(TRIM(A1232),".",""),"/",""),"-","")," ",""),"(",""),")",""),"+",""))</f>
      </c>
      <c r="H1232" s="6">
        <f>IF(G1232="","",IF(LEN(G1232)&lt;&gt;14,"ERRO: "&amp;LEN(G1232)&amp;" dígitos",IF(NOT(ISNUMBER(VALUE(G1232))),"ERRO: não numérico",IF(AND(VALUE(MID(G1232,13,1))=IF(MOD(SUMPRODUCT(--MID(G1232,{1,2,3,4,5,6,7,8,9,10,11,12},1),{5,4,3,2,9,8,7,6,5,4,3,2}),11)&lt;2,0,11-MOD(SUMPRODUCT(--MID(G1232,{1,2,3,4,5,6,7,8,9,10,11,12},1),{5,4,3,2,9,8,7,6,5,4,3,2}),11)),VALUE(MID(G1232,14,1))=IF(MOD(SUMPRODUCT(--MID(G1232,{1,2,3,4,5,6,7,8,9,10,11,12,13},1),{6,5,4,3,2,9,8,7,6,5,4,3,2}),11)&lt;2,0,11-MOD(SUMPRODUCT(--MID(G1232,{1,2,3,4,5,6,7,8,9,10,11,12,13},1),{6,5,4,3,2,9,8,7,6,5,4,3,2}),11))),"OK","AVISO: dígito verificador (conferir na org)"))))</f>
      </c>
      <c r="I1232" s="6">
        <f>IF(G1232="","",IF(COUNTIF($G$2:$G$2001,G1232)&gt;1,"DUPLICADO","OK"))</f>
      </c>
      <c r="J1232" s="6">
        <f>IF(COUNTA(A1232:F1232)=0,"",IF(AND(A1232&lt;&gt;"",E1232&lt;&gt;""),"OK","ERRO: faltam "&amp;IF(A1232="","CNPJ; ","")&amp;IF(E1232="","Novo gerente; ","")))</f>
      </c>
      <c r="K1232" s="6">
        <f>IF(COUNTA(A1232:F1232)=0,"",IF(AND(LEFT(H1232,4)&lt;&gt;"ERRO",I1232="OK",J1232="OK"),"OK","REVISAR"))</f>
      </c>
    </row>
    <row r="1233">
      <c r="A1233" s="5"/>
      <c r="B1233" s="4"/>
      <c r="C1233" s="4"/>
      <c r="D1233" s="4"/>
      <c r="E1233" s="5"/>
      <c r="F1233" s="4"/>
      <c r="G1233" s="6">
        <f>IF(A1233="","",SUBSTITUTE(SUBSTITUTE(SUBSTITUTE(SUBSTITUTE(SUBSTITUTE(SUBSTITUTE(SUBSTITUTE(TRIM(A1233),".",""),"/",""),"-","")," ",""),"(",""),")",""),"+",""))</f>
      </c>
      <c r="H1233" s="6">
        <f>IF(G1233="","",IF(LEN(G1233)&lt;&gt;14,"ERRO: "&amp;LEN(G1233)&amp;" dígitos",IF(NOT(ISNUMBER(VALUE(G1233))),"ERRO: não numérico",IF(AND(VALUE(MID(G1233,13,1))=IF(MOD(SUMPRODUCT(--MID(G1233,{1,2,3,4,5,6,7,8,9,10,11,12},1),{5,4,3,2,9,8,7,6,5,4,3,2}),11)&lt;2,0,11-MOD(SUMPRODUCT(--MID(G1233,{1,2,3,4,5,6,7,8,9,10,11,12},1),{5,4,3,2,9,8,7,6,5,4,3,2}),11)),VALUE(MID(G1233,14,1))=IF(MOD(SUMPRODUCT(--MID(G1233,{1,2,3,4,5,6,7,8,9,10,11,12,13},1),{6,5,4,3,2,9,8,7,6,5,4,3,2}),11)&lt;2,0,11-MOD(SUMPRODUCT(--MID(G1233,{1,2,3,4,5,6,7,8,9,10,11,12,13},1),{6,5,4,3,2,9,8,7,6,5,4,3,2}),11))),"OK","AVISO: dígito verificador (conferir na org)"))))</f>
      </c>
      <c r="I1233" s="6">
        <f>IF(G1233="","",IF(COUNTIF($G$2:$G$2001,G1233)&gt;1,"DUPLICADO","OK"))</f>
      </c>
      <c r="J1233" s="6">
        <f>IF(COUNTA(A1233:F1233)=0,"",IF(AND(A1233&lt;&gt;"",E1233&lt;&gt;""),"OK","ERRO: faltam "&amp;IF(A1233="","CNPJ; ","")&amp;IF(E1233="","Novo gerente; ","")))</f>
      </c>
      <c r="K1233" s="6">
        <f>IF(COUNTA(A1233:F1233)=0,"",IF(AND(LEFT(H1233,4)&lt;&gt;"ERRO",I1233="OK",J1233="OK"),"OK","REVISAR"))</f>
      </c>
    </row>
    <row r="1234">
      <c r="A1234" s="5"/>
      <c r="B1234" s="4"/>
      <c r="C1234" s="4"/>
      <c r="D1234" s="4"/>
      <c r="E1234" s="5"/>
      <c r="F1234" s="4"/>
      <c r="G1234" s="6">
        <f>IF(A1234="","",SUBSTITUTE(SUBSTITUTE(SUBSTITUTE(SUBSTITUTE(SUBSTITUTE(SUBSTITUTE(SUBSTITUTE(TRIM(A1234),".",""),"/",""),"-","")," ",""),"(",""),")",""),"+",""))</f>
      </c>
      <c r="H1234" s="6">
        <f>IF(G1234="","",IF(LEN(G1234)&lt;&gt;14,"ERRO: "&amp;LEN(G1234)&amp;" dígitos",IF(NOT(ISNUMBER(VALUE(G1234))),"ERRO: não numérico",IF(AND(VALUE(MID(G1234,13,1))=IF(MOD(SUMPRODUCT(--MID(G1234,{1,2,3,4,5,6,7,8,9,10,11,12},1),{5,4,3,2,9,8,7,6,5,4,3,2}),11)&lt;2,0,11-MOD(SUMPRODUCT(--MID(G1234,{1,2,3,4,5,6,7,8,9,10,11,12},1),{5,4,3,2,9,8,7,6,5,4,3,2}),11)),VALUE(MID(G1234,14,1))=IF(MOD(SUMPRODUCT(--MID(G1234,{1,2,3,4,5,6,7,8,9,10,11,12,13},1),{6,5,4,3,2,9,8,7,6,5,4,3,2}),11)&lt;2,0,11-MOD(SUMPRODUCT(--MID(G1234,{1,2,3,4,5,6,7,8,9,10,11,12,13},1),{6,5,4,3,2,9,8,7,6,5,4,3,2}),11))),"OK","AVISO: dígito verificador (conferir na org)"))))</f>
      </c>
      <c r="I1234" s="6">
        <f>IF(G1234="","",IF(COUNTIF($G$2:$G$2001,G1234)&gt;1,"DUPLICADO","OK"))</f>
      </c>
      <c r="J1234" s="6">
        <f>IF(COUNTA(A1234:F1234)=0,"",IF(AND(A1234&lt;&gt;"",E1234&lt;&gt;""),"OK","ERRO: faltam "&amp;IF(A1234="","CNPJ; ","")&amp;IF(E1234="","Novo gerente; ","")))</f>
      </c>
      <c r="K1234" s="6">
        <f>IF(COUNTA(A1234:F1234)=0,"",IF(AND(LEFT(H1234,4)&lt;&gt;"ERRO",I1234="OK",J1234="OK"),"OK","REVISAR"))</f>
      </c>
    </row>
    <row r="1235">
      <c r="A1235" s="5"/>
      <c r="B1235" s="4"/>
      <c r="C1235" s="4"/>
      <c r="D1235" s="4"/>
      <c r="E1235" s="5"/>
      <c r="F1235" s="4"/>
      <c r="G1235" s="6">
        <f>IF(A1235="","",SUBSTITUTE(SUBSTITUTE(SUBSTITUTE(SUBSTITUTE(SUBSTITUTE(SUBSTITUTE(SUBSTITUTE(TRIM(A1235),".",""),"/",""),"-","")," ",""),"(",""),")",""),"+",""))</f>
      </c>
      <c r="H1235" s="6">
        <f>IF(G1235="","",IF(LEN(G1235)&lt;&gt;14,"ERRO: "&amp;LEN(G1235)&amp;" dígitos",IF(NOT(ISNUMBER(VALUE(G1235))),"ERRO: não numérico",IF(AND(VALUE(MID(G1235,13,1))=IF(MOD(SUMPRODUCT(--MID(G1235,{1,2,3,4,5,6,7,8,9,10,11,12},1),{5,4,3,2,9,8,7,6,5,4,3,2}),11)&lt;2,0,11-MOD(SUMPRODUCT(--MID(G1235,{1,2,3,4,5,6,7,8,9,10,11,12},1),{5,4,3,2,9,8,7,6,5,4,3,2}),11)),VALUE(MID(G1235,14,1))=IF(MOD(SUMPRODUCT(--MID(G1235,{1,2,3,4,5,6,7,8,9,10,11,12,13},1),{6,5,4,3,2,9,8,7,6,5,4,3,2}),11)&lt;2,0,11-MOD(SUMPRODUCT(--MID(G1235,{1,2,3,4,5,6,7,8,9,10,11,12,13},1),{6,5,4,3,2,9,8,7,6,5,4,3,2}),11))),"OK","AVISO: dígito verificador (conferir na org)"))))</f>
      </c>
      <c r="I1235" s="6">
        <f>IF(G1235="","",IF(COUNTIF($G$2:$G$2001,G1235)&gt;1,"DUPLICADO","OK"))</f>
      </c>
      <c r="J1235" s="6">
        <f>IF(COUNTA(A1235:F1235)=0,"",IF(AND(A1235&lt;&gt;"",E1235&lt;&gt;""),"OK","ERRO: faltam "&amp;IF(A1235="","CNPJ; ","")&amp;IF(E1235="","Novo gerente; ","")))</f>
      </c>
      <c r="K1235" s="6">
        <f>IF(COUNTA(A1235:F1235)=0,"",IF(AND(LEFT(H1235,4)&lt;&gt;"ERRO",I1235="OK",J1235="OK"),"OK","REVISAR"))</f>
      </c>
    </row>
    <row r="1236">
      <c r="A1236" s="5"/>
      <c r="B1236" s="4"/>
      <c r="C1236" s="4"/>
      <c r="D1236" s="4"/>
      <c r="E1236" s="5"/>
      <c r="F1236" s="4"/>
      <c r="G1236" s="6">
        <f>IF(A1236="","",SUBSTITUTE(SUBSTITUTE(SUBSTITUTE(SUBSTITUTE(SUBSTITUTE(SUBSTITUTE(SUBSTITUTE(TRIM(A1236),".",""),"/",""),"-","")," ",""),"(",""),")",""),"+",""))</f>
      </c>
      <c r="H1236" s="6">
        <f>IF(G1236="","",IF(LEN(G1236)&lt;&gt;14,"ERRO: "&amp;LEN(G1236)&amp;" dígitos",IF(NOT(ISNUMBER(VALUE(G1236))),"ERRO: não numérico",IF(AND(VALUE(MID(G1236,13,1))=IF(MOD(SUMPRODUCT(--MID(G1236,{1,2,3,4,5,6,7,8,9,10,11,12},1),{5,4,3,2,9,8,7,6,5,4,3,2}),11)&lt;2,0,11-MOD(SUMPRODUCT(--MID(G1236,{1,2,3,4,5,6,7,8,9,10,11,12},1),{5,4,3,2,9,8,7,6,5,4,3,2}),11)),VALUE(MID(G1236,14,1))=IF(MOD(SUMPRODUCT(--MID(G1236,{1,2,3,4,5,6,7,8,9,10,11,12,13},1),{6,5,4,3,2,9,8,7,6,5,4,3,2}),11)&lt;2,0,11-MOD(SUMPRODUCT(--MID(G1236,{1,2,3,4,5,6,7,8,9,10,11,12,13},1),{6,5,4,3,2,9,8,7,6,5,4,3,2}),11))),"OK","AVISO: dígito verificador (conferir na org)"))))</f>
      </c>
      <c r="I1236" s="6">
        <f>IF(G1236="","",IF(COUNTIF($G$2:$G$2001,G1236)&gt;1,"DUPLICADO","OK"))</f>
      </c>
      <c r="J1236" s="6">
        <f>IF(COUNTA(A1236:F1236)=0,"",IF(AND(A1236&lt;&gt;"",E1236&lt;&gt;""),"OK","ERRO: faltam "&amp;IF(A1236="","CNPJ; ","")&amp;IF(E1236="","Novo gerente; ","")))</f>
      </c>
      <c r="K1236" s="6">
        <f>IF(COUNTA(A1236:F1236)=0,"",IF(AND(LEFT(H1236,4)&lt;&gt;"ERRO",I1236="OK",J1236="OK"),"OK","REVISAR"))</f>
      </c>
    </row>
    <row r="1237">
      <c r="A1237" s="5"/>
      <c r="B1237" s="4"/>
      <c r="C1237" s="4"/>
      <c r="D1237" s="4"/>
      <c r="E1237" s="5"/>
      <c r="F1237" s="4"/>
      <c r="G1237" s="6">
        <f>IF(A1237="","",SUBSTITUTE(SUBSTITUTE(SUBSTITUTE(SUBSTITUTE(SUBSTITUTE(SUBSTITUTE(SUBSTITUTE(TRIM(A1237),".",""),"/",""),"-","")," ",""),"(",""),")",""),"+",""))</f>
      </c>
      <c r="H1237" s="6">
        <f>IF(G1237="","",IF(LEN(G1237)&lt;&gt;14,"ERRO: "&amp;LEN(G1237)&amp;" dígitos",IF(NOT(ISNUMBER(VALUE(G1237))),"ERRO: não numérico",IF(AND(VALUE(MID(G1237,13,1))=IF(MOD(SUMPRODUCT(--MID(G1237,{1,2,3,4,5,6,7,8,9,10,11,12},1),{5,4,3,2,9,8,7,6,5,4,3,2}),11)&lt;2,0,11-MOD(SUMPRODUCT(--MID(G1237,{1,2,3,4,5,6,7,8,9,10,11,12},1),{5,4,3,2,9,8,7,6,5,4,3,2}),11)),VALUE(MID(G1237,14,1))=IF(MOD(SUMPRODUCT(--MID(G1237,{1,2,3,4,5,6,7,8,9,10,11,12,13},1),{6,5,4,3,2,9,8,7,6,5,4,3,2}),11)&lt;2,0,11-MOD(SUMPRODUCT(--MID(G1237,{1,2,3,4,5,6,7,8,9,10,11,12,13},1),{6,5,4,3,2,9,8,7,6,5,4,3,2}),11))),"OK","AVISO: dígito verificador (conferir na org)"))))</f>
      </c>
      <c r="I1237" s="6">
        <f>IF(G1237="","",IF(COUNTIF($G$2:$G$2001,G1237)&gt;1,"DUPLICADO","OK"))</f>
      </c>
      <c r="J1237" s="6">
        <f>IF(COUNTA(A1237:F1237)=0,"",IF(AND(A1237&lt;&gt;"",E1237&lt;&gt;""),"OK","ERRO: faltam "&amp;IF(A1237="","CNPJ; ","")&amp;IF(E1237="","Novo gerente; ","")))</f>
      </c>
      <c r="K1237" s="6">
        <f>IF(COUNTA(A1237:F1237)=0,"",IF(AND(LEFT(H1237,4)&lt;&gt;"ERRO",I1237="OK",J1237="OK"),"OK","REVISAR"))</f>
      </c>
    </row>
    <row r="1238">
      <c r="A1238" s="5"/>
      <c r="B1238" s="4"/>
      <c r="C1238" s="4"/>
      <c r="D1238" s="4"/>
      <c r="E1238" s="5"/>
      <c r="F1238" s="4"/>
      <c r="G1238" s="6">
        <f>IF(A1238="","",SUBSTITUTE(SUBSTITUTE(SUBSTITUTE(SUBSTITUTE(SUBSTITUTE(SUBSTITUTE(SUBSTITUTE(TRIM(A1238),".",""),"/",""),"-","")," ",""),"(",""),")",""),"+",""))</f>
      </c>
      <c r="H1238" s="6">
        <f>IF(G1238="","",IF(LEN(G1238)&lt;&gt;14,"ERRO: "&amp;LEN(G1238)&amp;" dígitos",IF(NOT(ISNUMBER(VALUE(G1238))),"ERRO: não numérico",IF(AND(VALUE(MID(G1238,13,1))=IF(MOD(SUMPRODUCT(--MID(G1238,{1,2,3,4,5,6,7,8,9,10,11,12},1),{5,4,3,2,9,8,7,6,5,4,3,2}),11)&lt;2,0,11-MOD(SUMPRODUCT(--MID(G1238,{1,2,3,4,5,6,7,8,9,10,11,12},1),{5,4,3,2,9,8,7,6,5,4,3,2}),11)),VALUE(MID(G1238,14,1))=IF(MOD(SUMPRODUCT(--MID(G1238,{1,2,3,4,5,6,7,8,9,10,11,12,13},1),{6,5,4,3,2,9,8,7,6,5,4,3,2}),11)&lt;2,0,11-MOD(SUMPRODUCT(--MID(G1238,{1,2,3,4,5,6,7,8,9,10,11,12,13},1),{6,5,4,3,2,9,8,7,6,5,4,3,2}),11))),"OK","AVISO: dígito verificador (conferir na org)"))))</f>
      </c>
      <c r="I1238" s="6">
        <f>IF(G1238="","",IF(COUNTIF($G$2:$G$2001,G1238)&gt;1,"DUPLICADO","OK"))</f>
      </c>
      <c r="J1238" s="6">
        <f>IF(COUNTA(A1238:F1238)=0,"",IF(AND(A1238&lt;&gt;"",E1238&lt;&gt;""),"OK","ERRO: faltam "&amp;IF(A1238="","CNPJ; ","")&amp;IF(E1238="","Novo gerente; ","")))</f>
      </c>
      <c r="K1238" s="6">
        <f>IF(COUNTA(A1238:F1238)=0,"",IF(AND(LEFT(H1238,4)&lt;&gt;"ERRO",I1238="OK",J1238="OK"),"OK","REVISAR"))</f>
      </c>
    </row>
    <row r="1239">
      <c r="A1239" s="5"/>
      <c r="B1239" s="4"/>
      <c r="C1239" s="4"/>
      <c r="D1239" s="4"/>
      <c r="E1239" s="5"/>
      <c r="F1239" s="4"/>
      <c r="G1239" s="6">
        <f>IF(A1239="","",SUBSTITUTE(SUBSTITUTE(SUBSTITUTE(SUBSTITUTE(SUBSTITUTE(SUBSTITUTE(SUBSTITUTE(TRIM(A1239),".",""),"/",""),"-","")," ",""),"(",""),")",""),"+",""))</f>
      </c>
      <c r="H1239" s="6">
        <f>IF(G1239="","",IF(LEN(G1239)&lt;&gt;14,"ERRO: "&amp;LEN(G1239)&amp;" dígitos",IF(NOT(ISNUMBER(VALUE(G1239))),"ERRO: não numérico",IF(AND(VALUE(MID(G1239,13,1))=IF(MOD(SUMPRODUCT(--MID(G1239,{1,2,3,4,5,6,7,8,9,10,11,12},1),{5,4,3,2,9,8,7,6,5,4,3,2}),11)&lt;2,0,11-MOD(SUMPRODUCT(--MID(G1239,{1,2,3,4,5,6,7,8,9,10,11,12},1),{5,4,3,2,9,8,7,6,5,4,3,2}),11)),VALUE(MID(G1239,14,1))=IF(MOD(SUMPRODUCT(--MID(G1239,{1,2,3,4,5,6,7,8,9,10,11,12,13},1),{6,5,4,3,2,9,8,7,6,5,4,3,2}),11)&lt;2,0,11-MOD(SUMPRODUCT(--MID(G1239,{1,2,3,4,5,6,7,8,9,10,11,12,13},1),{6,5,4,3,2,9,8,7,6,5,4,3,2}),11))),"OK","AVISO: dígito verificador (conferir na org)"))))</f>
      </c>
      <c r="I1239" s="6">
        <f>IF(G1239="","",IF(COUNTIF($G$2:$G$2001,G1239)&gt;1,"DUPLICADO","OK"))</f>
      </c>
      <c r="J1239" s="6">
        <f>IF(COUNTA(A1239:F1239)=0,"",IF(AND(A1239&lt;&gt;"",E1239&lt;&gt;""),"OK","ERRO: faltam "&amp;IF(A1239="","CNPJ; ","")&amp;IF(E1239="","Novo gerente; ","")))</f>
      </c>
      <c r="K1239" s="6">
        <f>IF(COUNTA(A1239:F1239)=0,"",IF(AND(LEFT(H1239,4)&lt;&gt;"ERRO",I1239="OK",J1239="OK"),"OK","REVISAR"))</f>
      </c>
    </row>
    <row r="1240">
      <c r="A1240" s="5"/>
      <c r="B1240" s="4"/>
      <c r="C1240" s="4"/>
      <c r="D1240" s="4"/>
      <c r="E1240" s="5"/>
      <c r="F1240" s="4"/>
      <c r="G1240" s="6">
        <f>IF(A1240="","",SUBSTITUTE(SUBSTITUTE(SUBSTITUTE(SUBSTITUTE(SUBSTITUTE(SUBSTITUTE(SUBSTITUTE(TRIM(A1240),".",""),"/",""),"-","")," ",""),"(",""),")",""),"+",""))</f>
      </c>
      <c r="H1240" s="6">
        <f>IF(G1240="","",IF(LEN(G1240)&lt;&gt;14,"ERRO: "&amp;LEN(G1240)&amp;" dígitos",IF(NOT(ISNUMBER(VALUE(G1240))),"ERRO: não numérico",IF(AND(VALUE(MID(G1240,13,1))=IF(MOD(SUMPRODUCT(--MID(G1240,{1,2,3,4,5,6,7,8,9,10,11,12},1),{5,4,3,2,9,8,7,6,5,4,3,2}),11)&lt;2,0,11-MOD(SUMPRODUCT(--MID(G1240,{1,2,3,4,5,6,7,8,9,10,11,12},1),{5,4,3,2,9,8,7,6,5,4,3,2}),11)),VALUE(MID(G1240,14,1))=IF(MOD(SUMPRODUCT(--MID(G1240,{1,2,3,4,5,6,7,8,9,10,11,12,13},1),{6,5,4,3,2,9,8,7,6,5,4,3,2}),11)&lt;2,0,11-MOD(SUMPRODUCT(--MID(G1240,{1,2,3,4,5,6,7,8,9,10,11,12,13},1),{6,5,4,3,2,9,8,7,6,5,4,3,2}),11))),"OK","AVISO: dígito verificador (conferir na org)"))))</f>
      </c>
      <c r="I1240" s="6">
        <f>IF(G1240="","",IF(COUNTIF($G$2:$G$2001,G1240)&gt;1,"DUPLICADO","OK"))</f>
      </c>
      <c r="J1240" s="6">
        <f>IF(COUNTA(A1240:F1240)=0,"",IF(AND(A1240&lt;&gt;"",E1240&lt;&gt;""),"OK","ERRO: faltam "&amp;IF(A1240="","CNPJ; ","")&amp;IF(E1240="","Novo gerente; ","")))</f>
      </c>
      <c r="K1240" s="6">
        <f>IF(COUNTA(A1240:F1240)=0,"",IF(AND(LEFT(H1240,4)&lt;&gt;"ERRO",I1240="OK",J1240="OK"),"OK","REVISAR"))</f>
      </c>
    </row>
    <row r="1241">
      <c r="A1241" s="5"/>
      <c r="B1241" s="4"/>
      <c r="C1241" s="4"/>
      <c r="D1241" s="4"/>
      <c r="E1241" s="5"/>
      <c r="F1241" s="4"/>
      <c r="G1241" s="6">
        <f>IF(A1241="","",SUBSTITUTE(SUBSTITUTE(SUBSTITUTE(SUBSTITUTE(SUBSTITUTE(SUBSTITUTE(SUBSTITUTE(TRIM(A1241),".",""),"/",""),"-","")," ",""),"(",""),")",""),"+",""))</f>
      </c>
      <c r="H1241" s="6">
        <f>IF(G1241="","",IF(LEN(G1241)&lt;&gt;14,"ERRO: "&amp;LEN(G1241)&amp;" dígitos",IF(NOT(ISNUMBER(VALUE(G1241))),"ERRO: não numérico",IF(AND(VALUE(MID(G1241,13,1))=IF(MOD(SUMPRODUCT(--MID(G1241,{1,2,3,4,5,6,7,8,9,10,11,12},1),{5,4,3,2,9,8,7,6,5,4,3,2}),11)&lt;2,0,11-MOD(SUMPRODUCT(--MID(G1241,{1,2,3,4,5,6,7,8,9,10,11,12},1),{5,4,3,2,9,8,7,6,5,4,3,2}),11)),VALUE(MID(G1241,14,1))=IF(MOD(SUMPRODUCT(--MID(G1241,{1,2,3,4,5,6,7,8,9,10,11,12,13},1),{6,5,4,3,2,9,8,7,6,5,4,3,2}),11)&lt;2,0,11-MOD(SUMPRODUCT(--MID(G1241,{1,2,3,4,5,6,7,8,9,10,11,12,13},1),{6,5,4,3,2,9,8,7,6,5,4,3,2}),11))),"OK","AVISO: dígito verificador (conferir na org)"))))</f>
      </c>
      <c r="I1241" s="6">
        <f>IF(G1241="","",IF(COUNTIF($G$2:$G$2001,G1241)&gt;1,"DUPLICADO","OK"))</f>
      </c>
      <c r="J1241" s="6">
        <f>IF(COUNTA(A1241:F1241)=0,"",IF(AND(A1241&lt;&gt;"",E1241&lt;&gt;""),"OK","ERRO: faltam "&amp;IF(A1241="","CNPJ; ","")&amp;IF(E1241="","Novo gerente; ","")))</f>
      </c>
      <c r="K1241" s="6">
        <f>IF(COUNTA(A1241:F1241)=0,"",IF(AND(LEFT(H1241,4)&lt;&gt;"ERRO",I1241="OK",J1241="OK"),"OK","REVISAR"))</f>
      </c>
    </row>
    <row r="1242">
      <c r="A1242" s="5"/>
      <c r="B1242" s="4"/>
      <c r="C1242" s="4"/>
      <c r="D1242" s="4"/>
      <c r="E1242" s="5"/>
      <c r="F1242" s="4"/>
      <c r="G1242" s="6">
        <f>IF(A1242="","",SUBSTITUTE(SUBSTITUTE(SUBSTITUTE(SUBSTITUTE(SUBSTITUTE(SUBSTITUTE(SUBSTITUTE(TRIM(A1242),".",""),"/",""),"-","")," ",""),"(",""),")",""),"+",""))</f>
      </c>
      <c r="H1242" s="6">
        <f>IF(G1242="","",IF(LEN(G1242)&lt;&gt;14,"ERRO: "&amp;LEN(G1242)&amp;" dígitos",IF(NOT(ISNUMBER(VALUE(G1242))),"ERRO: não numérico",IF(AND(VALUE(MID(G1242,13,1))=IF(MOD(SUMPRODUCT(--MID(G1242,{1,2,3,4,5,6,7,8,9,10,11,12},1),{5,4,3,2,9,8,7,6,5,4,3,2}),11)&lt;2,0,11-MOD(SUMPRODUCT(--MID(G1242,{1,2,3,4,5,6,7,8,9,10,11,12},1),{5,4,3,2,9,8,7,6,5,4,3,2}),11)),VALUE(MID(G1242,14,1))=IF(MOD(SUMPRODUCT(--MID(G1242,{1,2,3,4,5,6,7,8,9,10,11,12,13},1),{6,5,4,3,2,9,8,7,6,5,4,3,2}),11)&lt;2,0,11-MOD(SUMPRODUCT(--MID(G1242,{1,2,3,4,5,6,7,8,9,10,11,12,13},1),{6,5,4,3,2,9,8,7,6,5,4,3,2}),11))),"OK","AVISO: dígito verificador (conferir na org)"))))</f>
      </c>
      <c r="I1242" s="6">
        <f>IF(G1242="","",IF(COUNTIF($G$2:$G$2001,G1242)&gt;1,"DUPLICADO","OK"))</f>
      </c>
      <c r="J1242" s="6">
        <f>IF(COUNTA(A1242:F1242)=0,"",IF(AND(A1242&lt;&gt;"",E1242&lt;&gt;""),"OK","ERRO: faltam "&amp;IF(A1242="","CNPJ; ","")&amp;IF(E1242="","Novo gerente; ","")))</f>
      </c>
      <c r="K1242" s="6">
        <f>IF(COUNTA(A1242:F1242)=0,"",IF(AND(LEFT(H1242,4)&lt;&gt;"ERRO",I1242="OK",J1242="OK"),"OK","REVISAR"))</f>
      </c>
    </row>
    <row r="1243">
      <c r="A1243" s="5"/>
      <c r="B1243" s="4"/>
      <c r="C1243" s="4"/>
      <c r="D1243" s="4"/>
      <c r="E1243" s="5"/>
      <c r="F1243" s="4"/>
      <c r="G1243" s="6">
        <f>IF(A1243="","",SUBSTITUTE(SUBSTITUTE(SUBSTITUTE(SUBSTITUTE(SUBSTITUTE(SUBSTITUTE(SUBSTITUTE(TRIM(A1243),".",""),"/",""),"-","")," ",""),"(",""),")",""),"+",""))</f>
      </c>
      <c r="H1243" s="6">
        <f>IF(G1243="","",IF(LEN(G1243)&lt;&gt;14,"ERRO: "&amp;LEN(G1243)&amp;" dígitos",IF(NOT(ISNUMBER(VALUE(G1243))),"ERRO: não numérico",IF(AND(VALUE(MID(G1243,13,1))=IF(MOD(SUMPRODUCT(--MID(G1243,{1,2,3,4,5,6,7,8,9,10,11,12},1),{5,4,3,2,9,8,7,6,5,4,3,2}),11)&lt;2,0,11-MOD(SUMPRODUCT(--MID(G1243,{1,2,3,4,5,6,7,8,9,10,11,12},1),{5,4,3,2,9,8,7,6,5,4,3,2}),11)),VALUE(MID(G1243,14,1))=IF(MOD(SUMPRODUCT(--MID(G1243,{1,2,3,4,5,6,7,8,9,10,11,12,13},1),{6,5,4,3,2,9,8,7,6,5,4,3,2}),11)&lt;2,0,11-MOD(SUMPRODUCT(--MID(G1243,{1,2,3,4,5,6,7,8,9,10,11,12,13},1),{6,5,4,3,2,9,8,7,6,5,4,3,2}),11))),"OK","AVISO: dígito verificador (conferir na org)"))))</f>
      </c>
      <c r="I1243" s="6">
        <f>IF(G1243="","",IF(COUNTIF($G$2:$G$2001,G1243)&gt;1,"DUPLICADO","OK"))</f>
      </c>
      <c r="J1243" s="6">
        <f>IF(COUNTA(A1243:F1243)=0,"",IF(AND(A1243&lt;&gt;"",E1243&lt;&gt;""),"OK","ERRO: faltam "&amp;IF(A1243="","CNPJ; ","")&amp;IF(E1243="","Novo gerente; ","")))</f>
      </c>
      <c r="K1243" s="6">
        <f>IF(COUNTA(A1243:F1243)=0,"",IF(AND(LEFT(H1243,4)&lt;&gt;"ERRO",I1243="OK",J1243="OK"),"OK","REVISAR"))</f>
      </c>
    </row>
    <row r="1244">
      <c r="A1244" s="5"/>
      <c r="B1244" s="4"/>
      <c r="C1244" s="4"/>
      <c r="D1244" s="4"/>
      <c r="E1244" s="5"/>
      <c r="F1244" s="4"/>
      <c r="G1244" s="6">
        <f>IF(A1244="","",SUBSTITUTE(SUBSTITUTE(SUBSTITUTE(SUBSTITUTE(SUBSTITUTE(SUBSTITUTE(SUBSTITUTE(TRIM(A1244),".",""),"/",""),"-","")," ",""),"(",""),")",""),"+",""))</f>
      </c>
      <c r="H1244" s="6">
        <f>IF(G1244="","",IF(LEN(G1244)&lt;&gt;14,"ERRO: "&amp;LEN(G1244)&amp;" dígitos",IF(NOT(ISNUMBER(VALUE(G1244))),"ERRO: não numérico",IF(AND(VALUE(MID(G1244,13,1))=IF(MOD(SUMPRODUCT(--MID(G1244,{1,2,3,4,5,6,7,8,9,10,11,12},1),{5,4,3,2,9,8,7,6,5,4,3,2}),11)&lt;2,0,11-MOD(SUMPRODUCT(--MID(G1244,{1,2,3,4,5,6,7,8,9,10,11,12},1),{5,4,3,2,9,8,7,6,5,4,3,2}),11)),VALUE(MID(G1244,14,1))=IF(MOD(SUMPRODUCT(--MID(G1244,{1,2,3,4,5,6,7,8,9,10,11,12,13},1),{6,5,4,3,2,9,8,7,6,5,4,3,2}),11)&lt;2,0,11-MOD(SUMPRODUCT(--MID(G1244,{1,2,3,4,5,6,7,8,9,10,11,12,13},1),{6,5,4,3,2,9,8,7,6,5,4,3,2}),11))),"OK","AVISO: dígito verificador (conferir na org)"))))</f>
      </c>
      <c r="I1244" s="6">
        <f>IF(G1244="","",IF(COUNTIF($G$2:$G$2001,G1244)&gt;1,"DUPLICADO","OK"))</f>
      </c>
      <c r="J1244" s="6">
        <f>IF(COUNTA(A1244:F1244)=0,"",IF(AND(A1244&lt;&gt;"",E1244&lt;&gt;""),"OK","ERRO: faltam "&amp;IF(A1244="","CNPJ; ","")&amp;IF(E1244="","Novo gerente; ","")))</f>
      </c>
      <c r="K1244" s="6">
        <f>IF(COUNTA(A1244:F1244)=0,"",IF(AND(LEFT(H1244,4)&lt;&gt;"ERRO",I1244="OK",J1244="OK"),"OK","REVISAR"))</f>
      </c>
    </row>
    <row r="1245">
      <c r="A1245" s="5"/>
      <c r="B1245" s="4"/>
      <c r="C1245" s="4"/>
      <c r="D1245" s="4"/>
      <c r="E1245" s="5"/>
      <c r="F1245" s="4"/>
      <c r="G1245" s="6">
        <f>IF(A1245="","",SUBSTITUTE(SUBSTITUTE(SUBSTITUTE(SUBSTITUTE(SUBSTITUTE(SUBSTITUTE(SUBSTITUTE(TRIM(A1245),".",""),"/",""),"-","")," ",""),"(",""),")",""),"+",""))</f>
      </c>
      <c r="H1245" s="6">
        <f>IF(G1245="","",IF(LEN(G1245)&lt;&gt;14,"ERRO: "&amp;LEN(G1245)&amp;" dígitos",IF(NOT(ISNUMBER(VALUE(G1245))),"ERRO: não numérico",IF(AND(VALUE(MID(G1245,13,1))=IF(MOD(SUMPRODUCT(--MID(G1245,{1,2,3,4,5,6,7,8,9,10,11,12},1),{5,4,3,2,9,8,7,6,5,4,3,2}),11)&lt;2,0,11-MOD(SUMPRODUCT(--MID(G1245,{1,2,3,4,5,6,7,8,9,10,11,12},1),{5,4,3,2,9,8,7,6,5,4,3,2}),11)),VALUE(MID(G1245,14,1))=IF(MOD(SUMPRODUCT(--MID(G1245,{1,2,3,4,5,6,7,8,9,10,11,12,13},1),{6,5,4,3,2,9,8,7,6,5,4,3,2}),11)&lt;2,0,11-MOD(SUMPRODUCT(--MID(G1245,{1,2,3,4,5,6,7,8,9,10,11,12,13},1),{6,5,4,3,2,9,8,7,6,5,4,3,2}),11))),"OK","AVISO: dígito verificador (conferir na org)"))))</f>
      </c>
      <c r="I1245" s="6">
        <f>IF(G1245="","",IF(COUNTIF($G$2:$G$2001,G1245)&gt;1,"DUPLICADO","OK"))</f>
      </c>
      <c r="J1245" s="6">
        <f>IF(COUNTA(A1245:F1245)=0,"",IF(AND(A1245&lt;&gt;"",E1245&lt;&gt;""),"OK","ERRO: faltam "&amp;IF(A1245="","CNPJ; ","")&amp;IF(E1245="","Novo gerente; ","")))</f>
      </c>
      <c r="K1245" s="6">
        <f>IF(COUNTA(A1245:F1245)=0,"",IF(AND(LEFT(H1245,4)&lt;&gt;"ERRO",I1245="OK",J1245="OK"),"OK","REVISAR"))</f>
      </c>
    </row>
    <row r="1246">
      <c r="A1246" s="5"/>
      <c r="B1246" s="4"/>
      <c r="C1246" s="4"/>
      <c r="D1246" s="4"/>
      <c r="E1246" s="5"/>
      <c r="F1246" s="4"/>
      <c r="G1246" s="6">
        <f>IF(A1246="","",SUBSTITUTE(SUBSTITUTE(SUBSTITUTE(SUBSTITUTE(SUBSTITUTE(SUBSTITUTE(SUBSTITUTE(TRIM(A1246),".",""),"/",""),"-","")," ",""),"(",""),")",""),"+",""))</f>
      </c>
      <c r="H1246" s="6">
        <f>IF(G1246="","",IF(LEN(G1246)&lt;&gt;14,"ERRO: "&amp;LEN(G1246)&amp;" dígitos",IF(NOT(ISNUMBER(VALUE(G1246))),"ERRO: não numérico",IF(AND(VALUE(MID(G1246,13,1))=IF(MOD(SUMPRODUCT(--MID(G1246,{1,2,3,4,5,6,7,8,9,10,11,12},1),{5,4,3,2,9,8,7,6,5,4,3,2}),11)&lt;2,0,11-MOD(SUMPRODUCT(--MID(G1246,{1,2,3,4,5,6,7,8,9,10,11,12},1),{5,4,3,2,9,8,7,6,5,4,3,2}),11)),VALUE(MID(G1246,14,1))=IF(MOD(SUMPRODUCT(--MID(G1246,{1,2,3,4,5,6,7,8,9,10,11,12,13},1),{6,5,4,3,2,9,8,7,6,5,4,3,2}),11)&lt;2,0,11-MOD(SUMPRODUCT(--MID(G1246,{1,2,3,4,5,6,7,8,9,10,11,12,13},1),{6,5,4,3,2,9,8,7,6,5,4,3,2}),11))),"OK","AVISO: dígito verificador (conferir na org)"))))</f>
      </c>
      <c r="I1246" s="6">
        <f>IF(G1246="","",IF(COUNTIF($G$2:$G$2001,G1246)&gt;1,"DUPLICADO","OK"))</f>
      </c>
      <c r="J1246" s="6">
        <f>IF(COUNTA(A1246:F1246)=0,"",IF(AND(A1246&lt;&gt;"",E1246&lt;&gt;""),"OK","ERRO: faltam "&amp;IF(A1246="","CNPJ; ","")&amp;IF(E1246="","Novo gerente; ","")))</f>
      </c>
      <c r="K1246" s="6">
        <f>IF(COUNTA(A1246:F1246)=0,"",IF(AND(LEFT(H1246,4)&lt;&gt;"ERRO",I1246="OK",J1246="OK"),"OK","REVISAR"))</f>
      </c>
    </row>
    <row r="1247">
      <c r="A1247" s="5"/>
      <c r="B1247" s="4"/>
      <c r="C1247" s="4"/>
      <c r="D1247" s="4"/>
      <c r="E1247" s="5"/>
      <c r="F1247" s="4"/>
      <c r="G1247" s="6">
        <f>IF(A1247="","",SUBSTITUTE(SUBSTITUTE(SUBSTITUTE(SUBSTITUTE(SUBSTITUTE(SUBSTITUTE(SUBSTITUTE(TRIM(A1247),".",""),"/",""),"-","")," ",""),"(",""),")",""),"+",""))</f>
      </c>
      <c r="H1247" s="6">
        <f>IF(G1247="","",IF(LEN(G1247)&lt;&gt;14,"ERRO: "&amp;LEN(G1247)&amp;" dígitos",IF(NOT(ISNUMBER(VALUE(G1247))),"ERRO: não numérico",IF(AND(VALUE(MID(G1247,13,1))=IF(MOD(SUMPRODUCT(--MID(G1247,{1,2,3,4,5,6,7,8,9,10,11,12},1),{5,4,3,2,9,8,7,6,5,4,3,2}),11)&lt;2,0,11-MOD(SUMPRODUCT(--MID(G1247,{1,2,3,4,5,6,7,8,9,10,11,12},1),{5,4,3,2,9,8,7,6,5,4,3,2}),11)),VALUE(MID(G1247,14,1))=IF(MOD(SUMPRODUCT(--MID(G1247,{1,2,3,4,5,6,7,8,9,10,11,12,13},1),{6,5,4,3,2,9,8,7,6,5,4,3,2}),11)&lt;2,0,11-MOD(SUMPRODUCT(--MID(G1247,{1,2,3,4,5,6,7,8,9,10,11,12,13},1),{6,5,4,3,2,9,8,7,6,5,4,3,2}),11))),"OK","AVISO: dígito verificador (conferir na org)"))))</f>
      </c>
      <c r="I1247" s="6">
        <f>IF(G1247="","",IF(COUNTIF($G$2:$G$2001,G1247)&gt;1,"DUPLICADO","OK"))</f>
      </c>
      <c r="J1247" s="6">
        <f>IF(COUNTA(A1247:F1247)=0,"",IF(AND(A1247&lt;&gt;"",E1247&lt;&gt;""),"OK","ERRO: faltam "&amp;IF(A1247="","CNPJ; ","")&amp;IF(E1247="","Novo gerente; ","")))</f>
      </c>
      <c r="K1247" s="6">
        <f>IF(COUNTA(A1247:F1247)=0,"",IF(AND(LEFT(H1247,4)&lt;&gt;"ERRO",I1247="OK",J1247="OK"),"OK","REVISAR"))</f>
      </c>
    </row>
    <row r="1248">
      <c r="A1248" s="5"/>
      <c r="B1248" s="4"/>
      <c r="C1248" s="4"/>
      <c r="D1248" s="4"/>
      <c r="E1248" s="5"/>
      <c r="F1248" s="4"/>
      <c r="G1248" s="6">
        <f>IF(A1248="","",SUBSTITUTE(SUBSTITUTE(SUBSTITUTE(SUBSTITUTE(SUBSTITUTE(SUBSTITUTE(SUBSTITUTE(TRIM(A1248),".",""),"/",""),"-","")," ",""),"(",""),")",""),"+",""))</f>
      </c>
      <c r="H1248" s="6">
        <f>IF(G1248="","",IF(LEN(G1248)&lt;&gt;14,"ERRO: "&amp;LEN(G1248)&amp;" dígitos",IF(NOT(ISNUMBER(VALUE(G1248))),"ERRO: não numérico",IF(AND(VALUE(MID(G1248,13,1))=IF(MOD(SUMPRODUCT(--MID(G1248,{1,2,3,4,5,6,7,8,9,10,11,12},1),{5,4,3,2,9,8,7,6,5,4,3,2}),11)&lt;2,0,11-MOD(SUMPRODUCT(--MID(G1248,{1,2,3,4,5,6,7,8,9,10,11,12},1),{5,4,3,2,9,8,7,6,5,4,3,2}),11)),VALUE(MID(G1248,14,1))=IF(MOD(SUMPRODUCT(--MID(G1248,{1,2,3,4,5,6,7,8,9,10,11,12,13},1),{6,5,4,3,2,9,8,7,6,5,4,3,2}),11)&lt;2,0,11-MOD(SUMPRODUCT(--MID(G1248,{1,2,3,4,5,6,7,8,9,10,11,12,13},1),{6,5,4,3,2,9,8,7,6,5,4,3,2}),11))),"OK","AVISO: dígito verificador (conferir na org)"))))</f>
      </c>
      <c r="I1248" s="6">
        <f>IF(G1248="","",IF(COUNTIF($G$2:$G$2001,G1248)&gt;1,"DUPLICADO","OK"))</f>
      </c>
      <c r="J1248" s="6">
        <f>IF(COUNTA(A1248:F1248)=0,"",IF(AND(A1248&lt;&gt;"",E1248&lt;&gt;""),"OK","ERRO: faltam "&amp;IF(A1248="","CNPJ; ","")&amp;IF(E1248="","Novo gerente; ","")))</f>
      </c>
      <c r="K1248" s="6">
        <f>IF(COUNTA(A1248:F1248)=0,"",IF(AND(LEFT(H1248,4)&lt;&gt;"ERRO",I1248="OK",J1248="OK"),"OK","REVISAR"))</f>
      </c>
    </row>
    <row r="1249">
      <c r="A1249" s="5"/>
      <c r="B1249" s="4"/>
      <c r="C1249" s="4"/>
      <c r="D1249" s="4"/>
      <c r="E1249" s="5"/>
      <c r="F1249" s="4"/>
      <c r="G1249" s="6">
        <f>IF(A1249="","",SUBSTITUTE(SUBSTITUTE(SUBSTITUTE(SUBSTITUTE(SUBSTITUTE(SUBSTITUTE(SUBSTITUTE(TRIM(A1249),".",""),"/",""),"-","")," ",""),"(",""),")",""),"+",""))</f>
      </c>
      <c r="H1249" s="6">
        <f>IF(G1249="","",IF(LEN(G1249)&lt;&gt;14,"ERRO: "&amp;LEN(G1249)&amp;" dígitos",IF(NOT(ISNUMBER(VALUE(G1249))),"ERRO: não numérico",IF(AND(VALUE(MID(G1249,13,1))=IF(MOD(SUMPRODUCT(--MID(G1249,{1,2,3,4,5,6,7,8,9,10,11,12},1),{5,4,3,2,9,8,7,6,5,4,3,2}),11)&lt;2,0,11-MOD(SUMPRODUCT(--MID(G1249,{1,2,3,4,5,6,7,8,9,10,11,12},1),{5,4,3,2,9,8,7,6,5,4,3,2}),11)),VALUE(MID(G1249,14,1))=IF(MOD(SUMPRODUCT(--MID(G1249,{1,2,3,4,5,6,7,8,9,10,11,12,13},1),{6,5,4,3,2,9,8,7,6,5,4,3,2}),11)&lt;2,0,11-MOD(SUMPRODUCT(--MID(G1249,{1,2,3,4,5,6,7,8,9,10,11,12,13},1),{6,5,4,3,2,9,8,7,6,5,4,3,2}),11))),"OK","AVISO: dígito verificador (conferir na org)"))))</f>
      </c>
      <c r="I1249" s="6">
        <f>IF(G1249="","",IF(COUNTIF($G$2:$G$2001,G1249)&gt;1,"DUPLICADO","OK"))</f>
      </c>
      <c r="J1249" s="6">
        <f>IF(COUNTA(A1249:F1249)=0,"",IF(AND(A1249&lt;&gt;"",E1249&lt;&gt;""),"OK","ERRO: faltam "&amp;IF(A1249="","CNPJ; ","")&amp;IF(E1249="","Novo gerente; ","")))</f>
      </c>
      <c r="K1249" s="6">
        <f>IF(COUNTA(A1249:F1249)=0,"",IF(AND(LEFT(H1249,4)&lt;&gt;"ERRO",I1249="OK",J1249="OK"),"OK","REVISAR"))</f>
      </c>
    </row>
    <row r="1250">
      <c r="A1250" s="5"/>
      <c r="B1250" s="4"/>
      <c r="C1250" s="4"/>
      <c r="D1250" s="4"/>
      <c r="E1250" s="5"/>
      <c r="F1250" s="4"/>
      <c r="G1250" s="6">
        <f>IF(A1250="","",SUBSTITUTE(SUBSTITUTE(SUBSTITUTE(SUBSTITUTE(SUBSTITUTE(SUBSTITUTE(SUBSTITUTE(TRIM(A1250),".",""),"/",""),"-","")," ",""),"(",""),")",""),"+",""))</f>
      </c>
      <c r="H1250" s="6">
        <f>IF(G1250="","",IF(LEN(G1250)&lt;&gt;14,"ERRO: "&amp;LEN(G1250)&amp;" dígitos",IF(NOT(ISNUMBER(VALUE(G1250))),"ERRO: não numérico",IF(AND(VALUE(MID(G1250,13,1))=IF(MOD(SUMPRODUCT(--MID(G1250,{1,2,3,4,5,6,7,8,9,10,11,12},1),{5,4,3,2,9,8,7,6,5,4,3,2}),11)&lt;2,0,11-MOD(SUMPRODUCT(--MID(G1250,{1,2,3,4,5,6,7,8,9,10,11,12},1),{5,4,3,2,9,8,7,6,5,4,3,2}),11)),VALUE(MID(G1250,14,1))=IF(MOD(SUMPRODUCT(--MID(G1250,{1,2,3,4,5,6,7,8,9,10,11,12,13},1),{6,5,4,3,2,9,8,7,6,5,4,3,2}),11)&lt;2,0,11-MOD(SUMPRODUCT(--MID(G1250,{1,2,3,4,5,6,7,8,9,10,11,12,13},1),{6,5,4,3,2,9,8,7,6,5,4,3,2}),11))),"OK","AVISO: dígito verificador (conferir na org)"))))</f>
      </c>
      <c r="I1250" s="6">
        <f>IF(G1250="","",IF(COUNTIF($G$2:$G$2001,G1250)&gt;1,"DUPLICADO","OK"))</f>
      </c>
      <c r="J1250" s="6">
        <f>IF(COUNTA(A1250:F1250)=0,"",IF(AND(A1250&lt;&gt;"",E1250&lt;&gt;""),"OK","ERRO: faltam "&amp;IF(A1250="","CNPJ; ","")&amp;IF(E1250="","Novo gerente; ","")))</f>
      </c>
      <c r="K1250" s="6">
        <f>IF(COUNTA(A1250:F1250)=0,"",IF(AND(LEFT(H1250,4)&lt;&gt;"ERRO",I1250="OK",J1250="OK"),"OK","REVISAR"))</f>
      </c>
    </row>
    <row r="1251">
      <c r="A1251" s="5"/>
      <c r="B1251" s="4"/>
      <c r="C1251" s="4"/>
      <c r="D1251" s="4"/>
      <c r="E1251" s="5"/>
      <c r="F1251" s="4"/>
      <c r="G1251" s="6">
        <f>IF(A1251="","",SUBSTITUTE(SUBSTITUTE(SUBSTITUTE(SUBSTITUTE(SUBSTITUTE(SUBSTITUTE(SUBSTITUTE(TRIM(A1251),".",""),"/",""),"-","")," ",""),"(",""),")",""),"+",""))</f>
      </c>
      <c r="H1251" s="6">
        <f>IF(G1251="","",IF(LEN(G1251)&lt;&gt;14,"ERRO: "&amp;LEN(G1251)&amp;" dígitos",IF(NOT(ISNUMBER(VALUE(G1251))),"ERRO: não numérico",IF(AND(VALUE(MID(G1251,13,1))=IF(MOD(SUMPRODUCT(--MID(G1251,{1,2,3,4,5,6,7,8,9,10,11,12},1),{5,4,3,2,9,8,7,6,5,4,3,2}),11)&lt;2,0,11-MOD(SUMPRODUCT(--MID(G1251,{1,2,3,4,5,6,7,8,9,10,11,12},1),{5,4,3,2,9,8,7,6,5,4,3,2}),11)),VALUE(MID(G1251,14,1))=IF(MOD(SUMPRODUCT(--MID(G1251,{1,2,3,4,5,6,7,8,9,10,11,12,13},1),{6,5,4,3,2,9,8,7,6,5,4,3,2}),11)&lt;2,0,11-MOD(SUMPRODUCT(--MID(G1251,{1,2,3,4,5,6,7,8,9,10,11,12,13},1),{6,5,4,3,2,9,8,7,6,5,4,3,2}),11))),"OK","AVISO: dígito verificador (conferir na org)"))))</f>
      </c>
      <c r="I1251" s="6">
        <f>IF(G1251="","",IF(COUNTIF($G$2:$G$2001,G1251)&gt;1,"DUPLICADO","OK"))</f>
      </c>
      <c r="J1251" s="6">
        <f>IF(COUNTA(A1251:F1251)=0,"",IF(AND(A1251&lt;&gt;"",E1251&lt;&gt;""),"OK","ERRO: faltam "&amp;IF(A1251="","CNPJ; ","")&amp;IF(E1251="","Novo gerente; ","")))</f>
      </c>
      <c r="K1251" s="6">
        <f>IF(COUNTA(A1251:F1251)=0,"",IF(AND(LEFT(H1251,4)&lt;&gt;"ERRO",I1251="OK",J1251="OK"),"OK","REVISAR"))</f>
      </c>
    </row>
    <row r="1252">
      <c r="A1252" s="5"/>
      <c r="B1252" s="4"/>
      <c r="C1252" s="4"/>
      <c r="D1252" s="4"/>
      <c r="E1252" s="5"/>
      <c r="F1252" s="4"/>
      <c r="G1252" s="6">
        <f>IF(A1252="","",SUBSTITUTE(SUBSTITUTE(SUBSTITUTE(SUBSTITUTE(SUBSTITUTE(SUBSTITUTE(SUBSTITUTE(TRIM(A1252),".",""),"/",""),"-","")," ",""),"(",""),")",""),"+",""))</f>
      </c>
      <c r="H1252" s="6">
        <f>IF(G1252="","",IF(LEN(G1252)&lt;&gt;14,"ERRO: "&amp;LEN(G1252)&amp;" dígitos",IF(NOT(ISNUMBER(VALUE(G1252))),"ERRO: não numérico",IF(AND(VALUE(MID(G1252,13,1))=IF(MOD(SUMPRODUCT(--MID(G1252,{1,2,3,4,5,6,7,8,9,10,11,12},1),{5,4,3,2,9,8,7,6,5,4,3,2}),11)&lt;2,0,11-MOD(SUMPRODUCT(--MID(G1252,{1,2,3,4,5,6,7,8,9,10,11,12},1),{5,4,3,2,9,8,7,6,5,4,3,2}),11)),VALUE(MID(G1252,14,1))=IF(MOD(SUMPRODUCT(--MID(G1252,{1,2,3,4,5,6,7,8,9,10,11,12,13},1),{6,5,4,3,2,9,8,7,6,5,4,3,2}),11)&lt;2,0,11-MOD(SUMPRODUCT(--MID(G1252,{1,2,3,4,5,6,7,8,9,10,11,12,13},1),{6,5,4,3,2,9,8,7,6,5,4,3,2}),11))),"OK","AVISO: dígito verificador (conferir na org)"))))</f>
      </c>
      <c r="I1252" s="6">
        <f>IF(G1252="","",IF(COUNTIF($G$2:$G$2001,G1252)&gt;1,"DUPLICADO","OK"))</f>
      </c>
      <c r="J1252" s="6">
        <f>IF(COUNTA(A1252:F1252)=0,"",IF(AND(A1252&lt;&gt;"",E1252&lt;&gt;""),"OK","ERRO: faltam "&amp;IF(A1252="","CNPJ; ","")&amp;IF(E1252="","Novo gerente; ","")))</f>
      </c>
      <c r="K1252" s="6">
        <f>IF(COUNTA(A1252:F1252)=0,"",IF(AND(LEFT(H1252,4)&lt;&gt;"ERRO",I1252="OK",J1252="OK"),"OK","REVISAR"))</f>
      </c>
    </row>
    <row r="1253">
      <c r="A1253" s="5"/>
      <c r="B1253" s="4"/>
      <c r="C1253" s="4"/>
      <c r="D1253" s="4"/>
      <c r="E1253" s="5"/>
      <c r="F1253" s="4"/>
      <c r="G1253" s="6">
        <f>IF(A1253="","",SUBSTITUTE(SUBSTITUTE(SUBSTITUTE(SUBSTITUTE(SUBSTITUTE(SUBSTITUTE(SUBSTITUTE(TRIM(A1253),".",""),"/",""),"-","")," ",""),"(",""),")",""),"+",""))</f>
      </c>
      <c r="H1253" s="6">
        <f>IF(G1253="","",IF(LEN(G1253)&lt;&gt;14,"ERRO: "&amp;LEN(G1253)&amp;" dígitos",IF(NOT(ISNUMBER(VALUE(G1253))),"ERRO: não numérico",IF(AND(VALUE(MID(G1253,13,1))=IF(MOD(SUMPRODUCT(--MID(G1253,{1,2,3,4,5,6,7,8,9,10,11,12},1),{5,4,3,2,9,8,7,6,5,4,3,2}),11)&lt;2,0,11-MOD(SUMPRODUCT(--MID(G1253,{1,2,3,4,5,6,7,8,9,10,11,12},1),{5,4,3,2,9,8,7,6,5,4,3,2}),11)),VALUE(MID(G1253,14,1))=IF(MOD(SUMPRODUCT(--MID(G1253,{1,2,3,4,5,6,7,8,9,10,11,12,13},1),{6,5,4,3,2,9,8,7,6,5,4,3,2}),11)&lt;2,0,11-MOD(SUMPRODUCT(--MID(G1253,{1,2,3,4,5,6,7,8,9,10,11,12,13},1),{6,5,4,3,2,9,8,7,6,5,4,3,2}),11))),"OK","AVISO: dígito verificador (conferir na org)"))))</f>
      </c>
      <c r="I1253" s="6">
        <f>IF(G1253="","",IF(COUNTIF($G$2:$G$2001,G1253)&gt;1,"DUPLICADO","OK"))</f>
      </c>
      <c r="J1253" s="6">
        <f>IF(COUNTA(A1253:F1253)=0,"",IF(AND(A1253&lt;&gt;"",E1253&lt;&gt;""),"OK","ERRO: faltam "&amp;IF(A1253="","CNPJ; ","")&amp;IF(E1253="","Novo gerente; ","")))</f>
      </c>
      <c r="K1253" s="6">
        <f>IF(COUNTA(A1253:F1253)=0,"",IF(AND(LEFT(H1253,4)&lt;&gt;"ERRO",I1253="OK",J1253="OK"),"OK","REVISAR"))</f>
      </c>
    </row>
    <row r="1254">
      <c r="A1254" s="5"/>
      <c r="B1254" s="4"/>
      <c r="C1254" s="4"/>
      <c r="D1254" s="4"/>
      <c r="E1254" s="5"/>
      <c r="F1254" s="4"/>
      <c r="G1254" s="6">
        <f>IF(A1254="","",SUBSTITUTE(SUBSTITUTE(SUBSTITUTE(SUBSTITUTE(SUBSTITUTE(SUBSTITUTE(SUBSTITUTE(TRIM(A1254),".",""),"/",""),"-","")," ",""),"(",""),")",""),"+",""))</f>
      </c>
      <c r="H1254" s="6">
        <f>IF(G1254="","",IF(LEN(G1254)&lt;&gt;14,"ERRO: "&amp;LEN(G1254)&amp;" dígitos",IF(NOT(ISNUMBER(VALUE(G1254))),"ERRO: não numérico",IF(AND(VALUE(MID(G1254,13,1))=IF(MOD(SUMPRODUCT(--MID(G1254,{1,2,3,4,5,6,7,8,9,10,11,12},1),{5,4,3,2,9,8,7,6,5,4,3,2}),11)&lt;2,0,11-MOD(SUMPRODUCT(--MID(G1254,{1,2,3,4,5,6,7,8,9,10,11,12},1),{5,4,3,2,9,8,7,6,5,4,3,2}),11)),VALUE(MID(G1254,14,1))=IF(MOD(SUMPRODUCT(--MID(G1254,{1,2,3,4,5,6,7,8,9,10,11,12,13},1),{6,5,4,3,2,9,8,7,6,5,4,3,2}),11)&lt;2,0,11-MOD(SUMPRODUCT(--MID(G1254,{1,2,3,4,5,6,7,8,9,10,11,12,13},1),{6,5,4,3,2,9,8,7,6,5,4,3,2}),11))),"OK","AVISO: dígito verificador (conferir na org)"))))</f>
      </c>
      <c r="I1254" s="6">
        <f>IF(G1254="","",IF(COUNTIF($G$2:$G$2001,G1254)&gt;1,"DUPLICADO","OK"))</f>
      </c>
      <c r="J1254" s="6">
        <f>IF(COUNTA(A1254:F1254)=0,"",IF(AND(A1254&lt;&gt;"",E1254&lt;&gt;""),"OK","ERRO: faltam "&amp;IF(A1254="","CNPJ; ","")&amp;IF(E1254="","Novo gerente; ","")))</f>
      </c>
      <c r="K1254" s="6">
        <f>IF(COUNTA(A1254:F1254)=0,"",IF(AND(LEFT(H1254,4)&lt;&gt;"ERRO",I1254="OK",J1254="OK"),"OK","REVISAR"))</f>
      </c>
    </row>
    <row r="1255">
      <c r="A1255" s="5"/>
      <c r="B1255" s="4"/>
      <c r="C1255" s="4"/>
      <c r="D1255" s="4"/>
      <c r="E1255" s="5"/>
      <c r="F1255" s="4"/>
      <c r="G1255" s="6">
        <f>IF(A1255="","",SUBSTITUTE(SUBSTITUTE(SUBSTITUTE(SUBSTITUTE(SUBSTITUTE(SUBSTITUTE(SUBSTITUTE(TRIM(A1255),".",""),"/",""),"-","")," ",""),"(",""),")",""),"+",""))</f>
      </c>
      <c r="H1255" s="6">
        <f>IF(G1255="","",IF(LEN(G1255)&lt;&gt;14,"ERRO: "&amp;LEN(G1255)&amp;" dígitos",IF(NOT(ISNUMBER(VALUE(G1255))),"ERRO: não numérico",IF(AND(VALUE(MID(G1255,13,1))=IF(MOD(SUMPRODUCT(--MID(G1255,{1,2,3,4,5,6,7,8,9,10,11,12},1),{5,4,3,2,9,8,7,6,5,4,3,2}),11)&lt;2,0,11-MOD(SUMPRODUCT(--MID(G1255,{1,2,3,4,5,6,7,8,9,10,11,12},1),{5,4,3,2,9,8,7,6,5,4,3,2}),11)),VALUE(MID(G1255,14,1))=IF(MOD(SUMPRODUCT(--MID(G1255,{1,2,3,4,5,6,7,8,9,10,11,12,13},1),{6,5,4,3,2,9,8,7,6,5,4,3,2}),11)&lt;2,0,11-MOD(SUMPRODUCT(--MID(G1255,{1,2,3,4,5,6,7,8,9,10,11,12,13},1),{6,5,4,3,2,9,8,7,6,5,4,3,2}),11))),"OK","AVISO: dígito verificador (conferir na org)"))))</f>
      </c>
      <c r="I1255" s="6">
        <f>IF(G1255="","",IF(COUNTIF($G$2:$G$2001,G1255)&gt;1,"DUPLICADO","OK"))</f>
      </c>
      <c r="J1255" s="6">
        <f>IF(COUNTA(A1255:F1255)=0,"",IF(AND(A1255&lt;&gt;"",E1255&lt;&gt;""),"OK","ERRO: faltam "&amp;IF(A1255="","CNPJ; ","")&amp;IF(E1255="","Novo gerente; ","")))</f>
      </c>
      <c r="K1255" s="6">
        <f>IF(COUNTA(A1255:F1255)=0,"",IF(AND(LEFT(H1255,4)&lt;&gt;"ERRO",I1255="OK",J1255="OK"),"OK","REVISAR"))</f>
      </c>
    </row>
    <row r="1256">
      <c r="A1256" s="5"/>
      <c r="B1256" s="4"/>
      <c r="C1256" s="4"/>
      <c r="D1256" s="4"/>
      <c r="E1256" s="5"/>
      <c r="F1256" s="4"/>
      <c r="G1256" s="6">
        <f>IF(A1256="","",SUBSTITUTE(SUBSTITUTE(SUBSTITUTE(SUBSTITUTE(SUBSTITUTE(SUBSTITUTE(SUBSTITUTE(TRIM(A1256),".",""),"/",""),"-","")," ",""),"(",""),")",""),"+",""))</f>
      </c>
      <c r="H1256" s="6">
        <f>IF(G1256="","",IF(LEN(G1256)&lt;&gt;14,"ERRO: "&amp;LEN(G1256)&amp;" dígitos",IF(NOT(ISNUMBER(VALUE(G1256))),"ERRO: não numérico",IF(AND(VALUE(MID(G1256,13,1))=IF(MOD(SUMPRODUCT(--MID(G1256,{1,2,3,4,5,6,7,8,9,10,11,12},1),{5,4,3,2,9,8,7,6,5,4,3,2}),11)&lt;2,0,11-MOD(SUMPRODUCT(--MID(G1256,{1,2,3,4,5,6,7,8,9,10,11,12},1),{5,4,3,2,9,8,7,6,5,4,3,2}),11)),VALUE(MID(G1256,14,1))=IF(MOD(SUMPRODUCT(--MID(G1256,{1,2,3,4,5,6,7,8,9,10,11,12,13},1),{6,5,4,3,2,9,8,7,6,5,4,3,2}),11)&lt;2,0,11-MOD(SUMPRODUCT(--MID(G1256,{1,2,3,4,5,6,7,8,9,10,11,12,13},1),{6,5,4,3,2,9,8,7,6,5,4,3,2}),11))),"OK","AVISO: dígito verificador (conferir na org)"))))</f>
      </c>
      <c r="I1256" s="6">
        <f>IF(G1256="","",IF(COUNTIF($G$2:$G$2001,G1256)&gt;1,"DUPLICADO","OK"))</f>
      </c>
      <c r="J1256" s="6">
        <f>IF(COUNTA(A1256:F1256)=0,"",IF(AND(A1256&lt;&gt;"",E1256&lt;&gt;""),"OK","ERRO: faltam "&amp;IF(A1256="","CNPJ; ","")&amp;IF(E1256="","Novo gerente; ","")))</f>
      </c>
      <c r="K1256" s="6">
        <f>IF(COUNTA(A1256:F1256)=0,"",IF(AND(LEFT(H1256,4)&lt;&gt;"ERRO",I1256="OK",J1256="OK"),"OK","REVISAR"))</f>
      </c>
    </row>
    <row r="1257">
      <c r="A1257" s="5"/>
      <c r="B1257" s="4"/>
      <c r="C1257" s="4"/>
      <c r="D1257" s="4"/>
      <c r="E1257" s="5"/>
      <c r="F1257" s="4"/>
      <c r="G1257" s="6">
        <f>IF(A1257="","",SUBSTITUTE(SUBSTITUTE(SUBSTITUTE(SUBSTITUTE(SUBSTITUTE(SUBSTITUTE(SUBSTITUTE(TRIM(A1257),".",""),"/",""),"-","")," ",""),"(",""),")",""),"+",""))</f>
      </c>
      <c r="H1257" s="6">
        <f>IF(G1257="","",IF(LEN(G1257)&lt;&gt;14,"ERRO: "&amp;LEN(G1257)&amp;" dígitos",IF(NOT(ISNUMBER(VALUE(G1257))),"ERRO: não numérico",IF(AND(VALUE(MID(G1257,13,1))=IF(MOD(SUMPRODUCT(--MID(G1257,{1,2,3,4,5,6,7,8,9,10,11,12},1),{5,4,3,2,9,8,7,6,5,4,3,2}),11)&lt;2,0,11-MOD(SUMPRODUCT(--MID(G1257,{1,2,3,4,5,6,7,8,9,10,11,12},1),{5,4,3,2,9,8,7,6,5,4,3,2}),11)),VALUE(MID(G1257,14,1))=IF(MOD(SUMPRODUCT(--MID(G1257,{1,2,3,4,5,6,7,8,9,10,11,12,13},1),{6,5,4,3,2,9,8,7,6,5,4,3,2}),11)&lt;2,0,11-MOD(SUMPRODUCT(--MID(G1257,{1,2,3,4,5,6,7,8,9,10,11,12,13},1),{6,5,4,3,2,9,8,7,6,5,4,3,2}),11))),"OK","AVISO: dígito verificador (conferir na org)"))))</f>
      </c>
      <c r="I1257" s="6">
        <f>IF(G1257="","",IF(COUNTIF($G$2:$G$2001,G1257)&gt;1,"DUPLICADO","OK"))</f>
      </c>
      <c r="J1257" s="6">
        <f>IF(COUNTA(A1257:F1257)=0,"",IF(AND(A1257&lt;&gt;"",E1257&lt;&gt;""),"OK","ERRO: faltam "&amp;IF(A1257="","CNPJ; ","")&amp;IF(E1257="","Novo gerente; ","")))</f>
      </c>
      <c r="K1257" s="6">
        <f>IF(COUNTA(A1257:F1257)=0,"",IF(AND(LEFT(H1257,4)&lt;&gt;"ERRO",I1257="OK",J1257="OK"),"OK","REVISAR"))</f>
      </c>
    </row>
    <row r="1258">
      <c r="A1258" s="5"/>
      <c r="B1258" s="4"/>
      <c r="C1258" s="4"/>
      <c r="D1258" s="4"/>
      <c r="E1258" s="5"/>
      <c r="F1258" s="4"/>
      <c r="G1258" s="6">
        <f>IF(A1258="","",SUBSTITUTE(SUBSTITUTE(SUBSTITUTE(SUBSTITUTE(SUBSTITUTE(SUBSTITUTE(SUBSTITUTE(TRIM(A1258),".",""),"/",""),"-","")," ",""),"(",""),")",""),"+",""))</f>
      </c>
      <c r="H1258" s="6">
        <f>IF(G1258="","",IF(LEN(G1258)&lt;&gt;14,"ERRO: "&amp;LEN(G1258)&amp;" dígitos",IF(NOT(ISNUMBER(VALUE(G1258))),"ERRO: não numérico",IF(AND(VALUE(MID(G1258,13,1))=IF(MOD(SUMPRODUCT(--MID(G1258,{1,2,3,4,5,6,7,8,9,10,11,12},1),{5,4,3,2,9,8,7,6,5,4,3,2}),11)&lt;2,0,11-MOD(SUMPRODUCT(--MID(G1258,{1,2,3,4,5,6,7,8,9,10,11,12},1),{5,4,3,2,9,8,7,6,5,4,3,2}),11)),VALUE(MID(G1258,14,1))=IF(MOD(SUMPRODUCT(--MID(G1258,{1,2,3,4,5,6,7,8,9,10,11,12,13},1),{6,5,4,3,2,9,8,7,6,5,4,3,2}),11)&lt;2,0,11-MOD(SUMPRODUCT(--MID(G1258,{1,2,3,4,5,6,7,8,9,10,11,12,13},1),{6,5,4,3,2,9,8,7,6,5,4,3,2}),11))),"OK","AVISO: dígito verificador (conferir na org)"))))</f>
      </c>
      <c r="I1258" s="6">
        <f>IF(G1258="","",IF(COUNTIF($G$2:$G$2001,G1258)&gt;1,"DUPLICADO","OK"))</f>
      </c>
      <c r="J1258" s="6">
        <f>IF(COUNTA(A1258:F1258)=0,"",IF(AND(A1258&lt;&gt;"",E1258&lt;&gt;""),"OK","ERRO: faltam "&amp;IF(A1258="","CNPJ; ","")&amp;IF(E1258="","Novo gerente; ","")))</f>
      </c>
      <c r="K1258" s="6">
        <f>IF(COUNTA(A1258:F1258)=0,"",IF(AND(LEFT(H1258,4)&lt;&gt;"ERRO",I1258="OK",J1258="OK"),"OK","REVISAR"))</f>
      </c>
    </row>
    <row r="1259">
      <c r="A1259" s="5"/>
      <c r="B1259" s="4"/>
      <c r="C1259" s="4"/>
      <c r="D1259" s="4"/>
      <c r="E1259" s="5"/>
      <c r="F1259" s="4"/>
      <c r="G1259" s="6">
        <f>IF(A1259="","",SUBSTITUTE(SUBSTITUTE(SUBSTITUTE(SUBSTITUTE(SUBSTITUTE(SUBSTITUTE(SUBSTITUTE(TRIM(A1259),".",""),"/",""),"-","")," ",""),"(",""),")",""),"+",""))</f>
      </c>
      <c r="H1259" s="6">
        <f>IF(G1259="","",IF(LEN(G1259)&lt;&gt;14,"ERRO: "&amp;LEN(G1259)&amp;" dígitos",IF(NOT(ISNUMBER(VALUE(G1259))),"ERRO: não numérico",IF(AND(VALUE(MID(G1259,13,1))=IF(MOD(SUMPRODUCT(--MID(G1259,{1,2,3,4,5,6,7,8,9,10,11,12},1),{5,4,3,2,9,8,7,6,5,4,3,2}),11)&lt;2,0,11-MOD(SUMPRODUCT(--MID(G1259,{1,2,3,4,5,6,7,8,9,10,11,12},1),{5,4,3,2,9,8,7,6,5,4,3,2}),11)),VALUE(MID(G1259,14,1))=IF(MOD(SUMPRODUCT(--MID(G1259,{1,2,3,4,5,6,7,8,9,10,11,12,13},1),{6,5,4,3,2,9,8,7,6,5,4,3,2}),11)&lt;2,0,11-MOD(SUMPRODUCT(--MID(G1259,{1,2,3,4,5,6,7,8,9,10,11,12,13},1),{6,5,4,3,2,9,8,7,6,5,4,3,2}),11))),"OK","AVISO: dígito verificador (conferir na org)"))))</f>
      </c>
      <c r="I1259" s="6">
        <f>IF(G1259="","",IF(COUNTIF($G$2:$G$2001,G1259)&gt;1,"DUPLICADO","OK"))</f>
      </c>
      <c r="J1259" s="6">
        <f>IF(COUNTA(A1259:F1259)=0,"",IF(AND(A1259&lt;&gt;"",E1259&lt;&gt;""),"OK","ERRO: faltam "&amp;IF(A1259="","CNPJ; ","")&amp;IF(E1259="","Novo gerente; ","")))</f>
      </c>
      <c r="K1259" s="6">
        <f>IF(COUNTA(A1259:F1259)=0,"",IF(AND(LEFT(H1259,4)&lt;&gt;"ERRO",I1259="OK",J1259="OK"),"OK","REVISAR"))</f>
      </c>
    </row>
    <row r="1260">
      <c r="A1260" s="5"/>
      <c r="B1260" s="4"/>
      <c r="C1260" s="4"/>
      <c r="D1260" s="4"/>
      <c r="E1260" s="5"/>
      <c r="F1260" s="4"/>
      <c r="G1260" s="6">
        <f>IF(A1260="","",SUBSTITUTE(SUBSTITUTE(SUBSTITUTE(SUBSTITUTE(SUBSTITUTE(SUBSTITUTE(SUBSTITUTE(TRIM(A1260),".",""),"/",""),"-","")," ",""),"(",""),")",""),"+",""))</f>
      </c>
      <c r="H1260" s="6">
        <f>IF(G1260="","",IF(LEN(G1260)&lt;&gt;14,"ERRO: "&amp;LEN(G1260)&amp;" dígitos",IF(NOT(ISNUMBER(VALUE(G1260))),"ERRO: não numérico",IF(AND(VALUE(MID(G1260,13,1))=IF(MOD(SUMPRODUCT(--MID(G1260,{1,2,3,4,5,6,7,8,9,10,11,12},1),{5,4,3,2,9,8,7,6,5,4,3,2}),11)&lt;2,0,11-MOD(SUMPRODUCT(--MID(G1260,{1,2,3,4,5,6,7,8,9,10,11,12},1),{5,4,3,2,9,8,7,6,5,4,3,2}),11)),VALUE(MID(G1260,14,1))=IF(MOD(SUMPRODUCT(--MID(G1260,{1,2,3,4,5,6,7,8,9,10,11,12,13},1),{6,5,4,3,2,9,8,7,6,5,4,3,2}),11)&lt;2,0,11-MOD(SUMPRODUCT(--MID(G1260,{1,2,3,4,5,6,7,8,9,10,11,12,13},1),{6,5,4,3,2,9,8,7,6,5,4,3,2}),11))),"OK","AVISO: dígito verificador (conferir na org)"))))</f>
      </c>
      <c r="I1260" s="6">
        <f>IF(G1260="","",IF(COUNTIF($G$2:$G$2001,G1260)&gt;1,"DUPLICADO","OK"))</f>
      </c>
      <c r="J1260" s="6">
        <f>IF(COUNTA(A1260:F1260)=0,"",IF(AND(A1260&lt;&gt;"",E1260&lt;&gt;""),"OK","ERRO: faltam "&amp;IF(A1260="","CNPJ; ","")&amp;IF(E1260="","Novo gerente; ","")))</f>
      </c>
      <c r="K1260" s="6">
        <f>IF(COUNTA(A1260:F1260)=0,"",IF(AND(LEFT(H1260,4)&lt;&gt;"ERRO",I1260="OK",J1260="OK"),"OK","REVISAR"))</f>
      </c>
    </row>
    <row r="1261">
      <c r="A1261" s="5"/>
      <c r="B1261" s="4"/>
      <c r="C1261" s="4"/>
      <c r="D1261" s="4"/>
      <c r="E1261" s="5"/>
      <c r="F1261" s="4"/>
      <c r="G1261" s="6">
        <f>IF(A1261="","",SUBSTITUTE(SUBSTITUTE(SUBSTITUTE(SUBSTITUTE(SUBSTITUTE(SUBSTITUTE(SUBSTITUTE(TRIM(A1261),".",""),"/",""),"-","")," ",""),"(",""),")",""),"+",""))</f>
      </c>
      <c r="H1261" s="6">
        <f>IF(G1261="","",IF(LEN(G1261)&lt;&gt;14,"ERRO: "&amp;LEN(G1261)&amp;" dígitos",IF(NOT(ISNUMBER(VALUE(G1261))),"ERRO: não numérico",IF(AND(VALUE(MID(G1261,13,1))=IF(MOD(SUMPRODUCT(--MID(G1261,{1,2,3,4,5,6,7,8,9,10,11,12},1),{5,4,3,2,9,8,7,6,5,4,3,2}),11)&lt;2,0,11-MOD(SUMPRODUCT(--MID(G1261,{1,2,3,4,5,6,7,8,9,10,11,12},1),{5,4,3,2,9,8,7,6,5,4,3,2}),11)),VALUE(MID(G1261,14,1))=IF(MOD(SUMPRODUCT(--MID(G1261,{1,2,3,4,5,6,7,8,9,10,11,12,13},1),{6,5,4,3,2,9,8,7,6,5,4,3,2}),11)&lt;2,0,11-MOD(SUMPRODUCT(--MID(G1261,{1,2,3,4,5,6,7,8,9,10,11,12,13},1),{6,5,4,3,2,9,8,7,6,5,4,3,2}),11))),"OK","AVISO: dígito verificador (conferir na org)"))))</f>
      </c>
      <c r="I1261" s="6">
        <f>IF(G1261="","",IF(COUNTIF($G$2:$G$2001,G1261)&gt;1,"DUPLICADO","OK"))</f>
      </c>
      <c r="J1261" s="6">
        <f>IF(COUNTA(A1261:F1261)=0,"",IF(AND(A1261&lt;&gt;"",E1261&lt;&gt;""),"OK","ERRO: faltam "&amp;IF(A1261="","CNPJ; ","")&amp;IF(E1261="","Novo gerente; ","")))</f>
      </c>
      <c r="K1261" s="6">
        <f>IF(COUNTA(A1261:F1261)=0,"",IF(AND(LEFT(H1261,4)&lt;&gt;"ERRO",I1261="OK",J1261="OK"),"OK","REVISAR"))</f>
      </c>
    </row>
    <row r="1262">
      <c r="A1262" s="5"/>
      <c r="B1262" s="4"/>
      <c r="C1262" s="4"/>
      <c r="D1262" s="4"/>
      <c r="E1262" s="5"/>
      <c r="F1262" s="4"/>
      <c r="G1262" s="6">
        <f>IF(A1262="","",SUBSTITUTE(SUBSTITUTE(SUBSTITUTE(SUBSTITUTE(SUBSTITUTE(SUBSTITUTE(SUBSTITUTE(TRIM(A1262),".",""),"/",""),"-","")," ",""),"(",""),")",""),"+",""))</f>
      </c>
      <c r="H1262" s="6">
        <f>IF(G1262="","",IF(LEN(G1262)&lt;&gt;14,"ERRO: "&amp;LEN(G1262)&amp;" dígitos",IF(NOT(ISNUMBER(VALUE(G1262))),"ERRO: não numérico",IF(AND(VALUE(MID(G1262,13,1))=IF(MOD(SUMPRODUCT(--MID(G1262,{1,2,3,4,5,6,7,8,9,10,11,12},1),{5,4,3,2,9,8,7,6,5,4,3,2}),11)&lt;2,0,11-MOD(SUMPRODUCT(--MID(G1262,{1,2,3,4,5,6,7,8,9,10,11,12},1),{5,4,3,2,9,8,7,6,5,4,3,2}),11)),VALUE(MID(G1262,14,1))=IF(MOD(SUMPRODUCT(--MID(G1262,{1,2,3,4,5,6,7,8,9,10,11,12,13},1),{6,5,4,3,2,9,8,7,6,5,4,3,2}),11)&lt;2,0,11-MOD(SUMPRODUCT(--MID(G1262,{1,2,3,4,5,6,7,8,9,10,11,12,13},1),{6,5,4,3,2,9,8,7,6,5,4,3,2}),11))),"OK","AVISO: dígito verificador (conferir na org)"))))</f>
      </c>
      <c r="I1262" s="6">
        <f>IF(G1262="","",IF(COUNTIF($G$2:$G$2001,G1262)&gt;1,"DUPLICADO","OK"))</f>
      </c>
      <c r="J1262" s="6">
        <f>IF(COUNTA(A1262:F1262)=0,"",IF(AND(A1262&lt;&gt;"",E1262&lt;&gt;""),"OK","ERRO: faltam "&amp;IF(A1262="","CNPJ; ","")&amp;IF(E1262="","Novo gerente; ","")))</f>
      </c>
      <c r="K1262" s="6">
        <f>IF(COUNTA(A1262:F1262)=0,"",IF(AND(LEFT(H1262,4)&lt;&gt;"ERRO",I1262="OK",J1262="OK"),"OK","REVISAR"))</f>
      </c>
    </row>
    <row r="1263">
      <c r="A1263" s="5"/>
      <c r="B1263" s="4"/>
      <c r="C1263" s="4"/>
      <c r="D1263" s="4"/>
      <c r="E1263" s="5"/>
      <c r="F1263" s="4"/>
      <c r="G1263" s="6">
        <f>IF(A1263="","",SUBSTITUTE(SUBSTITUTE(SUBSTITUTE(SUBSTITUTE(SUBSTITUTE(SUBSTITUTE(SUBSTITUTE(TRIM(A1263),".",""),"/",""),"-","")," ",""),"(",""),")",""),"+",""))</f>
      </c>
      <c r="H1263" s="6">
        <f>IF(G1263="","",IF(LEN(G1263)&lt;&gt;14,"ERRO: "&amp;LEN(G1263)&amp;" dígitos",IF(NOT(ISNUMBER(VALUE(G1263))),"ERRO: não numérico",IF(AND(VALUE(MID(G1263,13,1))=IF(MOD(SUMPRODUCT(--MID(G1263,{1,2,3,4,5,6,7,8,9,10,11,12},1),{5,4,3,2,9,8,7,6,5,4,3,2}),11)&lt;2,0,11-MOD(SUMPRODUCT(--MID(G1263,{1,2,3,4,5,6,7,8,9,10,11,12},1),{5,4,3,2,9,8,7,6,5,4,3,2}),11)),VALUE(MID(G1263,14,1))=IF(MOD(SUMPRODUCT(--MID(G1263,{1,2,3,4,5,6,7,8,9,10,11,12,13},1),{6,5,4,3,2,9,8,7,6,5,4,3,2}),11)&lt;2,0,11-MOD(SUMPRODUCT(--MID(G1263,{1,2,3,4,5,6,7,8,9,10,11,12,13},1),{6,5,4,3,2,9,8,7,6,5,4,3,2}),11))),"OK","AVISO: dígito verificador (conferir na org)"))))</f>
      </c>
      <c r="I1263" s="6">
        <f>IF(G1263="","",IF(COUNTIF($G$2:$G$2001,G1263)&gt;1,"DUPLICADO","OK"))</f>
      </c>
      <c r="J1263" s="6">
        <f>IF(COUNTA(A1263:F1263)=0,"",IF(AND(A1263&lt;&gt;"",E1263&lt;&gt;""),"OK","ERRO: faltam "&amp;IF(A1263="","CNPJ; ","")&amp;IF(E1263="","Novo gerente; ","")))</f>
      </c>
      <c r="K1263" s="6">
        <f>IF(COUNTA(A1263:F1263)=0,"",IF(AND(LEFT(H1263,4)&lt;&gt;"ERRO",I1263="OK",J1263="OK"),"OK","REVISAR"))</f>
      </c>
    </row>
    <row r="1264">
      <c r="A1264" s="5"/>
      <c r="B1264" s="4"/>
      <c r="C1264" s="4"/>
      <c r="D1264" s="4"/>
      <c r="E1264" s="5"/>
      <c r="F1264" s="4"/>
      <c r="G1264" s="6">
        <f>IF(A1264="","",SUBSTITUTE(SUBSTITUTE(SUBSTITUTE(SUBSTITUTE(SUBSTITUTE(SUBSTITUTE(SUBSTITUTE(TRIM(A1264),".",""),"/",""),"-","")," ",""),"(",""),")",""),"+",""))</f>
      </c>
      <c r="H1264" s="6">
        <f>IF(G1264="","",IF(LEN(G1264)&lt;&gt;14,"ERRO: "&amp;LEN(G1264)&amp;" dígitos",IF(NOT(ISNUMBER(VALUE(G1264))),"ERRO: não numérico",IF(AND(VALUE(MID(G1264,13,1))=IF(MOD(SUMPRODUCT(--MID(G1264,{1,2,3,4,5,6,7,8,9,10,11,12},1),{5,4,3,2,9,8,7,6,5,4,3,2}),11)&lt;2,0,11-MOD(SUMPRODUCT(--MID(G1264,{1,2,3,4,5,6,7,8,9,10,11,12},1),{5,4,3,2,9,8,7,6,5,4,3,2}),11)),VALUE(MID(G1264,14,1))=IF(MOD(SUMPRODUCT(--MID(G1264,{1,2,3,4,5,6,7,8,9,10,11,12,13},1),{6,5,4,3,2,9,8,7,6,5,4,3,2}),11)&lt;2,0,11-MOD(SUMPRODUCT(--MID(G1264,{1,2,3,4,5,6,7,8,9,10,11,12,13},1),{6,5,4,3,2,9,8,7,6,5,4,3,2}),11))),"OK","AVISO: dígito verificador (conferir na org)"))))</f>
      </c>
      <c r="I1264" s="6">
        <f>IF(G1264="","",IF(COUNTIF($G$2:$G$2001,G1264)&gt;1,"DUPLICADO","OK"))</f>
      </c>
      <c r="J1264" s="6">
        <f>IF(COUNTA(A1264:F1264)=0,"",IF(AND(A1264&lt;&gt;"",E1264&lt;&gt;""),"OK","ERRO: faltam "&amp;IF(A1264="","CNPJ; ","")&amp;IF(E1264="","Novo gerente; ","")))</f>
      </c>
      <c r="K1264" s="6">
        <f>IF(COUNTA(A1264:F1264)=0,"",IF(AND(LEFT(H1264,4)&lt;&gt;"ERRO",I1264="OK",J1264="OK"),"OK","REVISAR"))</f>
      </c>
    </row>
    <row r="1265">
      <c r="A1265" s="5"/>
      <c r="B1265" s="4"/>
      <c r="C1265" s="4"/>
      <c r="D1265" s="4"/>
      <c r="E1265" s="5"/>
      <c r="F1265" s="4"/>
      <c r="G1265" s="6">
        <f>IF(A1265="","",SUBSTITUTE(SUBSTITUTE(SUBSTITUTE(SUBSTITUTE(SUBSTITUTE(SUBSTITUTE(SUBSTITUTE(TRIM(A1265),".",""),"/",""),"-","")," ",""),"(",""),")",""),"+",""))</f>
      </c>
      <c r="H1265" s="6">
        <f>IF(G1265="","",IF(LEN(G1265)&lt;&gt;14,"ERRO: "&amp;LEN(G1265)&amp;" dígitos",IF(NOT(ISNUMBER(VALUE(G1265))),"ERRO: não numérico",IF(AND(VALUE(MID(G1265,13,1))=IF(MOD(SUMPRODUCT(--MID(G1265,{1,2,3,4,5,6,7,8,9,10,11,12},1),{5,4,3,2,9,8,7,6,5,4,3,2}),11)&lt;2,0,11-MOD(SUMPRODUCT(--MID(G1265,{1,2,3,4,5,6,7,8,9,10,11,12},1),{5,4,3,2,9,8,7,6,5,4,3,2}),11)),VALUE(MID(G1265,14,1))=IF(MOD(SUMPRODUCT(--MID(G1265,{1,2,3,4,5,6,7,8,9,10,11,12,13},1),{6,5,4,3,2,9,8,7,6,5,4,3,2}),11)&lt;2,0,11-MOD(SUMPRODUCT(--MID(G1265,{1,2,3,4,5,6,7,8,9,10,11,12,13},1),{6,5,4,3,2,9,8,7,6,5,4,3,2}),11))),"OK","AVISO: dígito verificador (conferir na org)"))))</f>
      </c>
      <c r="I1265" s="6">
        <f>IF(G1265="","",IF(COUNTIF($G$2:$G$2001,G1265)&gt;1,"DUPLICADO","OK"))</f>
      </c>
      <c r="J1265" s="6">
        <f>IF(COUNTA(A1265:F1265)=0,"",IF(AND(A1265&lt;&gt;"",E1265&lt;&gt;""),"OK","ERRO: faltam "&amp;IF(A1265="","CNPJ; ","")&amp;IF(E1265="","Novo gerente; ","")))</f>
      </c>
      <c r="K1265" s="6">
        <f>IF(COUNTA(A1265:F1265)=0,"",IF(AND(LEFT(H1265,4)&lt;&gt;"ERRO",I1265="OK",J1265="OK"),"OK","REVISAR"))</f>
      </c>
    </row>
    <row r="1266">
      <c r="A1266" s="5"/>
      <c r="B1266" s="4"/>
      <c r="C1266" s="4"/>
      <c r="D1266" s="4"/>
      <c r="E1266" s="5"/>
      <c r="F1266" s="4"/>
      <c r="G1266" s="6">
        <f>IF(A1266="","",SUBSTITUTE(SUBSTITUTE(SUBSTITUTE(SUBSTITUTE(SUBSTITUTE(SUBSTITUTE(SUBSTITUTE(TRIM(A1266),".",""),"/",""),"-","")," ",""),"(",""),")",""),"+",""))</f>
      </c>
      <c r="H1266" s="6">
        <f>IF(G1266="","",IF(LEN(G1266)&lt;&gt;14,"ERRO: "&amp;LEN(G1266)&amp;" dígitos",IF(NOT(ISNUMBER(VALUE(G1266))),"ERRO: não numérico",IF(AND(VALUE(MID(G1266,13,1))=IF(MOD(SUMPRODUCT(--MID(G1266,{1,2,3,4,5,6,7,8,9,10,11,12},1),{5,4,3,2,9,8,7,6,5,4,3,2}),11)&lt;2,0,11-MOD(SUMPRODUCT(--MID(G1266,{1,2,3,4,5,6,7,8,9,10,11,12},1),{5,4,3,2,9,8,7,6,5,4,3,2}),11)),VALUE(MID(G1266,14,1))=IF(MOD(SUMPRODUCT(--MID(G1266,{1,2,3,4,5,6,7,8,9,10,11,12,13},1),{6,5,4,3,2,9,8,7,6,5,4,3,2}),11)&lt;2,0,11-MOD(SUMPRODUCT(--MID(G1266,{1,2,3,4,5,6,7,8,9,10,11,12,13},1),{6,5,4,3,2,9,8,7,6,5,4,3,2}),11))),"OK","AVISO: dígito verificador (conferir na org)"))))</f>
      </c>
      <c r="I1266" s="6">
        <f>IF(G1266="","",IF(COUNTIF($G$2:$G$2001,G1266)&gt;1,"DUPLICADO","OK"))</f>
      </c>
      <c r="J1266" s="6">
        <f>IF(COUNTA(A1266:F1266)=0,"",IF(AND(A1266&lt;&gt;"",E1266&lt;&gt;""),"OK","ERRO: faltam "&amp;IF(A1266="","CNPJ; ","")&amp;IF(E1266="","Novo gerente; ","")))</f>
      </c>
      <c r="K1266" s="6">
        <f>IF(COUNTA(A1266:F1266)=0,"",IF(AND(LEFT(H1266,4)&lt;&gt;"ERRO",I1266="OK",J1266="OK"),"OK","REVISAR"))</f>
      </c>
    </row>
    <row r="1267">
      <c r="A1267" s="5"/>
      <c r="B1267" s="4"/>
      <c r="C1267" s="4"/>
      <c r="D1267" s="4"/>
      <c r="E1267" s="5"/>
      <c r="F1267" s="4"/>
      <c r="G1267" s="6">
        <f>IF(A1267="","",SUBSTITUTE(SUBSTITUTE(SUBSTITUTE(SUBSTITUTE(SUBSTITUTE(SUBSTITUTE(SUBSTITUTE(TRIM(A1267),".",""),"/",""),"-","")," ",""),"(",""),")",""),"+",""))</f>
      </c>
      <c r="H1267" s="6">
        <f>IF(G1267="","",IF(LEN(G1267)&lt;&gt;14,"ERRO: "&amp;LEN(G1267)&amp;" dígitos",IF(NOT(ISNUMBER(VALUE(G1267))),"ERRO: não numérico",IF(AND(VALUE(MID(G1267,13,1))=IF(MOD(SUMPRODUCT(--MID(G1267,{1,2,3,4,5,6,7,8,9,10,11,12},1),{5,4,3,2,9,8,7,6,5,4,3,2}),11)&lt;2,0,11-MOD(SUMPRODUCT(--MID(G1267,{1,2,3,4,5,6,7,8,9,10,11,12},1),{5,4,3,2,9,8,7,6,5,4,3,2}),11)),VALUE(MID(G1267,14,1))=IF(MOD(SUMPRODUCT(--MID(G1267,{1,2,3,4,5,6,7,8,9,10,11,12,13},1),{6,5,4,3,2,9,8,7,6,5,4,3,2}),11)&lt;2,0,11-MOD(SUMPRODUCT(--MID(G1267,{1,2,3,4,5,6,7,8,9,10,11,12,13},1),{6,5,4,3,2,9,8,7,6,5,4,3,2}),11))),"OK","AVISO: dígito verificador (conferir na org)"))))</f>
      </c>
      <c r="I1267" s="6">
        <f>IF(G1267="","",IF(COUNTIF($G$2:$G$2001,G1267)&gt;1,"DUPLICADO","OK"))</f>
      </c>
      <c r="J1267" s="6">
        <f>IF(COUNTA(A1267:F1267)=0,"",IF(AND(A1267&lt;&gt;"",E1267&lt;&gt;""),"OK","ERRO: faltam "&amp;IF(A1267="","CNPJ; ","")&amp;IF(E1267="","Novo gerente; ","")))</f>
      </c>
      <c r="K1267" s="6">
        <f>IF(COUNTA(A1267:F1267)=0,"",IF(AND(LEFT(H1267,4)&lt;&gt;"ERRO",I1267="OK",J1267="OK"),"OK","REVISAR"))</f>
      </c>
    </row>
    <row r="1268">
      <c r="A1268" s="5"/>
      <c r="B1268" s="4"/>
      <c r="C1268" s="4"/>
      <c r="D1268" s="4"/>
      <c r="E1268" s="5"/>
      <c r="F1268" s="4"/>
      <c r="G1268" s="6">
        <f>IF(A1268="","",SUBSTITUTE(SUBSTITUTE(SUBSTITUTE(SUBSTITUTE(SUBSTITUTE(SUBSTITUTE(SUBSTITUTE(TRIM(A1268),".",""),"/",""),"-","")," ",""),"(",""),")",""),"+",""))</f>
      </c>
      <c r="H1268" s="6">
        <f>IF(G1268="","",IF(LEN(G1268)&lt;&gt;14,"ERRO: "&amp;LEN(G1268)&amp;" dígitos",IF(NOT(ISNUMBER(VALUE(G1268))),"ERRO: não numérico",IF(AND(VALUE(MID(G1268,13,1))=IF(MOD(SUMPRODUCT(--MID(G1268,{1,2,3,4,5,6,7,8,9,10,11,12},1),{5,4,3,2,9,8,7,6,5,4,3,2}),11)&lt;2,0,11-MOD(SUMPRODUCT(--MID(G1268,{1,2,3,4,5,6,7,8,9,10,11,12},1),{5,4,3,2,9,8,7,6,5,4,3,2}),11)),VALUE(MID(G1268,14,1))=IF(MOD(SUMPRODUCT(--MID(G1268,{1,2,3,4,5,6,7,8,9,10,11,12,13},1),{6,5,4,3,2,9,8,7,6,5,4,3,2}),11)&lt;2,0,11-MOD(SUMPRODUCT(--MID(G1268,{1,2,3,4,5,6,7,8,9,10,11,12,13},1),{6,5,4,3,2,9,8,7,6,5,4,3,2}),11))),"OK","AVISO: dígito verificador (conferir na org)"))))</f>
      </c>
      <c r="I1268" s="6">
        <f>IF(G1268="","",IF(COUNTIF($G$2:$G$2001,G1268)&gt;1,"DUPLICADO","OK"))</f>
      </c>
      <c r="J1268" s="6">
        <f>IF(COUNTA(A1268:F1268)=0,"",IF(AND(A1268&lt;&gt;"",E1268&lt;&gt;""),"OK","ERRO: faltam "&amp;IF(A1268="","CNPJ; ","")&amp;IF(E1268="","Novo gerente; ","")))</f>
      </c>
      <c r="K1268" s="6">
        <f>IF(COUNTA(A1268:F1268)=0,"",IF(AND(LEFT(H1268,4)&lt;&gt;"ERRO",I1268="OK",J1268="OK"),"OK","REVISAR"))</f>
      </c>
    </row>
    <row r="1269">
      <c r="A1269" s="5"/>
      <c r="B1269" s="4"/>
      <c r="C1269" s="4"/>
      <c r="D1269" s="4"/>
      <c r="E1269" s="5"/>
      <c r="F1269" s="4"/>
      <c r="G1269" s="6">
        <f>IF(A1269="","",SUBSTITUTE(SUBSTITUTE(SUBSTITUTE(SUBSTITUTE(SUBSTITUTE(SUBSTITUTE(SUBSTITUTE(TRIM(A1269),".",""),"/",""),"-","")," ",""),"(",""),")",""),"+",""))</f>
      </c>
      <c r="H1269" s="6">
        <f>IF(G1269="","",IF(LEN(G1269)&lt;&gt;14,"ERRO: "&amp;LEN(G1269)&amp;" dígitos",IF(NOT(ISNUMBER(VALUE(G1269))),"ERRO: não numérico",IF(AND(VALUE(MID(G1269,13,1))=IF(MOD(SUMPRODUCT(--MID(G1269,{1,2,3,4,5,6,7,8,9,10,11,12},1),{5,4,3,2,9,8,7,6,5,4,3,2}),11)&lt;2,0,11-MOD(SUMPRODUCT(--MID(G1269,{1,2,3,4,5,6,7,8,9,10,11,12},1),{5,4,3,2,9,8,7,6,5,4,3,2}),11)),VALUE(MID(G1269,14,1))=IF(MOD(SUMPRODUCT(--MID(G1269,{1,2,3,4,5,6,7,8,9,10,11,12,13},1),{6,5,4,3,2,9,8,7,6,5,4,3,2}),11)&lt;2,0,11-MOD(SUMPRODUCT(--MID(G1269,{1,2,3,4,5,6,7,8,9,10,11,12,13},1),{6,5,4,3,2,9,8,7,6,5,4,3,2}),11))),"OK","AVISO: dígito verificador (conferir na org)"))))</f>
      </c>
      <c r="I1269" s="6">
        <f>IF(G1269="","",IF(COUNTIF($G$2:$G$2001,G1269)&gt;1,"DUPLICADO","OK"))</f>
      </c>
      <c r="J1269" s="6">
        <f>IF(COUNTA(A1269:F1269)=0,"",IF(AND(A1269&lt;&gt;"",E1269&lt;&gt;""),"OK","ERRO: faltam "&amp;IF(A1269="","CNPJ; ","")&amp;IF(E1269="","Novo gerente; ","")))</f>
      </c>
      <c r="K1269" s="6">
        <f>IF(COUNTA(A1269:F1269)=0,"",IF(AND(LEFT(H1269,4)&lt;&gt;"ERRO",I1269="OK",J1269="OK"),"OK","REVISAR"))</f>
      </c>
    </row>
    <row r="1270">
      <c r="A1270" s="5"/>
      <c r="B1270" s="4"/>
      <c r="C1270" s="4"/>
      <c r="D1270" s="4"/>
      <c r="E1270" s="5"/>
      <c r="F1270" s="4"/>
      <c r="G1270" s="6">
        <f>IF(A1270="","",SUBSTITUTE(SUBSTITUTE(SUBSTITUTE(SUBSTITUTE(SUBSTITUTE(SUBSTITUTE(SUBSTITUTE(TRIM(A1270),".",""),"/",""),"-","")," ",""),"(",""),")",""),"+",""))</f>
      </c>
      <c r="H1270" s="6">
        <f>IF(G1270="","",IF(LEN(G1270)&lt;&gt;14,"ERRO: "&amp;LEN(G1270)&amp;" dígitos",IF(NOT(ISNUMBER(VALUE(G1270))),"ERRO: não numérico",IF(AND(VALUE(MID(G1270,13,1))=IF(MOD(SUMPRODUCT(--MID(G1270,{1,2,3,4,5,6,7,8,9,10,11,12},1),{5,4,3,2,9,8,7,6,5,4,3,2}),11)&lt;2,0,11-MOD(SUMPRODUCT(--MID(G1270,{1,2,3,4,5,6,7,8,9,10,11,12},1),{5,4,3,2,9,8,7,6,5,4,3,2}),11)),VALUE(MID(G1270,14,1))=IF(MOD(SUMPRODUCT(--MID(G1270,{1,2,3,4,5,6,7,8,9,10,11,12,13},1),{6,5,4,3,2,9,8,7,6,5,4,3,2}),11)&lt;2,0,11-MOD(SUMPRODUCT(--MID(G1270,{1,2,3,4,5,6,7,8,9,10,11,12,13},1),{6,5,4,3,2,9,8,7,6,5,4,3,2}),11))),"OK","AVISO: dígito verificador (conferir na org)"))))</f>
      </c>
      <c r="I1270" s="6">
        <f>IF(G1270="","",IF(COUNTIF($G$2:$G$2001,G1270)&gt;1,"DUPLICADO","OK"))</f>
      </c>
      <c r="J1270" s="6">
        <f>IF(COUNTA(A1270:F1270)=0,"",IF(AND(A1270&lt;&gt;"",E1270&lt;&gt;""),"OK","ERRO: faltam "&amp;IF(A1270="","CNPJ; ","")&amp;IF(E1270="","Novo gerente; ","")))</f>
      </c>
      <c r="K1270" s="6">
        <f>IF(COUNTA(A1270:F1270)=0,"",IF(AND(LEFT(H1270,4)&lt;&gt;"ERRO",I1270="OK",J1270="OK"),"OK","REVISAR"))</f>
      </c>
    </row>
    <row r="1271">
      <c r="A1271" s="5"/>
      <c r="B1271" s="4"/>
      <c r="C1271" s="4"/>
      <c r="D1271" s="4"/>
      <c r="E1271" s="5"/>
      <c r="F1271" s="4"/>
      <c r="G1271" s="6">
        <f>IF(A1271="","",SUBSTITUTE(SUBSTITUTE(SUBSTITUTE(SUBSTITUTE(SUBSTITUTE(SUBSTITUTE(SUBSTITUTE(TRIM(A1271),".",""),"/",""),"-","")," ",""),"(",""),")",""),"+",""))</f>
      </c>
      <c r="H1271" s="6">
        <f>IF(G1271="","",IF(LEN(G1271)&lt;&gt;14,"ERRO: "&amp;LEN(G1271)&amp;" dígitos",IF(NOT(ISNUMBER(VALUE(G1271))),"ERRO: não numérico",IF(AND(VALUE(MID(G1271,13,1))=IF(MOD(SUMPRODUCT(--MID(G1271,{1,2,3,4,5,6,7,8,9,10,11,12},1),{5,4,3,2,9,8,7,6,5,4,3,2}),11)&lt;2,0,11-MOD(SUMPRODUCT(--MID(G1271,{1,2,3,4,5,6,7,8,9,10,11,12},1),{5,4,3,2,9,8,7,6,5,4,3,2}),11)),VALUE(MID(G1271,14,1))=IF(MOD(SUMPRODUCT(--MID(G1271,{1,2,3,4,5,6,7,8,9,10,11,12,13},1),{6,5,4,3,2,9,8,7,6,5,4,3,2}),11)&lt;2,0,11-MOD(SUMPRODUCT(--MID(G1271,{1,2,3,4,5,6,7,8,9,10,11,12,13},1),{6,5,4,3,2,9,8,7,6,5,4,3,2}),11))),"OK","AVISO: dígito verificador (conferir na org)"))))</f>
      </c>
      <c r="I1271" s="6">
        <f>IF(G1271="","",IF(COUNTIF($G$2:$G$2001,G1271)&gt;1,"DUPLICADO","OK"))</f>
      </c>
      <c r="J1271" s="6">
        <f>IF(COUNTA(A1271:F1271)=0,"",IF(AND(A1271&lt;&gt;"",E1271&lt;&gt;""),"OK","ERRO: faltam "&amp;IF(A1271="","CNPJ; ","")&amp;IF(E1271="","Novo gerente; ","")))</f>
      </c>
      <c r="K1271" s="6">
        <f>IF(COUNTA(A1271:F1271)=0,"",IF(AND(LEFT(H1271,4)&lt;&gt;"ERRO",I1271="OK",J1271="OK"),"OK","REVISAR"))</f>
      </c>
    </row>
    <row r="1272">
      <c r="A1272" s="5"/>
      <c r="B1272" s="4"/>
      <c r="C1272" s="4"/>
      <c r="D1272" s="4"/>
      <c r="E1272" s="5"/>
      <c r="F1272" s="4"/>
      <c r="G1272" s="6">
        <f>IF(A1272="","",SUBSTITUTE(SUBSTITUTE(SUBSTITUTE(SUBSTITUTE(SUBSTITUTE(SUBSTITUTE(SUBSTITUTE(TRIM(A1272),".",""),"/",""),"-","")," ",""),"(",""),")",""),"+",""))</f>
      </c>
      <c r="H1272" s="6">
        <f>IF(G1272="","",IF(LEN(G1272)&lt;&gt;14,"ERRO: "&amp;LEN(G1272)&amp;" dígitos",IF(NOT(ISNUMBER(VALUE(G1272))),"ERRO: não numérico",IF(AND(VALUE(MID(G1272,13,1))=IF(MOD(SUMPRODUCT(--MID(G1272,{1,2,3,4,5,6,7,8,9,10,11,12},1),{5,4,3,2,9,8,7,6,5,4,3,2}),11)&lt;2,0,11-MOD(SUMPRODUCT(--MID(G1272,{1,2,3,4,5,6,7,8,9,10,11,12},1),{5,4,3,2,9,8,7,6,5,4,3,2}),11)),VALUE(MID(G1272,14,1))=IF(MOD(SUMPRODUCT(--MID(G1272,{1,2,3,4,5,6,7,8,9,10,11,12,13},1),{6,5,4,3,2,9,8,7,6,5,4,3,2}),11)&lt;2,0,11-MOD(SUMPRODUCT(--MID(G1272,{1,2,3,4,5,6,7,8,9,10,11,12,13},1),{6,5,4,3,2,9,8,7,6,5,4,3,2}),11))),"OK","AVISO: dígito verificador (conferir na org)"))))</f>
      </c>
      <c r="I1272" s="6">
        <f>IF(G1272="","",IF(COUNTIF($G$2:$G$2001,G1272)&gt;1,"DUPLICADO","OK"))</f>
      </c>
      <c r="J1272" s="6">
        <f>IF(COUNTA(A1272:F1272)=0,"",IF(AND(A1272&lt;&gt;"",E1272&lt;&gt;""),"OK","ERRO: faltam "&amp;IF(A1272="","CNPJ; ","")&amp;IF(E1272="","Novo gerente; ","")))</f>
      </c>
      <c r="K1272" s="6">
        <f>IF(COUNTA(A1272:F1272)=0,"",IF(AND(LEFT(H1272,4)&lt;&gt;"ERRO",I1272="OK",J1272="OK"),"OK","REVISAR"))</f>
      </c>
    </row>
    <row r="1273">
      <c r="A1273" s="5"/>
      <c r="B1273" s="4"/>
      <c r="C1273" s="4"/>
      <c r="D1273" s="4"/>
      <c r="E1273" s="5"/>
      <c r="F1273" s="4"/>
      <c r="G1273" s="6">
        <f>IF(A1273="","",SUBSTITUTE(SUBSTITUTE(SUBSTITUTE(SUBSTITUTE(SUBSTITUTE(SUBSTITUTE(SUBSTITUTE(TRIM(A1273),".",""),"/",""),"-","")," ",""),"(",""),")",""),"+",""))</f>
      </c>
      <c r="H1273" s="6">
        <f>IF(G1273="","",IF(LEN(G1273)&lt;&gt;14,"ERRO: "&amp;LEN(G1273)&amp;" dígitos",IF(NOT(ISNUMBER(VALUE(G1273))),"ERRO: não numérico",IF(AND(VALUE(MID(G1273,13,1))=IF(MOD(SUMPRODUCT(--MID(G1273,{1,2,3,4,5,6,7,8,9,10,11,12},1),{5,4,3,2,9,8,7,6,5,4,3,2}),11)&lt;2,0,11-MOD(SUMPRODUCT(--MID(G1273,{1,2,3,4,5,6,7,8,9,10,11,12},1),{5,4,3,2,9,8,7,6,5,4,3,2}),11)),VALUE(MID(G1273,14,1))=IF(MOD(SUMPRODUCT(--MID(G1273,{1,2,3,4,5,6,7,8,9,10,11,12,13},1),{6,5,4,3,2,9,8,7,6,5,4,3,2}),11)&lt;2,0,11-MOD(SUMPRODUCT(--MID(G1273,{1,2,3,4,5,6,7,8,9,10,11,12,13},1),{6,5,4,3,2,9,8,7,6,5,4,3,2}),11))),"OK","AVISO: dígito verificador (conferir na org)"))))</f>
      </c>
      <c r="I1273" s="6">
        <f>IF(G1273="","",IF(COUNTIF($G$2:$G$2001,G1273)&gt;1,"DUPLICADO","OK"))</f>
      </c>
      <c r="J1273" s="6">
        <f>IF(COUNTA(A1273:F1273)=0,"",IF(AND(A1273&lt;&gt;"",E1273&lt;&gt;""),"OK","ERRO: faltam "&amp;IF(A1273="","CNPJ; ","")&amp;IF(E1273="","Novo gerente; ","")))</f>
      </c>
      <c r="K1273" s="6">
        <f>IF(COUNTA(A1273:F1273)=0,"",IF(AND(LEFT(H1273,4)&lt;&gt;"ERRO",I1273="OK",J1273="OK"),"OK","REVISAR"))</f>
      </c>
    </row>
    <row r="1274">
      <c r="A1274" s="5"/>
      <c r="B1274" s="4"/>
      <c r="C1274" s="4"/>
      <c r="D1274" s="4"/>
      <c r="E1274" s="5"/>
      <c r="F1274" s="4"/>
      <c r="G1274" s="6">
        <f>IF(A1274="","",SUBSTITUTE(SUBSTITUTE(SUBSTITUTE(SUBSTITUTE(SUBSTITUTE(SUBSTITUTE(SUBSTITUTE(TRIM(A1274),".",""),"/",""),"-","")," ",""),"(",""),")",""),"+",""))</f>
      </c>
      <c r="H1274" s="6">
        <f>IF(G1274="","",IF(LEN(G1274)&lt;&gt;14,"ERRO: "&amp;LEN(G1274)&amp;" dígitos",IF(NOT(ISNUMBER(VALUE(G1274))),"ERRO: não numérico",IF(AND(VALUE(MID(G1274,13,1))=IF(MOD(SUMPRODUCT(--MID(G1274,{1,2,3,4,5,6,7,8,9,10,11,12},1),{5,4,3,2,9,8,7,6,5,4,3,2}),11)&lt;2,0,11-MOD(SUMPRODUCT(--MID(G1274,{1,2,3,4,5,6,7,8,9,10,11,12},1),{5,4,3,2,9,8,7,6,5,4,3,2}),11)),VALUE(MID(G1274,14,1))=IF(MOD(SUMPRODUCT(--MID(G1274,{1,2,3,4,5,6,7,8,9,10,11,12,13},1),{6,5,4,3,2,9,8,7,6,5,4,3,2}),11)&lt;2,0,11-MOD(SUMPRODUCT(--MID(G1274,{1,2,3,4,5,6,7,8,9,10,11,12,13},1),{6,5,4,3,2,9,8,7,6,5,4,3,2}),11))),"OK","AVISO: dígito verificador (conferir na org)"))))</f>
      </c>
      <c r="I1274" s="6">
        <f>IF(G1274="","",IF(COUNTIF($G$2:$G$2001,G1274)&gt;1,"DUPLICADO","OK"))</f>
      </c>
      <c r="J1274" s="6">
        <f>IF(COUNTA(A1274:F1274)=0,"",IF(AND(A1274&lt;&gt;"",E1274&lt;&gt;""),"OK","ERRO: faltam "&amp;IF(A1274="","CNPJ; ","")&amp;IF(E1274="","Novo gerente; ","")))</f>
      </c>
      <c r="K1274" s="6">
        <f>IF(COUNTA(A1274:F1274)=0,"",IF(AND(LEFT(H1274,4)&lt;&gt;"ERRO",I1274="OK",J1274="OK"),"OK","REVISAR"))</f>
      </c>
    </row>
    <row r="1275">
      <c r="A1275" s="5"/>
      <c r="B1275" s="4"/>
      <c r="C1275" s="4"/>
      <c r="D1275" s="4"/>
      <c r="E1275" s="5"/>
      <c r="F1275" s="4"/>
      <c r="G1275" s="6">
        <f>IF(A1275="","",SUBSTITUTE(SUBSTITUTE(SUBSTITUTE(SUBSTITUTE(SUBSTITUTE(SUBSTITUTE(SUBSTITUTE(TRIM(A1275),".",""),"/",""),"-","")," ",""),"(",""),")",""),"+",""))</f>
      </c>
      <c r="H1275" s="6">
        <f>IF(G1275="","",IF(LEN(G1275)&lt;&gt;14,"ERRO: "&amp;LEN(G1275)&amp;" dígitos",IF(NOT(ISNUMBER(VALUE(G1275))),"ERRO: não numérico",IF(AND(VALUE(MID(G1275,13,1))=IF(MOD(SUMPRODUCT(--MID(G1275,{1,2,3,4,5,6,7,8,9,10,11,12},1),{5,4,3,2,9,8,7,6,5,4,3,2}),11)&lt;2,0,11-MOD(SUMPRODUCT(--MID(G1275,{1,2,3,4,5,6,7,8,9,10,11,12},1),{5,4,3,2,9,8,7,6,5,4,3,2}),11)),VALUE(MID(G1275,14,1))=IF(MOD(SUMPRODUCT(--MID(G1275,{1,2,3,4,5,6,7,8,9,10,11,12,13},1),{6,5,4,3,2,9,8,7,6,5,4,3,2}),11)&lt;2,0,11-MOD(SUMPRODUCT(--MID(G1275,{1,2,3,4,5,6,7,8,9,10,11,12,13},1),{6,5,4,3,2,9,8,7,6,5,4,3,2}),11))),"OK","AVISO: dígito verificador (conferir na org)"))))</f>
      </c>
      <c r="I1275" s="6">
        <f>IF(G1275="","",IF(COUNTIF($G$2:$G$2001,G1275)&gt;1,"DUPLICADO","OK"))</f>
      </c>
      <c r="J1275" s="6">
        <f>IF(COUNTA(A1275:F1275)=0,"",IF(AND(A1275&lt;&gt;"",E1275&lt;&gt;""),"OK","ERRO: faltam "&amp;IF(A1275="","CNPJ; ","")&amp;IF(E1275="","Novo gerente; ","")))</f>
      </c>
      <c r="K1275" s="6">
        <f>IF(COUNTA(A1275:F1275)=0,"",IF(AND(LEFT(H1275,4)&lt;&gt;"ERRO",I1275="OK",J1275="OK"),"OK","REVISAR"))</f>
      </c>
    </row>
    <row r="1276">
      <c r="A1276" s="5"/>
      <c r="B1276" s="4"/>
      <c r="C1276" s="4"/>
      <c r="D1276" s="4"/>
      <c r="E1276" s="5"/>
      <c r="F1276" s="4"/>
      <c r="G1276" s="6">
        <f>IF(A1276="","",SUBSTITUTE(SUBSTITUTE(SUBSTITUTE(SUBSTITUTE(SUBSTITUTE(SUBSTITUTE(SUBSTITUTE(TRIM(A1276),".",""),"/",""),"-","")," ",""),"(",""),")",""),"+",""))</f>
      </c>
      <c r="H1276" s="6">
        <f>IF(G1276="","",IF(LEN(G1276)&lt;&gt;14,"ERRO: "&amp;LEN(G1276)&amp;" dígitos",IF(NOT(ISNUMBER(VALUE(G1276))),"ERRO: não numérico",IF(AND(VALUE(MID(G1276,13,1))=IF(MOD(SUMPRODUCT(--MID(G1276,{1,2,3,4,5,6,7,8,9,10,11,12},1),{5,4,3,2,9,8,7,6,5,4,3,2}),11)&lt;2,0,11-MOD(SUMPRODUCT(--MID(G1276,{1,2,3,4,5,6,7,8,9,10,11,12},1),{5,4,3,2,9,8,7,6,5,4,3,2}),11)),VALUE(MID(G1276,14,1))=IF(MOD(SUMPRODUCT(--MID(G1276,{1,2,3,4,5,6,7,8,9,10,11,12,13},1),{6,5,4,3,2,9,8,7,6,5,4,3,2}),11)&lt;2,0,11-MOD(SUMPRODUCT(--MID(G1276,{1,2,3,4,5,6,7,8,9,10,11,12,13},1),{6,5,4,3,2,9,8,7,6,5,4,3,2}),11))),"OK","AVISO: dígito verificador (conferir na org)"))))</f>
      </c>
      <c r="I1276" s="6">
        <f>IF(G1276="","",IF(COUNTIF($G$2:$G$2001,G1276)&gt;1,"DUPLICADO","OK"))</f>
      </c>
      <c r="J1276" s="6">
        <f>IF(COUNTA(A1276:F1276)=0,"",IF(AND(A1276&lt;&gt;"",E1276&lt;&gt;""),"OK","ERRO: faltam "&amp;IF(A1276="","CNPJ; ","")&amp;IF(E1276="","Novo gerente; ","")))</f>
      </c>
      <c r="K1276" s="6">
        <f>IF(COUNTA(A1276:F1276)=0,"",IF(AND(LEFT(H1276,4)&lt;&gt;"ERRO",I1276="OK",J1276="OK"),"OK","REVISAR"))</f>
      </c>
    </row>
    <row r="1277">
      <c r="A1277" s="5"/>
      <c r="B1277" s="4"/>
      <c r="C1277" s="4"/>
      <c r="D1277" s="4"/>
      <c r="E1277" s="5"/>
      <c r="F1277" s="4"/>
      <c r="G1277" s="6">
        <f>IF(A1277="","",SUBSTITUTE(SUBSTITUTE(SUBSTITUTE(SUBSTITUTE(SUBSTITUTE(SUBSTITUTE(SUBSTITUTE(TRIM(A1277),".",""),"/",""),"-","")," ",""),"(",""),")",""),"+",""))</f>
      </c>
      <c r="H1277" s="6">
        <f>IF(G1277="","",IF(LEN(G1277)&lt;&gt;14,"ERRO: "&amp;LEN(G1277)&amp;" dígitos",IF(NOT(ISNUMBER(VALUE(G1277))),"ERRO: não numérico",IF(AND(VALUE(MID(G1277,13,1))=IF(MOD(SUMPRODUCT(--MID(G1277,{1,2,3,4,5,6,7,8,9,10,11,12},1),{5,4,3,2,9,8,7,6,5,4,3,2}),11)&lt;2,0,11-MOD(SUMPRODUCT(--MID(G1277,{1,2,3,4,5,6,7,8,9,10,11,12},1),{5,4,3,2,9,8,7,6,5,4,3,2}),11)),VALUE(MID(G1277,14,1))=IF(MOD(SUMPRODUCT(--MID(G1277,{1,2,3,4,5,6,7,8,9,10,11,12,13},1),{6,5,4,3,2,9,8,7,6,5,4,3,2}),11)&lt;2,0,11-MOD(SUMPRODUCT(--MID(G1277,{1,2,3,4,5,6,7,8,9,10,11,12,13},1),{6,5,4,3,2,9,8,7,6,5,4,3,2}),11))),"OK","AVISO: dígito verificador (conferir na org)"))))</f>
      </c>
      <c r="I1277" s="6">
        <f>IF(G1277="","",IF(COUNTIF($G$2:$G$2001,G1277)&gt;1,"DUPLICADO","OK"))</f>
      </c>
      <c r="J1277" s="6">
        <f>IF(COUNTA(A1277:F1277)=0,"",IF(AND(A1277&lt;&gt;"",E1277&lt;&gt;""),"OK","ERRO: faltam "&amp;IF(A1277="","CNPJ; ","")&amp;IF(E1277="","Novo gerente; ","")))</f>
      </c>
      <c r="K1277" s="6">
        <f>IF(COUNTA(A1277:F1277)=0,"",IF(AND(LEFT(H1277,4)&lt;&gt;"ERRO",I1277="OK",J1277="OK"),"OK","REVISAR"))</f>
      </c>
    </row>
    <row r="1278">
      <c r="A1278" s="5"/>
      <c r="B1278" s="4"/>
      <c r="C1278" s="4"/>
      <c r="D1278" s="4"/>
      <c r="E1278" s="5"/>
      <c r="F1278" s="4"/>
      <c r="G1278" s="6">
        <f>IF(A1278="","",SUBSTITUTE(SUBSTITUTE(SUBSTITUTE(SUBSTITUTE(SUBSTITUTE(SUBSTITUTE(SUBSTITUTE(TRIM(A1278),".",""),"/",""),"-","")," ",""),"(",""),")",""),"+",""))</f>
      </c>
      <c r="H1278" s="6">
        <f>IF(G1278="","",IF(LEN(G1278)&lt;&gt;14,"ERRO: "&amp;LEN(G1278)&amp;" dígitos",IF(NOT(ISNUMBER(VALUE(G1278))),"ERRO: não numérico",IF(AND(VALUE(MID(G1278,13,1))=IF(MOD(SUMPRODUCT(--MID(G1278,{1,2,3,4,5,6,7,8,9,10,11,12},1),{5,4,3,2,9,8,7,6,5,4,3,2}),11)&lt;2,0,11-MOD(SUMPRODUCT(--MID(G1278,{1,2,3,4,5,6,7,8,9,10,11,12},1),{5,4,3,2,9,8,7,6,5,4,3,2}),11)),VALUE(MID(G1278,14,1))=IF(MOD(SUMPRODUCT(--MID(G1278,{1,2,3,4,5,6,7,8,9,10,11,12,13},1),{6,5,4,3,2,9,8,7,6,5,4,3,2}),11)&lt;2,0,11-MOD(SUMPRODUCT(--MID(G1278,{1,2,3,4,5,6,7,8,9,10,11,12,13},1),{6,5,4,3,2,9,8,7,6,5,4,3,2}),11))),"OK","AVISO: dígito verificador (conferir na org)"))))</f>
      </c>
      <c r="I1278" s="6">
        <f>IF(G1278="","",IF(COUNTIF($G$2:$G$2001,G1278)&gt;1,"DUPLICADO","OK"))</f>
      </c>
      <c r="J1278" s="6">
        <f>IF(COUNTA(A1278:F1278)=0,"",IF(AND(A1278&lt;&gt;"",E1278&lt;&gt;""),"OK","ERRO: faltam "&amp;IF(A1278="","CNPJ; ","")&amp;IF(E1278="","Novo gerente; ","")))</f>
      </c>
      <c r="K1278" s="6">
        <f>IF(COUNTA(A1278:F1278)=0,"",IF(AND(LEFT(H1278,4)&lt;&gt;"ERRO",I1278="OK",J1278="OK"),"OK","REVISAR"))</f>
      </c>
    </row>
    <row r="1279">
      <c r="A1279" s="5"/>
      <c r="B1279" s="4"/>
      <c r="C1279" s="4"/>
      <c r="D1279" s="4"/>
      <c r="E1279" s="5"/>
      <c r="F1279" s="4"/>
      <c r="G1279" s="6">
        <f>IF(A1279="","",SUBSTITUTE(SUBSTITUTE(SUBSTITUTE(SUBSTITUTE(SUBSTITUTE(SUBSTITUTE(SUBSTITUTE(TRIM(A1279),".",""),"/",""),"-","")," ",""),"(",""),")",""),"+",""))</f>
      </c>
      <c r="H1279" s="6">
        <f>IF(G1279="","",IF(LEN(G1279)&lt;&gt;14,"ERRO: "&amp;LEN(G1279)&amp;" dígitos",IF(NOT(ISNUMBER(VALUE(G1279))),"ERRO: não numérico",IF(AND(VALUE(MID(G1279,13,1))=IF(MOD(SUMPRODUCT(--MID(G1279,{1,2,3,4,5,6,7,8,9,10,11,12},1),{5,4,3,2,9,8,7,6,5,4,3,2}),11)&lt;2,0,11-MOD(SUMPRODUCT(--MID(G1279,{1,2,3,4,5,6,7,8,9,10,11,12},1),{5,4,3,2,9,8,7,6,5,4,3,2}),11)),VALUE(MID(G1279,14,1))=IF(MOD(SUMPRODUCT(--MID(G1279,{1,2,3,4,5,6,7,8,9,10,11,12,13},1),{6,5,4,3,2,9,8,7,6,5,4,3,2}),11)&lt;2,0,11-MOD(SUMPRODUCT(--MID(G1279,{1,2,3,4,5,6,7,8,9,10,11,12,13},1),{6,5,4,3,2,9,8,7,6,5,4,3,2}),11))),"OK","AVISO: dígito verificador (conferir na org)"))))</f>
      </c>
      <c r="I1279" s="6">
        <f>IF(G1279="","",IF(COUNTIF($G$2:$G$2001,G1279)&gt;1,"DUPLICADO","OK"))</f>
      </c>
      <c r="J1279" s="6">
        <f>IF(COUNTA(A1279:F1279)=0,"",IF(AND(A1279&lt;&gt;"",E1279&lt;&gt;""),"OK","ERRO: faltam "&amp;IF(A1279="","CNPJ; ","")&amp;IF(E1279="","Novo gerente; ","")))</f>
      </c>
      <c r="K1279" s="6">
        <f>IF(COUNTA(A1279:F1279)=0,"",IF(AND(LEFT(H1279,4)&lt;&gt;"ERRO",I1279="OK",J1279="OK"),"OK","REVISAR"))</f>
      </c>
    </row>
    <row r="1280">
      <c r="A1280" s="5"/>
      <c r="B1280" s="4"/>
      <c r="C1280" s="4"/>
      <c r="D1280" s="4"/>
      <c r="E1280" s="5"/>
      <c r="F1280" s="4"/>
      <c r="G1280" s="6">
        <f>IF(A1280="","",SUBSTITUTE(SUBSTITUTE(SUBSTITUTE(SUBSTITUTE(SUBSTITUTE(SUBSTITUTE(SUBSTITUTE(TRIM(A1280),".",""),"/",""),"-","")," ",""),"(",""),")",""),"+",""))</f>
      </c>
      <c r="H1280" s="6">
        <f>IF(G1280="","",IF(LEN(G1280)&lt;&gt;14,"ERRO: "&amp;LEN(G1280)&amp;" dígitos",IF(NOT(ISNUMBER(VALUE(G1280))),"ERRO: não numérico",IF(AND(VALUE(MID(G1280,13,1))=IF(MOD(SUMPRODUCT(--MID(G1280,{1,2,3,4,5,6,7,8,9,10,11,12},1),{5,4,3,2,9,8,7,6,5,4,3,2}),11)&lt;2,0,11-MOD(SUMPRODUCT(--MID(G1280,{1,2,3,4,5,6,7,8,9,10,11,12},1),{5,4,3,2,9,8,7,6,5,4,3,2}),11)),VALUE(MID(G1280,14,1))=IF(MOD(SUMPRODUCT(--MID(G1280,{1,2,3,4,5,6,7,8,9,10,11,12,13},1),{6,5,4,3,2,9,8,7,6,5,4,3,2}),11)&lt;2,0,11-MOD(SUMPRODUCT(--MID(G1280,{1,2,3,4,5,6,7,8,9,10,11,12,13},1),{6,5,4,3,2,9,8,7,6,5,4,3,2}),11))),"OK","AVISO: dígito verificador (conferir na org)"))))</f>
      </c>
      <c r="I1280" s="6">
        <f>IF(G1280="","",IF(COUNTIF($G$2:$G$2001,G1280)&gt;1,"DUPLICADO","OK"))</f>
      </c>
      <c r="J1280" s="6">
        <f>IF(COUNTA(A1280:F1280)=0,"",IF(AND(A1280&lt;&gt;"",E1280&lt;&gt;""),"OK","ERRO: faltam "&amp;IF(A1280="","CNPJ; ","")&amp;IF(E1280="","Novo gerente; ","")))</f>
      </c>
      <c r="K1280" s="6">
        <f>IF(COUNTA(A1280:F1280)=0,"",IF(AND(LEFT(H1280,4)&lt;&gt;"ERRO",I1280="OK",J1280="OK"),"OK","REVISAR"))</f>
      </c>
    </row>
    <row r="1281">
      <c r="A1281" s="5"/>
      <c r="B1281" s="4"/>
      <c r="C1281" s="4"/>
      <c r="D1281" s="4"/>
      <c r="E1281" s="5"/>
      <c r="F1281" s="4"/>
      <c r="G1281" s="6">
        <f>IF(A1281="","",SUBSTITUTE(SUBSTITUTE(SUBSTITUTE(SUBSTITUTE(SUBSTITUTE(SUBSTITUTE(SUBSTITUTE(TRIM(A1281),".",""),"/",""),"-","")," ",""),"(",""),")",""),"+",""))</f>
      </c>
      <c r="H1281" s="6">
        <f>IF(G1281="","",IF(LEN(G1281)&lt;&gt;14,"ERRO: "&amp;LEN(G1281)&amp;" dígitos",IF(NOT(ISNUMBER(VALUE(G1281))),"ERRO: não numérico",IF(AND(VALUE(MID(G1281,13,1))=IF(MOD(SUMPRODUCT(--MID(G1281,{1,2,3,4,5,6,7,8,9,10,11,12},1),{5,4,3,2,9,8,7,6,5,4,3,2}),11)&lt;2,0,11-MOD(SUMPRODUCT(--MID(G1281,{1,2,3,4,5,6,7,8,9,10,11,12},1),{5,4,3,2,9,8,7,6,5,4,3,2}),11)),VALUE(MID(G1281,14,1))=IF(MOD(SUMPRODUCT(--MID(G1281,{1,2,3,4,5,6,7,8,9,10,11,12,13},1),{6,5,4,3,2,9,8,7,6,5,4,3,2}),11)&lt;2,0,11-MOD(SUMPRODUCT(--MID(G1281,{1,2,3,4,5,6,7,8,9,10,11,12,13},1),{6,5,4,3,2,9,8,7,6,5,4,3,2}),11))),"OK","AVISO: dígito verificador (conferir na org)"))))</f>
      </c>
      <c r="I1281" s="6">
        <f>IF(G1281="","",IF(COUNTIF($G$2:$G$2001,G1281)&gt;1,"DUPLICADO","OK"))</f>
      </c>
      <c r="J1281" s="6">
        <f>IF(COUNTA(A1281:F1281)=0,"",IF(AND(A1281&lt;&gt;"",E1281&lt;&gt;""),"OK","ERRO: faltam "&amp;IF(A1281="","CNPJ; ","")&amp;IF(E1281="","Novo gerente; ","")))</f>
      </c>
      <c r="K1281" s="6">
        <f>IF(COUNTA(A1281:F1281)=0,"",IF(AND(LEFT(H1281,4)&lt;&gt;"ERRO",I1281="OK",J1281="OK"),"OK","REVISAR"))</f>
      </c>
    </row>
    <row r="1282">
      <c r="A1282" s="5"/>
      <c r="B1282" s="4"/>
      <c r="C1282" s="4"/>
      <c r="D1282" s="4"/>
      <c r="E1282" s="5"/>
      <c r="F1282" s="4"/>
      <c r="G1282" s="6">
        <f>IF(A1282="","",SUBSTITUTE(SUBSTITUTE(SUBSTITUTE(SUBSTITUTE(SUBSTITUTE(SUBSTITUTE(SUBSTITUTE(TRIM(A1282),".",""),"/",""),"-","")," ",""),"(",""),")",""),"+",""))</f>
      </c>
      <c r="H1282" s="6">
        <f>IF(G1282="","",IF(LEN(G1282)&lt;&gt;14,"ERRO: "&amp;LEN(G1282)&amp;" dígitos",IF(NOT(ISNUMBER(VALUE(G1282))),"ERRO: não numérico",IF(AND(VALUE(MID(G1282,13,1))=IF(MOD(SUMPRODUCT(--MID(G1282,{1,2,3,4,5,6,7,8,9,10,11,12},1),{5,4,3,2,9,8,7,6,5,4,3,2}),11)&lt;2,0,11-MOD(SUMPRODUCT(--MID(G1282,{1,2,3,4,5,6,7,8,9,10,11,12},1),{5,4,3,2,9,8,7,6,5,4,3,2}),11)),VALUE(MID(G1282,14,1))=IF(MOD(SUMPRODUCT(--MID(G1282,{1,2,3,4,5,6,7,8,9,10,11,12,13},1),{6,5,4,3,2,9,8,7,6,5,4,3,2}),11)&lt;2,0,11-MOD(SUMPRODUCT(--MID(G1282,{1,2,3,4,5,6,7,8,9,10,11,12,13},1),{6,5,4,3,2,9,8,7,6,5,4,3,2}),11))),"OK","AVISO: dígito verificador (conferir na org)"))))</f>
      </c>
      <c r="I1282" s="6">
        <f>IF(G1282="","",IF(COUNTIF($G$2:$G$2001,G1282)&gt;1,"DUPLICADO","OK"))</f>
      </c>
      <c r="J1282" s="6">
        <f>IF(COUNTA(A1282:F1282)=0,"",IF(AND(A1282&lt;&gt;"",E1282&lt;&gt;""),"OK","ERRO: faltam "&amp;IF(A1282="","CNPJ; ","")&amp;IF(E1282="","Novo gerente; ","")))</f>
      </c>
      <c r="K1282" s="6">
        <f>IF(COUNTA(A1282:F1282)=0,"",IF(AND(LEFT(H1282,4)&lt;&gt;"ERRO",I1282="OK",J1282="OK"),"OK","REVISAR"))</f>
      </c>
    </row>
    <row r="1283">
      <c r="A1283" s="5"/>
      <c r="B1283" s="4"/>
      <c r="C1283" s="4"/>
      <c r="D1283" s="4"/>
      <c r="E1283" s="5"/>
      <c r="F1283" s="4"/>
      <c r="G1283" s="6">
        <f>IF(A1283="","",SUBSTITUTE(SUBSTITUTE(SUBSTITUTE(SUBSTITUTE(SUBSTITUTE(SUBSTITUTE(SUBSTITUTE(TRIM(A1283),".",""),"/",""),"-","")," ",""),"(",""),")",""),"+",""))</f>
      </c>
      <c r="H1283" s="6">
        <f>IF(G1283="","",IF(LEN(G1283)&lt;&gt;14,"ERRO: "&amp;LEN(G1283)&amp;" dígitos",IF(NOT(ISNUMBER(VALUE(G1283))),"ERRO: não numérico",IF(AND(VALUE(MID(G1283,13,1))=IF(MOD(SUMPRODUCT(--MID(G1283,{1,2,3,4,5,6,7,8,9,10,11,12},1),{5,4,3,2,9,8,7,6,5,4,3,2}),11)&lt;2,0,11-MOD(SUMPRODUCT(--MID(G1283,{1,2,3,4,5,6,7,8,9,10,11,12},1),{5,4,3,2,9,8,7,6,5,4,3,2}),11)),VALUE(MID(G1283,14,1))=IF(MOD(SUMPRODUCT(--MID(G1283,{1,2,3,4,5,6,7,8,9,10,11,12,13},1),{6,5,4,3,2,9,8,7,6,5,4,3,2}),11)&lt;2,0,11-MOD(SUMPRODUCT(--MID(G1283,{1,2,3,4,5,6,7,8,9,10,11,12,13},1),{6,5,4,3,2,9,8,7,6,5,4,3,2}),11))),"OK","AVISO: dígito verificador (conferir na org)"))))</f>
      </c>
      <c r="I1283" s="6">
        <f>IF(G1283="","",IF(COUNTIF($G$2:$G$2001,G1283)&gt;1,"DUPLICADO","OK"))</f>
      </c>
      <c r="J1283" s="6">
        <f>IF(COUNTA(A1283:F1283)=0,"",IF(AND(A1283&lt;&gt;"",E1283&lt;&gt;""),"OK","ERRO: faltam "&amp;IF(A1283="","CNPJ; ","")&amp;IF(E1283="","Novo gerente; ","")))</f>
      </c>
      <c r="K1283" s="6">
        <f>IF(COUNTA(A1283:F1283)=0,"",IF(AND(LEFT(H1283,4)&lt;&gt;"ERRO",I1283="OK",J1283="OK"),"OK","REVISAR"))</f>
      </c>
    </row>
    <row r="1284">
      <c r="A1284" s="5"/>
      <c r="B1284" s="4"/>
      <c r="C1284" s="4"/>
      <c r="D1284" s="4"/>
      <c r="E1284" s="5"/>
      <c r="F1284" s="4"/>
      <c r="G1284" s="6">
        <f>IF(A1284="","",SUBSTITUTE(SUBSTITUTE(SUBSTITUTE(SUBSTITUTE(SUBSTITUTE(SUBSTITUTE(SUBSTITUTE(TRIM(A1284),".",""),"/",""),"-","")," ",""),"(",""),")",""),"+",""))</f>
      </c>
      <c r="H1284" s="6">
        <f>IF(G1284="","",IF(LEN(G1284)&lt;&gt;14,"ERRO: "&amp;LEN(G1284)&amp;" dígitos",IF(NOT(ISNUMBER(VALUE(G1284))),"ERRO: não numérico",IF(AND(VALUE(MID(G1284,13,1))=IF(MOD(SUMPRODUCT(--MID(G1284,{1,2,3,4,5,6,7,8,9,10,11,12},1),{5,4,3,2,9,8,7,6,5,4,3,2}),11)&lt;2,0,11-MOD(SUMPRODUCT(--MID(G1284,{1,2,3,4,5,6,7,8,9,10,11,12},1),{5,4,3,2,9,8,7,6,5,4,3,2}),11)),VALUE(MID(G1284,14,1))=IF(MOD(SUMPRODUCT(--MID(G1284,{1,2,3,4,5,6,7,8,9,10,11,12,13},1),{6,5,4,3,2,9,8,7,6,5,4,3,2}),11)&lt;2,0,11-MOD(SUMPRODUCT(--MID(G1284,{1,2,3,4,5,6,7,8,9,10,11,12,13},1),{6,5,4,3,2,9,8,7,6,5,4,3,2}),11))),"OK","AVISO: dígito verificador (conferir na org)"))))</f>
      </c>
      <c r="I1284" s="6">
        <f>IF(G1284="","",IF(COUNTIF($G$2:$G$2001,G1284)&gt;1,"DUPLICADO","OK"))</f>
      </c>
      <c r="J1284" s="6">
        <f>IF(COUNTA(A1284:F1284)=0,"",IF(AND(A1284&lt;&gt;"",E1284&lt;&gt;""),"OK","ERRO: faltam "&amp;IF(A1284="","CNPJ; ","")&amp;IF(E1284="","Novo gerente; ","")))</f>
      </c>
      <c r="K1284" s="6">
        <f>IF(COUNTA(A1284:F1284)=0,"",IF(AND(LEFT(H1284,4)&lt;&gt;"ERRO",I1284="OK",J1284="OK"),"OK","REVISAR"))</f>
      </c>
    </row>
    <row r="1285">
      <c r="A1285" s="5"/>
      <c r="B1285" s="4"/>
      <c r="C1285" s="4"/>
      <c r="D1285" s="4"/>
      <c r="E1285" s="5"/>
      <c r="F1285" s="4"/>
      <c r="G1285" s="6">
        <f>IF(A1285="","",SUBSTITUTE(SUBSTITUTE(SUBSTITUTE(SUBSTITUTE(SUBSTITUTE(SUBSTITUTE(SUBSTITUTE(TRIM(A1285),".",""),"/",""),"-","")," ",""),"(",""),")",""),"+",""))</f>
      </c>
      <c r="H1285" s="6">
        <f>IF(G1285="","",IF(LEN(G1285)&lt;&gt;14,"ERRO: "&amp;LEN(G1285)&amp;" dígitos",IF(NOT(ISNUMBER(VALUE(G1285))),"ERRO: não numérico",IF(AND(VALUE(MID(G1285,13,1))=IF(MOD(SUMPRODUCT(--MID(G1285,{1,2,3,4,5,6,7,8,9,10,11,12},1),{5,4,3,2,9,8,7,6,5,4,3,2}),11)&lt;2,0,11-MOD(SUMPRODUCT(--MID(G1285,{1,2,3,4,5,6,7,8,9,10,11,12},1),{5,4,3,2,9,8,7,6,5,4,3,2}),11)),VALUE(MID(G1285,14,1))=IF(MOD(SUMPRODUCT(--MID(G1285,{1,2,3,4,5,6,7,8,9,10,11,12,13},1),{6,5,4,3,2,9,8,7,6,5,4,3,2}),11)&lt;2,0,11-MOD(SUMPRODUCT(--MID(G1285,{1,2,3,4,5,6,7,8,9,10,11,12,13},1),{6,5,4,3,2,9,8,7,6,5,4,3,2}),11))),"OK","AVISO: dígito verificador (conferir na org)"))))</f>
      </c>
      <c r="I1285" s="6">
        <f>IF(G1285="","",IF(COUNTIF($G$2:$G$2001,G1285)&gt;1,"DUPLICADO","OK"))</f>
      </c>
      <c r="J1285" s="6">
        <f>IF(COUNTA(A1285:F1285)=0,"",IF(AND(A1285&lt;&gt;"",E1285&lt;&gt;""),"OK","ERRO: faltam "&amp;IF(A1285="","CNPJ; ","")&amp;IF(E1285="","Novo gerente; ","")))</f>
      </c>
      <c r="K1285" s="6">
        <f>IF(COUNTA(A1285:F1285)=0,"",IF(AND(LEFT(H1285,4)&lt;&gt;"ERRO",I1285="OK",J1285="OK"),"OK","REVISAR"))</f>
      </c>
    </row>
    <row r="1286">
      <c r="A1286" s="5"/>
      <c r="B1286" s="4"/>
      <c r="C1286" s="4"/>
      <c r="D1286" s="4"/>
      <c r="E1286" s="5"/>
      <c r="F1286" s="4"/>
      <c r="G1286" s="6">
        <f>IF(A1286="","",SUBSTITUTE(SUBSTITUTE(SUBSTITUTE(SUBSTITUTE(SUBSTITUTE(SUBSTITUTE(SUBSTITUTE(TRIM(A1286),".",""),"/",""),"-","")," ",""),"(",""),")",""),"+",""))</f>
      </c>
      <c r="H1286" s="6">
        <f>IF(G1286="","",IF(LEN(G1286)&lt;&gt;14,"ERRO: "&amp;LEN(G1286)&amp;" dígitos",IF(NOT(ISNUMBER(VALUE(G1286))),"ERRO: não numérico",IF(AND(VALUE(MID(G1286,13,1))=IF(MOD(SUMPRODUCT(--MID(G1286,{1,2,3,4,5,6,7,8,9,10,11,12},1),{5,4,3,2,9,8,7,6,5,4,3,2}),11)&lt;2,0,11-MOD(SUMPRODUCT(--MID(G1286,{1,2,3,4,5,6,7,8,9,10,11,12},1),{5,4,3,2,9,8,7,6,5,4,3,2}),11)),VALUE(MID(G1286,14,1))=IF(MOD(SUMPRODUCT(--MID(G1286,{1,2,3,4,5,6,7,8,9,10,11,12,13},1),{6,5,4,3,2,9,8,7,6,5,4,3,2}),11)&lt;2,0,11-MOD(SUMPRODUCT(--MID(G1286,{1,2,3,4,5,6,7,8,9,10,11,12,13},1),{6,5,4,3,2,9,8,7,6,5,4,3,2}),11))),"OK","AVISO: dígito verificador (conferir na org)"))))</f>
      </c>
      <c r="I1286" s="6">
        <f>IF(G1286="","",IF(COUNTIF($G$2:$G$2001,G1286)&gt;1,"DUPLICADO","OK"))</f>
      </c>
      <c r="J1286" s="6">
        <f>IF(COUNTA(A1286:F1286)=0,"",IF(AND(A1286&lt;&gt;"",E1286&lt;&gt;""),"OK","ERRO: faltam "&amp;IF(A1286="","CNPJ; ","")&amp;IF(E1286="","Novo gerente; ","")))</f>
      </c>
      <c r="K1286" s="6">
        <f>IF(COUNTA(A1286:F1286)=0,"",IF(AND(LEFT(H1286,4)&lt;&gt;"ERRO",I1286="OK",J1286="OK"),"OK","REVISAR"))</f>
      </c>
    </row>
    <row r="1287">
      <c r="A1287" s="5"/>
      <c r="B1287" s="4"/>
      <c r="C1287" s="4"/>
      <c r="D1287" s="4"/>
      <c r="E1287" s="5"/>
      <c r="F1287" s="4"/>
      <c r="G1287" s="6">
        <f>IF(A1287="","",SUBSTITUTE(SUBSTITUTE(SUBSTITUTE(SUBSTITUTE(SUBSTITUTE(SUBSTITUTE(SUBSTITUTE(TRIM(A1287),".",""),"/",""),"-","")," ",""),"(",""),")",""),"+",""))</f>
      </c>
      <c r="H1287" s="6">
        <f>IF(G1287="","",IF(LEN(G1287)&lt;&gt;14,"ERRO: "&amp;LEN(G1287)&amp;" dígitos",IF(NOT(ISNUMBER(VALUE(G1287))),"ERRO: não numérico",IF(AND(VALUE(MID(G1287,13,1))=IF(MOD(SUMPRODUCT(--MID(G1287,{1,2,3,4,5,6,7,8,9,10,11,12},1),{5,4,3,2,9,8,7,6,5,4,3,2}),11)&lt;2,0,11-MOD(SUMPRODUCT(--MID(G1287,{1,2,3,4,5,6,7,8,9,10,11,12},1),{5,4,3,2,9,8,7,6,5,4,3,2}),11)),VALUE(MID(G1287,14,1))=IF(MOD(SUMPRODUCT(--MID(G1287,{1,2,3,4,5,6,7,8,9,10,11,12,13},1),{6,5,4,3,2,9,8,7,6,5,4,3,2}),11)&lt;2,0,11-MOD(SUMPRODUCT(--MID(G1287,{1,2,3,4,5,6,7,8,9,10,11,12,13},1),{6,5,4,3,2,9,8,7,6,5,4,3,2}),11))),"OK","AVISO: dígito verificador (conferir na org)"))))</f>
      </c>
      <c r="I1287" s="6">
        <f>IF(G1287="","",IF(COUNTIF($G$2:$G$2001,G1287)&gt;1,"DUPLICADO","OK"))</f>
      </c>
      <c r="J1287" s="6">
        <f>IF(COUNTA(A1287:F1287)=0,"",IF(AND(A1287&lt;&gt;"",E1287&lt;&gt;""),"OK","ERRO: faltam "&amp;IF(A1287="","CNPJ; ","")&amp;IF(E1287="","Novo gerente; ","")))</f>
      </c>
      <c r="K1287" s="6">
        <f>IF(COUNTA(A1287:F1287)=0,"",IF(AND(LEFT(H1287,4)&lt;&gt;"ERRO",I1287="OK",J1287="OK"),"OK","REVISAR"))</f>
      </c>
    </row>
    <row r="1288">
      <c r="A1288" s="5"/>
      <c r="B1288" s="4"/>
      <c r="C1288" s="4"/>
      <c r="D1288" s="4"/>
      <c r="E1288" s="5"/>
      <c r="F1288" s="4"/>
      <c r="G1288" s="6">
        <f>IF(A1288="","",SUBSTITUTE(SUBSTITUTE(SUBSTITUTE(SUBSTITUTE(SUBSTITUTE(SUBSTITUTE(SUBSTITUTE(TRIM(A1288),".",""),"/",""),"-","")," ",""),"(",""),")",""),"+",""))</f>
      </c>
      <c r="H1288" s="6">
        <f>IF(G1288="","",IF(LEN(G1288)&lt;&gt;14,"ERRO: "&amp;LEN(G1288)&amp;" dígitos",IF(NOT(ISNUMBER(VALUE(G1288))),"ERRO: não numérico",IF(AND(VALUE(MID(G1288,13,1))=IF(MOD(SUMPRODUCT(--MID(G1288,{1,2,3,4,5,6,7,8,9,10,11,12},1),{5,4,3,2,9,8,7,6,5,4,3,2}),11)&lt;2,0,11-MOD(SUMPRODUCT(--MID(G1288,{1,2,3,4,5,6,7,8,9,10,11,12},1),{5,4,3,2,9,8,7,6,5,4,3,2}),11)),VALUE(MID(G1288,14,1))=IF(MOD(SUMPRODUCT(--MID(G1288,{1,2,3,4,5,6,7,8,9,10,11,12,13},1),{6,5,4,3,2,9,8,7,6,5,4,3,2}),11)&lt;2,0,11-MOD(SUMPRODUCT(--MID(G1288,{1,2,3,4,5,6,7,8,9,10,11,12,13},1),{6,5,4,3,2,9,8,7,6,5,4,3,2}),11))),"OK","AVISO: dígito verificador (conferir na org)"))))</f>
      </c>
      <c r="I1288" s="6">
        <f>IF(G1288="","",IF(COUNTIF($G$2:$G$2001,G1288)&gt;1,"DUPLICADO","OK"))</f>
      </c>
      <c r="J1288" s="6">
        <f>IF(COUNTA(A1288:F1288)=0,"",IF(AND(A1288&lt;&gt;"",E1288&lt;&gt;""),"OK","ERRO: faltam "&amp;IF(A1288="","CNPJ; ","")&amp;IF(E1288="","Novo gerente; ","")))</f>
      </c>
      <c r="K1288" s="6">
        <f>IF(COUNTA(A1288:F1288)=0,"",IF(AND(LEFT(H1288,4)&lt;&gt;"ERRO",I1288="OK",J1288="OK"),"OK","REVISAR"))</f>
      </c>
    </row>
    <row r="1289">
      <c r="A1289" s="5"/>
      <c r="B1289" s="4"/>
      <c r="C1289" s="4"/>
      <c r="D1289" s="4"/>
      <c r="E1289" s="5"/>
      <c r="F1289" s="4"/>
      <c r="G1289" s="6">
        <f>IF(A1289="","",SUBSTITUTE(SUBSTITUTE(SUBSTITUTE(SUBSTITUTE(SUBSTITUTE(SUBSTITUTE(SUBSTITUTE(TRIM(A1289),".",""),"/",""),"-","")," ",""),"(",""),")",""),"+",""))</f>
      </c>
      <c r="H1289" s="6">
        <f>IF(G1289="","",IF(LEN(G1289)&lt;&gt;14,"ERRO: "&amp;LEN(G1289)&amp;" dígitos",IF(NOT(ISNUMBER(VALUE(G1289))),"ERRO: não numérico",IF(AND(VALUE(MID(G1289,13,1))=IF(MOD(SUMPRODUCT(--MID(G1289,{1,2,3,4,5,6,7,8,9,10,11,12},1),{5,4,3,2,9,8,7,6,5,4,3,2}),11)&lt;2,0,11-MOD(SUMPRODUCT(--MID(G1289,{1,2,3,4,5,6,7,8,9,10,11,12},1),{5,4,3,2,9,8,7,6,5,4,3,2}),11)),VALUE(MID(G1289,14,1))=IF(MOD(SUMPRODUCT(--MID(G1289,{1,2,3,4,5,6,7,8,9,10,11,12,13},1),{6,5,4,3,2,9,8,7,6,5,4,3,2}),11)&lt;2,0,11-MOD(SUMPRODUCT(--MID(G1289,{1,2,3,4,5,6,7,8,9,10,11,12,13},1),{6,5,4,3,2,9,8,7,6,5,4,3,2}),11))),"OK","AVISO: dígito verificador (conferir na org)"))))</f>
      </c>
      <c r="I1289" s="6">
        <f>IF(G1289="","",IF(COUNTIF($G$2:$G$2001,G1289)&gt;1,"DUPLICADO","OK"))</f>
      </c>
      <c r="J1289" s="6">
        <f>IF(COUNTA(A1289:F1289)=0,"",IF(AND(A1289&lt;&gt;"",E1289&lt;&gt;""),"OK","ERRO: faltam "&amp;IF(A1289="","CNPJ; ","")&amp;IF(E1289="","Novo gerente; ","")))</f>
      </c>
      <c r="K1289" s="6">
        <f>IF(COUNTA(A1289:F1289)=0,"",IF(AND(LEFT(H1289,4)&lt;&gt;"ERRO",I1289="OK",J1289="OK"),"OK","REVISAR"))</f>
      </c>
    </row>
    <row r="1290">
      <c r="A1290" s="5"/>
      <c r="B1290" s="4"/>
      <c r="C1290" s="4"/>
      <c r="D1290" s="4"/>
      <c r="E1290" s="5"/>
      <c r="F1290" s="4"/>
      <c r="G1290" s="6">
        <f>IF(A1290="","",SUBSTITUTE(SUBSTITUTE(SUBSTITUTE(SUBSTITUTE(SUBSTITUTE(SUBSTITUTE(SUBSTITUTE(TRIM(A1290),".",""),"/",""),"-","")," ",""),"(",""),")",""),"+",""))</f>
      </c>
      <c r="H1290" s="6">
        <f>IF(G1290="","",IF(LEN(G1290)&lt;&gt;14,"ERRO: "&amp;LEN(G1290)&amp;" dígitos",IF(NOT(ISNUMBER(VALUE(G1290))),"ERRO: não numérico",IF(AND(VALUE(MID(G1290,13,1))=IF(MOD(SUMPRODUCT(--MID(G1290,{1,2,3,4,5,6,7,8,9,10,11,12},1),{5,4,3,2,9,8,7,6,5,4,3,2}),11)&lt;2,0,11-MOD(SUMPRODUCT(--MID(G1290,{1,2,3,4,5,6,7,8,9,10,11,12},1),{5,4,3,2,9,8,7,6,5,4,3,2}),11)),VALUE(MID(G1290,14,1))=IF(MOD(SUMPRODUCT(--MID(G1290,{1,2,3,4,5,6,7,8,9,10,11,12,13},1),{6,5,4,3,2,9,8,7,6,5,4,3,2}),11)&lt;2,0,11-MOD(SUMPRODUCT(--MID(G1290,{1,2,3,4,5,6,7,8,9,10,11,12,13},1),{6,5,4,3,2,9,8,7,6,5,4,3,2}),11))),"OK","AVISO: dígito verificador (conferir na org)"))))</f>
      </c>
      <c r="I1290" s="6">
        <f>IF(G1290="","",IF(COUNTIF($G$2:$G$2001,G1290)&gt;1,"DUPLICADO","OK"))</f>
      </c>
      <c r="J1290" s="6">
        <f>IF(COUNTA(A1290:F1290)=0,"",IF(AND(A1290&lt;&gt;"",E1290&lt;&gt;""),"OK","ERRO: faltam "&amp;IF(A1290="","CNPJ; ","")&amp;IF(E1290="","Novo gerente; ","")))</f>
      </c>
      <c r="K1290" s="6">
        <f>IF(COUNTA(A1290:F1290)=0,"",IF(AND(LEFT(H1290,4)&lt;&gt;"ERRO",I1290="OK",J1290="OK"),"OK","REVISAR"))</f>
      </c>
    </row>
    <row r="1291">
      <c r="A1291" s="5"/>
      <c r="B1291" s="4"/>
      <c r="C1291" s="4"/>
      <c r="D1291" s="4"/>
      <c r="E1291" s="5"/>
      <c r="F1291" s="4"/>
      <c r="G1291" s="6">
        <f>IF(A1291="","",SUBSTITUTE(SUBSTITUTE(SUBSTITUTE(SUBSTITUTE(SUBSTITUTE(SUBSTITUTE(SUBSTITUTE(TRIM(A1291),".",""),"/",""),"-","")," ",""),"(",""),")",""),"+",""))</f>
      </c>
      <c r="H1291" s="6">
        <f>IF(G1291="","",IF(LEN(G1291)&lt;&gt;14,"ERRO: "&amp;LEN(G1291)&amp;" dígitos",IF(NOT(ISNUMBER(VALUE(G1291))),"ERRO: não numérico",IF(AND(VALUE(MID(G1291,13,1))=IF(MOD(SUMPRODUCT(--MID(G1291,{1,2,3,4,5,6,7,8,9,10,11,12},1),{5,4,3,2,9,8,7,6,5,4,3,2}),11)&lt;2,0,11-MOD(SUMPRODUCT(--MID(G1291,{1,2,3,4,5,6,7,8,9,10,11,12},1),{5,4,3,2,9,8,7,6,5,4,3,2}),11)),VALUE(MID(G1291,14,1))=IF(MOD(SUMPRODUCT(--MID(G1291,{1,2,3,4,5,6,7,8,9,10,11,12,13},1),{6,5,4,3,2,9,8,7,6,5,4,3,2}),11)&lt;2,0,11-MOD(SUMPRODUCT(--MID(G1291,{1,2,3,4,5,6,7,8,9,10,11,12,13},1),{6,5,4,3,2,9,8,7,6,5,4,3,2}),11))),"OK","AVISO: dígito verificador (conferir na org)"))))</f>
      </c>
      <c r="I1291" s="6">
        <f>IF(G1291="","",IF(COUNTIF($G$2:$G$2001,G1291)&gt;1,"DUPLICADO","OK"))</f>
      </c>
      <c r="J1291" s="6">
        <f>IF(COUNTA(A1291:F1291)=0,"",IF(AND(A1291&lt;&gt;"",E1291&lt;&gt;""),"OK","ERRO: faltam "&amp;IF(A1291="","CNPJ; ","")&amp;IF(E1291="","Novo gerente; ","")))</f>
      </c>
      <c r="K1291" s="6">
        <f>IF(COUNTA(A1291:F1291)=0,"",IF(AND(LEFT(H1291,4)&lt;&gt;"ERRO",I1291="OK",J1291="OK"),"OK","REVISAR"))</f>
      </c>
    </row>
    <row r="1292">
      <c r="A1292" s="5"/>
      <c r="B1292" s="4"/>
      <c r="C1292" s="4"/>
      <c r="D1292" s="4"/>
      <c r="E1292" s="5"/>
      <c r="F1292" s="4"/>
      <c r="G1292" s="6">
        <f>IF(A1292="","",SUBSTITUTE(SUBSTITUTE(SUBSTITUTE(SUBSTITUTE(SUBSTITUTE(SUBSTITUTE(SUBSTITUTE(TRIM(A1292),".",""),"/",""),"-","")," ",""),"(",""),")",""),"+",""))</f>
      </c>
      <c r="H1292" s="6">
        <f>IF(G1292="","",IF(LEN(G1292)&lt;&gt;14,"ERRO: "&amp;LEN(G1292)&amp;" dígitos",IF(NOT(ISNUMBER(VALUE(G1292))),"ERRO: não numérico",IF(AND(VALUE(MID(G1292,13,1))=IF(MOD(SUMPRODUCT(--MID(G1292,{1,2,3,4,5,6,7,8,9,10,11,12},1),{5,4,3,2,9,8,7,6,5,4,3,2}),11)&lt;2,0,11-MOD(SUMPRODUCT(--MID(G1292,{1,2,3,4,5,6,7,8,9,10,11,12},1),{5,4,3,2,9,8,7,6,5,4,3,2}),11)),VALUE(MID(G1292,14,1))=IF(MOD(SUMPRODUCT(--MID(G1292,{1,2,3,4,5,6,7,8,9,10,11,12,13},1),{6,5,4,3,2,9,8,7,6,5,4,3,2}),11)&lt;2,0,11-MOD(SUMPRODUCT(--MID(G1292,{1,2,3,4,5,6,7,8,9,10,11,12,13},1),{6,5,4,3,2,9,8,7,6,5,4,3,2}),11))),"OK","AVISO: dígito verificador (conferir na org)"))))</f>
      </c>
      <c r="I1292" s="6">
        <f>IF(G1292="","",IF(COUNTIF($G$2:$G$2001,G1292)&gt;1,"DUPLICADO","OK"))</f>
      </c>
      <c r="J1292" s="6">
        <f>IF(COUNTA(A1292:F1292)=0,"",IF(AND(A1292&lt;&gt;"",E1292&lt;&gt;""),"OK","ERRO: faltam "&amp;IF(A1292="","CNPJ; ","")&amp;IF(E1292="","Novo gerente; ","")))</f>
      </c>
      <c r="K1292" s="6">
        <f>IF(COUNTA(A1292:F1292)=0,"",IF(AND(LEFT(H1292,4)&lt;&gt;"ERRO",I1292="OK",J1292="OK"),"OK","REVISAR"))</f>
      </c>
    </row>
    <row r="1293">
      <c r="A1293" s="5"/>
      <c r="B1293" s="4"/>
      <c r="C1293" s="4"/>
      <c r="D1293" s="4"/>
      <c r="E1293" s="5"/>
      <c r="F1293" s="4"/>
      <c r="G1293" s="6">
        <f>IF(A1293="","",SUBSTITUTE(SUBSTITUTE(SUBSTITUTE(SUBSTITUTE(SUBSTITUTE(SUBSTITUTE(SUBSTITUTE(TRIM(A1293),".",""),"/",""),"-","")," ",""),"(",""),")",""),"+",""))</f>
      </c>
      <c r="H1293" s="6">
        <f>IF(G1293="","",IF(LEN(G1293)&lt;&gt;14,"ERRO: "&amp;LEN(G1293)&amp;" dígitos",IF(NOT(ISNUMBER(VALUE(G1293))),"ERRO: não numérico",IF(AND(VALUE(MID(G1293,13,1))=IF(MOD(SUMPRODUCT(--MID(G1293,{1,2,3,4,5,6,7,8,9,10,11,12},1),{5,4,3,2,9,8,7,6,5,4,3,2}),11)&lt;2,0,11-MOD(SUMPRODUCT(--MID(G1293,{1,2,3,4,5,6,7,8,9,10,11,12},1),{5,4,3,2,9,8,7,6,5,4,3,2}),11)),VALUE(MID(G1293,14,1))=IF(MOD(SUMPRODUCT(--MID(G1293,{1,2,3,4,5,6,7,8,9,10,11,12,13},1),{6,5,4,3,2,9,8,7,6,5,4,3,2}),11)&lt;2,0,11-MOD(SUMPRODUCT(--MID(G1293,{1,2,3,4,5,6,7,8,9,10,11,12,13},1),{6,5,4,3,2,9,8,7,6,5,4,3,2}),11))),"OK","AVISO: dígito verificador (conferir na org)"))))</f>
      </c>
      <c r="I1293" s="6">
        <f>IF(G1293="","",IF(COUNTIF($G$2:$G$2001,G1293)&gt;1,"DUPLICADO","OK"))</f>
      </c>
      <c r="J1293" s="6">
        <f>IF(COUNTA(A1293:F1293)=0,"",IF(AND(A1293&lt;&gt;"",E1293&lt;&gt;""),"OK","ERRO: faltam "&amp;IF(A1293="","CNPJ; ","")&amp;IF(E1293="","Novo gerente; ","")))</f>
      </c>
      <c r="K1293" s="6">
        <f>IF(COUNTA(A1293:F1293)=0,"",IF(AND(LEFT(H1293,4)&lt;&gt;"ERRO",I1293="OK",J1293="OK"),"OK","REVISAR"))</f>
      </c>
    </row>
    <row r="1294">
      <c r="A1294" s="5"/>
      <c r="B1294" s="4"/>
      <c r="C1294" s="4"/>
      <c r="D1294" s="4"/>
      <c r="E1294" s="5"/>
      <c r="F1294" s="4"/>
      <c r="G1294" s="6">
        <f>IF(A1294="","",SUBSTITUTE(SUBSTITUTE(SUBSTITUTE(SUBSTITUTE(SUBSTITUTE(SUBSTITUTE(SUBSTITUTE(TRIM(A1294),".",""),"/",""),"-","")," ",""),"(",""),")",""),"+",""))</f>
      </c>
      <c r="H1294" s="6">
        <f>IF(G1294="","",IF(LEN(G1294)&lt;&gt;14,"ERRO: "&amp;LEN(G1294)&amp;" dígitos",IF(NOT(ISNUMBER(VALUE(G1294))),"ERRO: não numérico",IF(AND(VALUE(MID(G1294,13,1))=IF(MOD(SUMPRODUCT(--MID(G1294,{1,2,3,4,5,6,7,8,9,10,11,12},1),{5,4,3,2,9,8,7,6,5,4,3,2}),11)&lt;2,0,11-MOD(SUMPRODUCT(--MID(G1294,{1,2,3,4,5,6,7,8,9,10,11,12},1),{5,4,3,2,9,8,7,6,5,4,3,2}),11)),VALUE(MID(G1294,14,1))=IF(MOD(SUMPRODUCT(--MID(G1294,{1,2,3,4,5,6,7,8,9,10,11,12,13},1),{6,5,4,3,2,9,8,7,6,5,4,3,2}),11)&lt;2,0,11-MOD(SUMPRODUCT(--MID(G1294,{1,2,3,4,5,6,7,8,9,10,11,12,13},1),{6,5,4,3,2,9,8,7,6,5,4,3,2}),11))),"OK","AVISO: dígito verificador (conferir na org)"))))</f>
      </c>
      <c r="I1294" s="6">
        <f>IF(G1294="","",IF(COUNTIF($G$2:$G$2001,G1294)&gt;1,"DUPLICADO","OK"))</f>
      </c>
      <c r="J1294" s="6">
        <f>IF(COUNTA(A1294:F1294)=0,"",IF(AND(A1294&lt;&gt;"",E1294&lt;&gt;""),"OK","ERRO: faltam "&amp;IF(A1294="","CNPJ; ","")&amp;IF(E1294="","Novo gerente; ","")))</f>
      </c>
      <c r="K1294" s="6">
        <f>IF(COUNTA(A1294:F1294)=0,"",IF(AND(LEFT(H1294,4)&lt;&gt;"ERRO",I1294="OK",J1294="OK"),"OK","REVISAR"))</f>
      </c>
    </row>
    <row r="1295">
      <c r="A1295" s="5"/>
      <c r="B1295" s="4"/>
      <c r="C1295" s="4"/>
      <c r="D1295" s="4"/>
      <c r="E1295" s="5"/>
      <c r="F1295" s="4"/>
      <c r="G1295" s="6">
        <f>IF(A1295="","",SUBSTITUTE(SUBSTITUTE(SUBSTITUTE(SUBSTITUTE(SUBSTITUTE(SUBSTITUTE(SUBSTITUTE(TRIM(A1295),".",""),"/",""),"-","")," ",""),"(",""),")",""),"+",""))</f>
      </c>
      <c r="H1295" s="6">
        <f>IF(G1295="","",IF(LEN(G1295)&lt;&gt;14,"ERRO: "&amp;LEN(G1295)&amp;" dígitos",IF(NOT(ISNUMBER(VALUE(G1295))),"ERRO: não numérico",IF(AND(VALUE(MID(G1295,13,1))=IF(MOD(SUMPRODUCT(--MID(G1295,{1,2,3,4,5,6,7,8,9,10,11,12},1),{5,4,3,2,9,8,7,6,5,4,3,2}),11)&lt;2,0,11-MOD(SUMPRODUCT(--MID(G1295,{1,2,3,4,5,6,7,8,9,10,11,12},1),{5,4,3,2,9,8,7,6,5,4,3,2}),11)),VALUE(MID(G1295,14,1))=IF(MOD(SUMPRODUCT(--MID(G1295,{1,2,3,4,5,6,7,8,9,10,11,12,13},1),{6,5,4,3,2,9,8,7,6,5,4,3,2}),11)&lt;2,0,11-MOD(SUMPRODUCT(--MID(G1295,{1,2,3,4,5,6,7,8,9,10,11,12,13},1),{6,5,4,3,2,9,8,7,6,5,4,3,2}),11))),"OK","AVISO: dígito verificador (conferir na org)"))))</f>
      </c>
      <c r="I1295" s="6">
        <f>IF(G1295="","",IF(COUNTIF($G$2:$G$2001,G1295)&gt;1,"DUPLICADO","OK"))</f>
      </c>
      <c r="J1295" s="6">
        <f>IF(COUNTA(A1295:F1295)=0,"",IF(AND(A1295&lt;&gt;"",E1295&lt;&gt;""),"OK","ERRO: faltam "&amp;IF(A1295="","CNPJ; ","")&amp;IF(E1295="","Novo gerente; ","")))</f>
      </c>
      <c r="K1295" s="6">
        <f>IF(COUNTA(A1295:F1295)=0,"",IF(AND(LEFT(H1295,4)&lt;&gt;"ERRO",I1295="OK",J1295="OK"),"OK","REVISAR"))</f>
      </c>
    </row>
    <row r="1296">
      <c r="A1296" s="5"/>
      <c r="B1296" s="4"/>
      <c r="C1296" s="4"/>
      <c r="D1296" s="4"/>
      <c r="E1296" s="5"/>
      <c r="F1296" s="4"/>
      <c r="G1296" s="6">
        <f>IF(A1296="","",SUBSTITUTE(SUBSTITUTE(SUBSTITUTE(SUBSTITUTE(SUBSTITUTE(SUBSTITUTE(SUBSTITUTE(TRIM(A1296),".",""),"/",""),"-","")," ",""),"(",""),")",""),"+",""))</f>
      </c>
      <c r="H1296" s="6">
        <f>IF(G1296="","",IF(LEN(G1296)&lt;&gt;14,"ERRO: "&amp;LEN(G1296)&amp;" dígitos",IF(NOT(ISNUMBER(VALUE(G1296))),"ERRO: não numérico",IF(AND(VALUE(MID(G1296,13,1))=IF(MOD(SUMPRODUCT(--MID(G1296,{1,2,3,4,5,6,7,8,9,10,11,12},1),{5,4,3,2,9,8,7,6,5,4,3,2}),11)&lt;2,0,11-MOD(SUMPRODUCT(--MID(G1296,{1,2,3,4,5,6,7,8,9,10,11,12},1),{5,4,3,2,9,8,7,6,5,4,3,2}),11)),VALUE(MID(G1296,14,1))=IF(MOD(SUMPRODUCT(--MID(G1296,{1,2,3,4,5,6,7,8,9,10,11,12,13},1),{6,5,4,3,2,9,8,7,6,5,4,3,2}),11)&lt;2,0,11-MOD(SUMPRODUCT(--MID(G1296,{1,2,3,4,5,6,7,8,9,10,11,12,13},1),{6,5,4,3,2,9,8,7,6,5,4,3,2}),11))),"OK","AVISO: dígito verificador (conferir na org)"))))</f>
      </c>
      <c r="I1296" s="6">
        <f>IF(G1296="","",IF(COUNTIF($G$2:$G$2001,G1296)&gt;1,"DUPLICADO","OK"))</f>
      </c>
      <c r="J1296" s="6">
        <f>IF(COUNTA(A1296:F1296)=0,"",IF(AND(A1296&lt;&gt;"",E1296&lt;&gt;""),"OK","ERRO: faltam "&amp;IF(A1296="","CNPJ; ","")&amp;IF(E1296="","Novo gerente; ","")))</f>
      </c>
      <c r="K1296" s="6">
        <f>IF(COUNTA(A1296:F1296)=0,"",IF(AND(LEFT(H1296,4)&lt;&gt;"ERRO",I1296="OK",J1296="OK"),"OK","REVISAR"))</f>
      </c>
    </row>
    <row r="1297">
      <c r="A1297" s="5"/>
      <c r="B1297" s="4"/>
      <c r="C1297" s="4"/>
      <c r="D1297" s="4"/>
      <c r="E1297" s="5"/>
      <c r="F1297" s="4"/>
      <c r="G1297" s="6">
        <f>IF(A1297="","",SUBSTITUTE(SUBSTITUTE(SUBSTITUTE(SUBSTITUTE(SUBSTITUTE(SUBSTITUTE(SUBSTITUTE(TRIM(A1297),".",""),"/",""),"-","")," ",""),"(",""),")",""),"+",""))</f>
      </c>
      <c r="H1297" s="6">
        <f>IF(G1297="","",IF(LEN(G1297)&lt;&gt;14,"ERRO: "&amp;LEN(G1297)&amp;" dígitos",IF(NOT(ISNUMBER(VALUE(G1297))),"ERRO: não numérico",IF(AND(VALUE(MID(G1297,13,1))=IF(MOD(SUMPRODUCT(--MID(G1297,{1,2,3,4,5,6,7,8,9,10,11,12},1),{5,4,3,2,9,8,7,6,5,4,3,2}),11)&lt;2,0,11-MOD(SUMPRODUCT(--MID(G1297,{1,2,3,4,5,6,7,8,9,10,11,12},1),{5,4,3,2,9,8,7,6,5,4,3,2}),11)),VALUE(MID(G1297,14,1))=IF(MOD(SUMPRODUCT(--MID(G1297,{1,2,3,4,5,6,7,8,9,10,11,12,13},1),{6,5,4,3,2,9,8,7,6,5,4,3,2}),11)&lt;2,0,11-MOD(SUMPRODUCT(--MID(G1297,{1,2,3,4,5,6,7,8,9,10,11,12,13},1),{6,5,4,3,2,9,8,7,6,5,4,3,2}),11))),"OK","AVISO: dígito verificador (conferir na org)"))))</f>
      </c>
      <c r="I1297" s="6">
        <f>IF(G1297="","",IF(COUNTIF($G$2:$G$2001,G1297)&gt;1,"DUPLICADO","OK"))</f>
      </c>
      <c r="J1297" s="6">
        <f>IF(COUNTA(A1297:F1297)=0,"",IF(AND(A1297&lt;&gt;"",E1297&lt;&gt;""),"OK","ERRO: faltam "&amp;IF(A1297="","CNPJ; ","")&amp;IF(E1297="","Novo gerente; ","")))</f>
      </c>
      <c r="K1297" s="6">
        <f>IF(COUNTA(A1297:F1297)=0,"",IF(AND(LEFT(H1297,4)&lt;&gt;"ERRO",I1297="OK",J1297="OK"),"OK","REVISAR"))</f>
      </c>
    </row>
    <row r="1298">
      <c r="A1298" s="5"/>
      <c r="B1298" s="4"/>
      <c r="C1298" s="4"/>
      <c r="D1298" s="4"/>
      <c r="E1298" s="5"/>
      <c r="F1298" s="4"/>
      <c r="G1298" s="6">
        <f>IF(A1298="","",SUBSTITUTE(SUBSTITUTE(SUBSTITUTE(SUBSTITUTE(SUBSTITUTE(SUBSTITUTE(SUBSTITUTE(TRIM(A1298),".",""),"/",""),"-","")," ",""),"(",""),")",""),"+",""))</f>
      </c>
      <c r="H1298" s="6">
        <f>IF(G1298="","",IF(LEN(G1298)&lt;&gt;14,"ERRO: "&amp;LEN(G1298)&amp;" dígitos",IF(NOT(ISNUMBER(VALUE(G1298))),"ERRO: não numérico",IF(AND(VALUE(MID(G1298,13,1))=IF(MOD(SUMPRODUCT(--MID(G1298,{1,2,3,4,5,6,7,8,9,10,11,12},1),{5,4,3,2,9,8,7,6,5,4,3,2}),11)&lt;2,0,11-MOD(SUMPRODUCT(--MID(G1298,{1,2,3,4,5,6,7,8,9,10,11,12},1),{5,4,3,2,9,8,7,6,5,4,3,2}),11)),VALUE(MID(G1298,14,1))=IF(MOD(SUMPRODUCT(--MID(G1298,{1,2,3,4,5,6,7,8,9,10,11,12,13},1),{6,5,4,3,2,9,8,7,6,5,4,3,2}),11)&lt;2,0,11-MOD(SUMPRODUCT(--MID(G1298,{1,2,3,4,5,6,7,8,9,10,11,12,13},1),{6,5,4,3,2,9,8,7,6,5,4,3,2}),11))),"OK","AVISO: dígito verificador (conferir na org)"))))</f>
      </c>
      <c r="I1298" s="6">
        <f>IF(G1298="","",IF(COUNTIF($G$2:$G$2001,G1298)&gt;1,"DUPLICADO","OK"))</f>
      </c>
      <c r="J1298" s="6">
        <f>IF(COUNTA(A1298:F1298)=0,"",IF(AND(A1298&lt;&gt;"",E1298&lt;&gt;""),"OK","ERRO: faltam "&amp;IF(A1298="","CNPJ; ","")&amp;IF(E1298="","Novo gerente; ","")))</f>
      </c>
      <c r="K1298" s="6">
        <f>IF(COUNTA(A1298:F1298)=0,"",IF(AND(LEFT(H1298,4)&lt;&gt;"ERRO",I1298="OK",J1298="OK"),"OK","REVISAR"))</f>
      </c>
    </row>
    <row r="1299">
      <c r="A1299" s="5"/>
      <c r="B1299" s="4"/>
      <c r="C1299" s="4"/>
      <c r="D1299" s="4"/>
      <c r="E1299" s="5"/>
      <c r="F1299" s="4"/>
      <c r="G1299" s="6">
        <f>IF(A1299="","",SUBSTITUTE(SUBSTITUTE(SUBSTITUTE(SUBSTITUTE(SUBSTITUTE(SUBSTITUTE(SUBSTITUTE(TRIM(A1299),".",""),"/",""),"-","")," ",""),"(",""),")",""),"+",""))</f>
      </c>
      <c r="H1299" s="6">
        <f>IF(G1299="","",IF(LEN(G1299)&lt;&gt;14,"ERRO: "&amp;LEN(G1299)&amp;" dígitos",IF(NOT(ISNUMBER(VALUE(G1299))),"ERRO: não numérico",IF(AND(VALUE(MID(G1299,13,1))=IF(MOD(SUMPRODUCT(--MID(G1299,{1,2,3,4,5,6,7,8,9,10,11,12},1),{5,4,3,2,9,8,7,6,5,4,3,2}),11)&lt;2,0,11-MOD(SUMPRODUCT(--MID(G1299,{1,2,3,4,5,6,7,8,9,10,11,12},1),{5,4,3,2,9,8,7,6,5,4,3,2}),11)),VALUE(MID(G1299,14,1))=IF(MOD(SUMPRODUCT(--MID(G1299,{1,2,3,4,5,6,7,8,9,10,11,12,13},1),{6,5,4,3,2,9,8,7,6,5,4,3,2}),11)&lt;2,0,11-MOD(SUMPRODUCT(--MID(G1299,{1,2,3,4,5,6,7,8,9,10,11,12,13},1),{6,5,4,3,2,9,8,7,6,5,4,3,2}),11))),"OK","AVISO: dígito verificador (conferir na org)"))))</f>
      </c>
      <c r="I1299" s="6">
        <f>IF(G1299="","",IF(COUNTIF($G$2:$G$2001,G1299)&gt;1,"DUPLICADO","OK"))</f>
      </c>
      <c r="J1299" s="6">
        <f>IF(COUNTA(A1299:F1299)=0,"",IF(AND(A1299&lt;&gt;"",E1299&lt;&gt;""),"OK","ERRO: faltam "&amp;IF(A1299="","CNPJ; ","")&amp;IF(E1299="","Novo gerente; ","")))</f>
      </c>
      <c r="K1299" s="6">
        <f>IF(COUNTA(A1299:F1299)=0,"",IF(AND(LEFT(H1299,4)&lt;&gt;"ERRO",I1299="OK",J1299="OK"),"OK","REVISAR"))</f>
      </c>
    </row>
    <row r="1300">
      <c r="A1300" s="5"/>
      <c r="B1300" s="4"/>
      <c r="C1300" s="4"/>
      <c r="D1300" s="4"/>
      <c r="E1300" s="5"/>
      <c r="F1300" s="4"/>
      <c r="G1300" s="6">
        <f>IF(A1300="","",SUBSTITUTE(SUBSTITUTE(SUBSTITUTE(SUBSTITUTE(SUBSTITUTE(SUBSTITUTE(SUBSTITUTE(TRIM(A1300),".",""),"/",""),"-","")," ",""),"(",""),")",""),"+",""))</f>
      </c>
      <c r="H1300" s="6">
        <f>IF(G1300="","",IF(LEN(G1300)&lt;&gt;14,"ERRO: "&amp;LEN(G1300)&amp;" dígitos",IF(NOT(ISNUMBER(VALUE(G1300))),"ERRO: não numérico",IF(AND(VALUE(MID(G1300,13,1))=IF(MOD(SUMPRODUCT(--MID(G1300,{1,2,3,4,5,6,7,8,9,10,11,12},1),{5,4,3,2,9,8,7,6,5,4,3,2}),11)&lt;2,0,11-MOD(SUMPRODUCT(--MID(G1300,{1,2,3,4,5,6,7,8,9,10,11,12},1),{5,4,3,2,9,8,7,6,5,4,3,2}),11)),VALUE(MID(G1300,14,1))=IF(MOD(SUMPRODUCT(--MID(G1300,{1,2,3,4,5,6,7,8,9,10,11,12,13},1),{6,5,4,3,2,9,8,7,6,5,4,3,2}),11)&lt;2,0,11-MOD(SUMPRODUCT(--MID(G1300,{1,2,3,4,5,6,7,8,9,10,11,12,13},1),{6,5,4,3,2,9,8,7,6,5,4,3,2}),11))),"OK","AVISO: dígito verificador (conferir na org)"))))</f>
      </c>
      <c r="I1300" s="6">
        <f>IF(G1300="","",IF(COUNTIF($G$2:$G$2001,G1300)&gt;1,"DUPLICADO","OK"))</f>
      </c>
      <c r="J1300" s="6">
        <f>IF(COUNTA(A1300:F1300)=0,"",IF(AND(A1300&lt;&gt;"",E1300&lt;&gt;""),"OK","ERRO: faltam "&amp;IF(A1300="","CNPJ; ","")&amp;IF(E1300="","Novo gerente; ","")))</f>
      </c>
      <c r="K1300" s="6">
        <f>IF(COUNTA(A1300:F1300)=0,"",IF(AND(LEFT(H1300,4)&lt;&gt;"ERRO",I1300="OK",J1300="OK"),"OK","REVISAR"))</f>
      </c>
    </row>
    <row r="1301">
      <c r="A1301" s="5"/>
      <c r="B1301" s="4"/>
      <c r="C1301" s="4"/>
      <c r="D1301" s="4"/>
      <c r="E1301" s="5"/>
      <c r="F1301" s="4"/>
      <c r="G1301" s="6">
        <f>IF(A1301="","",SUBSTITUTE(SUBSTITUTE(SUBSTITUTE(SUBSTITUTE(SUBSTITUTE(SUBSTITUTE(SUBSTITUTE(TRIM(A1301),".",""),"/",""),"-","")," ",""),"(",""),")",""),"+",""))</f>
      </c>
      <c r="H1301" s="6">
        <f>IF(G1301="","",IF(LEN(G1301)&lt;&gt;14,"ERRO: "&amp;LEN(G1301)&amp;" dígitos",IF(NOT(ISNUMBER(VALUE(G1301))),"ERRO: não numérico",IF(AND(VALUE(MID(G1301,13,1))=IF(MOD(SUMPRODUCT(--MID(G1301,{1,2,3,4,5,6,7,8,9,10,11,12},1),{5,4,3,2,9,8,7,6,5,4,3,2}),11)&lt;2,0,11-MOD(SUMPRODUCT(--MID(G1301,{1,2,3,4,5,6,7,8,9,10,11,12},1),{5,4,3,2,9,8,7,6,5,4,3,2}),11)),VALUE(MID(G1301,14,1))=IF(MOD(SUMPRODUCT(--MID(G1301,{1,2,3,4,5,6,7,8,9,10,11,12,13},1),{6,5,4,3,2,9,8,7,6,5,4,3,2}),11)&lt;2,0,11-MOD(SUMPRODUCT(--MID(G1301,{1,2,3,4,5,6,7,8,9,10,11,12,13},1),{6,5,4,3,2,9,8,7,6,5,4,3,2}),11))),"OK","AVISO: dígito verificador (conferir na org)"))))</f>
      </c>
      <c r="I1301" s="6">
        <f>IF(G1301="","",IF(COUNTIF($G$2:$G$2001,G1301)&gt;1,"DUPLICADO","OK"))</f>
      </c>
      <c r="J1301" s="6">
        <f>IF(COUNTA(A1301:F1301)=0,"",IF(AND(A1301&lt;&gt;"",E1301&lt;&gt;""),"OK","ERRO: faltam "&amp;IF(A1301="","CNPJ; ","")&amp;IF(E1301="","Novo gerente; ","")))</f>
      </c>
      <c r="K1301" s="6">
        <f>IF(COUNTA(A1301:F1301)=0,"",IF(AND(LEFT(H1301,4)&lt;&gt;"ERRO",I1301="OK",J1301="OK"),"OK","REVISAR"))</f>
      </c>
    </row>
    <row r="1302">
      <c r="A1302" s="5"/>
      <c r="B1302" s="4"/>
      <c r="C1302" s="4"/>
      <c r="D1302" s="4"/>
      <c r="E1302" s="5"/>
      <c r="F1302" s="4"/>
      <c r="G1302" s="6">
        <f>IF(A1302="","",SUBSTITUTE(SUBSTITUTE(SUBSTITUTE(SUBSTITUTE(SUBSTITUTE(SUBSTITUTE(SUBSTITUTE(TRIM(A1302),".",""),"/",""),"-","")," ",""),"(",""),")",""),"+",""))</f>
      </c>
      <c r="H1302" s="6">
        <f>IF(G1302="","",IF(LEN(G1302)&lt;&gt;14,"ERRO: "&amp;LEN(G1302)&amp;" dígitos",IF(NOT(ISNUMBER(VALUE(G1302))),"ERRO: não numérico",IF(AND(VALUE(MID(G1302,13,1))=IF(MOD(SUMPRODUCT(--MID(G1302,{1,2,3,4,5,6,7,8,9,10,11,12},1),{5,4,3,2,9,8,7,6,5,4,3,2}),11)&lt;2,0,11-MOD(SUMPRODUCT(--MID(G1302,{1,2,3,4,5,6,7,8,9,10,11,12},1),{5,4,3,2,9,8,7,6,5,4,3,2}),11)),VALUE(MID(G1302,14,1))=IF(MOD(SUMPRODUCT(--MID(G1302,{1,2,3,4,5,6,7,8,9,10,11,12,13},1),{6,5,4,3,2,9,8,7,6,5,4,3,2}),11)&lt;2,0,11-MOD(SUMPRODUCT(--MID(G1302,{1,2,3,4,5,6,7,8,9,10,11,12,13},1),{6,5,4,3,2,9,8,7,6,5,4,3,2}),11))),"OK","AVISO: dígito verificador (conferir na org)"))))</f>
      </c>
      <c r="I1302" s="6">
        <f>IF(G1302="","",IF(COUNTIF($G$2:$G$2001,G1302)&gt;1,"DUPLICADO","OK"))</f>
      </c>
      <c r="J1302" s="6">
        <f>IF(COUNTA(A1302:F1302)=0,"",IF(AND(A1302&lt;&gt;"",E1302&lt;&gt;""),"OK","ERRO: faltam "&amp;IF(A1302="","CNPJ; ","")&amp;IF(E1302="","Novo gerente; ","")))</f>
      </c>
      <c r="K1302" s="6">
        <f>IF(COUNTA(A1302:F1302)=0,"",IF(AND(LEFT(H1302,4)&lt;&gt;"ERRO",I1302="OK",J1302="OK"),"OK","REVISAR"))</f>
      </c>
    </row>
    <row r="1303">
      <c r="A1303" s="5"/>
      <c r="B1303" s="4"/>
      <c r="C1303" s="4"/>
      <c r="D1303" s="4"/>
      <c r="E1303" s="5"/>
      <c r="F1303" s="4"/>
      <c r="G1303" s="6">
        <f>IF(A1303="","",SUBSTITUTE(SUBSTITUTE(SUBSTITUTE(SUBSTITUTE(SUBSTITUTE(SUBSTITUTE(SUBSTITUTE(TRIM(A1303),".",""),"/",""),"-","")," ",""),"(",""),")",""),"+",""))</f>
      </c>
      <c r="H1303" s="6">
        <f>IF(G1303="","",IF(LEN(G1303)&lt;&gt;14,"ERRO: "&amp;LEN(G1303)&amp;" dígitos",IF(NOT(ISNUMBER(VALUE(G1303))),"ERRO: não numérico",IF(AND(VALUE(MID(G1303,13,1))=IF(MOD(SUMPRODUCT(--MID(G1303,{1,2,3,4,5,6,7,8,9,10,11,12},1),{5,4,3,2,9,8,7,6,5,4,3,2}),11)&lt;2,0,11-MOD(SUMPRODUCT(--MID(G1303,{1,2,3,4,5,6,7,8,9,10,11,12},1),{5,4,3,2,9,8,7,6,5,4,3,2}),11)),VALUE(MID(G1303,14,1))=IF(MOD(SUMPRODUCT(--MID(G1303,{1,2,3,4,5,6,7,8,9,10,11,12,13},1),{6,5,4,3,2,9,8,7,6,5,4,3,2}),11)&lt;2,0,11-MOD(SUMPRODUCT(--MID(G1303,{1,2,3,4,5,6,7,8,9,10,11,12,13},1),{6,5,4,3,2,9,8,7,6,5,4,3,2}),11))),"OK","AVISO: dígito verificador (conferir na org)"))))</f>
      </c>
      <c r="I1303" s="6">
        <f>IF(G1303="","",IF(COUNTIF($G$2:$G$2001,G1303)&gt;1,"DUPLICADO","OK"))</f>
      </c>
      <c r="J1303" s="6">
        <f>IF(COUNTA(A1303:F1303)=0,"",IF(AND(A1303&lt;&gt;"",E1303&lt;&gt;""),"OK","ERRO: faltam "&amp;IF(A1303="","CNPJ; ","")&amp;IF(E1303="","Novo gerente; ","")))</f>
      </c>
      <c r="K1303" s="6">
        <f>IF(COUNTA(A1303:F1303)=0,"",IF(AND(LEFT(H1303,4)&lt;&gt;"ERRO",I1303="OK",J1303="OK"),"OK","REVISAR"))</f>
      </c>
    </row>
    <row r="1304">
      <c r="A1304" s="5"/>
      <c r="B1304" s="4"/>
      <c r="C1304" s="4"/>
      <c r="D1304" s="4"/>
      <c r="E1304" s="5"/>
      <c r="F1304" s="4"/>
      <c r="G1304" s="6">
        <f>IF(A1304="","",SUBSTITUTE(SUBSTITUTE(SUBSTITUTE(SUBSTITUTE(SUBSTITUTE(SUBSTITUTE(SUBSTITUTE(TRIM(A1304),".",""),"/",""),"-","")," ",""),"(",""),")",""),"+",""))</f>
      </c>
      <c r="H1304" s="6">
        <f>IF(G1304="","",IF(LEN(G1304)&lt;&gt;14,"ERRO: "&amp;LEN(G1304)&amp;" dígitos",IF(NOT(ISNUMBER(VALUE(G1304))),"ERRO: não numérico",IF(AND(VALUE(MID(G1304,13,1))=IF(MOD(SUMPRODUCT(--MID(G1304,{1,2,3,4,5,6,7,8,9,10,11,12},1),{5,4,3,2,9,8,7,6,5,4,3,2}),11)&lt;2,0,11-MOD(SUMPRODUCT(--MID(G1304,{1,2,3,4,5,6,7,8,9,10,11,12},1),{5,4,3,2,9,8,7,6,5,4,3,2}),11)),VALUE(MID(G1304,14,1))=IF(MOD(SUMPRODUCT(--MID(G1304,{1,2,3,4,5,6,7,8,9,10,11,12,13},1),{6,5,4,3,2,9,8,7,6,5,4,3,2}),11)&lt;2,0,11-MOD(SUMPRODUCT(--MID(G1304,{1,2,3,4,5,6,7,8,9,10,11,12,13},1),{6,5,4,3,2,9,8,7,6,5,4,3,2}),11))),"OK","AVISO: dígito verificador (conferir na org)"))))</f>
      </c>
      <c r="I1304" s="6">
        <f>IF(G1304="","",IF(COUNTIF($G$2:$G$2001,G1304)&gt;1,"DUPLICADO","OK"))</f>
      </c>
      <c r="J1304" s="6">
        <f>IF(COUNTA(A1304:F1304)=0,"",IF(AND(A1304&lt;&gt;"",E1304&lt;&gt;""),"OK","ERRO: faltam "&amp;IF(A1304="","CNPJ; ","")&amp;IF(E1304="","Novo gerente; ","")))</f>
      </c>
      <c r="K1304" s="6">
        <f>IF(COUNTA(A1304:F1304)=0,"",IF(AND(LEFT(H1304,4)&lt;&gt;"ERRO",I1304="OK",J1304="OK"),"OK","REVISAR"))</f>
      </c>
    </row>
    <row r="1305">
      <c r="A1305" s="5"/>
      <c r="B1305" s="4"/>
      <c r="C1305" s="4"/>
      <c r="D1305" s="4"/>
      <c r="E1305" s="5"/>
      <c r="F1305" s="4"/>
      <c r="G1305" s="6">
        <f>IF(A1305="","",SUBSTITUTE(SUBSTITUTE(SUBSTITUTE(SUBSTITUTE(SUBSTITUTE(SUBSTITUTE(SUBSTITUTE(TRIM(A1305),".",""),"/",""),"-","")," ",""),"(",""),")",""),"+",""))</f>
      </c>
      <c r="H1305" s="6">
        <f>IF(G1305="","",IF(LEN(G1305)&lt;&gt;14,"ERRO: "&amp;LEN(G1305)&amp;" dígitos",IF(NOT(ISNUMBER(VALUE(G1305))),"ERRO: não numérico",IF(AND(VALUE(MID(G1305,13,1))=IF(MOD(SUMPRODUCT(--MID(G1305,{1,2,3,4,5,6,7,8,9,10,11,12},1),{5,4,3,2,9,8,7,6,5,4,3,2}),11)&lt;2,0,11-MOD(SUMPRODUCT(--MID(G1305,{1,2,3,4,5,6,7,8,9,10,11,12},1),{5,4,3,2,9,8,7,6,5,4,3,2}),11)),VALUE(MID(G1305,14,1))=IF(MOD(SUMPRODUCT(--MID(G1305,{1,2,3,4,5,6,7,8,9,10,11,12,13},1),{6,5,4,3,2,9,8,7,6,5,4,3,2}),11)&lt;2,0,11-MOD(SUMPRODUCT(--MID(G1305,{1,2,3,4,5,6,7,8,9,10,11,12,13},1),{6,5,4,3,2,9,8,7,6,5,4,3,2}),11))),"OK","AVISO: dígito verificador (conferir na org)"))))</f>
      </c>
      <c r="I1305" s="6">
        <f>IF(G1305="","",IF(COUNTIF($G$2:$G$2001,G1305)&gt;1,"DUPLICADO","OK"))</f>
      </c>
      <c r="J1305" s="6">
        <f>IF(COUNTA(A1305:F1305)=0,"",IF(AND(A1305&lt;&gt;"",E1305&lt;&gt;""),"OK","ERRO: faltam "&amp;IF(A1305="","CNPJ; ","")&amp;IF(E1305="","Novo gerente; ","")))</f>
      </c>
      <c r="K1305" s="6">
        <f>IF(COUNTA(A1305:F1305)=0,"",IF(AND(LEFT(H1305,4)&lt;&gt;"ERRO",I1305="OK",J1305="OK"),"OK","REVISAR"))</f>
      </c>
    </row>
    <row r="1306">
      <c r="A1306" s="5"/>
      <c r="B1306" s="4"/>
      <c r="C1306" s="4"/>
      <c r="D1306" s="4"/>
      <c r="E1306" s="5"/>
      <c r="F1306" s="4"/>
      <c r="G1306" s="6">
        <f>IF(A1306="","",SUBSTITUTE(SUBSTITUTE(SUBSTITUTE(SUBSTITUTE(SUBSTITUTE(SUBSTITUTE(SUBSTITUTE(TRIM(A1306),".",""),"/",""),"-","")," ",""),"(",""),")",""),"+",""))</f>
      </c>
      <c r="H1306" s="6">
        <f>IF(G1306="","",IF(LEN(G1306)&lt;&gt;14,"ERRO: "&amp;LEN(G1306)&amp;" dígitos",IF(NOT(ISNUMBER(VALUE(G1306))),"ERRO: não numérico",IF(AND(VALUE(MID(G1306,13,1))=IF(MOD(SUMPRODUCT(--MID(G1306,{1,2,3,4,5,6,7,8,9,10,11,12},1),{5,4,3,2,9,8,7,6,5,4,3,2}),11)&lt;2,0,11-MOD(SUMPRODUCT(--MID(G1306,{1,2,3,4,5,6,7,8,9,10,11,12},1),{5,4,3,2,9,8,7,6,5,4,3,2}),11)),VALUE(MID(G1306,14,1))=IF(MOD(SUMPRODUCT(--MID(G1306,{1,2,3,4,5,6,7,8,9,10,11,12,13},1),{6,5,4,3,2,9,8,7,6,5,4,3,2}),11)&lt;2,0,11-MOD(SUMPRODUCT(--MID(G1306,{1,2,3,4,5,6,7,8,9,10,11,12,13},1),{6,5,4,3,2,9,8,7,6,5,4,3,2}),11))),"OK","AVISO: dígito verificador (conferir na org)"))))</f>
      </c>
      <c r="I1306" s="6">
        <f>IF(G1306="","",IF(COUNTIF($G$2:$G$2001,G1306)&gt;1,"DUPLICADO","OK"))</f>
      </c>
      <c r="J1306" s="6">
        <f>IF(COUNTA(A1306:F1306)=0,"",IF(AND(A1306&lt;&gt;"",E1306&lt;&gt;""),"OK","ERRO: faltam "&amp;IF(A1306="","CNPJ; ","")&amp;IF(E1306="","Novo gerente; ","")))</f>
      </c>
      <c r="K1306" s="6">
        <f>IF(COUNTA(A1306:F1306)=0,"",IF(AND(LEFT(H1306,4)&lt;&gt;"ERRO",I1306="OK",J1306="OK"),"OK","REVISAR"))</f>
      </c>
    </row>
    <row r="1307">
      <c r="A1307" s="5"/>
      <c r="B1307" s="4"/>
      <c r="C1307" s="4"/>
      <c r="D1307" s="4"/>
      <c r="E1307" s="5"/>
      <c r="F1307" s="4"/>
      <c r="G1307" s="6">
        <f>IF(A1307="","",SUBSTITUTE(SUBSTITUTE(SUBSTITUTE(SUBSTITUTE(SUBSTITUTE(SUBSTITUTE(SUBSTITUTE(TRIM(A1307),".",""),"/",""),"-","")," ",""),"(",""),")",""),"+",""))</f>
      </c>
      <c r="H1307" s="6">
        <f>IF(G1307="","",IF(LEN(G1307)&lt;&gt;14,"ERRO: "&amp;LEN(G1307)&amp;" dígitos",IF(NOT(ISNUMBER(VALUE(G1307))),"ERRO: não numérico",IF(AND(VALUE(MID(G1307,13,1))=IF(MOD(SUMPRODUCT(--MID(G1307,{1,2,3,4,5,6,7,8,9,10,11,12},1),{5,4,3,2,9,8,7,6,5,4,3,2}),11)&lt;2,0,11-MOD(SUMPRODUCT(--MID(G1307,{1,2,3,4,5,6,7,8,9,10,11,12},1),{5,4,3,2,9,8,7,6,5,4,3,2}),11)),VALUE(MID(G1307,14,1))=IF(MOD(SUMPRODUCT(--MID(G1307,{1,2,3,4,5,6,7,8,9,10,11,12,13},1),{6,5,4,3,2,9,8,7,6,5,4,3,2}),11)&lt;2,0,11-MOD(SUMPRODUCT(--MID(G1307,{1,2,3,4,5,6,7,8,9,10,11,12,13},1),{6,5,4,3,2,9,8,7,6,5,4,3,2}),11))),"OK","AVISO: dígito verificador (conferir na org)"))))</f>
      </c>
      <c r="I1307" s="6">
        <f>IF(G1307="","",IF(COUNTIF($G$2:$G$2001,G1307)&gt;1,"DUPLICADO","OK"))</f>
      </c>
      <c r="J1307" s="6">
        <f>IF(COUNTA(A1307:F1307)=0,"",IF(AND(A1307&lt;&gt;"",E1307&lt;&gt;""),"OK","ERRO: faltam "&amp;IF(A1307="","CNPJ; ","")&amp;IF(E1307="","Novo gerente; ","")))</f>
      </c>
      <c r="K1307" s="6">
        <f>IF(COUNTA(A1307:F1307)=0,"",IF(AND(LEFT(H1307,4)&lt;&gt;"ERRO",I1307="OK",J1307="OK"),"OK","REVISAR"))</f>
      </c>
    </row>
    <row r="1308">
      <c r="A1308" s="5"/>
      <c r="B1308" s="4"/>
      <c r="C1308" s="4"/>
      <c r="D1308" s="4"/>
      <c r="E1308" s="5"/>
      <c r="F1308" s="4"/>
      <c r="G1308" s="6">
        <f>IF(A1308="","",SUBSTITUTE(SUBSTITUTE(SUBSTITUTE(SUBSTITUTE(SUBSTITUTE(SUBSTITUTE(SUBSTITUTE(TRIM(A1308),".",""),"/",""),"-","")," ",""),"(",""),")",""),"+",""))</f>
      </c>
      <c r="H1308" s="6">
        <f>IF(G1308="","",IF(LEN(G1308)&lt;&gt;14,"ERRO: "&amp;LEN(G1308)&amp;" dígitos",IF(NOT(ISNUMBER(VALUE(G1308))),"ERRO: não numérico",IF(AND(VALUE(MID(G1308,13,1))=IF(MOD(SUMPRODUCT(--MID(G1308,{1,2,3,4,5,6,7,8,9,10,11,12},1),{5,4,3,2,9,8,7,6,5,4,3,2}),11)&lt;2,0,11-MOD(SUMPRODUCT(--MID(G1308,{1,2,3,4,5,6,7,8,9,10,11,12},1),{5,4,3,2,9,8,7,6,5,4,3,2}),11)),VALUE(MID(G1308,14,1))=IF(MOD(SUMPRODUCT(--MID(G1308,{1,2,3,4,5,6,7,8,9,10,11,12,13},1),{6,5,4,3,2,9,8,7,6,5,4,3,2}),11)&lt;2,0,11-MOD(SUMPRODUCT(--MID(G1308,{1,2,3,4,5,6,7,8,9,10,11,12,13},1),{6,5,4,3,2,9,8,7,6,5,4,3,2}),11))),"OK","AVISO: dígito verificador (conferir na org)"))))</f>
      </c>
      <c r="I1308" s="6">
        <f>IF(G1308="","",IF(COUNTIF($G$2:$G$2001,G1308)&gt;1,"DUPLICADO","OK"))</f>
      </c>
      <c r="J1308" s="6">
        <f>IF(COUNTA(A1308:F1308)=0,"",IF(AND(A1308&lt;&gt;"",E1308&lt;&gt;""),"OK","ERRO: faltam "&amp;IF(A1308="","CNPJ; ","")&amp;IF(E1308="","Novo gerente; ","")))</f>
      </c>
      <c r="K1308" s="6">
        <f>IF(COUNTA(A1308:F1308)=0,"",IF(AND(LEFT(H1308,4)&lt;&gt;"ERRO",I1308="OK",J1308="OK"),"OK","REVISAR"))</f>
      </c>
    </row>
    <row r="1309">
      <c r="A1309" s="5"/>
      <c r="B1309" s="4"/>
      <c r="C1309" s="4"/>
      <c r="D1309" s="4"/>
      <c r="E1309" s="5"/>
      <c r="F1309" s="4"/>
      <c r="G1309" s="6">
        <f>IF(A1309="","",SUBSTITUTE(SUBSTITUTE(SUBSTITUTE(SUBSTITUTE(SUBSTITUTE(SUBSTITUTE(SUBSTITUTE(TRIM(A1309),".",""),"/",""),"-","")," ",""),"(",""),")",""),"+",""))</f>
      </c>
      <c r="H1309" s="6">
        <f>IF(G1309="","",IF(LEN(G1309)&lt;&gt;14,"ERRO: "&amp;LEN(G1309)&amp;" dígitos",IF(NOT(ISNUMBER(VALUE(G1309))),"ERRO: não numérico",IF(AND(VALUE(MID(G1309,13,1))=IF(MOD(SUMPRODUCT(--MID(G1309,{1,2,3,4,5,6,7,8,9,10,11,12},1),{5,4,3,2,9,8,7,6,5,4,3,2}),11)&lt;2,0,11-MOD(SUMPRODUCT(--MID(G1309,{1,2,3,4,5,6,7,8,9,10,11,12},1),{5,4,3,2,9,8,7,6,5,4,3,2}),11)),VALUE(MID(G1309,14,1))=IF(MOD(SUMPRODUCT(--MID(G1309,{1,2,3,4,5,6,7,8,9,10,11,12,13},1),{6,5,4,3,2,9,8,7,6,5,4,3,2}),11)&lt;2,0,11-MOD(SUMPRODUCT(--MID(G1309,{1,2,3,4,5,6,7,8,9,10,11,12,13},1),{6,5,4,3,2,9,8,7,6,5,4,3,2}),11))),"OK","AVISO: dígito verificador (conferir na org)"))))</f>
      </c>
      <c r="I1309" s="6">
        <f>IF(G1309="","",IF(COUNTIF($G$2:$G$2001,G1309)&gt;1,"DUPLICADO","OK"))</f>
      </c>
      <c r="J1309" s="6">
        <f>IF(COUNTA(A1309:F1309)=0,"",IF(AND(A1309&lt;&gt;"",E1309&lt;&gt;""),"OK","ERRO: faltam "&amp;IF(A1309="","CNPJ; ","")&amp;IF(E1309="","Novo gerente; ","")))</f>
      </c>
      <c r="K1309" s="6">
        <f>IF(COUNTA(A1309:F1309)=0,"",IF(AND(LEFT(H1309,4)&lt;&gt;"ERRO",I1309="OK",J1309="OK"),"OK","REVISAR"))</f>
      </c>
    </row>
    <row r="1310">
      <c r="A1310" s="5"/>
      <c r="B1310" s="4"/>
      <c r="C1310" s="4"/>
      <c r="D1310" s="4"/>
      <c r="E1310" s="5"/>
      <c r="F1310" s="4"/>
      <c r="G1310" s="6">
        <f>IF(A1310="","",SUBSTITUTE(SUBSTITUTE(SUBSTITUTE(SUBSTITUTE(SUBSTITUTE(SUBSTITUTE(SUBSTITUTE(TRIM(A1310),".",""),"/",""),"-","")," ",""),"(",""),")",""),"+",""))</f>
      </c>
      <c r="H1310" s="6">
        <f>IF(G1310="","",IF(LEN(G1310)&lt;&gt;14,"ERRO: "&amp;LEN(G1310)&amp;" dígitos",IF(NOT(ISNUMBER(VALUE(G1310))),"ERRO: não numérico",IF(AND(VALUE(MID(G1310,13,1))=IF(MOD(SUMPRODUCT(--MID(G1310,{1,2,3,4,5,6,7,8,9,10,11,12},1),{5,4,3,2,9,8,7,6,5,4,3,2}),11)&lt;2,0,11-MOD(SUMPRODUCT(--MID(G1310,{1,2,3,4,5,6,7,8,9,10,11,12},1),{5,4,3,2,9,8,7,6,5,4,3,2}),11)),VALUE(MID(G1310,14,1))=IF(MOD(SUMPRODUCT(--MID(G1310,{1,2,3,4,5,6,7,8,9,10,11,12,13},1),{6,5,4,3,2,9,8,7,6,5,4,3,2}),11)&lt;2,0,11-MOD(SUMPRODUCT(--MID(G1310,{1,2,3,4,5,6,7,8,9,10,11,12,13},1),{6,5,4,3,2,9,8,7,6,5,4,3,2}),11))),"OK","AVISO: dígito verificador (conferir na org)"))))</f>
      </c>
      <c r="I1310" s="6">
        <f>IF(G1310="","",IF(COUNTIF($G$2:$G$2001,G1310)&gt;1,"DUPLICADO","OK"))</f>
      </c>
      <c r="J1310" s="6">
        <f>IF(COUNTA(A1310:F1310)=0,"",IF(AND(A1310&lt;&gt;"",E1310&lt;&gt;""),"OK","ERRO: faltam "&amp;IF(A1310="","CNPJ; ","")&amp;IF(E1310="","Novo gerente; ","")))</f>
      </c>
      <c r="K1310" s="6">
        <f>IF(COUNTA(A1310:F1310)=0,"",IF(AND(LEFT(H1310,4)&lt;&gt;"ERRO",I1310="OK",J1310="OK"),"OK","REVISAR"))</f>
      </c>
    </row>
    <row r="1311">
      <c r="A1311" s="5"/>
      <c r="B1311" s="4"/>
      <c r="C1311" s="4"/>
      <c r="D1311" s="4"/>
      <c r="E1311" s="5"/>
      <c r="F1311" s="4"/>
      <c r="G1311" s="6">
        <f>IF(A1311="","",SUBSTITUTE(SUBSTITUTE(SUBSTITUTE(SUBSTITUTE(SUBSTITUTE(SUBSTITUTE(SUBSTITUTE(TRIM(A1311),".",""),"/",""),"-","")," ",""),"(",""),")",""),"+",""))</f>
      </c>
      <c r="H1311" s="6">
        <f>IF(G1311="","",IF(LEN(G1311)&lt;&gt;14,"ERRO: "&amp;LEN(G1311)&amp;" dígitos",IF(NOT(ISNUMBER(VALUE(G1311))),"ERRO: não numérico",IF(AND(VALUE(MID(G1311,13,1))=IF(MOD(SUMPRODUCT(--MID(G1311,{1,2,3,4,5,6,7,8,9,10,11,12},1),{5,4,3,2,9,8,7,6,5,4,3,2}),11)&lt;2,0,11-MOD(SUMPRODUCT(--MID(G1311,{1,2,3,4,5,6,7,8,9,10,11,12},1),{5,4,3,2,9,8,7,6,5,4,3,2}),11)),VALUE(MID(G1311,14,1))=IF(MOD(SUMPRODUCT(--MID(G1311,{1,2,3,4,5,6,7,8,9,10,11,12,13},1),{6,5,4,3,2,9,8,7,6,5,4,3,2}),11)&lt;2,0,11-MOD(SUMPRODUCT(--MID(G1311,{1,2,3,4,5,6,7,8,9,10,11,12,13},1),{6,5,4,3,2,9,8,7,6,5,4,3,2}),11))),"OK","AVISO: dígito verificador (conferir na org)"))))</f>
      </c>
      <c r="I1311" s="6">
        <f>IF(G1311="","",IF(COUNTIF($G$2:$G$2001,G1311)&gt;1,"DUPLICADO","OK"))</f>
      </c>
      <c r="J1311" s="6">
        <f>IF(COUNTA(A1311:F1311)=0,"",IF(AND(A1311&lt;&gt;"",E1311&lt;&gt;""),"OK","ERRO: faltam "&amp;IF(A1311="","CNPJ; ","")&amp;IF(E1311="","Novo gerente; ","")))</f>
      </c>
      <c r="K1311" s="6">
        <f>IF(COUNTA(A1311:F1311)=0,"",IF(AND(LEFT(H1311,4)&lt;&gt;"ERRO",I1311="OK",J1311="OK"),"OK","REVISAR"))</f>
      </c>
    </row>
    <row r="1312">
      <c r="A1312" s="5"/>
      <c r="B1312" s="4"/>
      <c r="C1312" s="4"/>
      <c r="D1312" s="4"/>
      <c r="E1312" s="5"/>
      <c r="F1312" s="4"/>
      <c r="G1312" s="6">
        <f>IF(A1312="","",SUBSTITUTE(SUBSTITUTE(SUBSTITUTE(SUBSTITUTE(SUBSTITUTE(SUBSTITUTE(SUBSTITUTE(TRIM(A1312),".",""),"/",""),"-","")," ",""),"(",""),")",""),"+",""))</f>
      </c>
      <c r="H1312" s="6">
        <f>IF(G1312="","",IF(LEN(G1312)&lt;&gt;14,"ERRO: "&amp;LEN(G1312)&amp;" dígitos",IF(NOT(ISNUMBER(VALUE(G1312))),"ERRO: não numérico",IF(AND(VALUE(MID(G1312,13,1))=IF(MOD(SUMPRODUCT(--MID(G1312,{1,2,3,4,5,6,7,8,9,10,11,12},1),{5,4,3,2,9,8,7,6,5,4,3,2}),11)&lt;2,0,11-MOD(SUMPRODUCT(--MID(G1312,{1,2,3,4,5,6,7,8,9,10,11,12},1),{5,4,3,2,9,8,7,6,5,4,3,2}),11)),VALUE(MID(G1312,14,1))=IF(MOD(SUMPRODUCT(--MID(G1312,{1,2,3,4,5,6,7,8,9,10,11,12,13},1),{6,5,4,3,2,9,8,7,6,5,4,3,2}),11)&lt;2,0,11-MOD(SUMPRODUCT(--MID(G1312,{1,2,3,4,5,6,7,8,9,10,11,12,13},1),{6,5,4,3,2,9,8,7,6,5,4,3,2}),11))),"OK","AVISO: dígito verificador (conferir na org)"))))</f>
      </c>
      <c r="I1312" s="6">
        <f>IF(G1312="","",IF(COUNTIF($G$2:$G$2001,G1312)&gt;1,"DUPLICADO","OK"))</f>
      </c>
      <c r="J1312" s="6">
        <f>IF(COUNTA(A1312:F1312)=0,"",IF(AND(A1312&lt;&gt;"",E1312&lt;&gt;""),"OK","ERRO: faltam "&amp;IF(A1312="","CNPJ; ","")&amp;IF(E1312="","Novo gerente; ","")))</f>
      </c>
      <c r="K1312" s="6">
        <f>IF(COUNTA(A1312:F1312)=0,"",IF(AND(LEFT(H1312,4)&lt;&gt;"ERRO",I1312="OK",J1312="OK"),"OK","REVISAR"))</f>
      </c>
    </row>
    <row r="1313">
      <c r="A1313" s="5"/>
      <c r="B1313" s="4"/>
      <c r="C1313" s="4"/>
      <c r="D1313" s="4"/>
      <c r="E1313" s="5"/>
      <c r="F1313" s="4"/>
      <c r="G1313" s="6">
        <f>IF(A1313="","",SUBSTITUTE(SUBSTITUTE(SUBSTITUTE(SUBSTITUTE(SUBSTITUTE(SUBSTITUTE(SUBSTITUTE(TRIM(A1313),".",""),"/",""),"-","")," ",""),"(",""),")",""),"+",""))</f>
      </c>
      <c r="H1313" s="6">
        <f>IF(G1313="","",IF(LEN(G1313)&lt;&gt;14,"ERRO: "&amp;LEN(G1313)&amp;" dígitos",IF(NOT(ISNUMBER(VALUE(G1313))),"ERRO: não numérico",IF(AND(VALUE(MID(G1313,13,1))=IF(MOD(SUMPRODUCT(--MID(G1313,{1,2,3,4,5,6,7,8,9,10,11,12},1),{5,4,3,2,9,8,7,6,5,4,3,2}),11)&lt;2,0,11-MOD(SUMPRODUCT(--MID(G1313,{1,2,3,4,5,6,7,8,9,10,11,12},1),{5,4,3,2,9,8,7,6,5,4,3,2}),11)),VALUE(MID(G1313,14,1))=IF(MOD(SUMPRODUCT(--MID(G1313,{1,2,3,4,5,6,7,8,9,10,11,12,13},1),{6,5,4,3,2,9,8,7,6,5,4,3,2}),11)&lt;2,0,11-MOD(SUMPRODUCT(--MID(G1313,{1,2,3,4,5,6,7,8,9,10,11,12,13},1),{6,5,4,3,2,9,8,7,6,5,4,3,2}),11))),"OK","AVISO: dígito verificador (conferir na org)"))))</f>
      </c>
      <c r="I1313" s="6">
        <f>IF(G1313="","",IF(COUNTIF($G$2:$G$2001,G1313)&gt;1,"DUPLICADO","OK"))</f>
      </c>
      <c r="J1313" s="6">
        <f>IF(COUNTA(A1313:F1313)=0,"",IF(AND(A1313&lt;&gt;"",E1313&lt;&gt;""),"OK","ERRO: faltam "&amp;IF(A1313="","CNPJ; ","")&amp;IF(E1313="","Novo gerente; ","")))</f>
      </c>
      <c r="K1313" s="6">
        <f>IF(COUNTA(A1313:F1313)=0,"",IF(AND(LEFT(H1313,4)&lt;&gt;"ERRO",I1313="OK",J1313="OK"),"OK","REVISAR"))</f>
      </c>
    </row>
    <row r="1314">
      <c r="A1314" s="5"/>
      <c r="B1314" s="4"/>
      <c r="C1314" s="4"/>
      <c r="D1314" s="4"/>
      <c r="E1314" s="5"/>
      <c r="F1314" s="4"/>
      <c r="G1314" s="6">
        <f>IF(A1314="","",SUBSTITUTE(SUBSTITUTE(SUBSTITUTE(SUBSTITUTE(SUBSTITUTE(SUBSTITUTE(SUBSTITUTE(TRIM(A1314),".",""),"/",""),"-","")," ",""),"(",""),")",""),"+",""))</f>
      </c>
      <c r="H1314" s="6">
        <f>IF(G1314="","",IF(LEN(G1314)&lt;&gt;14,"ERRO: "&amp;LEN(G1314)&amp;" dígitos",IF(NOT(ISNUMBER(VALUE(G1314))),"ERRO: não numérico",IF(AND(VALUE(MID(G1314,13,1))=IF(MOD(SUMPRODUCT(--MID(G1314,{1,2,3,4,5,6,7,8,9,10,11,12},1),{5,4,3,2,9,8,7,6,5,4,3,2}),11)&lt;2,0,11-MOD(SUMPRODUCT(--MID(G1314,{1,2,3,4,5,6,7,8,9,10,11,12},1),{5,4,3,2,9,8,7,6,5,4,3,2}),11)),VALUE(MID(G1314,14,1))=IF(MOD(SUMPRODUCT(--MID(G1314,{1,2,3,4,5,6,7,8,9,10,11,12,13},1),{6,5,4,3,2,9,8,7,6,5,4,3,2}),11)&lt;2,0,11-MOD(SUMPRODUCT(--MID(G1314,{1,2,3,4,5,6,7,8,9,10,11,12,13},1),{6,5,4,3,2,9,8,7,6,5,4,3,2}),11))),"OK","AVISO: dígito verificador (conferir na org)"))))</f>
      </c>
      <c r="I1314" s="6">
        <f>IF(G1314="","",IF(COUNTIF($G$2:$G$2001,G1314)&gt;1,"DUPLICADO","OK"))</f>
      </c>
      <c r="J1314" s="6">
        <f>IF(COUNTA(A1314:F1314)=0,"",IF(AND(A1314&lt;&gt;"",E1314&lt;&gt;""),"OK","ERRO: faltam "&amp;IF(A1314="","CNPJ; ","")&amp;IF(E1314="","Novo gerente; ","")))</f>
      </c>
      <c r="K1314" s="6">
        <f>IF(COUNTA(A1314:F1314)=0,"",IF(AND(LEFT(H1314,4)&lt;&gt;"ERRO",I1314="OK",J1314="OK"),"OK","REVISAR"))</f>
      </c>
    </row>
    <row r="1315">
      <c r="A1315" s="5"/>
      <c r="B1315" s="4"/>
      <c r="C1315" s="4"/>
      <c r="D1315" s="4"/>
      <c r="E1315" s="5"/>
      <c r="F1315" s="4"/>
      <c r="G1315" s="6">
        <f>IF(A1315="","",SUBSTITUTE(SUBSTITUTE(SUBSTITUTE(SUBSTITUTE(SUBSTITUTE(SUBSTITUTE(SUBSTITUTE(TRIM(A1315),".",""),"/",""),"-","")," ",""),"(",""),")",""),"+",""))</f>
      </c>
      <c r="H1315" s="6">
        <f>IF(G1315="","",IF(LEN(G1315)&lt;&gt;14,"ERRO: "&amp;LEN(G1315)&amp;" dígitos",IF(NOT(ISNUMBER(VALUE(G1315))),"ERRO: não numérico",IF(AND(VALUE(MID(G1315,13,1))=IF(MOD(SUMPRODUCT(--MID(G1315,{1,2,3,4,5,6,7,8,9,10,11,12},1),{5,4,3,2,9,8,7,6,5,4,3,2}),11)&lt;2,0,11-MOD(SUMPRODUCT(--MID(G1315,{1,2,3,4,5,6,7,8,9,10,11,12},1),{5,4,3,2,9,8,7,6,5,4,3,2}),11)),VALUE(MID(G1315,14,1))=IF(MOD(SUMPRODUCT(--MID(G1315,{1,2,3,4,5,6,7,8,9,10,11,12,13},1),{6,5,4,3,2,9,8,7,6,5,4,3,2}),11)&lt;2,0,11-MOD(SUMPRODUCT(--MID(G1315,{1,2,3,4,5,6,7,8,9,10,11,12,13},1),{6,5,4,3,2,9,8,7,6,5,4,3,2}),11))),"OK","AVISO: dígito verificador (conferir na org)"))))</f>
      </c>
      <c r="I1315" s="6">
        <f>IF(G1315="","",IF(COUNTIF($G$2:$G$2001,G1315)&gt;1,"DUPLICADO","OK"))</f>
      </c>
      <c r="J1315" s="6">
        <f>IF(COUNTA(A1315:F1315)=0,"",IF(AND(A1315&lt;&gt;"",E1315&lt;&gt;""),"OK","ERRO: faltam "&amp;IF(A1315="","CNPJ; ","")&amp;IF(E1315="","Novo gerente; ","")))</f>
      </c>
      <c r="K1315" s="6">
        <f>IF(COUNTA(A1315:F1315)=0,"",IF(AND(LEFT(H1315,4)&lt;&gt;"ERRO",I1315="OK",J1315="OK"),"OK","REVISAR"))</f>
      </c>
    </row>
    <row r="1316">
      <c r="A1316" s="5"/>
      <c r="B1316" s="4"/>
      <c r="C1316" s="4"/>
      <c r="D1316" s="4"/>
      <c r="E1316" s="5"/>
      <c r="F1316" s="4"/>
      <c r="G1316" s="6">
        <f>IF(A1316="","",SUBSTITUTE(SUBSTITUTE(SUBSTITUTE(SUBSTITUTE(SUBSTITUTE(SUBSTITUTE(SUBSTITUTE(TRIM(A1316),".",""),"/",""),"-","")," ",""),"(",""),")",""),"+",""))</f>
      </c>
      <c r="H1316" s="6">
        <f>IF(G1316="","",IF(LEN(G1316)&lt;&gt;14,"ERRO: "&amp;LEN(G1316)&amp;" dígitos",IF(NOT(ISNUMBER(VALUE(G1316))),"ERRO: não numérico",IF(AND(VALUE(MID(G1316,13,1))=IF(MOD(SUMPRODUCT(--MID(G1316,{1,2,3,4,5,6,7,8,9,10,11,12},1),{5,4,3,2,9,8,7,6,5,4,3,2}),11)&lt;2,0,11-MOD(SUMPRODUCT(--MID(G1316,{1,2,3,4,5,6,7,8,9,10,11,12},1),{5,4,3,2,9,8,7,6,5,4,3,2}),11)),VALUE(MID(G1316,14,1))=IF(MOD(SUMPRODUCT(--MID(G1316,{1,2,3,4,5,6,7,8,9,10,11,12,13},1),{6,5,4,3,2,9,8,7,6,5,4,3,2}),11)&lt;2,0,11-MOD(SUMPRODUCT(--MID(G1316,{1,2,3,4,5,6,7,8,9,10,11,12,13},1),{6,5,4,3,2,9,8,7,6,5,4,3,2}),11))),"OK","AVISO: dígito verificador (conferir na org)"))))</f>
      </c>
      <c r="I1316" s="6">
        <f>IF(G1316="","",IF(COUNTIF($G$2:$G$2001,G1316)&gt;1,"DUPLICADO","OK"))</f>
      </c>
      <c r="J1316" s="6">
        <f>IF(COUNTA(A1316:F1316)=0,"",IF(AND(A1316&lt;&gt;"",E1316&lt;&gt;""),"OK","ERRO: faltam "&amp;IF(A1316="","CNPJ; ","")&amp;IF(E1316="","Novo gerente; ","")))</f>
      </c>
      <c r="K1316" s="6">
        <f>IF(COUNTA(A1316:F1316)=0,"",IF(AND(LEFT(H1316,4)&lt;&gt;"ERRO",I1316="OK",J1316="OK"),"OK","REVISAR"))</f>
      </c>
    </row>
    <row r="1317">
      <c r="A1317" s="5"/>
      <c r="B1317" s="4"/>
      <c r="C1317" s="4"/>
      <c r="D1317" s="4"/>
      <c r="E1317" s="5"/>
      <c r="F1317" s="4"/>
      <c r="G1317" s="6">
        <f>IF(A1317="","",SUBSTITUTE(SUBSTITUTE(SUBSTITUTE(SUBSTITUTE(SUBSTITUTE(SUBSTITUTE(SUBSTITUTE(TRIM(A1317),".",""),"/",""),"-","")," ",""),"(",""),")",""),"+",""))</f>
      </c>
      <c r="H1317" s="6">
        <f>IF(G1317="","",IF(LEN(G1317)&lt;&gt;14,"ERRO: "&amp;LEN(G1317)&amp;" dígitos",IF(NOT(ISNUMBER(VALUE(G1317))),"ERRO: não numérico",IF(AND(VALUE(MID(G1317,13,1))=IF(MOD(SUMPRODUCT(--MID(G1317,{1,2,3,4,5,6,7,8,9,10,11,12},1),{5,4,3,2,9,8,7,6,5,4,3,2}),11)&lt;2,0,11-MOD(SUMPRODUCT(--MID(G1317,{1,2,3,4,5,6,7,8,9,10,11,12},1),{5,4,3,2,9,8,7,6,5,4,3,2}),11)),VALUE(MID(G1317,14,1))=IF(MOD(SUMPRODUCT(--MID(G1317,{1,2,3,4,5,6,7,8,9,10,11,12,13},1),{6,5,4,3,2,9,8,7,6,5,4,3,2}),11)&lt;2,0,11-MOD(SUMPRODUCT(--MID(G1317,{1,2,3,4,5,6,7,8,9,10,11,12,13},1),{6,5,4,3,2,9,8,7,6,5,4,3,2}),11))),"OK","AVISO: dígito verificador (conferir na org)"))))</f>
      </c>
      <c r="I1317" s="6">
        <f>IF(G1317="","",IF(COUNTIF($G$2:$G$2001,G1317)&gt;1,"DUPLICADO","OK"))</f>
      </c>
      <c r="J1317" s="6">
        <f>IF(COUNTA(A1317:F1317)=0,"",IF(AND(A1317&lt;&gt;"",E1317&lt;&gt;""),"OK","ERRO: faltam "&amp;IF(A1317="","CNPJ; ","")&amp;IF(E1317="","Novo gerente; ","")))</f>
      </c>
      <c r="K1317" s="6">
        <f>IF(COUNTA(A1317:F1317)=0,"",IF(AND(LEFT(H1317,4)&lt;&gt;"ERRO",I1317="OK",J1317="OK"),"OK","REVISAR"))</f>
      </c>
    </row>
    <row r="1318">
      <c r="A1318" s="5"/>
      <c r="B1318" s="4"/>
      <c r="C1318" s="4"/>
      <c r="D1318" s="4"/>
      <c r="E1318" s="5"/>
      <c r="F1318" s="4"/>
      <c r="G1318" s="6">
        <f>IF(A1318="","",SUBSTITUTE(SUBSTITUTE(SUBSTITUTE(SUBSTITUTE(SUBSTITUTE(SUBSTITUTE(SUBSTITUTE(TRIM(A1318),".",""),"/",""),"-","")," ",""),"(",""),")",""),"+",""))</f>
      </c>
      <c r="H1318" s="6">
        <f>IF(G1318="","",IF(LEN(G1318)&lt;&gt;14,"ERRO: "&amp;LEN(G1318)&amp;" dígitos",IF(NOT(ISNUMBER(VALUE(G1318))),"ERRO: não numérico",IF(AND(VALUE(MID(G1318,13,1))=IF(MOD(SUMPRODUCT(--MID(G1318,{1,2,3,4,5,6,7,8,9,10,11,12},1),{5,4,3,2,9,8,7,6,5,4,3,2}),11)&lt;2,0,11-MOD(SUMPRODUCT(--MID(G1318,{1,2,3,4,5,6,7,8,9,10,11,12},1),{5,4,3,2,9,8,7,6,5,4,3,2}),11)),VALUE(MID(G1318,14,1))=IF(MOD(SUMPRODUCT(--MID(G1318,{1,2,3,4,5,6,7,8,9,10,11,12,13},1),{6,5,4,3,2,9,8,7,6,5,4,3,2}),11)&lt;2,0,11-MOD(SUMPRODUCT(--MID(G1318,{1,2,3,4,5,6,7,8,9,10,11,12,13},1),{6,5,4,3,2,9,8,7,6,5,4,3,2}),11))),"OK","AVISO: dígito verificador (conferir na org)"))))</f>
      </c>
      <c r="I1318" s="6">
        <f>IF(G1318="","",IF(COUNTIF($G$2:$G$2001,G1318)&gt;1,"DUPLICADO","OK"))</f>
      </c>
      <c r="J1318" s="6">
        <f>IF(COUNTA(A1318:F1318)=0,"",IF(AND(A1318&lt;&gt;"",E1318&lt;&gt;""),"OK","ERRO: faltam "&amp;IF(A1318="","CNPJ; ","")&amp;IF(E1318="","Novo gerente; ","")))</f>
      </c>
      <c r="K1318" s="6">
        <f>IF(COUNTA(A1318:F1318)=0,"",IF(AND(LEFT(H1318,4)&lt;&gt;"ERRO",I1318="OK",J1318="OK"),"OK","REVISAR"))</f>
      </c>
    </row>
    <row r="1319">
      <c r="A1319" s="5"/>
      <c r="B1319" s="4"/>
      <c r="C1319" s="4"/>
      <c r="D1319" s="4"/>
      <c r="E1319" s="5"/>
      <c r="F1319" s="4"/>
      <c r="G1319" s="6">
        <f>IF(A1319="","",SUBSTITUTE(SUBSTITUTE(SUBSTITUTE(SUBSTITUTE(SUBSTITUTE(SUBSTITUTE(SUBSTITUTE(TRIM(A1319),".",""),"/",""),"-","")," ",""),"(",""),")",""),"+",""))</f>
      </c>
      <c r="H1319" s="6">
        <f>IF(G1319="","",IF(LEN(G1319)&lt;&gt;14,"ERRO: "&amp;LEN(G1319)&amp;" dígitos",IF(NOT(ISNUMBER(VALUE(G1319))),"ERRO: não numérico",IF(AND(VALUE(MID(G1319,13,1))=IF(MOD(SUMPRODUCT(--MID(G1319,{1,2,3,4,5,6,7,8,9,10,11,12},1),{5,4,3,2,9,8,7,6,5,4,3,2}),11)&lt;2,0,11-MOD(SUMPRODUCT(--MID(G1319,{1,2,3,4,5,6,7,8,9,10,11,12},1),{5,4,3,2,9,8,7,6,5,4,3,2}),11)),VALUE(MID(G1319,14,1))=IF(MOD(SUMPRODUCT(--MID(G1319,{1,2,3,4,5,6,7,8,9,10,11,12,13},1),{6,5,4,3,2,9,8,7,6,5,4,3,2}),11)&lt;2,0,11-MOD(SUMPRODUCT(--MID(G1319,{1,2,3,4,5,6,7,8,9,10,11,12,13},1),{6,5,4,3,2,9,8,7,6,5,4,3,2}),11))),"OK","AVISO: dígito verificador (conferir na org)"))))</f>
      </c>
      <c r="I1319" s="6">
        <f>IF(G1319="","",IF(COUNTIF($G$2:$G$2001,G1319)&gt;1,"DUPLICADO","OK"))</f>
      </c>
      <c r="J1319" s="6">
        <f>IF(COUNTA(A1319:F1319)=0,"",IF(AND(A1319&lt;&gt;"",E1319&lt;&gt;""),"OK","ERRO: faltam "&amp;IF(A1319="","CNPJ; ","")&amp;IF(E1319="","Novo gerente; ","")))</f>
      </c>
      <c r="K1319" s="6">
        <f>IF(COUNTA(A1319:F1319)=0,"",IF(AND(LEFT(H1319,4)&lt;&gt;"ERRO",I1319="OK",J1319="OK"),"OK","REVISAR"))</f>
      </c>
    </row>
    <row r="1320">
      <c r="A1320" s="5"/>
      <c r="B1320" s="4"/>
      <c r="C1320" s="4"/>
      <c r="D1320" s="4"/>
      <c r="E1320" s="5"/>
      <c r="F1320" s="4"/>
      <c r="G1320" s="6">
        <f>IF(A1320="","",SUBSTITUTE(SUBSTITUTE(SUBSTITUTE(SUBSTITUTE(SUBSTITUTE(SUBSTITUTE(SUBSTITUTE(TRIM(A1320),".",""),"/",""),"-","")," ",""),"(",""),")",""),"+",""))</f>
      </c>
      <c r="H1320" s="6">
        <f>IF(G1320="","",IF(LEN(G1320)&lt;&gt;14,"ERRO: "&amp;LEN(G1320)&amp;" dígitos",IF(NOT(ISNUMBER(VALUE(G1320))),"ERRO: não numérico",IF(AND(VALUE(MID(G1320,13,1))=IF(MOD(SUMPRODUCT(--MID(G1320,{1,2,3,4,5,6,7,8,9,10,11,12},1),{5,4,3,2,9,8,7,6,5,4,3,2}),11)&lt;2,0,11-MOD(SUMPRODUCT(--MID(G1320,{1,2,3,4,5,6,7,8,9,10,11,12},1),{5,4,3,2,9,8,7,6,5,4,3,2}),11)),VALUE(MID(G1320,14,1))=IF(MOD(SUMPRODUCT(--MID(G1320,{1,2,3,4,5,6,7,8,9,10,11,12,13},1),{6,5,4,3,2,9,8,7,6,5,4,3,2}),11)&lt;2,0,11-MOD(SUMPRODUCT(--MID(G1320,{1,2,3,4,5,6,7,8,9,10,11,12,13},1),{6,5,4,3,2,9,8,7,6,5,4,3,2}),11))),"OK","AVISO: dígito verificador (conferir na org)"))))</f>
      </c>
      <c r="I1320" s="6">
        <f>IF(G1320="","",IF(COUNTIF($G$2:$G$2001,G1320)&gt;1,"DUPLICADO","OK"))</f>
      </c>
      <c r="J1320" s="6">
        <f>IF(COUNTA(A1320:F1320)=0,"",IF(AND(A1320&lt;&gt;"",E1320&lt;&gt;""),"OK","ERRO: faltam "&amp;IF(A1320="","CNPJ; ","")&amp;IF(E1320="","Novo gerente; ","")))</f>
      </c>
      <c r="K1320" s="6">
        <f>IF(COUNTA(A1320:F1320)=0,"",IF(AND(LEFT(H1320,4)&lt;&gt;"ERRO",I1320="OK",J1320="OK"),"OK","REVISAR"))</f>
      </c>
    </row>
    <row r="1321">
      <c r="A1321" s="5"/>
      <c r="B1321" s="4"/>
      <c r="C1321" s="4"/>
      <c r="D1321" s="4"/>
      <c r="E1321" s="5"/>
      <c r="F1321" s="4"/>
      <c r="G1321" s="6">
        <f>IF(A1321="","",SUBSTITUTE(SUBSTITUTE(SUBSTITUTE(SUBSTITUTE(SUBSTITUTE(SUBSTITUTE(SUBSTITUTE(TRIM(A1321),".",""),"/",""),"-","")," ",""),"(",""),")",""),"+",""))</f>
      </c>
      <c r="H1321" s="6">
        <f>IF(G1321="","",IF(LEN(G1321)&lt;&gt;14,"ERRO: "&amp;LEN(G1321)&amp;" dígitos",IF(NOT(ISNUMBER(VALUE(G1321))),"ERRO: não numérico",IF(AND(VALUE(MID(G1321,13,1))=IF(MOD(SUMPRODUCT(--MID(G1321,{1,2,3,4,5,6,7,8,9,10,11,12},1),{5,4,3,2,9,8,7,6,5,4,3,2}),11)&lt;2,0,11-MOD(SUMPRODUCT(--MID(G1321,{1,2,3,4,5,6,7,8,9,10,11,12},1),{5,4,3,2,9,8,7,6,5,4,3,2}),11)),VALUE(MID(G1321,14,1))=IF(MOD(SUMPRODUCT(--MID(G1321,{1,2,3,4,5,6,7,8,9,10,11,12,13},1),{6,5,4,3,2,9,8,7,6,5,4,3,2}),11)&lt;2,0,11-MOD(SUMPRODUCT(--MID(G1321,{1,2,3,4,5,6,7,8,9,10,11,12,13},1),{6,5,4,3,2,9,8,7,6,5,4,3,2}),11))),"OK","AVISO: dígito verificador (conferir na org)"))))</f>
      </c>
      <c r="I1321" s="6">
        <f>IF(G1321="","",IF(COUNTIF($G$2:$G$2001,G1321)&gt;1,"DUPLICADO","OK"))</f>
      </c>
      <c r="J1321" s="6">
        <f>IF(COUNTA(A1321:F1321)=0,"",IF(AND(A1321&lt;&gt;"",E1321&lt;&gt;""),"OK","ERRO: faltam "&amp;IF(A1321="","CNPJ; ","")&amp;IF(E1321="","Novo gerente; ","")))</f>
      </c>
      <c r="K1321" s="6">
        <f>IF(COUNTA(A1321:F1321)=0,"",IF(AND(LEFT(H1321,4)&lt;&gt;"ERRO",I1321="OK",J1321="OK"),"OK","REVISAR"))</f>
      </c>
    </row>
    <row r="1322">
      <c r="A1322" s="5"/>
      <c r="B1322" s="4"/>
      <c r="C1322" s="4"/>
      <c r="D1322" s="4"/>
      <c r="E1322" s="5"/>
      <c r="F1322" s="4"/>
      <c r="G1322" s="6">
        <f>IF(A1322="","",SUBSTITUTE(SUBSTITUTE(SUBSTITUTE(SUBSTITUTE(SUBSTITUTE(SUBSTITUTE(SUBSTITUTE(TRIM(A1322),".",""),"/",""),"-","")," ",""),"(",""),")",""),"+",""))</f>
      </c>
      <c r="H1322" s="6">
        <f>IF(G1322="","",IF(LEN(G1322)&lt;&gt;14,"ERRO: "&amp;LEN(G1322)&amp;" dígitos",IF(NOT(ISNUMBER(VALUE(G1322))),"ERRO: não numérico",IF(AND(VALUE(MID(G1322,13,1))=IF(MOD(SUMPRODUCT(--MID(G1322,{1,2,3,4,5,6,7,8,9,10,11,12},1),{5,4,3,2,9,8,7,6,5,4,3,2}),11)&lt;2,0,11-MOD(SUMPRODUCT(--MID(G1322,{1,2,3,4,5,6,7,8,9,10,11,12},1),{5,4,3,2,9,8,7,6,5,4,3,2}),11)),VALUE(MID(G1322,14,1))=IF(MOD(SUMPRODUCT(--MID(G1322,{1,2,3,4,5,6,7,8,9,10,11,12,13},1),{6,5,4,3,2,9,8,7,6,5,4,3,2}),11)&lt;2,0,11-MOD(SUMPRODUCT(--MID(G1322,{1,2,3,4,5,6,7,8,9,10,11,12,13},1),{6,5,4,3,2,9,8,7,6,5,4,3,2}),11))),"OK","AVISO: dígito verificador (conferir na org)"))))</f>
      </c>
      <c r="I1322" s="6">
        <f>IF(G1322="","",IF(COUNTIF($G$2:$G$2001,G1322)&gt;1,"DUPLICADO","OK"))</f>
      </c>
      <c r="J1322" s="6">
        <f>IF(COUNTA(A1322:F1322)=0,"",IF(AND(A1322&lt;&gt;"",E1322&lt;&gt;""),"OK","ERRO: faltam "&amp;IF(A1322="","CNPJ; ","")&amp;IF(E1322="","Novo gerente; ","")))</f>
      </c>
      <c r="K1322" s="6">
        <f>IF(COUNTA(A1322:F1322)=0,"",IF(AND(LEFT(H1322,4)&lt;&gt;"ERRO",I1322="OK",J1322="OK"),"OK","REVISAR"))</f>
      </c>
    </row>
    <row r="1323">
      <c r="A1323" s="5"/>
      <c r="B1323" s="4"/>
      <c r="C1323" s="4"/>
      <c r="D1323" s="4"/>
      <c r="E1323" s="5"/>
      <c r="F1323" s="4"/>
      <c r="G1323" s="6">
        <f>IF(A1323="","",SUBSTITUTE(SUBSTITUTE(SUBSTITUTE(SUBSTITUTE(SUBSTITUTE(SUBSTITUTE(SUBSTITUTE(TRIM(A1323),".",""),"/",""),"-","")," ",""),"(",""),")",""),"+",""))</f>
      </c>
      <c r="H1323" s="6">
        <f>IF(G1323="","",IF(LEN(G1323)&lt;&gt;14,"ERRO: "&amp;LEN(G1323)&amp;" dígitos",IF(NOT(ISNUMBER(VALUE(G1323))),"ERRO: não numérico",IF(AND(VALUE(MID(G1323,13,1))=IF(MOD(SUMPRODUCT(--MID(G1323,{1,2,3,4,5,6,7,8,9,10,11,12},1),{5,4,3,2,9,8,7,6,5,4,3,2}),11)&lt;2,0,11-MOD(SUMPRODUCT(--MID(G1323,{1,2,3,4,5,6,7,8,9,10,11,12},1),{5,4,3,2,9,8,7,6,5,4,3,2}),11)),VALUE(MID(G1323,14,1))=IF(MOD(SUMPRODUCT(--MID(G1323,{1,2,3,4,5,6,7,8,9,10,11,12,13},1),{6,5,4,3,2,9,8,7,6,5,4,3,2}),11)&lt;2,0,11-MOD(SUMPRODUCT(--MID(G1323,{1,2,3,4,5,6,7,8,9,10,11,12,13},1),{6,5,4,3,2,9,8,7,6,5,4,3,2}),11))),"OK","AVISO: dígito verificador (conferir na org)"))))</f>
      </c>
      <c r="I1323" s="6">
        <f>IF(G1323="","",IF(COUNTIF($G$2:$G$2001,G1323)&gt;1,"DUPLICADO","OK"))</f>
      </c>
      <c r="J1323" s="6">
        <f>IF(COUNTA(A1323:F1323)=0,"",IF(AND(A1323&lt;&gt;"",E1323&lt;&gt;""),"OK","ERRO: faltam "&amp;IF(A1323="","CNPJ; ","")&amp;IF(E1323="","Novo gerente; ","")))</f>
      </c>
      <c r="K1323" s="6">
        <f>IF(COUNTA(A1323:F1323)=0,"",IF(AND(LEFT(H1323,4)&lt;&gt;"ERRO",I1323="OK",J1323="OK"),"OK","REVISAR"))</f>
      </c>
    </row>
    <row r="1324">
      <c r="A1324" s="5"/>
      <c r="B1324" s="4"/>
      <c r="C1324" s="4"/>
      <c r="D1324" s="4"/>
      <c r="E1324" s="5"/>
      <c r="F1324" s="4"/>
      <c r="G1324" s="6">
        <f>IF(A1324="","",SUBSTITUTE(SUBSTITUTE(SUBSTITUTE(SUBSTITUTE(SUBSTITUTE(SUBSTITUTE(SUBSTITUTE(TRIM(A1324),".",""),"/",""),"-","")," ",""),"(",""),")",""),"+",""))</f>
      </c>
      <c r="H1324" s="6">
        <f>IF(G1324="","",IF(LEN(G1324)&lt;&gt;14,"ERRO: "&amp;LEN(G1324)&amp;" dígitos",IF(NOT(ISNUMBER(VALUE(G1324))),"ERRO: não numérico",IF(AND(VALUE(MID(G1324,13,1))=IF(MOD(SUMPRODUCT(--MID(G1324,{1,2,3,4,5,6,7,8,9,10,11,12},1),{5,4,3,2,9,8,7,6,5,4,3,2}),11)&lt;2,0,11-MOD(SUMPRODUCT(--MID(G1324,{1,2,3,4,5,6,7,8,9,10,11,12},1),{5,4,3,2,9,8,7,6,5,4,3,2}),11)),VALUE(MID(G1324,14,1))=IF(MOD(SUMPRODUCT(--MID(G1324,{1,2,3,4,5,6,7,8,9,10,11,12,13},1),{6,5,4,3,2,9,8,7,6,5,4,3,2}),11)&lt;2,0,11-MOD(SUMPRODUCT(--MID(G1324,{1,2,3,4,5,6,7,8,9,10,11,12,13},1),{6,5,4,3,2,9,8,7,6,5,4,3,2}),11))),"OK","AVISO: dígito verificador (conferir na org)"))))</f>
      </c>
      <c r="I1324" s="6">
        <f>IF(G1324="","",IF(COUNTIF($G$2:$G$2001,G1324)&gt;1,"DUPLICADO","OK"))</f>
      </c>
      <c r="J1324" s="6">
        <f>IF(COUNTA(A1324:F1324)=0,"",IF(AND(A1324&lt;&gt;"",E1324&lt;&gt;""),"OK","ERRO: faltam "&amp;IF(A1324="","CNPJ; ","")&amp;IF(E1324="","Novo gerente; ","")))</f>
      </c>
      <c r="K1324" s="6">
        <f>IF(COUNTA(A1324:F1324)=0,"",IF(AND(LEFT(H1324,4)&lt;&gt;"ERRO",I1324="OK",J1324="OK"),"OK","REVISAR"))</f>
      </c>
    </row>
    <row r="1325">
      <c r="A1325" s="5"/>
      <c r="B1325" s="4"/>
      <c r="C1325" s="4"/>
      <c r="D1325" s="4"/>
      <c r="E1325" s="5"/>
      <c r="F1325" s="4"/>
      <c r="G1325" s="6">
        <f>IF(A1325="","",SUBSTITUTE(SUBSTITUTE(SUBSTITUTE(SUBSTITUTE(SUBSTITUTE(SUBSTITUTE(SUBSTITUTE(TRIM(A1325),".",""),"/",""),"-","")," ",""),"(",""),")",""),"+",""))</f>
      </c>
      <c r="H1325" s="6">
        <f>IF(G1325="","",IF(LEN(G1325)&lt;&gt;14,"ERRO: "&amp;LEN(G1325)&amp;" dígitos",IF(NOT(ISNUMBER(VALUE(G1325))),"ERRO: não numérico",IF(AND(VALUE(MID(G1325,13,1))=IF(MOD(SUMPRODUCT(--MID(G1325,{1,2,3,4,5,6,7,8,9,10,11,12},1),{5,4,3,2,9,8,7,6,5,4,3,2}),11)&lt;2,0,11-MOD(SUMPRODUCT(--MID(G1325,{1,2,3,4,5,6,7,8,9,10,11,12},1),{5,4,3,2,9,8,7,6,5,4,3,2}),11)),VALUE(MID(G1325,14,1))=IF(MOD(SUMPRODUCT(--MID(G1325,{1,2,3,4,5,6,7,8,9,10,11,12,13},1),{6,5,4,3,2,9,8,7,6,5,4,3,2}),11)&lt;2,0,11-MOD(SUMPRODUCT(--MID(G1325,{1,2,3,4,5,6,7,8,9,10,11,12,13},1),{6,5,4,3,2,9,8,7,6,5,4,3,2}),11))),"OK","AVISO: dígito verificador (conferir na org)"))))</f>
      </c>
      <c r="I1325" s="6">
        <f>IF(G1325="","",IF(COUNTIF($G$2:$G$2001,G1325)&gt;1,"DUPLICADO","OK"))</f>
      </c>
      <c r="J1325" s="6">
        <f>IF(COUNTA(A1325:F1325)=0,"",IF(AND(A1325&lt;&gt;"",E1325&lt;&gt;""),"OK","ERRO: faltam "&amp;IF(A1325="","CNPJ; ","")&amp;IF(E1325="","Novo gerente; ","")))</f>
      </c>
      <c r="K1325" s="6">
        <f>IF(COUNTA(A1325:F1325)=0,"",IF(AND(LEFT(H1325,4)&lt;&gt;"ERRO",I1325="OK",J1325="OK"),"OK","REVISAR"))</f>
      </c>
    </row>
    <row r="1326">
      <c r="A1326" s="5"/>
      <c r="B1326" s="4"/>
      <c r="C1326" s="4"/>
      <c r="D1326" s="4"/>
      <c r="E1326" s="5"/>
      <c r="F1326" s="4"/>
      <c r="G1326" s="6">
        <f>IF(A1326="","",SUBSTITUTE(SUBSTITUTE(SUBSTITUTE(SUBSTITUTE(SUBSTITUTE(SUBSTITUTE(SUBSTITUTE(TRIM(A1326),".",""),"/",""),"-","")," ",""),"(",""),")",""),"+",""))</f>
      </c>
      <c r="H1326" s="6">
        <f>IF(G1326="","",IF(LEN(G1326)&lt;&gt;14,"ERRO: "&amp;LEN(G1326)&amp;" dígitos",IF(NOT(ISNUMBER(VALUE(G1326))),"ERRO: não numérico",IF(AND(VALUE(MID(G1326,13,1))=IF(MOD(SUMPRODUCT(--MID(G1326,{1,2,3,4,5,6,7,8,9,10,11,12},1),{5,4,3,2,9,8,7,6,5,4,3,2}),11)&lt;2,0,11-MOD(SUMPRODUCT(--MID(G1326,{1,2,3,4,5,6,7,8,9,10,11,12},1),{5,4,3,2,9,8,7,6,5,4,3,2}),11)),VALUE(MID(G1326,14,1))=IF(MOD(SUMPRODUCT(--MID(G1326,{1,2,3,4,5,6,7,8,9,10,11,12,13},1),{6,5,4,3,2,9,8,7,6,5,4,3,2}),11)&lt;2,0,11-MOD(SUMPRODUCT(--MID(G1326,{1,2,3,4,5,6,7,8,9,10,11,12,13},1),{6,5,4,3,2,9,8,7,6,5,4,3,2}),11))),"OK","AVISO: dígito verificador (conferir na org)"))))</f>
      </c>
      <c r="I1326" s="6">
        <f>IF(G1326="","",IF(COUNTIF($G$2:$G$2001,G1326)&gt;1,"DUPLICADO","OK"))</f>
      </c>
      <c r="J1326" s="6">
        <f>IF(COUNTA(A1326:F1326)=0,"",IF(AND(A1326&lt;&gt;"",E1326&lt;&gt;""),"OK","ERRO: faltam "&amp;IF(A1326="","CNPJ; ","")&amp;IF(E1326="","Novo gerente; ","")))</f>
      </c>
      <c r="K1326" s="6">
        <f>IF(COUNTA(A1326:F1326)=0,"",IF(AND(LEFT(H1326,4)&lt;&gt;"ERRO",I1326="OK",J1326="OK"),"OK","REVISAR"))</f>
      </c>
    </row>
    <row r="1327">
      <c r="A1327" s="5"/>
      <c r="B1327" s="4"/>
      <c r="C1327" s="4"/>
      <c r="D1327" s="4"/>
      <c r="E1327" s="5"/>
      <c r="F1327" s="4"/>
      <c r="G1327" s="6">
        <f>IF(A1327="","",SUBSTITUTE(SUBSTITUTE(SUBSTITUTE(SUBSTITUTE(SUBSTITUTE(SUBSTITUTE(SUBSTITUTE(TRIM(A1327),".",""),"/",""),"-","")," ",""),"(",""),")",""),"+",""))</f>
      </c>
      <c r="H1327" s="6">
        <f>IF(G1327="","",IF(LEN(G1327)&lt;&gt;14,"ERRO: "&amp;LEN(G1327)&amp;" dígitos",IF(NOT(ISNUMBER(VALUE(G1327))),"ERRO: não numérico",IF(AND(VALUE(MID(G1327,13,1))=IF(MOD(SUMPRODUCT(--MID(G1327,{1,2,3,4,5,6,7,8,9,10,11,12},1),{5,4,3,2,9,8,7,6,5,4,3,2}),11)&lt;2,0,11-MOD(SUMPRODUCT(--MID(G1327,{1,2,3,4,5,6,7,8,9,10,11,12},1),{5,4,3,2,9,8,7,6,5,4,3,2}),11)),VALUE(MID(G1327,14,1))=IF(MOD(SUMPRODUCT(--MID(G1327,{1,2,3,4,5,6,7,8,9,10,11,12,13},1),{6,5,4,3,2,9,8,7,6,5,4,3,2}),11)&lt;2,0,11-MOD(SUMPRODUCT(--MID(G1327,{1,2,3,4,5,6,7,8,9,10,11,12,13},1),{6,5,4,3,2,9,8,7,6,5,4,3,2}),11))),"OK","AVISO: dígito verificador (conferir na org)"))))</f>
      </c>
      <c r="I1327" s="6">
        <f>IF(G1327="","",IF(COUNTIF($G$2:$G$2001,G1327)&gt;1,"DUPLICADO","OK"))</f>
      </c>
      <c r="J1327" s="6">
        <f>IF(COUNTA(A1327:F1327)=0,"",IF(AND(A1327&lt;&gt;"",E1327&lt;&gt;""),"OK","ERRO: faltam "&amp;IF(A1327="","CNPJ; ","")&amp;IF(E1327="","Novo gerente; ","")))</f>
      </c>
      <c r="K1327" s="6">
        <f>IF(COUNTA(A1327:F1327)=0,"",IF(AND(LEFT(H1327,4)&lt;&gt;"ERRO",I1327="OK",J1327="OK"),"OK","REVISAR"))</f>
      </c>
    </row>
    <row r="1328">
      <c r="A1328" s="5"/>
      <c r="B1328" s="4"/>
      <c r="C1328" s="4"/>
      <c r="D1328" s="4"/>
      <c r="E1328" s="5"/>
      <c r="F1328" s="4"/>
      <c r="G1328" s="6">
        <f>IF(A1328="","",SUBSTITUTE(SUBSTITUTE(SUBSTITUTE(SUBSTITUTE(SUBSTITUTE(SUBSTITUTE(SUBSTITUTE(TRIM(A1328),".",""),"/",""),"-","")," ",""),"(",""),")",""),"+",""))</f>
      </c>
      <c r="H1328" s="6">
        <f>IF(G1328="","",IF(LEN(G1328)&lt;&gt;14,"ERRO: "&amp;LEN(G1328)&amp;" dígitos",IF(NOT(ISNUMBER(VALUE(G1328))),"ERRO: não numérico",IF(AND(VALUE(MID(G1328,13,1))=IF(MOD(SUMPRODUCT(--MID(G1328,{1,2,3,4,5,6,7,8,9,10,11,12},1),{5,4,3,2,9,8,7,6,5,4,3,2}),11)&lt;2,0,11-MOD(SUMPRODUCT(--MID(G1328,{1,2,3,4,5,6,7,8,9,10,11,12},1),{5,4,3,2,9,8,7,6,5,4,3,2}),11)),VALUE(MID(G1328,14,1))=IF(MOD(SUMPRODUCT(--MID(G1328,{1,2,3,4,5,6,7,8,9,10,11,12,13},1),{6,5,4,3,2,9,8,7,6,5,4,3,2}),11)&lt;2,0,11-MOD(SUMPRODUCT(--MID(G1328,{1,2,3,4,5,6,7,8,9,10,11,12,13},1),{6,5,4,3,2,9,8,7,6,5,4,3,2}),11))),"OK","AVISO: dígito verificador (conferir na org)"))))</f>
      </c>
      <c r="I1328" s="6">
        <f>IF(G1328="","",IF(COUNTIF($G$2:$G$2001,G1328)&gt;1,"DUPLICADO","OK"))</f>
      </c>
      <c r="J1328" s="6">
        <f>IF(COUNTA(A1328:F1328)=0,"",IF(AND(A1328&lt;&gt;"",E1328&lt;&gt;""),"OK","ERRO: faltam "&amp;IF(A1328="","CNPJ; ","")&amp;IF(E1328="","Novo gerente; ","")))</f>
      </c>
      <c r="K1328" s="6">
        <f>IF(COUNTA(A1328:F1328)=0,"",IF(AND(LEFT(H1328,4)&lt;&gt;"ERRO",I1328="OK",J1328="OK"),"OK","REVISAR"))</f>
      </c>
    </row>
    <row r="1329">
      <c r="A1329" s="5"/>
      <c r="B1329" s="4"/>
      <c r="C1329" s="4"/>
      <c r="D1329" s="4"/>
      <c r="E1329" s="5"/>
      <c r="F1329" s="4"/>
      <c r="G1329" s="6">
        <f>IF(A1329="","",SUBSTITUTE(SUBSTITUTE(SUBSTITUTE(SUBSTITUTE(SUBSTITUTE(SUBSTITUTE(SUBSTITUTE(TRIM(A1329),".",""),"/",""),"-","")," ",""),"(",""),")",""),"+",""))</f>
      </c>
      <c r="H1329" s="6">
        <f>IF(G1329="","",IF(LEN(G1329)&lt;&gt;14,"ERRO: "&amp;LEN(G1329)&amp;" dígitos",IF(NOT(ISNUMBER(VALUE(G1329))),"ERRO: não numérico",IF(AND(VALUE(MID(G1329,13,1))=IF(MOD(SUMPRODUCT(--MID(G1329,{1,2,3,4,5,6,7,8,9,10,11,12},1),{5,4,3,2,9,8,7,6,5,4,3,2}),11)&lt;2,0,11-MOD(SUMPRODUCT(--MID(G1329,{1,2,3,4,5,6,7,8,9,10,11,12},1),{5,4,3,2,9,8,7,6,5,4,3,2}),11)),VALUE(MID(G1329,14,1))=IF(MOD(SUMPRODUCT(--MID(G1329,{1,2,3,4,5,6,7,8,9,10,11,12,13},1),{6,5,4,3,2,9,8,7,6,5,4,3,2}),11)&lt;2,0,11-MOD(SUMPRODUCT(--MID(G1329,{1,2,3,4,5,6,7,8,9,10,11,12,13},1),{6,5,4,3,2,9,8,7,6,5,4,3,2}),11))),"OK","AVISO: dígito verificador (conferir na org)"))))</f>
      </c>
      <c r="I1329" s="6">
        <f>IF(G1329="","",IF(COUNTIF($G$2:$G$2001,G1329)&gt;1,"DUPLICADO","OK"))</f>
      </c>
      <c r="J1329" s="6">
        <f>IF(COUNTA(A1329:F1329)=0,"",IF(AND(A1329&lt;&gt;"",E1329&lt;&gt;""),"OK","ERRO: faltam "&amp;IF(A1329="","CNPJ; ","")&amp;IF(E1329="","Novo gerente; ","")))</f>
      </c>
      <c r="K1329" s="6">
        <f>IF(COUNTA(A1329:F1329)=0,"",IF(AND(LEFT(H1329,4)&lt;&gt;"ERRO",I1329="OK",J1329="OK"),"OK","REVISAR"))</f>
      </c>
    </row>
    <row r="1330">
      <c r="A1330" s="5"/>
      <c r="B1330" s="4"/>
      <c r="C1330" s="4"/>
      <c r="D1330" s="4"/>
      <c r="E1330" s="5"/>
      <c r="F1330" s="4"/>
      <c r="G1330" s="6">
        <f>IF(A1330="","",SUBSTITUTE(SUBSTITUTE(SUBSTITUTE(SUBSTITUTE(SUBSTITUTE(SUBSTITUTE(SUBSTITUTE(TRIM(A1330),".",""),"/",""),"-","")," ",""),"(",""),")",""),"+",""))</f>
      </c>
      <c r="H1330" s="6">
        <f>IF(G1330="","",IF(LEN(G1330)&lt;&gt;14,"ERRO: "&amp;LEN(G1330)&amp;" dígitos",IF(NOT(ISNUMBER(VALUE(G1330))),"ERRO: não numérico",IF(AND(VALUE(MID(G1330,13,1))=IF(MOD(SUMPRODUCT(--MID(G1330,{1,2,3,4,5,6,7,8,9,10,11,12},1),{5,4,3,2,9,8,7,6,5,4,3,2}),11)&lt;2,0,11-MOD(SUMPRODUCT(--MID(G1330,{1,2,3,4,5,6,7,8,9,10,11,12},1),{5,4,3,2,9,8,7,6,5,4,3,2}),11)),VALUE(MID(G1330,14,1))=IF(MOD(SUMPRODUCT(--MID(G1330,{1,2,3,4,5,6,7,8,9,10,11,12,13},1),{6,5,4,3,2,9,8,7,6,5,4,3,2}),11)&lt;2,0,11-MOD(SUMPRODUCT(--MID(G1330,{1,2,3,4,5,6,7,8,9,10,11,12,13},1),{6,5,4,3,2,9,8,7,6,5,4,3,2}),11))),"OK","AVISO: dígito verificador (conferir na org)"))))</f>
      </c>
      <c r="I1330" s="6">
        <f>IF(G1330="","",IF(COUNTIF($G$2:$G$2001,G1330)&gt;1,"DUPLICADO","OK"))</f>
      </c>
      <c r="J1330" s="6">
        <f>IF(COUNTA(A1330:F1330)=0,"",IF(AND(A1330&lt;&gt;"",E1330&lt;&gt;""),"OK","ERRO: faltam "&amp;IF(A1330="","CNPJ; ","")&amp;IF(E1330="","Novo gerente; ","")))</f>
      </c>
      <c r="K1330" s="6">
        <f>IF(COUNTA(A1330:F1330)=0,"",IF(AND(LEFT(H1330,4)&lt;&gt;"ERRO",I1330="OK",J1330="OK"),"OK","REVISAR"))</f>
      </c>
    </row>
    <row r="1331">
      <c r="A1331" s="5"/>
      <c r="B1331" s="4"/>
      <c r="C1331" s="4"/>
      <c r="D1331" s="4"/>
      <c r="E1331" s="5"/>
      <c r="F1331" s="4"/>
      <c r="G1331" s="6">
        <f>IF(A1331="","",SUBSTITUTE(SUBSTITUTE(SUBSTITUTE(SUBSTITUTE(SUBSTITUTE(SUBSTITUTE(SUBSTITUTE(TRIM(A1331),".",""),"/",""),"-","")," ",""),"(",""),")",""),"+",""))</f>
      </c>
      <c r="H1331" s="6">
        <f>IF(G1331="","",IF(LEN(G1331)&lt;&gt;14,"ERRO: "&amp;LEN(G1331)&amp;" dígitos",IF(NOT(ISNUMBER(VALUE(G1331))),"ERRO: não numérico",IF(AND(VALUE(MID(G1331,13,1))=IF(MOD(SUMPRODUCT(--MID(G1331,{1,2,3,4,5,6,7,8,9,10,11,12},1),{5,4,3,2,9,8,7,6,5,4,3,2}),11)&lt;2,0,11-MOD(SUMPRODUCT(--MID(G1331,{1,2,3,4,5,6,7,8,9,10,11,12},1),{5,4,3,2,9,8,7,6,5,4,3,2}),11)),VALUE(MID(G1331,14,1))=IF(MOD(SUMPRODUCT(--MID(G1331,{1,2,3,4,5,6,7,8,9,10,11,12,13},1),{6,5,4,3,2,9,8,7,6,5,4,3,2}),11)&lt;2,0,11-MOD(SUMPRODUCT(--MID(G1331,{1,2,3,4,5,6,7,8,9,10,11,12,13},1),{6,5,4,3,2,9,8,7,6,5,4,3,2}),11))),"OK","AVISO: dígito verificador (conferir na org)"))))</f>
      </c>
      <c r="I1331" s="6">
        <f>IF(G1331="","",IF(COUNTIF($G$2:$G$2001,G1331)&gt;1,"DUPLICADO","OK"))</f>
      </c>
      <c r="J1331" s="6">
        <f>IF(COUNTA(A1331:F1331)=0,"",IF(AND(A1331&lt;&gt;"",E1331&lt;&gt;""),"OK","ERRO: faltam "&amp;IF(A1331="","CNPJ; ","")&amp;IF(E1331="","Novo gerente; ","")))</f>
      </c>
      <c r="K1331" s="6">
        <f>IF(COUNTA(A1331:F1331)=0,"",IF(AND(LEFT(H1331,4)&lt;&gt;"ERRO",I1331="OK",J1331="OK"),"OK","REVISAR"))</f>
      </c>
    </row>
    <row r="1332">
      <c r="A1332" s="5"/>
      <c r="B1332" s="4"/>
      <c r="C1332" s="4"/>
      <c r="D1332" s="4"/>
      <c r="E1332" s="5"/>
      <c r="F1332" s="4"/>
      <c r="G1332" s="6">
        <f>IF(A1332="","",SUBSTITUTE(SUBSTITUTE(SUBSTITUTE(SUBSTITUTE(SUBSTITUTE(SUBSTITUTE(SUBSTITUTE(TRIM(A1332),".",""),"/",""),"-","")," ",""),"(",""),")",""),"+",""))</f>
      </c>
      <c r="H1332" s="6">
        <f>IF(G1332="","",IF(LEN(G1332)&lt;&gt;14,"ERRO: "&amp;LEN(G1332)&amp;" dígitos",IF(NOT(ISNUMBER(VALUE(G1332))),"ERRO: não numérico",IF(AND(VALUE(MID(G1332,13,1))=IF(MOD(SUMPRODUCT(--MID(G1332,{1,2,3,4,5,6,7,8,9,10,11,12},1),{5,4,3,2,9,8,7,6,5,4,3,2}),11)&lt;2,0,11-MOD(SUMPRODUCT(--MID(G1332,{1,2,3,4,5,6,7,8,9,10,11,12},1),{5,4,3,2,9,8,7,6,5,4,3,2}),11)),VALUE(MID(G1332,14,1))=IF(MOD(SUMPRODUCT(--MID(G1332,{1,2,3,4,5,6,7,8,9,10,11,12,13},1),{6,5,4,3,2,9,8,7,6,5,4,3,2}),11)&lt;2,0,11-MOD(SUMPRODUCT(--MID(G1332,{1,2,3,4,5,6,7,8,9,10,11,12,13},1),{6,5,4,3,2,9,8,7,6,5,4,3,2}),11))),"OK","AVISO: dígito verificador (conferir na org)"))))</f>
      </c>
      <c r="I1332" s="6">
        <f>IF(G1332="","",IF(COUNTIF($G$2:$G$2001,G1332)&gt;1,"DUPLICADO","OK"))</f>
      </c>
      <c r="J1332" s="6">
        <f>IF(COUNTA(A1332:F1332)=0,"",IF(AND(A1332&lt;&gt;"",E1332&lt;&gt;""),"OK","ERRO: faltam "&amp;IF(A1332="","CNPJ; ","")&amp;IF(E1332="","Novo gerente; ","")))</f>
      </c>
      <c r="K1332" s="6">
        <f>IF(COUNTA(A1332:F1332)=0,"",IF(AND(LEFT(H1332,4)&lt;&gt;"ERRO",I1332="OK",J1332="OK"),"OK","REVISAR"))</f>
      </c>
    </row>
    <row r="1333">
      <c r="A1333" s="5"/>
      <c r="B1333" s="4"/>
      <c r="C1333" s="4"/>
      <c r="D1333" s="4"/>
      <c r="E1333" s="5"/>
      <c r="F1333" s="4"/>
      <c r="G1333" s="6">
        <f>IF(A1333="","",SUBSTITUTE(SUBSTITUTE(SUBSTITUTE(SUBSTITUTE(SUBSTITUTE(SUBSTITUTE(SUBSTITUTE(TRIM(A1333),".",""),"/",""),"-","")," ",""),"(",""),")",""),"+",""))</f>
      </c>
      <c r="H1333" s="6">
        <f>IF(G1333="","",IF(LEN(G1333)&lt;&gt;14,"ERRO: "&amp;LEN(G1333)&amp;" dígitos",IF(NOT(ISNUMBER(VALUE(G1333))),"ERRO: não numérico",IF(AND(VALUE(MID(G1333,13,1))=IF(MOD(SUMPRODUCT(--MID(G1333,{1,2,3,4,5,6,7,8,9,10,11,12},1),{5,4,3,2,9,8,7,6,5,4,3,2}),11)&lt;2,0,11-MOD(SUMPRODUCT(--MID(G1333,{1,2,3,4,5,6,7,8,9,10,11,12},1),{5,4,3,2,9,8,7,6,5,4,3,2}),11)),VALUE(MID(G1333,14,1))=IF(MOD(SUMPRODUCT(--MID(G1333,{1,2,3,4,5,6,7,8,9,10,11,12,13},1),{6,5,4,3,2,9,8,7,6,5,4,3,2}),11)&lt;2,0,11-MOD(SUMPRODUCT(--MID(G1333,{1,2,3,4,5,6,7,8,9,10,11,12,13},1),{6,5,4,3,2,9,8,7,6,5,4,3,2}),11))),"OK","AVISO: dígito verificador (conferir na org)"))))</f>
      </c>
      <c r="I1333" s="6">
        <f>IF(G1333="","",IF(COUNTIF($G$2:$G$2001,G1333)&gt;1,"DUPLICADO","OK"))</f>
      </c>
      <c r="J1333" s="6">
        <f>IF(COUNTA(A1333:F1333)=0,"",IF(AND(A1333&lt;&gt;"",E1333&lt;&gt;""),"OK","ERRO: faltam "&amp;IF(A1333="","CNPJ; ","")&amp;IF(E1333="","Novo gerente; ","")))</f>
      </c>
      <c r="K1333" s="6">
        <f>IF(COUNTA(A1333:F1333)=0,"",IF(AND(LEFT(H1333,4)&lt;&gt;"ERRO",I1333="OK",J1333="OK"),"OK","REVISAR"))</f>
      </c>
    </row>
    <row r="1334">
      <c r="A1334" s="5"/>
      <c r="B1334" s="4"/>
      <c r="C1334" s="4"/>
      <c r="D1334" s="4"/>
      <c r="E1334" s="5"/>
      <c r="F1334" s="4"/>
      <c r="G1334" s="6">
        <f>IF(A1334="","",SUBSTITUTE(SUBSTITUTE(SUBSTITUTE(SUBSTITUTE(SUBSTITUTE(SUBSTITUTE(SUBSTITUTE(TRIM(A1334),".",""),"/",""),"-","")," ",""),"(",""),")",""),"+",""))</f>
      </c>
      <c r="H1334" s="6">
        <f>IF(G1334="","",IF(LEN(G1334)&lt;&gt;14,"ERRO: "&amp;LEN(G1334)&amp;" dígitos",IF(NOT(ISNUMBER(VALUE(G1334))),"ERRO: não numérico",IF(AND(VALUE(MID(G1334,13,1))=IF(MOD(SUMPRODUCT(--MID(G1334,{1,2,3,4,5,6,7,8,9,10,11,12},1),{5,4,3,2,9,8,7,6,5,4,3,2}),11)&lt;2,0,11-MOD(SUMPRODUCT(--MID(G1334,{1,2,3,4,5,6,7,8,9,10,11,12},1),{5,4,3,2,9,8,7,6,5,4,3,2}),11)),VALUE(MID(G1334,14,1))=IF(MOD(SUMPRODUCT(--MID(G1334,{1,2,3,4,5,6,7,8,9,10,11,12,13},1),{6,5,4,3,2,9,8,7,6,5,4,3,2}),11)&lt;2,0,11-MOD(SUMPRODUCT(--MID(G1334,{1,2,3,4,5,6,7,8,9,10,11,12,13},1),{6,5,4,3,2,9,8,7,6,5,4,3,2}),11))),"OK","AVISO: dígito verificador (conferir na org)"))))</f>
      </c>
      <c r="I1334" s="6">
        <f>IF(G1334="","",IF(COUNTIF($G$2:$G$2001,G1334)&gt;1,"DUPLICADO","OK"))</f>
      </c>
      <c r="J1334" s="6">
        <f>IF(COUNTA(A1334:F1334)=0,"",IF(AND(A1334&lt;&gt;"",E1334&lt;&gt;""),"OK","ERRO: faltam "&amp;IF(A1334="","CNPJ; ","")&amp;IF(E1334="","Novo gerente; ","")))</f>
      </c>
      <c r="K1334" s="6">
        <f>IF(COUNTA(A1334:F1334)=0,"",IF(AND(LEFT(H1334,4)&lt;&gt;"ERRO",I1334="OK",J1334="OK"),"OK","REVISAR"))</f>
      </c>
    </row>
    <row r="1335">
      <c r="A1335" s="5"/>
      <c r="B1335" s="4"/>
      <c r="C1335" s="4"/>
      <c r="D1335" s="4"/>
      <c r="E1335" s="5"/>
      <c r="F1335" s="4"/>
      <c r="G1335" s="6">
        <f>IF(A1335="","",SUBSTITUTE(SUBSTITUTE(SUBSTITUTE(SUBSTITUTE(SUBSTITUTE(SUBSTITUTE(SUBSTITUTE(TRIM(A1335),".",""),"/",""),"-","")," ",""),"(",""),")",""),"+",""))</f>
      </c>
      <c r="H1335" s="6">
        <f>IF(G1335="","",IF(LEN(G1335)&lt;&gt;14,"ERRO: "&amp;LEN(G1335)&amp;" dígitos",IF(NOT(ISNUMBER(VALUE(G1335))),"ERRO: não numérico",IF(AND(VALUE(MID(G1335,13,1))=IF(MOD(SUMPRODUCT(--MID(G1335,{1,2,3,4,5,6,7,8,9,10,11,12},1),{5,4,3,2,9,8,7,6,5,4,3,2}),11)&lt;2,0,11-MOD(SUMPRODUCT(--MID(G1335,{1,2,3,4,5,6,7,8,9,10,11,12},1),{5,4,3,2,9,8,7,6,5,4,3,2}),11)),VALUE(MID(G1335,14,1))=IF(MOD(SUMPRODUCT(--MID(G1335,{1,2,3,4,5,6,7,8,9,10,11,12,13},1),{6,5,4,3,2,9,8,7,6,5,4,3,2}),11)&lt;2,0,11-MOD(SUMPRODUCT(--MID(G1335,{1,2,3,4,5,6,7,8,9,10,11,12,13},1),{6,5,4,3,2,9,8,7,6,5,4,3,2}),11))),"OK","AVISO: dígito verificador (conferir na org)"))))</f>
      </c>
      <c r="I1335" s="6">
        <f>IF(G1335="","",IF(COUNTIF($G$2:$G$2001,G1335)&gt;1,"DUPLICADO","OK"))</f>
      </c>
      <c r="J1335" s="6">
        <f>IF(COUNTA(A1335:F1335)=0,"",IF(AND(A1335&lt;&gt;"",E1335&lt;&gt;""),"OK","ERRO: faltam "&amp;IF(A1335="","CNPJ; ","")&amp;IF(E1335="","Novo gerente; ","")))</f>
      </c>
      <c r="K1335" s="6">
        <f>IF(COUNTA(A1335:F1335)=0,"",IF(AND(LEFT(H1335,4)&lt;&gt;"ERRO",I1335="OK",J1335="OK"),"OK","REVISAR"))</f>
      </c>
    </row>
    <row r="1336">
      <c r="A1336" s="5"/>
      <c r="B1336" s="4"/>
      <c r="C1336" s="4"/>
      <c r="D1336" s="4"/>
      <c r="E1336" s="5"/>
      <c r="F1336" s="4"/>
      <c r="G1336" s="6">
        <f>IF(A1336="","",SUBSTITUTE(SUBSTITUTE(SUBSTITUTE(SUBSTITUTE(SUBSTITUTE(SUBSTITUTE(SUBSTITUTE(TRIM(A1336),".",""),"/",""),"-","")," ",""),"(",""),")",""),"+",""))</f>
      </c>
      <c r="H1336" s="6">
        <f>IF(G1336="","",IF(LEN(G1336)&lt;&gt;14,"ERRO: "&amp;LEN(G1336)&amp;" dígitos",IF(NOT(ISNUMBER(VALUE(G1336))),"ERRO: não numérico",IF(AND(VALUE(MID(G1336,13,1))=IF(MOD(SUMPRODUCT(--MID(G1336,{1,2,3,4,5,6,7,8,9,10,11,12},1),{5,4,3,2,9,8,7,6,5,4,3,2}),11)&lt;2,0,11-MOD(SUMPRODUCT(--MID(G1336,{1,2,3,4,5,6,7,8,9,10,11,12},1),{5,4,3,2,9,8,7,6,5,4,3,2}),11)),VALUE(MID(G1336,14,1))=IF(MOD(SUMPRODUCT(--MID(G1336,{1,2,3,4,5,6,7,8,9,10,11,12,13},1),{6,5,4,3,2,9,8,7,6,5,4,3,2}),11)&lt;2,0,11-MOD(SUMPRODUCT(--MID(G1336,{1,2,3,4,5,6,7,8,9,10,11,12,13},1),{6,5,4,3,2,9,8,7,6,5,4,3,2}),11))),"OK","AVISO: dígito verificador (conferir na org)"))))</f>
      </c>
      <c r="I1336" s="6">
        <f>IF(G1336="","",IF(COUNTIF($G$2:$G$2001,G1336)&gt;1,"DUPLICADO","OK"))</f>
      </c>
      <c r="J1336" s="6">
        <f>IF(COUNTA(A1336:F1336)=0,"",IF(AND(A1336&lt;&gt;"",E1336&lt;&gt;""),"OK","ERRO: faltam "&amp;IF(A1336="","CNPJ; ","")&amp;IF(E1336="","Novo gerente; ","")))</f>
      </c>
      <c r="K1336" s="6">
        <f>IF(COUNTA(A1336:F1336)=0,"",IF(AND(LEFT(H1336,4)&lt;&gt;"ERRO",I1336="OK",J1336="OK"),"OK","REVISAR"))</f>
      </c>
    </row>
    <row r="1337">
      <c r="A1337" s="5"/>
      <c r="B1337" s="4"/>
      <c r="C1337" s="4"/>
      <c r="D1337" s="4"/>
      <c r="E1337" s="5"/>
      <c r="F1337" s="4"/>
      <c r="G1337" s="6">
        <f>IF(A1337="","",SUBSTITUTE(SUBSTITUTE(SUBSTITUTE(SUBSTITUTE(SUBSTITUTE(SUBSTITUTE(SUBSTITUTE(TRIM(A1337),".",""),"/",""),"-","")," ",""),"(",""),")",""),"+",""))</f>
      </c>
      <c r="H1337" s="6">
        <f>IF(G1337="","",IF(LEN(G1337)&lt;&gt;14,"ERRO: "&amp;LEN(G1337)&amp;" dígitos",IF(NOT(ISNUMBER(VALUE(G1337))),"ERRO: não numérico",IF(AND(VALUE(MID(G1337,13,1))=IF(MOD(SUMPRODUCT(--MID(G1337,{1,2,3,4,5,6,7,8,9,10,11,12},1),{5,4,3,2,9,8,7,6,5,4,3,2}),11)&lt;2,0,11-MOD(SUMPRODUCT(--MID(G1337,{1,2,3,4,5,6,7,8,9,10,11,12},1),{5,4,3,2,9,8,7,6,5,4,3,2}),11)),VALUE(MID(G1337,14,1))=IF(MOD(SUMPRODUCT(--MID(G1337,{1,2,3,4,5,6,7,8,9,10,11,12,13},1),{6,5,4,3,2,9,8,7,6,5,4,3,2}),11)&lt;2,0,11-MOD(SUMPRODUCT(--MID(G1337,{1,2,3,4,5,6,7,8,9,10,11,12,13},1),{6,5,4,3,2,9,8,7,6,5,4,3,2}),11))),"OK","AVISO: dígito verificador (conferir na org)"))))</f>
      </c>
      <c r="I1337" s="6">
        <f>IF(G1337="","",IF(COUNTIF($G$2:$G$2001,G1337)&gt;1,"DUPLICADO","OK"))</f>
      </c>
      <c r="J1337" s="6">
        <f>IF(COUNTA(A1337:F1337)=0,"",IF(AND(A1337&lt;&gt;"",E1337&lt;&gt;""),"OK","ERRO: faltam "&amp;IF(A1337="","CNPJ; ","")&amp;IF(E1337="","Novo gerente; ","")))</f>
      </c>
      <c r="K1337" s="6">
        <f>IF(COUNTA(A1337:F1337)=0,"",IF(AND(LEFT(H1337,4)&lt;&gt;"ERRO",I1337="OK",J1337="OK"),"OK","REVISAR"))</f>
      </c>
    </row>
    <row r="1338">
      <c r="A1338" s="5"/>
      <c r="B1338" s="4"/>
      <c r="C1338" s="4"/>
      <c r="D1338" s="4"/>
      <c r="E1338" s="5"/>
      <c r="F1338" s="4"/>
      <c r="G1338" s="6">
        <f>IF(A1338="","",SUBSTITUTE(SUBSTITUTE(SUBSTITUTE(SUBSTITUTE(SUBSTITUTE(SUBSTITUTE(SUBSTITUTE(TRIM(A1338),".",""),"/",""),"-","")," ",""),"(",""),")",""),"+",""))</f>
      </c>
      <c r="H1338" s="6">
        <f>IF(G1338="","",IF(LEN(G1338)&lt;&gt;14,"ERRO: "&amp;LEN(G1338)&amp;" dígitos",IF(NOT(ISNUMBER(VALUE(G1338))),"ERRO: não numérico",IF(AND(VALUE(MID(G1338,13,1))=IF(MOD(SUMPRODUCT(--MID(G1338,{1,2,3,4,5,6,7,8,9,10,11,12},1),{5,4,3,2,9,8,7,6,5,4,3,2}),11)&lt;2,0,11-MOD(SUMPRODUCT(--MID(G1338,{1,2,3,4,5,6,7,8,9,10,11,12},1),{5,4,3,2,9,8,7,6,5,4,3,2}),11)),VALUE(MID(G1338,14,1))=IF(MOD(SUMPRODUCT(--MID(G1338,{1,2,3,4,5,6,7,8,9,10,11,12,13},1),{6,5,4,3,2,9,8,7,6,5,4,3,2}),11)&lt;2,0,11-MOD(SUMPRODUCT(--MID(G1338,{1,2,3,4,5,6,7,8,9,10,11,12,13},1),{6,5,4,3,2,9,8,7,6,5,4,3,2}),11))),"OK","AVISO: dígito verificador (conferir na org)"))))</f>
      </c>
      <c r="I1338" s="6">
        <f>IF(G1338="","",IF(COUNTIF($G$2:$G$2001,G1338)&gt;1,"DUPLICADO","OK"))</f>
      </c>
      <c r="J1338" s="6">
        <f>IF(COUNTA(A1338:F1338)=0,"",IF(AND(A1338&lt;&gt;"",E1338&lt;&gt;""),"OK","ERRO: faltam "&amp;IF(A1338="","CNPJ; ","")&amp;IF(E1338="","Novo gerente; ","")))</f>
      </c>
      <c r="K1338" s="6">
        <f>IF(COUNTA(A1338:F1338)=0,"",IF(AND(LEFT(H1338,4)&lt;&gt;"ERRO",I1338="OK",J1338="OK"),"OK","REVISAR"))</f>
      </c>
    </row>
    <row r="1339">
      <c r="A1339" s="5"/>
      <c r="B1339" s="4"/>
      <c r="C1339" s="4"/>
      <c r="D1339" s="4"/>
      <c r="E1339" s="5"/>
      <c r="F1339" s="4"/>
      <c r="G1339" s="6">
        <f>IF(A1339="","",SUBSTITUTE(SUBSTITUTE(SUBSTITUTE(SUBSTITUTE(SUBSTITUTE(SUBSTITUTE(SUBSTITUTE(TRIM(A1339),".",""),"/",""),"-","")," ",""),"(",""),")",""),"+",""))</f>
      </c>
      <c r="H1339" s="6">
        <f>IF(G1339="","",IF(LEN(G1339)&lt;&gt;14,"ERRO: "&amp;LEN(G1339)&amp;" dígitos",IF(NOT(ISNUMBER(VALUE(G1339))),"ERRO: não numérico",IF(AND(VALUE(MID(G1339,13,1))=IF(MOD(SUMPRODUCT(--MID(G1339,{1,2,3,4,5,6,7,8,9,10,11,12},1),{5,4,3,2,9,8,7,6,5,4,3,2}),11)&lt;2,0,11-MOD(SUMPRODUCT(--MID(G1339,{1,2,3,4,5,6,7,8,9,10,11,12},1),{5,4,3,2,9,8,7,6,5,4,3,2}),11)),VALUE(MID(G1339,14,1))=IF(MOD(SUMPRODUCT(--MID(G1339,{1,2,3,4,5,6,7,8,9,10,11,12,13},1),{6,5,4,3,2,9,8,7,6,5,4,3,2}),11)&lt;2,0,11-MOD(SUMPRODUCT(--MID(G1339,{1,2,3,4,5,6,7,8,9,10,11,12,13},1),{6,5,4,3,2,9,8,7,6,5,4,3,2}),11))),"OK","AVISO: dígito verificador (conferir na org)"))))</f>
      </c>
      <c r="I1339" s="6">
        <f>IF(G1339="","",IF(COUNTIF($G$2:$G$2001,G1339)&gt;1,"DUPLICADO","OK"))</f>
      </c>
      <c r="J1339" s="6">
        <f>IF(COUNTA(A1339:F1339)=0,"",IF(AND(A1339&lt;&gt;"",E1339&lt;&gt;""),"OK","ERRO: faltam "&amp;IF(A1339="","CNPJ; ","")&amp;IF(E1339="","Novo gerente; ","")))</f>
      </c>
      <c r="K1339" s="6">
        <f>IF(COUNTA(A1339:F1339)=0,"",IF(AND(LEFT(H1339,4)&lt;&gt;"ERRO",I1339="OK",J1339="OK"),"OK","REVISAR"))</f>
      </c>
    </row>
    <row r="1340">
      <c r="A1340" s="5"/>
      <c r="B1340" s="4"/>
      <c r="C1340" s="4"/>
      <c r="D1340" s="4"/>
      <c r="E1340" s="5"/>
      <c r="F1340" s="4"/>
      <c r="G1340" s="6">
        <f>IF(A1340="","",SUBSTITUTE(SUBSTITUTE(SUBSTITUTE(SUBSTITUTE(SUBSTITUTE(SUBSTITUTE(SUBSTITUTE(TRIM(A1340),".",""),"/",""),"-","")," ",""),"(",""),")",""),"+",""))</f>
      </c>
      <c r="H1340" s="6">
        <f>IF(G1340="","",IF(LEN(G1340)&lt;&gt;14,"ERRO: "&amp;LEN(G1340)&amp;" dígitos",IF(NOT(ISNUMBER(VALUE(G1340))),"ERRO: não numérico",IF(AND(VALUE(MID(G1340,13,1))=IF(MOD(SUMPRODUCT(--MID(G1340,{1,2,3,4,5,6,7,8,9,10,11,12},1),{5,4,3,2,9,8,7,6,5,4,3,2}),11)&lt;2,0,11-MOD(SUMPRODUCT(--MID(G1340,{1,2,3,4,5,6,7,8,9,10,11,12},1),{5,4,3,2,9,8,7,6,5,4,3,2}),11)),VALUE(MID(G1340,14,1))=IF(MOD(SUMPRODUCT(--MID(G1340,{1,2,3,4,5,6,7,8,9,10,11,12,13},1),{6,5,4,3,2,9,8,7,6,5,4,3,2}),11)&lt;2,0,11-MOD(SUMPRODUCT(--MID(G1340,{1,2,3,4,5,6,7,8,9,10,11,12,13},1),{6,5,4,3,2,9,8,7,6,5,4,3,2}),11))),"OK","AVISO: dígito verificador (conferir na org)"))))</f>
      </c>
      <c r="I1340" s="6">
        <f>IF(G1340="","",IF(COUNTIF($G$2:$G$2001,G1340)&gt;1,"DUPLICADO","OK"))</f>
      </c>
      <c r="J1340" s="6">
        <f>IF(COUNTA(A1340:F1340)=0,"",IF(AND(A1340&lt;&gt;"",E1340&lt;&gt;""),"OK","ERRO: faltam "&amp;IF(A1340="","CNPJ; ","")&amp;IF(E1340="","Novo gerente; ","")))</f>
      </c>
      <c r="K1340" s="6">
        <f>IF(COUNTA(A1340:F1340)=0,"",IF(AND(LEFT(H1340,4)&lt;&gt;"ERRO",I1340="OK",J1340="OK"),"OK","REVISAR"))</f>
      </c>
    </row>
    <row r="1341">
      <c r="A1341" s="5"/>
      <c r="B1341" s="4"/>
      <c r="C1341" s="4"/>
      <c r="D1341" s="4"/>
      <c r="E1341" s="5"/>
      <c r="F1341" s="4"/>
      <c r="G1341" s="6">
        <f>IF(A1341="","",SUBSTITUTE(SUBSTITUTE(SUBSTITUTE(SUBSTITUTE(SUBSTITUTE(SUBSTITUTE(SUBSTITUTE(TRIM(A1341),".",""),"/",""),"-","")," ",""),"(",""),")",""),"+",""))</f>
      </c>
      <c r="H1341" s="6">
        <f>IF(G1341="","",IF(LEN(G1341)&lt;&gt;14,"ERRO: "&amp;LEN(G1341)&amp;" dígitos",IF(NOT(ISNUMBER(VALUE(G1341))),"ERRO: não numérico",IF(AND(VALUE(MID(G1341,13,1))=IF(MOD(SUMPRODUCT(--MID(G1341,{1,2,3,4,5,6,7,8,9,10,11,12},1),{5,4,3,2,9,8,7,6,5,4,3,2}),11)&lt;2,0,11-MOD(SUMPRODUCT(--MID(G1341,{1,2,3,4,5,6,7,8,9,10,11,12},1),{5,4,3,2,9,8,7,6,5,4,3,2}),11)),VALUE(MID(G1341,14,1))=IF(MOD(SUMPRODUCT(--MID(G1341,{1,2,3,4,5,6,7,8,9,10,11,12,13},1),{6,5,4,3,2,9,8,7,6,5,4,3,2}),11)&lt;2,0,11-MOD(SUMPRODUCT(--MID(G1341,{1,2,3,4,5,6,7,8,9,10,11,12,13},1),{6,5,4,3,2,9,8,7,6,5,4,3,2}),11))),"OK","AVISO: dígito verificador (conferir na org)"))))</f>
      </c>
      <c r="I1341" s="6">
        <f>IF(G1341="","",IF(COUNTIF($G$2:$G$2001,G1341)&gt;1,"DUPLICADO","OK"))</f>
      </c>
      <c r="J1341" s="6">
        <f>IF(COUNTA(A1341:F1341)=0,"",IF(AND(A1341&lt;&gt;"",E1341&lt;&gt;""),"OK","ERRO: faltam "&amp;IF(A1341="","CNPJ; ","")&amp;IF(E1341="","Novo gerente; ","")))</f>
      </c>
      <c r="K1341" s="6">
        <f>IF(COUNTA(A1341:F1341)=0,"",IF(AND(LEFT(H1341,4)&lt;&gt;"ERRO",I1341="OK",J1341="OK"),"OK","REVISAR"))</f>
      </c>
    </row>
    <row r="1342">
      <c r="A1342" s="5"/>
      <c r="B1342" s="4"/>
      <c r="C1342" s="4"/>
      <c r="D1342" s="4"/>
      <c r="E1342" s="5"/>
      <c r="F1342" s="4"/>
      <c r="G1342" s="6">
        <f>IF(A1342="","",SUBSTITUTE(SUBSTITUTE(SUBSTITUTE(SUBSTITUTE(SUBSTITUTE(SUBSTITUTE(SUBSTITUTE(TRIM(A1342),".",""),"/",""),"-","")," ",""),"(",""),")",""),"+",""))</f>
      </c>
      <c r="H1342" s="6">
        <f>IF(G1342="","",IF(LEN(G1342)&lt;&gt;14,"ERRO: "&amp;LEN(G1342)&amp;" dígitos",IF(NOT(ISNUMBER(VALUE(G1342))),"ERRO: não numérico",IF(AND(VALUE(MID(G1342,13,1))=IF(MOD(SUMPRODUCT(--MID(G1342,{1,2,3,4,5,6,7,8,9,10,11,12},1),{5,4,3,2,9,8,7,6,5,4,3,2}),11)&lt;2,0,11-MOD(SUMPRODUCT(--MID(G1342,{1,2,3,4,5,6,7,8,9,10,11,12},1),{5,4,3,2,9,8,7,6,5,4,3,2}),11)),VALUE(MID(G1342,14,1))=IF(MOD(SUMPRODUCT(--MID(G1342,{1,2,3,4,5,6,7,8,9,10,11,12,13},1),{6,5,4,3,2,9,8,7,6,5,4,3,2}),11)&lt;2,0,11-MOD(SUMPRODUCT(--MID(G1342,{1,2,3,4,5,6,7,8,9,10,11,12,13},1),{6,5,4,3,2,9,8,7,6,5,4,3,2}),11))),"OK","AVISO: dígito verificador (conferir na org)"))))</f>
      </c>
      <c r="I1342" s="6">
        <f>IF(G1342="","",IF(COUNTIF($G$2:$G$2001,G1342)&gt;1,"DUPLICADO","OK"))</f>
      </c>
      <c r="J1342" s="6">
        <f>IF(COUNTA(A1342:F1342)=0,"",IF(AND(A1342&lt;&gt;"",E1342&lt;&gt;""),"OK","ERRO: faltam "&amp;IF(A1342="","CNPJ; ","")&amp;IF(E1342="","Novo gerente; ","")))</f>
      </c>
      <c r="K1342" s="6">
        <f>IF(COUNTA(A1342:F1342)=0,"",IF(AND(LEFT(H1342,4)&lt;&gt;"ERRO",I1342="OK",J1342="OK"),"OK","REVISAR"))</f>
      </c>
    </row>
    <row r="1343">
      <c r="A1343" s="5"/>
      <c r="B1343" s="4"/>
      <c r="C1343" s="4"/>
      <c r="D1343" s="4"/>
      <c r="E1343" s="5"/>
      <c r="F1343" s="4"/>
      <c r="G1343" s="6">
        <f>IF(A1343="","",SUBSTITUTE(SUBSTITUTE(SUBSTITUTE(SUBSTITUTE(SUBSTITUTE(SUBSTITUTE(SUBSTITUTE(TRIM(A1343),".",""),"/",""),"-","")," ",""),"(",""),")",""),"+",""))</f>
      </c>
      <c r="H1343" s="6">
        <f>IF(G1343="","",IF(LEN(G1343)&lt;&gt;14,"ERRO: "&amp;LEN(G1343)&amp;" dígitos",IF(NOT(ISNUMBER(VALUE(G1343))),"ERRO: não numérico",IF(AND(VALUE(MID(G1343,13,1))=IF(MOD(SUMPRODUCT(--MID(G1343,{1,2,3,4,5,6,7,8,9,10,11,12},1),{5,4,3,2,9,8,7,6,5,4,3,2}),11)&lt;2,0,11-MOD(SUMPRODUCT(--MID(G1343,{1,2,3,4,5,6,7,8,9,10,11,12},1),{5,4,3,2,9,8,7,6,5,4,3,2}),11)),VALUE(MID(G1343,14,1))=IF(MOD(SUMPRODUCT(--MID(G1343,{1,2,3,4,5,6,7,8,9,10,11,12,13},1),{6,5,4,3,2,9,8,7,6,5,4,3,2}),11)&lt;2,0,11-MOD(SUMPRODUCT(--MID(G1343,{1,2,3,4,5,6,7,8,9,10,11,12,13},1),{6,5,4,3,2,9,8,7,6,5,4,3,2}),11))),"OK","AVISO: dígito verificador (conferir na org)"))))</f>
      </c>
      <c r="I1343" s="6">
        <f>IF(G1343="","",IF(COUNTIF($G$2:$G$2001,G1343)&gt;1,"DUPLICADO","OK"))</f>
      </c>
      <c r="J1343" s="6">
        <f>IF(COUNTA(A1343:F1343)=0,"",IF(AND(A1343&lt;&gt;"",E1343&lt;&gt;""),"OK","ERRO: faltam "&amp;IF(A1343="","CNPJ; ","")&amp;IF(E1343="","Novo gerente; ","")))</f>
      </c>
      <c r="K1343" s="6">
        <f>IF(COUNTA(A1343:F1343)=0,"",IF(AND(LEFT(H1343,4)&lt;&gt;"ERRO",I1343="OK",J1343="OK"),"OK","REVISAR"))</f>
      </c>
    </row>
    <row r="1344">
      <c r="A1344" s="5"/>
      <c r="B1344" s="4"/>
      <c r="C1344" s="4"/>
      <c r="D1344" s="4"/>
      <c r="E1344" s="5"/>
      <c r="F1344" s="4"/>
      <c r="G1344" s="6">
        <f>IF(A1344="","",SUBSTITUTE(SUBSTITUTE(SUBSTITUTE(SUBSTITUTE(SUBSTITUTE(SUBSTITUTE(SUBSTITUTE(TRIM(A1344),".",""),"/",""),"-","")," ",""),"(",""),")",""),"+",""))</f>
      </c>
      <c r="H1344" s="6">
        <f>IF(G1344="","",IF(LEN(G1344)&lt;&gt;14,"ERRO: "&amp;LEN(G1344)&amp;" dígitos",IF(NOT(ISNUMBER(VALUE(G1344))),"ERRO: não numérico",IF(AND(VALUE(MID(G1344,13,1))=IF(MOD(SUMPRODUCT(--MID(G1344,{1,2,3,4,5,6,7,8,9,10,11,12},1),{5,4,3,2,9,8,7,6,5,4,3,2}),11)&lt;2,0,11-MOD(SUMPRODUCT(--MID(G1344,{1,2,3,4,5,6,7,8,9,10,11,12},1),{5,4,3,2,9,8,7,6,5,4,3,2}),11)),VALUE(MID(G1344,14,1))=IF(MOD(SUMPRODUCT(--MID(G1344,{1,2,3,4,5,6,7,8,9,10,11,12,13},1),{6,5,4,3,2,9,8,7,6,5,4,3,2}),11)&lt;2,0,11-MOD(SUMPRODUCT(--MID(G1344,{1,2,3,4,5,6,7,8,9,10,11,12,13},1),{6,5,4,3,2,9,8,7,6,5,4,3,2}),11))),"OK","AVISO: dígito verificador (conferir na org)"))))</f>
      </c>
      <c r="I1344" s="6">
        <f>IF(G1344="","",IF(COUNTIF($G$2:$G$2001,G1344)&gt;1,"DUPLICADO","OK"))</f>
      </c>
      <c r="J1344" s="6">
        <f>IF(COUNTA(A1344:F1344)=0,"",IF(AND(A1344&lt;&gt;"",E1344&lt;&gt;""),"OK","ERRO: faltam "&amp;IF(A1344="","CNPJ; ","")&amp;IF(E1344="","Novo gerente; ","")))</f>
      </c>
      <c r="K1344" s="6">
        <f>IF(COUNTA(A1344:F1344)=0,"",IF(AND(LEFT(H1344,4)&lt;&gt;"ERRO",I1344="OK",J1344="OK"),"OK","REVISAR"))</f>
      </c>
    </row>
    <row r="1345">
      <c r="A1345" s="5"/>
      <c r="B1345" s="4"/>
      <c r="C1345" s="4"/>
      <c r="D1345" s="4"/>
      <c r="E1345" s="5"/>
      <c r="F1345" s="4"/>
      <c r="G1345" s="6">
        <f>IF(A1345="","",SUBSTITUTE(SUBSTITUTE(SUBSTITUTE(SUBSTITUTE(SUBSTITUTE(SUBSTITUTE(SUBSTITUTE(TRIM(A1345),".",""),"/",""),"-","")," ",""),"(",""),")",""),"+",""))</f>
      </c>
      <c r="H1345" s="6">
        <f>IF(G1345="","",IF(LEN(G1345)&lt;&gt;14,"ERRO: "&amp;LEN(G1345)&amp;" dígitos",IF(NOT(ISNUMBER(VALUE(G1345))),"ERRO: não numérico",IF(AND(VALUE(MID(G1345,13,1))=IF(MOD(SUMPRODUCT(--MID(G1345,{1,2,3,4,5,6,7,8,9,10,11,12},1),{5,4,3,2,9,8,7,6,5,4,3,2}),11)&lt;2,0,11-MOD(SUMPRODUCT(--MID(G1345,{1,2,3,4,5,6,7,8,9,10,11,12},1),{5,4,3,2,9,8,7,6,5,4,3,2}),11)),VALUE(MID(G1345,14,1))=IF(MOD(SUMPRODUCT(--MID(G1345,{1,2,3,4,5,6,7,8,9,10,11,12,13},1),{6,5,4,3,2,9,8,7,6,5,4,3,2}),11)&lt;2,0,11-MOD(SUMPRODUCT(--MID(G1345,{1,2,3,4,5,6,7,8,9,10,11,12,13},1),{6,5,4,3,2,9,8,7,6,5,4,3,2}),11))),"OK","AVISO: dígito verificador (conferir na org)"))))</f>
      </c>
      <c r="I1345" s="6">
        <f>IF(G1345="","",IF(COUNTIF($G$2:$G$2001,G1345)&gt;1,"DUPLICADO","OK"))</f>
      </c>
      <c r="J1345" s="6">
        <f>IF(COUNTA(A1345:F1345)=0,"",IF(AND(A1345&lt;&gt;"",E1345&lt;&gt;""),"OK","ERRO: faltam "&amp;IF(A1345="","CNPJ; ","")&amp;IF(E1345="","Novo gerente; ","")))</f>
      </c>
      <c r="K1345" s="6">
        <f>IF(COUNTA(A1345:F1345)=0,"",IF(AND(LEFT(H1345,4)&lt;&gt;"ERRO",I1345="OK",J1345="OK"),"OK","REVISAR"))</f>
      </c>
    </row>
    <row r="1346">
      <c r="A1346" s="5"/>
      <c r="B1346" s="4"/>
      <c r="C1346" s="4"/>
      <c r="D1346" s="4"/>
      <c r="E1346" s="5"/>
      <c r="F1346" s="4"/>
      <c r="G1346" s="6">
        <f>IF(A1346="","",SUBSTITUTE(SUBSTITUTE(SUBSTITUTE(SUBSTITUTE(SUBSTITUTE(SUBSTITUTE(SUBSTITUTE(TRIM(A1346),".",""),"/",""),"-","")," ",""),"(",""),")",""),"+",""))</f>
      </c>
      <c r="H1346" s="6">
        <f>IF(G1346="","",IF(LEN(G1346)&lt;&gt;14,"ERRO: "&amp;LEN(G1346)&amp;" dígitos",IF(NOT(ISNUMBER(VALUE(G1346))),"ERRO: não numérico",IF(AND(VALUE(MID(G1346,13,1))=IF(MOD(SUMPRODUCT(--MID(G1346,{1,2,3,4,5,6,7,8,9,10,11,12},1),{5,4,3,2,9,8,7,6,5,4,3,2}),11)&lt;2,0,11-MOD(SUMPRODUCT(--MID(G1346,{1,2,3,4,5,6,7,8,9,10,11,12},1),{5,4,3,2,9,8,7,6,5,4,3,2}),11)),VALUE(MID(G1346,14,1))=IF(MOD(SUMPRODUCT(--MID(G1346,{1,2,3,4,5,6,7,8,9,10,11,12,13},1),{6,5,4,3,2,9,8,7,6,5,4,3,2}),11)&lt;2,0,11-MOD(SUMPRODUCT(--MID(G1346,{1,2,3,4,5,6,7,8,9,10,11,12,13},1),{6,5,4,3,2,9,8,7,6,5,4,3,2}),11))),"OK","AVISO: dígito verificador (conferir na org)"))))</f>
      </c>
      <c r="I1346" s="6">
        <f>IF(G1346="","",IF(COUNTIF($G$2:$G$2001,G1346)&gt;1,"DUPLICADO","OK"))</f>
      </c>
      <c r="J1346" s="6">
        <f>IF(COUNTA(A1346:F1346)=0,"",IF(AND(A1346&lt;&gt;"",E1346&lt;&gt;""),"OK","ERRO: faltam "&amp;IF(A1346="","CNPJ; ","")&amp;IF(E1346="","Novo gerente; ","")))</f>
      </c>
      <c r="K1346" s="6">
        <f>IF(COUNTA(A1346:F1346)=0,"",IF(AND(LEFT(H1346,4)&lt;&gt;"ERRO",I1346="OK",J1346="OK"),"OK","REVISAR"))</f>
      </c>
    </row>
    <row r="1347">
      <c r="A1347" s="5"/>
      <c r="B1347" s="4"/>
      <c r="C1347" s="4"/>
      <c r="D1347" s="4"/>
      <c r="E1347" s="5"/>
      <c r="F1347" s="4"/>
      <c r="G1347" s="6">
        <f>IF(A1347="","",SUBSTITUTE(SUBSTITUTE(SUBSTITUTE(SUBSTITUTE(SUBSTITUTE(SUBSTITUTE(SUBSTITUTE(TRIM(A1347),".",""),"/",""),"-","")," ",""),"(",""),")",""),"+",""))</f>
      </c>
      <c r="H1347" s="6">
        <f>IF(G1347="","",IF(LEN(G1347)&lt;&gt;14,"ERRO: "&amp;LEN(G1347)&amp;" dígitos",IF(NOT(ISNUMBER(VALUE(G1347))),"ERRO: não numérico",IF(AND(VALUE(MID(G1347,13,1))=IF(MOD(SUMPRODUCT(--MID(G1347,{1,2,3,4,5,6,7,8,9,10,11,12},1),{5,4,3,2,9,8,7,6,5,4,3,2}),11)&lt;2,0,11-MOD(SUMPRODUCT(--MID(G1347,{1,2,3,4,5,6,7,8,9,10,11,12},1),{5,4,3,2,9,8,7,6,5,4,3,2}),11)),VALUE(MID(G1347,14,1))=IF(MOD(SUMPRODUCT(--MID(G1347,{1,2,3,4,5,6,7,8,9,10,11,12,13},1),{6,5,4,3,2,9,8,7,6,5,4,3,2}),11)&lt;2,0,11-MOD(SUMPRODUCT(--MID(G1347,{1,2,3,4,5,6,7,8,9,10,11,12,13},1),{6,5,4,3,2,9,8,7,6,5,4,3,2}),11))),"OK","AVISO: dígito verificador (conferir na org)"))))</f>
      </c>
      <c r="I1347" s="6">
        <f>IF(G1347="","",IF(COUNTIF($G$2:$G$2001,G1347)&gt;1,"DUPLICADO","OK"))</f>
      </c>
      <c r="J1347" s="6">
        <f>IF(COUNTA(A1347:F1347)=0,"",IF(AND(A1347&lt;&gt;"",E1347&lt;&gt;""),"OK","ERRO: faltam "&amp;IF(A1347="","CNPJ; ","")&amp;IF(E1347="","Novo gerente; ","")))</f>
      </c>
      <c r="K1347" s="6">
        <f>IF(COUNTA(A1347:F1347)=0,"",IF(AND(LEFT(H1347,4)&lt;&gt;"ERRO",I1347="OK",J1347="OK"),"OK","REVISAR"))</f>
      </c>
    </row>
    <row r="1348">
      <c r="A1348" s="5"/>
      <c r="B1348" s="4"/>
      <c r="C1348" s="4"/>
      <c r="D1348" s="4"/>
      <c r="E1348" s="5"/>
      <c r="F1348" s="4"/>
      <c r="G1348" s="6">
        <f>IF(A1348="","",SUBSTITUTE(SUBSTITUTE(SUBSTITUTE(SUBSTITUTE(SUBSTITUTE(SUBSTITUTE(SUBSTITUTE(TRIM(A1348),".",""),"/",""),"-","")," ",""),"(",""),")",""),"+",""))</f>
      </c>
      <c r="H1348" s="6">
        <f>IF(G1348="","",IF(LEN(G1348)&lt;&gt;14,"ERRO: "&amp;LEN(G1348)&amp;" dígitos",IF(NOT(ISNUMBER(VALUE(G1348))),"ERRO: não numérico",IF(AND(VALUE(MID(G1348,13,1))=IF(MOD(SUMPRODUCT(--MID(G1348,{1,2,3,4,5,6,7,8,9,10,11,12},1),{5,4,3,2,9,8,7,6,5,4,3,2}),11)&lt;2,0,11-MOD(SUMPRODUCT(--MID(G1348,{1,2,3,4,5,6,7,8,9,10,11,12},1),{5,4,3,2,9,8,7,6,5,4,3,2}),11)),VALUE(MID(G1348,14,1))=IF(MOD(SUMPRODUCT(--MID(G1348,{1,2,3,4,5,6,7,8,9,10,11,12,13},1),{6,5,4,3,2,9,8,7,6,5,4,3,2}),11)&lt;2,0,11-MOD(SUMPRODUCT(--MID(G1348,{1,2,3,4,5,6,7,8,9,10,11,12,13},1),{6,5,4,3,2,9,8,7,6,5,4,3,2}),11))),"OK","AVISO: dígito verificador (conferir na org)"))))</f>
      </c>
      <c r="I1348" s="6">
        <f>IF(G1348="","",IF(COUNTIF($G$2:$G$2001,G1348)&gt;1,"DUPLICADO","OK"))</f>
      </c>
      <c r="J1348" s="6">
        <f>IF(COUNTA(A1348:F1348)=0,"",IF(AND(A1348&lt;&gt;"",E1348&lt;&gt;""),"OK","ERRO: faltam "&amp;IF(A1348="","CNPJ; ","")&amp;IF(E1348="","Novo gerente; ","")))</f>
      </c>
      <c r="K1348" s="6">
        <f>IF(COUNTA(A1348:F1348)=0,"",IF(AND(LEFT(H1348,4)&lt;&gt;"ERRO",I1348="OK",J1348="OK"),"OK","REVISAR"))</f>
      </c>
    </row>
    <row r="1349">
      <c r="A1349" s="5"/>
      <c r="B1349" s="4"/>
      <c r="C1349" s="4"/>
      <c r="D1349" s="4"/>
      <c r="E1349" s="5"/>
      <c r="F1349" s="4"/>
      <c r="G1349" s="6">
        <f>IF(A1349="","",SUBSTITUTE(SUBSTITUTE(SUBSTITUTE(SUBSTITUTE(SUBSTITUTE(SUBSTITUTE(SUBSTITUTE(TRIM(A1349),".",""),"/",""),"-","")," ",""),"(",""),")",""),"+",""))</f>
      </c>
      <c r="H1349" s="6">
        <f>IF(G1349="","",IF(LEN(G1349)&lt;&gt;14,"ERRO: "&amp;LEN(G1349)&amp;" dígitos",IF(NOT(ISNUMBER(VALUE(G1349))),"ERRO: não numérico",IF(AND(VALUE(MID(G1349,13,1))=IF(MOD(SUMPRODUCT(--MID(G1349,{1,2,3,4,5,6,7,8,9,10,11,12},1),{5,4,3,2,9,8,7,6,5,4,3,2}),11)&lt;2,0,11-MOD(SUMPRODUCT(--MID(G1349,{1,2,3,4,5,6,7,8,9,10,11,12},1),{5,4,3,2,9,8,7,6,5,4,3,2}),11)),VALUE(MID(G1349,14,1))=IF(MOD(SUMPRODUCT(--MID(G1349,{1,2,3,4,5,6,7,8,9,10,11,12,13},1),{6,5,4,3,2,9,8,7,6,5,4,3,2}),11)&lt;2,0,11-MOD(SUMPRODUCT(--MID(G1349,{1,2,3,4,5,6,7,8,9,10,11,12,13},1),{6,5,4,3,2,9,8,7,6,5,4,3,2}),11))),"OK","AVISO: dígito verificador (conferir na org)"))))</f>
      </c>
      <c r="I1349" s="6">
        <f>IF(G1349="","",IF(COUNTIF($G$2:$G$2001,G1349)&gt;1,"DUPLICADO","OK"))</f>
      </c>
      <c r="J1349" s="6">
        <f>IF(COUNTA(A1349:F1349)=0,"",IF(AND(A1349&lt;&gt;"",E1349&lt;&gt;""),"OK","ERRO: faltam "&amp;IF(A1349="","CNPJ; ","")&amp;IF(E1349="","Novo gerente; ","")))</f>
      </c>
      <c r="K1349" s="6">
        <f>IF(COUNTA(A1349:F1349)=0,"",IF(AND(LEFT(H1349,4)&lt;&gt;"ERRO",I1349="OK",J1349="OK"),"OK","REVISAR"))</f>
      </c>
    </row>
    <row r="1350">
      <c r="A1350" s="5"/>
      <c r="B1350" s="4"/>
      <c r="C1350" s="4"/>
      <c r="D1350" s="4"/>
      <c r="E1350" s="5"/>
      <c r="F1350" s="4"/>
      <c r="G1350" s="6">
        <f>IF(A1350="","",SUBSTITUTE(SUBSTITUTE(SUBSTITUTE(SUBSTITUTE(SUBSTITUTE(SUBSTITUTE(SUBSTITUTE(TRIM(A1350),".",""),"/",""),"-","")," ",""),"(",""),")",""),"+",""))</f>
      </c>
      <c r="H1350" s="6">
        <f>IF(G1350="","",IF(LEN(G1350)&lt;&gt;14,"ERRO: "&amp;LEN(G1350)&amp;" dígitos",IF(NOT(ISNUMBER(VALUE(G1350))),"ERRO: não numérico",IF(AND(VALUE(MID(G1350,13,1))=IF(MOD(SUMPRODUCT(--MID(G1350,{1,2,3,4,5,6,7,8,9,10,11,12},1),{5,4,3,2,9,8,7,6,5,4,3,2}),11)&lt;2,0,11-MOD(SUMPRODUCT(--MID(G1350,{1,2,3,4,5,6,7,8,9,10,11,12},1),{5,4,3,2,9,8,7,6,5,4,3,2}),11)),VALUE(MID(G1350,14,1))=IF(MOD(SUMPRODUCT(--MID(G1350,{1,2,3,4,5,6,7,8,9,10,11,12,13},1),{6,5,4,3,2,9,8,7,6,5,4,3,2}),11)&lt;2,0,11-MOD(SUMPRODUCT(--MID(G1350,{1,2,3,4,5,6,7,8,9,10,11,12,13},1),{6,5,4,3,2,9,8,7,6,5,4,3,2}),11))),"OK","AVISO: dígito verificador (conferir na org)"))))</f>
      </c>
      <c r="I1350" s="6">
        <f>IF(G1350="","",IF(COUNTIF($G$2:$G$2001,G1350)&gt;1,"DUPLICADO","OK"))</f>
      </c>
      <c r="J1350" s="6">
        <f>IF(COUNTA(A1350:F1350)=0,"",IF(AND(A1350&lt;&gt;"",E1350&lt;&gt;""),"OK","ERRO: faltam "&amp;IF(A1350="","CNPJ; ","")&amp;IF(E1350="","Novo gerente; ","")))</f>
      </c>
      <c r="K1350" s="6">
        <f>IF(COUNTA(A1350:F1350)=0,"",IF(AND(LEFT(H1350,4)&lt;&gt;"ERRO",I1350="OK",J1350="OK"),"OK","REVISAR"))</f>
      </c>
    </row>
    <row r="1351">
      <c r="A1351" s="5"/>
      <c r="B1351" s="4"/>
      <c r="C1351" s="4"/>
      <c r="D1351" s="4"/>
      <c r="E1351" s="5"/>
      <c r="F1351" s="4"/>
      <c r="G1351" s="6">
        <f>IF(A1351="","",SUBSTITUTE(SUBSTITUTE(SUBSTITUTE(SUBSTITUTE(SUBSTITUTE(SUBSTITUTE(SUBSTITUTE(TRIM(A1351),".",""),"/",""),"-","")," ",""),"(",""),")",""),"+",""))</f>
      </c>
      <c r="H1351" s="6">
        <f>IF(G1351="","",IF(LEN(G1351)&lt;&gt;14,"ERRO: "&amp;LEN(G1351)&amp;" dígitos",IF(NOT(ISNUMBER(VALUE(G1351))),"ERRO: não numérico",IF(AND(VALUE(MID(G1351,13,1))=IF(MOD(SUMPRODUCT(--MID(G1351,{1,2,3,4,5,6,7,8,9,10,11,12},1),{5,4,3,2,9,8,7,6,5,4,3,2}),11)&lt;2,0,11-MOD(SUMPRODUCT(--MID(G1351,{1,2,3,4,5,6,7,8,9,10,11,12},1),{5,4,3,2,9,8,7,6,5,4,3,2}),11)),VALUE(MID(G1351,14,1))=IF(MOD(SUMPRODUCT(--MID(G1351,{1,2,3,4,5,6,7,8,9,10,11,12,13},1),{6,5,4,3,2,9,8,7,6,5,4,3,2}),11)&lt;2,0,11-MOD(SUMPRODUCT(--MID(G1351,{1,2,3,4,5,6,7,8,9,10,11,12,13},1),{6,5,4,3,2,9,8,7,6,5,4,3,2}),11))),"OK","AVISO: dígito verificador (conferir na org)"))))</f>
      </c>
      <c r="I1351" s="6">
        <f>IF(G1351="","",IF(COUNTIF($G$2:$G$2001,G1351)&gt;1,"DUPLICADO","OK"))</f>
      </c>
      <c r="J1351" s="6">
        <f>IF(COUNTA(A1351:F1351)=0,"",IF(AND(A1351&lt;&gt;"",E1351&lt;&gt;""),"OK","ERRO: faltam "&amp;IF(A1351="","CNPJ; ","")&amp;IF(E1351="","Novo gerente; ","")))</f>
      </c>
      <c r="K1351" s="6">
        <f>IF(COUNTA(A1351:F1351)=0,"",IF(AND(LEFT(H1351,4)&lt;&gt;"ERRO",I1351="OK",J1351="OK"),"OK","REVISAR"))</f>
      </c>
    </row>
    <row r="1352">
      <c r="A1352" s="5"/>
      <c r="B1352" s="4"/>
      <c r="C1352" s="4"/>
      <c r="D1352" s="4"/>
      <c r="E1352" s="5"/>
      <c r="F1352" s="4"/>
      <c r="G1352" s="6">
        <f>IF(A1352="","",SUBSTITUTE(SUBSTITUTE(SUBSTITUTE(SUBSTITUTE(SUBSTITUTE(SUBSTITUTE(SUBSTITUTE(TRIM(A1352),".",""),"/",""),"-","")," ",""),"(",""),")",""),"+",""))</f>
      </c>
      <c r="H1352" s="6">
        <f>IF(G1352="","",IF(LEN(G1352)&lt;&gt;14,"ERRO: "&amp;LEN(G1352)&amp;" dígitos",IF(NOT(ISNUMBER(VALUE(G1352))),"ERRO: não numérico",IF(AND(VALUE(MID(G1352,13,1))=IF(MOD(SUMPRODUCT(--MID(G1352,{1,2,3,4,5,6,7,8,9,10,11,12},1),{5,4,3,2,9,8,7,6,5,4,3,2}),11)&lt;2,0,11-MOD(SUMPRODUCT(--MID(G1352,{1,2,3,4,5,6,7,8,9,10,11,12},1),{5,4,3,2,9,8,7,6,5,4,3,2}),11)),VALUE(MID(G1352,14,1))=IF(MOD(SUMPRODUCT(--MID(G1352,{1,2,3,4,5,6,7,8,9,10,11,12,13},1),{6,5,4,3,2,9,8,7,6,5,4,3,2}),11)&lt;2,0,11-MOD(SUMPRODUCT(--MID(G1352,{1,2,3,4,5,6,7,8,9,10,11,12,13},1),{6,5,4,3,2,9,8,7,6,5,4,3,2}),11))),"OK","AVISO: dígito verificador (conferir na org)"))))</f>
      </c>
      <c r="I1352" s="6">
        <f>IF(G1352="","",IF(COUNTIF($G$2:$G$2001,G1352)&gt;1,"DUPLICADO","OK"))</f>
      </c>
      <c r="J1352" s="6">
        <f>IF(COUNTA(A1352:F1352)=0,"",IF(AND(A1352&lt;&gt;"",E1352&lt;&gt;""),"OK","ERRO: faltam "&amp;IF(A1352="","CNPJ; ","")&amp;IF(E1352="","Novo gerente; ","")))</f>
      </c>
      <c r="K1352" s="6">
        <f>IF(COUNTA(A1352:F1352)=0,"",IF(AND(LEFT(H1352,4)&lt;&gt;"ERRO",I1352="OK",J1352="OK"),"OK","REVISAR"))</f>
      </c>
    </row>
    <row r="1353">
      <c r="A1353" s="5"/>
      <c r="B1353" s="4"/>
      <c r="C1353" s="4"/>
      <c r="D1353" s="4"/>
      <c r="E1353" s="5"/>
      <c r="F1353" s="4"/>
      <c r="G1353" s="6">
        <f>IF(A1353="","",SUBSTITUTE(SUBSTITUTE(SUBSTITUTE(SUBSTITUTE(SUBSTITUTE(SUBSTITUTE(SUBSTITUTE(TRIM(A1353),".",""),"/",""),"-","")," ",""),"(",""),")",""),"+",""))</f>
      </c>
      <c r="H1353" s="6">
        <f>IF(G1353="","",IF(LEN(G1353)&lt;&gt;14,"ERRO: "&amp;LEN(G1353)&amp;" dígitos",IF(NOT(ISNUMBER(VALUE(G1353))),"ERRO: não numérico",IF(AND(VALUE(MID(G1353,13,1))=IF(MOD(SUMPRODUCT(--MID(G1353,{1,2,3,4,5,6,7,8,9,10,11,12},1),{5,4,3,2,9,8,7,6,5,4,3,2}),11)&lt;2,0,11-MOD(SUMPRODUCT(--MID(G1353,{1,2,3,4,5,6,7,8,9,10,11,12},1),{5,4,3,2,9,8,7,6,5,4,3,2}),11)),VALUE(MID(G1353,14,1))=IF(MOD(SUMPRODUCT(--MID(G1353,{1,2,3,4,5,6,7,8,9,10,11,12,13},1),{6,5,4,3,2,9,8,7,6,5,4,3,2}),11)&lt;2,0,11-MOD(SUMPRODUCT(--MID(G1353,{1,2,3,4,5,6,7,8,9,10,11,12,13},1),{6,5,4,3,2,9,8,7,6,5,4,3,2}),11))),"OK","AVISO: dígito verificador (conferir na org)"))))</f>
      </c>
      <c r="I1353" s="6">
        <f>IF(G1353="","",IF(COUNTIF($G$2:$G$2001,G1353)&gt;1,"DUPLICADO","OK"))</f>
      </c>
      <c r="J1353" s="6">
        <f>IF(COUNTA(A1353:F1353)=0,"",IF(AND(A1353&lt;&gt;"",E1353&lt;&gt;""),"OK","ERRO: faltam "&amp;IF(A1353="","CNPJ; ","")&amp;IF(E1353="","Novo gerente; ","")))</f>
      </c>
      <c r="K1353" s="6">
        <f>IF(COUNTA(A1353:F1353)=0,"",IF(AND(LEFT(H1353,4)&lt;&gt;"ERRO",I1353="OK",J1353="OK"),"OK","REVISAR"))</f>
      </c>
    </row>
    <row r="1354">
      <c r="A1354" s="5"/>
      <c r="B1354" s="4"/>
      <c r="C1354" s="4"/>
      <c r="D1354" s="4"/>
      <c r="E1354" s="5"/>
      <c r="F1354" s="4"/>
      <c r="G1354" s="6">
        <f>IF(A1354="","",SUBSTITUTE(SUBSTITUTE(SUBSTITUTE(SUBSTITUTE(SUBSTITUTE(SUBSTITUTE(SUBSTITUTE(TRIM(A1354),".",""),"/",""),"-","")," ",""),"(",""),")",""),"+",""))</f>
      </c>
      <c r="H1354" s="6">
        <f>IF(G1354="","",IF(LEN(G1354)&lt;&gt;14,"ERRO: "&amp;LEN(G1354)&amp;" dígitos",IF(NOT(ISNUMBER(VALUE(G1354))),"ERRO: não numérico",IF(AND(VALUE(MID(G1354,13,1))=IF(MOD(SUMPRODUCT(--MID(G1354,{1,2,3,4,5,6,7,8,9,10,11,12},1),{5,4,3,2,9,8,7,6,5,4,3,2}),11)&lt;2,0,11-MOD(SUMPRODUCT(--MID(G1354,{1,2,3,4,5,6,7,8,9,10,11,12},1),{5,4,3,2,9,8,7,6,5,4,3,2}),11)),VALUE(MID(G1354,14,1))=IF(MOD(SUMPRODUCT(--MID(G1354,{1,2,3,4,5,6,7,8,9,10,11,12,13},1),{6,5,4,3,2,9,8,7,6,5,4,3,2}),11)&lt;2,0,11-MOD(SUMPRODUCT(--MID(G1354,{1,2,3,4,5,6,7,8,9,10,11,12,13},1),{6,5,4,3,2,9,8,7,6,5,4,3,2}),11))),"OK","AVISO: dígito verificador (conferir na org)"))))</f>
      </c>
      <c r="I1354" s="6">
        <f>IF(G1354="","",IF(COUNTIF($G$2:$G$2001,G1354)&gt;1,"DUPLICADO","OK"))</f>
      </c>
      <c r="J1354" s="6">
        <f>IF(COUNTA(A1354:F1354)=0,"",IF(AND(A1354&lt;&gt;"",E1354&lt;&gt;""),"OK","ERRO: faltam "&amp;IF(A1354="","CNPJ; ","")&amp;IF(E1354="","Novo gerente; ","")))</f>
      </c>
      <c r="K1354" s="6">
        <f>IF(COUNTA(A1354:F1354)=0,"",IF(AND(LEFT(H1354,4)&lt;&gt;"ERRO",I1354="OK",J1354="OK"),"OK","REVISAR"))</f>
      </c>
    </row>
    <row r="1355">
      <c r="A1355" s="5"/>
      <c r="B1355" s="4"/>
      <c r="C1355" s="4"/>
      <c r="D1355" s="4"/>
      <c r="E1355" s="5"/>
      <c r="F1355" s="4"/>
      <c r="G1355" s="6">
        <f>IF(A1355="","",SUBSTITUTE(SUBSTITUTE(SUBSTITUTE(SUBSTITUTE(SUBSTITUTE(SUBSTITUTE(SUBSTITUTE(TRIM(A1355),".",""),"/",""),"-","")," ",""),"(",""),")",""),"+",""))</f>
      </c>
      <c r="H1355" s="6">
        <f>IF(G1355="","",IF(LEN(G1355)&lt;&gt;14,"ERRO: "&amp;LEN(G1355)&amp;" dígitos",IF(NOT(ISNUMBER(VALUE(G1355))),"ERRO: não numérico",IF(AND(VALUE(MID(G1355,13,1))=IF(MOD(SUMPRODUCT(--MID(G1355,{1,2,3,4,5,6,7,8,9,10,11,12},1),{5,4,3,2,9,8,7,6,5,4,3,2}),11)&lt;2,0,11-MOD(SUMPRODUCT(--MID(G1355,{1,2,3,4,5,6,7,8,9,10,11,12},1),{5,4,3,2,9,8,7,6,5,4,3,2}),11)),VALUE(MID(G1355,14,1))=IF(MOD(SUMPRODUCT(--MID(G1355,{1,2,3,4,5,6,7,8,9,10,11,12,13},1),{6,5,4,3,2,9,8,7,6,5,4,3,2}),11)&lt;2,0,11-MOD(SUMPRODUCT(--MID(G1355,{1,2,3,4,5,6,7,8,9,10,11,12,13},1),{6,5,4,3,2,9,8,7,6,5,4,3,2}),11))),"OK","AVISO: dígito verificador (conferir na org)"))))</f>
      </c>
      <c r="I1355" s="6">
        <f>IF(G1355="","",IF(COUNTIF($G$2:$G$2001,G1355)&gt;1,"DUPLICADO","OK"))</f>
      </c>
      <c r="J1355" s="6">
        <f>IF(COUNTA(A1355:F1355)=0,"",IF(AND(A1355&lt;&gt;"",E1355&lt;&gt;""),"OK","ERRO: faltam "&amp;IF(A1355="","CNPJ; ","")&amp;IF(E1355="","Novo gerente; ","")))</f>
      </c>
      <c r="K1355" s="6">
        <f>IF(COUNTA(A1355:F1355)=0,"",IF(AND(LEFT(H1355,4)&lt;&gt;"ERRO",I1355="OK",J1355="OK"),"OK","REVISAR"))</f>
      </c>
    </row>
    <row r="1356">
      <c r="A1356" s="5"/>
      <c r="B1356" s="4"/>
      <c r="C1356" s="4"/>
      <c r="D1356" s="4"/>
      <c r="E1356" s="5"/>
      <c r="F1356" s="4"/>
      <c r="G1356" s="6">
        <f>IF(A1356="","",SUBSTITUTE(SUBSTITUTE(SUBSTITUTE(SUBSTITUTE(SUBSTITUTE(SUBSTITUTE(SUBSTITUTE(TRIM(A1356),".",""),"/",""),"-","")," ",""),"(",""),")",""),"+",""))</f>
      </c>
      <c r="H1356" s="6">
        <f>IF(G1356="","",IF(LEN(G1356)&lt;&gt;14,"ERRO: "&amp;LEN(G1356)&amp;" dígitos",IF(NOT(ISNUMBER(VALUE(G1356))),"ERRO: não numérico",IF(AND(VALUE(MID(G1356,13,1))=IF(MOD(SUMPRODUCT(--MID(G1356,{1,2,3,4,5,6,7,8,9,10,11,12},1),{5,4,3,2,9,8,7,6,5,4,3,2}),11)&lt;2,0,11-MOD(SUMPRODUCT(--MID(G1356,{1,2,3,4,5,6,7,8,9,10,11,12},1),{5,4,3,2,9,8,7,6,5,4,3,2}),11)),VALUE(MID(G1356,14,1))=IF(MOD(SUMPRODUCT(--MID(G1356,{1,2,3,4,5,6,7,8,9,10,11,12,13},1),{6,5,4,3,2,9,8,7,6,5,4,3,2}),11)&lt;2,0,11-MOD(SUMPRODUCT(--MID(G1356,{1,2,3,4,5,6,7,8,9,10,11,12,13},1),{6,5,4,3,2,9,8,7,6,5,4,3,2}),11))),"OK","AVISO: dígito verificador (conferir na org)"))))</f>
      </c>
      <c r="I1356" s="6">
        <f>IF(G1356="","",IF(COUNTIF($G$2:$G$2001,G1356)&gt;1,"DUPLICADO","OK"))</f>
      </c>
      <c r="J1356" s="6">
        <f>IF(COUNTA(A1356:F1356)=0,"",IF(AND(A1356&lt;&gt;"",E1356&lt;&gt;""),"OK","ERRO: faltam "&amp;IF(A1356="","CNPJ; ","")&amp;IF(E1356="","Novo gerente; ","")))</f>
      </c>
      <c r="K1356" s="6">
        <f>IF(COUNTA(A1356:F1356)=0,"",IF(AND(LEFT(H1356,4)&lt;&gt;"ERRO",I1356="OK",J1356="OK"),"OK","REVISAR"))</f>
      </c>
    </row>
    <row r="1357">
      <c r="A1357" s="5"/>
      <c r="B1357" s="4"/>
      <c r="C1357" s="4"/>
      <c r="D1357" s="4"/>
      <c r="E1357" s="5"/>
      <c r="F1357" s="4"/>
      <c r="G1357" s="6">
        <f>IF(A1357="","",SUBSTITUTE(SUBSTITUTE(SUBSTITUTE(SUBSTITUTE(SUBSTITUTE(SUBSTITUTE(SUBSTITUTE(TRIM(A1357),".",""),"/",""),"-","")," ",""),"(",""),")",""),"+",""))</f>
      </c>
      <c r="H1357" s="6">
        <f>IF(G1357="","",IF(LEN(G1357)&lt;&gt;14,"ERRO: "&amp;LEN(G1357)&amp;" dígitos",IF(NOT(ISNUMBER(VALUE(G1357))),"ERRO: não numérico",IF(AND(VALUE(MID(G1357,13,1))=IF(MOD(SUMPRODUCT(--MID(G1357,{1,2,3,4,5,6,7,8,9,10,11,12},1),{5,4,3,2,9,8,7,6,5,4,3,2}),11)&lt;2,0,11-MOD(SUMPRODUCT(--MID(G1357,{1,2,3,4,5,6,7,8,9,10,11,12},1),{5,4,3,2,9,8,7,6,5,4,3,2}),11)),VALUE(MID(G1357,14,1))=IF(MOD(SUMPRODUCT(--MID(G1357,{1,2,3,4,5,6,7,8,9,10,11,12,13},1),{6,5,4,3,2,9,8,7,6,5,4,3,2}),11)&lt;2,0,11-MOD(SUMPRODUCT(--MID(G1357,{1,2,3,4,5,6,7,8,9,10,11,12,13},1),{6,5,4,3,2,9,8,7,6,5,4,3,2}),11))),"OK","AVISO: dígito verificador (conferir na org)"))))</f>
      </c>
      <c r="I1357" s="6">
        <f>IF(G1357="","",IF(COUNTIF($G$2:$G$2001,G1357)&gt;1,"DUPLICADO","OK"))</f>
      </c>
      <c r="J1357" s="6">
        <f>IF(COUNTA(A1357:F1357)=0,"",IF(AND(A1357&lt;&gt;"",E1357&lt;&gt;""),"OK","ERRO: faltam "&amp;IF(A1357="","CNPJ; ","")&amp;IF(E1357="","Novo gerente; ","")))</f>
      </c>
      <c r="K1357" s="6">
        <f>IF(COUNTA(A1357:F1357)=0,"",IF(AND(LEFT(H1357,4)&lt;&gt;"ERRO",I1357="OK",J1357="OK"),"OK","REVISAR"))</f>
      </c>
    </row>
    <row r="1358">
      <c r="A1358" s="5"/>
      <c r="B1358" s="4"/>
      <c r="C1358" s="4"/>
      <c r="D1358" s="4"/>
      <c r="E1358" s="5"/>
      <c r="F1358" s="4"/>
      <c r="G1358" s="6">
        <f>IF(A1358="","",SUBSTITUTE(SUBSTITUTE(SUBSTITUTE(SUBSTITUTE(SUBSTITUTE(SUBSTITUTE(SUBSTITUTE(TRIM(A1358),".",""),"/",""),"-","")," ",""),"(",""),")",""),"+",""))</f>
      </c>
      <c r="H1358" s="6">
        <f>IF(G1358="","",IF(LEN(G1358)&lt;&gt;14,"ERRO: "&amp;LEN(G1358)&amp;" dígitos",IF(NOT(ISNUMBER(VALUE(G1358))),"ERRO: não numérico",IF(AND(VALUE(MID(G1358,13,1))=IF(MOD(SUMPRODUCT(--MID(G1358,{1,2,3,4,5,6,7,8,9,10,11,12},1),{5,4,3,2,9,8,7,6,5,4,3,2}),11)&lt;2,0,11-MOD(SUMPRODUCT(--MID(G1358,{1,2,3,4,5,6,7,8,9,10,11,12},1),{5,4,3,2,9,8,7,6,5,4,3,2}),11)),VALUE(MID(G1358,14,1))=IF(MOD(SUMPRODUCT(--MID(G1358,{1,2,3,4,5,6,7,8,9,10,11,12,13},1),{6,5,4,3,2,9,8,7,6,5,4,3,2}),11)&lt;2,0,11-MOD(SUMPRODUCT(--MID(G1358,{1,2,3,4,5,6,7,8,9,10,11,12,13},1),{6,5,4,3,2,9,8,7,6,5,4,3,2}),11))),"OK","AVISO: dígito verificador (conferir na org)"))))</f>
      </c>
      <c r="I1358" s="6">
        <f>IF(G1358="","",IF(COUNTIF($G$2:$G$2001,G1358)&gt;1,"DUPLICADO","OK"))</f>
      </c>
      <c r="J1358" s="6">
        <f>IF(COUNTA(A1358:F1358)=0,"",IF(AND(A1358&lt;&gt;"",E1358&lt;&gt;""),"OK","ERRO: faltam "&amp;IF(A1358="","CNPJ; ","")&amp;IF(E1358="","Novo gerente; ","")))</f>
      </c>
      <c r="K1358" s="6">
        <f>IF(COUNTA(A1358:F1358)=0,"",IF(AND(LEFT(H1358,4)&lt;&gt;"ERRO",I1358="OK",J1358="OK"),"OK","REVISAR"))</f>
      </c>
    </row>
    <row r="1359">
      <c r="A1359" s="5"/>
      <c r="B1359" s="4"/>
      <c r="C1359" s="4"/>
      <c r="D1359" s="4"/>
      <c r="E1359" s="5"/>
      <c r="F1359" s="4"/>
      <c r="G1359" s="6">
        <f>IF(A1359="","",SUBSTITUTE(SUBSTITUTE(SUBSTITUTE(SUBSTITUTE(SUBSTITUTE(SUBSTITUTE(SUBSTITUTE(TRIM(A1359),".",""),"/",""),"-","")," ",""),"(",""),")",""),"+",""))</f>
      </c>
      <c r="H1359" s="6">
        <f>IF(G1359="","",IF(LEN(G1359)&lt;&gt;14,"ERRO: "&amp;LEN(G1359)&amp;" dígitos",IF(NOT(ISNUMBER(VALUE(G1359))),"ERRO: não numérico",IF(AND(VALUE(MID(G1359,13,1))=IF(MOD(SUMPRODUCT(--MID(G1359,{1,2,3,4,5,6,7,8,9,10,11,12},1),{5,4,3,2,9,8,7,6,5,4,3,2}),11)&lt;2,0,11-MOD(SUMPRODUCT(--MID(G1359,{1,2,3,4,5,6,7,8,9,10,11,12},1),{5,4,3,2,9,8,7,6,5,4,3,2}),11)),VALUE(MID(G1359,14,1))=IF(MOD(SUMPRODUCT(--MID(G1359,{1,2,3,4,5,6,7,8,9,10,11,12,13},1),{6,5,4,3,2,9,8,7,6,5,4,3,2}),11)&lt;2,0,11-MOD(SUMPRODUCT(--MID(G1359,{1,2,3,4,5,6,7,8,9,10,11,12,13},1),{6,5,4,3,2,9,8,7,6,5,4,3,2}),11))),"OK","AVISO: dígito verificador (conferir na org)"))))</f>
      </c>
      <c r="I1359" s="6">
        <f>IF(G1359="","",IF(COUNTIF($G$2:$G$2001,G1359)&gt;1,"DUPLICADO","OK"))</f>
      </c>
      <c r="J1359" s="6">
        <f>IF(COUNTA(A1359:F1359)=0,"",IF(AND(A1359&lt;&gt;"",E1359&lt;&gt;""),"OK","ERRO: faltam "&amp;IF(A1359="","CNPJ; ","")&amp;IF(E1359="","Novo gerente; ","")))</f>
      </c>
      <c r="K1359" s="6">
        <f>IF(COUNTA(A1359:F1359)=0,"",IF(AND(LEFT(H1359,4)&lt;&gt;"ERRO",I1359="OK",J1359="OK"),"OK","REVISAR"))</f>
      </c>
    </row>
    <row r="1360">
      <c r="A1360" s="5"/>
      <c r="B1360" s="4"/>
      <c r="C1360" s="4"/>
      <c r="D1360" s="4"/>
      <c r="E1360" s="5"/>
      <c r="F1360" s="4"/>
      <c r="G1360" s="6">
        <f>IF(A1360="","",SUBSTITUTE(SUBSTITUTE(SUBSTITUTE(SUBSTITUTE(SUBSTITUTE(SUBSTITUTE(SUBSTITUTE(TRIM(A1360),".",""),"/",""),"-","")," ",""),"(",""),")",""),"+",""))</f>
      </c>
      <c r="H1360" s="6">
        <f>IF(G1360="","",IF(LEN(G1360)&lt;&gt;14,"ERRO: "&amp;LEN(G1360)&amp;" dígitos",IF(NOT(ISNUMBER(VALUE(G1360))),"ERRO: não numérico",IF(AND(VALUE(MID(G1360,13,1))=IF(MOD(SUMPRODUCT(--MID(G1360,{1,2,3,4,5,6,7,8,9,10,11,12},1),{5,4,3,2,9,8,7,6,5,4,3,2}),11)&lt;2,0,11-MOD(SUMPRODUCT(--MID(G1360,{1,2,3,4,5,6,7,8,9,10,11,12},1),{5,4,3,2,9,8,7,6,5,4,3,2}),11)),VALUE(MID(G1360,14,1))=IF(MOD(SUMPRODUCT(--MID(G1360,{1,2,3,4,5,6,7,8,9,10,11,12,13},1),{6,5,4,3,2,9,8,7,6,5,4,3,2}),11)&lt;2,0,11-MOD(SUMPRODUCT(--MID(G1360,{1,2,3,4,5,6,7,8,9,10,11,12,13},1),{6,5,4,3,2,9,8,7,6,5,4,3,2}),11))),"OK","AVISO: dígito verificador (conferir na org)"))))</f>
      </c>
      <c r="I1360" s="6">
        <f>IF(G1360="","",IF(COUNTIF($G$2:$G$2001,G1360)&gt;1,"DUPLICADO","OK"))</f>
      </c>
      <c r="J1360" s="6">
        <f>IF(COUNTA(A1360:F1360)=0,"",IF(AND(A1360&lt;&gt;"",E1360&lt;&gt;""),"OK","ERRO: faltam "&amp;IF(A1360="","CNPJ; ","")&amp;IF(E1360="","Novo gerente; ","")))</f>
      </c>
      <c r="K1360" s="6">
        <f>IF(COUNTA(A1360:F1360)=0,"",IF(AND(LEFT(H1360,4)&lt;&gt;"ERRO",I1360="OK",J1360="OK"),"OK","REVISAR"))</f>
      </c>
    </row>
    <row r="1361">
      <c r="A1361" s="5"/>
      <c r="B1361" s="4"/>
      <c r="C1361" s="4"/>
      <c r="D1361" s="4"/>
      <c r="E1361" s="5"/>
      <c r="F1361" s="4"/>
      <c r="G1361" s="6">
        <f>IF(A1361="","",SUBSTITUTE(SUBSTITUTE(SUBSTITUTE(SUBSTITUTE(SUBSTITUTE(SUBSTITUTE(SUBSTITUTE(TRIM(A1361),".",""),"/",""),"-","")," ",""),"(",""),")",""),"+",""))</f>
      </c>
      <c r="H1361" s="6">
        <f>IF(G1361="","",IF(LEN(G1361)&lt;&gt;14,"ERRO: "&amp;LEN(G1361)&amp;" dígitos",IF(NOT(ISNUMBER(VALUE(G1361))),"ERRO: não numérico",IF(AND(VALUE(MID(G1361,13,1))=IF(MOD(SUMPRODUCT(--MID(G1361,{1,2,3,4,5,6,7,8,9,10,11,12},1),{5,4,3,2,9,8,7,6,5,4,3,2}),11)&lt;2,0,11-MOD(SUMPRODUCT(--MID(G1361,{1,2,3,4,5,6,7,8,9,10,11,12},1),{5,4,3,2,9,8,7,6,5,4,3,2}),11)),VALUE(MID(G1361,14,1))=IF(MOD(SUMPRODUCT(--MID(G1361,{1,2,3,4,5,6,7,8,9,10,11,12,13},1),{6,5,4,3,2,9,8,7,6,5,4,3,2}),11)&lt;2,0,11-MOD(SUMPRODUCT(--MID(G1361,{1,2,3,4,5,6,7,8,9,10,11,12,13},1),{6,5,4,3,2,9,8,7,6,5,4,3,2}),11))),"OK","AVISO: dígito verificador (conferir na org)"))))</f>
      </c>
      <c r="I1361" s="6">
        <f>IF(G1361="","",IF(COUNTIF($G$2:$G$2001,G1361)&gt;1,"DUPLICADO","OK"))</f>
      </c>
      <c r="J1361" s="6">
        <f>IF(COUNTA(A1361:F1361)=0,"",IF(AND(A1361&lt;&gt;"",E1361&lt;&gt;""),"OK","ERRO: faltam "&amp;IF(A1361="","CNPJ; ","")&amp;IF(E1361="","Novo gerente; ","")))</f>
      </c>
      <c r="K1361" s="6">
        <f>IF(COUNTA(A1361:F1361)=0,"",IF(AND(LEFT(H1361,4)&lt;&gt;"ERRO",I1361="OK",J1361="OK"),"OK","REVISAR"))</f>
      </c>
    </row>
    <row r="1362">
      <c r="A1362" s="5"/>
      <c r="B1362" s="4"/>
      <c r="C1362" s="4"/>
      <c r="D1362" s="4"/>
      <c r="E1362" s="5"/>
      <c r="F1362" s="4"/>
      <c r="G1362" s="6">
        <f>IF(A1362="","",SUBSTITUTE(SUBSTITUTE(SUBSTITUTE(SUBSTITUTE(SUBSTITUTE(SUBSTITUTE(SUBSTITUTE(TRIM(A1362),".",""),"/",""),"-","")," ",""),"(",""),")",""),"+",""))</f>
      </c>
      <c r="H1362" s="6">
        <f>IF(G1362="","",IF(LEN(G1362)&lt;&gt;14,"ERRO: "&amp;LEN(G1362)&amp;" dígitos",IF(NOT(ISNUMBER(VALUE(G1362))),"ERRO: não numérico",IF(AND(VALUE(MID(G1362,13,1))=IF(MOD(SUMPRODUCT(--MID(G1362,{1,2,3,4,5,6,7,8,9,10,11,12},1),{5,4,3,2,9,8,7,6,5,4,3,2}),11)&lt;2,0,11-MOD(SUMPRODUCT(--MID(G1362,{1,2,3,4,5,6,7,8,9,10,11,12},1),{5,4,3,2,9,8,7,6,5,4,3,2}),11)),VALUE(MID(G1362,14,1))=IF(MOD(SUMPRODUCT(--MID(G1362,{1,2,3,4,5,6,7,8,9,10,11,12,13},1),{6,5,4,3,2,9,8,7,6,5,4,3,2}),11)&lt;2,0,11-MOD(SUMPRODUCT(--MID(G1362,{1,2,3,4,5,6,7,8,9,10,11,12,13},1),{6,5,4,3,2,9,8,7,6,5,4,3,2}),11))),"OK","AVISO: dígito verificador (conferir na org)"))))</f>
      </c>
      <c r="I1362" s="6">
        <f>IF(G1362="","",IF(COUNTIF($G$2:$G$2001,G1362)&gt;1,"DUPLICADO","OK"))</f>
      </c>
      <c r="J1362" s="6">
        <f>IF(COUNTA(A1362:F1362)=0,"",IF(AND(A1362&lt;&gt;"",E1362&lt;&gt;""),"OK","ERRO: faltam "&amp;IF(A1362="","CNPJ; ","")&amp;IF(E1362="","Novo gerente; ","")))</f>
      </c>
      <c r="K1362" s="6">
        <f>IF(COUNTA(A1362:F1362)=0,"",IF(AND(LEFT(H1362,4)&lt;&gt;"ERRO",I1362="OK",J1362="OK"),"OK","REVISAR"))</f>
      </c>
    </row>
    <row r="1363">
      <c r="A1363" s="5"/>
      <c r="B1363" s="4"/>
      <c r="C1363" s="4"/>
      <c r="D1363" s="4"/>
      <c r="E1363" s="5"/>
      <c r="F1363" s="4"/>
      <c r="G1363" s="6">
        <f>IF(A1363="","",SUBSTITUTE(SUBSTITUTE(SUBSTITUTE(SUBSTITUTE(SUBSTITUTE(SUBSTITUTE(SUBSTITUTE(TRIM(A1363),".",""),"/",""),"-","")," ",""),"(",""),")",""),"+",""))</f>
      </c>
      <c r="H1363" s="6">
        <f>IF(G1363="","",IF(LEN(G1363)&lt;&gt;14,"ERRO: "&amp;LEN(G1363)&amp;" dígitos",IF(NOT(ISNUMBER(VALUE(G1363))),"ERRO: não numérico",IF(AND(VALUE(MID(G1363,13,1))=IF(MOD(SUMPRODUCT(--MID(G1363,{1,2,3,4,5,6,7,8,9,10,11,12},1),{5,4,3,2,9,8,7,6,5,4,3,2}),11)&lt;2,0,11-MOD(SUMPRODUCT(--MID(G1363,{1,2,3,4,5,6,7,8,9,10,11,12},1),{5,4,3,2,9,8,7,6,5,4,3,2}),11)),VALUE(MID(G1363,14,1))=IF(MOD(SUMPRODUCT(--MID(G1363,{1,2,3,4,5,6,7,8,9,10,11,12,13},1),{6,5,4,3,2,9,8,7,6,5,4,3,2}),11)&lt;2,0,11-MOD(SUMPRODUCT(--MID(G1363,{1,2,3,4,5,6,7,8,9,10,11,12,13},1),{6,5,4,3,2,9,8,7,6,5,4,3,2}),11))),"OK","AVISO: dígito verificador (conferir na org)"))))</f>
      </c>
      <c r="I1363" s="6">
        <f>IF(G1363="","",IF(COUNTIF($G$2:$G$2001,G1363)&gt;1,"DUPLICADO","OK"))</f>
      </c>
      <c r="J1363" s="6">
        <f>IF(COUNTA(A1363:F1363)=0,"",IF(AND(A1363&lt;&gt;"",E1363&lt;&gt;""),"OK","ERRO: faltam "&amp;IF(A1363="","CNPJ; ","")&amp;IF(E1363="","Novo gerente; ","")))</f>
      </c>
      <c r="K1363" s="6">
        <f>IF(COUNTA(A1363:F1363)=0,"",IF(AND(LEFT(H1363,4)&lt;&gt;"ERRO",I1363="OK",J1363="OK"),"OK","REVISAR"))</f>
      </c>
    </row>
    <row r="1364">
      <c r="A1364" s="5"/>
      <c r="B1364" s="4"/>
      <c r="C1364" s="4"/>
      <c r="D1364" s="4"/>
      <c r="E1364" s="5"/>
      <c r="F1364" s="4"/>
      <c r="G1364" s="6">
        <f>IF(A1364="","",SUBSTITUTE(SUBSTITUTE(SUBSTITUTE(SUBSTITUTE(SUBSTITUTE(SUBSTITUTE(SUBSTITUTE(TRIM(A1364),".",""),"/",""),"-","")," ",""),"(",""),")",""),"+",""))</f>
      </c>
      <c r="H1364" s="6">
        <f>IF(G1364="","",IF(LEN(G1364)&lt;&gt;14,"ERRO: "&amp;LEN(G1364)&amp;" dígitos",IF(NOT(ISNUMBER(VALUE(G1364))),"ERRO: não numérico",IF(AND(VALUE(MID(G1364,13,1))=IF(MOD(SUMPRODUCT(--MID(G1364,{1,2,3,4,5,6,7,8,9,10,11,12},1),{5,4,3,2,9,8,7,6,5,4,3,2}),11)&lt;2,0,11-MOD(SUMPRODUCT(--MID(G1364,{1,2,3,4,5,6,7,8,9,10,11,12},1),{5,4,3,2,9,8,7,6,5,4,3,2}),11)),VALUE(MID(G1364,14,1))=IF(MOD(SUMPRODUCT(--MID(G1364,{1,2,3,4,5,6,7,8,9,10,11,12,13},1),{6,5,4,3,2,9,8,7,6,5,4,3,2}),11)&lt;2,0,11-MOD(SUMPRODUCT(--MID(G1364,{1,2,3,4,5,6,7,8,9,10,11,12,13},1),{6,5,4,3,2,9,8,7,6,5,4,3,2}),11))),"OK","AVISO: dígito verificador (conferir na org)"))))</f>
      </c>
      <c r="I1364" s="6">
        <f>IF(G1364="","",IF(COUNTIF($G$2:$G$2001,G1364)&gt;1,"DUPLICADO","OK"))</f>
      </c>
      <c r="J1364" s="6">
        <f>IF(COUNTA(A1364:F1364)=0,"",IF(AND(A1364&lt;&gt;"",E1364&lt;&gt;""),"OK","ERRO: faltam "&amp;IF(A1364="","CNPJ; ","")&amp;IF(E1364="","Novo gerente; ","")))</f>
      </c>
      <c r="K1364" s="6">
        <f>IF(COUNTA(A1364:F1364)=0,"",IF(AND(LEFT(H1364,4)&lt;&gt;"ERRO",I1364="OK",J1364="OK"),"OK","REVISAR"))</f>
      </c>
    </row>
    <row r="1365">
      <c r="A1365" s="5"/>
      <c r="B1365" s="4"/>
      <c r="C1365" s="4"/>
      <c r="D1365" s="4"/>
      <c r="E1365" s="5"/>
      <c r="F1365" s="4"/>
      <c r="G1365" s="6">
        <f>IF(A1365="","",SUBSTITUTE(SUBSTITUTE(SUBSTITUTE(SUBSTITUTE(SUBSTITUTE(SUBSTITUTE(SUBSTITUTE(TRIM(A1365),".",""),"/",""),"-","")," ",""),"(",""),")",""),"+",""))</f>
      </c>
      <c r="H1365" s="6">
        <f>IF(G1365="","",IF(LEN(G1365)&lt;&gt;14,"ERRO: "&amp;LEN(G1365)&amp;" dígitos",IF(NOT(ISNUMBER(VALUE(G1365))),"ERRO: não numérico",IF(AND(VALUE(MID(G1365,13,1))=IF(MOD(SUMPRODUCT(--MID(G1365,{1,2,3,4,5,6,7,8,9,10,11,12},1),{5,4,3,2,9,8,7,6,5,4,3,2}),11)&lt;2,0,11-MOD(SUMPRODUCT(--MID(G1365,{1,2,3,4,5,6,7,8,9,10,11,12},1),{5,4,3,2,9,8,7,6,5,4,3,2}),11)),VALUE(MID(G1365,14,1))=IF(MOD(SUMPRODUCT(--MID(G1365,{1,2,3,4,5,6,7,8,9,10,11,12,13},1),{6,5,4,3,2,9,8,7,6,5,4,3,2}),11)&lt;2,0,11-MOD(SUMPRODUCT(--MID(G1365,{1,2,3,4,5,6,7,8,9,10,11,12,13},1),{6,5,4,3,2,9,8,7,6,5,4,3,2}),11))),"OK","AVISO: dígito verificador (conferir na org)"))))</f>
      </c>
      <c r="I1365" s="6">
        <f>IF(G1365="","",IF(COUNTIF($G$2:$G$2001,G1365)&gt;1,"DUPLICADO","OK"))</f>
      </c>
      <c r="J1365" s="6">
        <f>IF(COUNTA(A1365:F1365)=0,"",IF(AND(A1365&lt;&gt;"",E1365&lt;&gt;""),"OK","ERRO: faltam "&amp;IF(A1365="","CNPJ; ","")&amp;IF(E1365="","Novo gerente; ","")))</f>
      </c>
      <c r="K1365" s="6">
        <f>IF(COUNTA(A1365:F1365)=0,"",IF(AND(LEFT(H1365,4)&lt;&gt;"ERRO",I1365="OK",J1365="OK"),"OK","REVISAR"))</f>
      </c>
    </row>
    <row r="1366">
      <c r="A1366" s="5"/>
      <c r="B1366" s="4"/>
      <c r="C1366" s="4"/>
      <c r="D1366" s="4"/>
      <c r="E1366" s="5"/>
      <c r="F1366" s="4"/>
      <c r="G1366" s="6">
        <f>IF(A1366="","",SUBSTITUTE(SUBSTITUTE(SUBSTITUTE(SUBSTITUTE(SUBSTITUTE(SUBSTITUTE(SUBSTITUTE(TRIM(A1366),".",""),"/",""),"-","")," ",""),"(",""),")",""),"+",""))</f>
      </c>
      <c r="H1366" s="6">
        <f>IF(G1366="","",IF(LEN(G1366)&lt;&gt;14,"ERRO: "&amp;LEN(G1366)&amp;" dígitos",IF(NOT(ISNUMBER(VALUE(G1366))),"ERRO: não numérico",IF(AND(VALUE(MID(G1366,13,1))=IF(MOD(SUMPRODUCT(--MID(G1366,{1,2,3,4,5,6,7,8,9,10,11,12},1),{5,4,3,2,9,8,7,6,5,4,3,2}),11)&lt;2,0,11-MOD(SUMPRODUCT(--MID(G1366,{1,2,3,4,5,6,7,8,9,10,11,12},1),{5,4,3,2,9,8,7,6,5,4,3,2}),11)),VALUE(MID(G1366,14,1))=IF(MOD(SUMPRODUCT(--MID(G1366,{1,2,3,4,5,6,7,8,9,10,11,12,13},1),{6,5,4,3,2,9,8,7,6,5,4,3,2}),11)&lt;2,0,11-MOD(SUMPRODUCT(--MID(G1366,{1,2,3,4,5,6,7,8,9,10,11,12,13},1),{6,5,4,3,2,9,8,7,6,5,4,3,2}),11))),"OK","AVISO: dígito verificador (conferir na org)"))))</f>
      </c>
      <c r="I1366" s="6">
        <f>IF(G1366="","",IF(COUNTIF($G$2:$G$2001,G1366)&gt;1,"DUPLICADO","OK"))</f>
      </c>
      <c r="J1366" s="6">
        <f>IF(COUNTA(A1366:F1366)=0,"",IF(AND(A1366&lt;&gt;"",E1366&lt;&gt;""),"OK","ERRO: faltam "&amp;IF(A1366="","CNPJ; ","")&amp;IF(E1366="","Novo gerente; ","")))</f>
      </c>
      <c r="K1366" s="6">
        <f>IF(COUNTA(A1366:F1366)=0,"",IF(AND(LEFT(H1366,4)&lt;&gt;"ERRO",I1366="OK",J1366="OK"),"OK","REVISAR"))</f>
      </c>
    </row>
    <row r="1367">
      <c r="A1367" s="5"/>
      <c r="B1367" s="4"/>
      <c r="C1367" s="4"/>
      <c r="D1367" s="4"/>
      <c r="E1367" s="5"/>
      <c r="F1367" s="4"/>
      <c r="G1367" s="6">
        <f>IF(A1367="","",SUBSTITUTE(SUBSTITUTE(SUBSTITUTE(SUBSTITUTE(SUBSTITUTE(SUBSTITUTE(SUBSTITUTE(TRIM(A1367),".",""),"/",""),"-","")," ",""),"(",""),")",""),"+",""))</f>
      </c>
      <c r="H1367" s="6">
        <f>IF(G1367="","",IF(LEN(G1367)&lt;&gt;14,"ERRO: "&amp;LEN(G1367)&amp;" dígitos",IF(NOT(ISNUMBER(VALUE(G1367))),"ERRO: não numérico",IF(AND(VALUE(MID(G1367,13,1))=IF(MOD(SUMPRODUCT(--MID(G1367,{1,2,3,4,5,6,7,8,9,10,11,12},1),{5,4,3,2,9,8,7,6,5,4,3,2}),11)&lt;2,0,11-MOD(SUMPRODUCT(--MID(G1367,{1,2,3,4,5,6,7,8,9,10,11,12},1),{5,4,3,2,9,8,7,6,5,4,3,2}),11)),VALUE(MID(G1367,14,1))=IF(MOD(SUMPRODUCT(--MID(G1367,{1,2,3,4,5,6,7,8,9,10,11,12,13},1),{6,5,4,3,2,9,8,7,6,5,4,3,2}),11)&lt;2,0,11-MOD(SUMPRODUCT(--MID(G1367,{1,2,3,4,5,6,7,8,9,10,11,12,13},1),{6,5,4,3,2,9,8,7,6,5,4,3,2}),11))),"OK","AVISO: dígito verificador (conferir na org)"))))</f>
      </c>
      <c r="I1367" s="6">
        <f>IF(G1367="","",IF(COUNTIF($G$2:$G$2001,G1367)&gt;1,"DUPLICADO","OK"))</f>
      </c>
      <c r="J1367" s="6">
        <f>IF(COUNTA(A1367:F1367)=0,"",IF(AND(A1367&lt;&gt;"",E1367&lt;&gt;""),"OK","ERRO: faltam "&amp;IF(A1367="","CNPJ; ","")&amp;IF(E1367="","Novo gerente; ","")))</f>
      </c>
      <c r="K1367" s="6">
        <f>IF(COUNTA(A1367:F1367)=0,"",IF(AND(LEFT(H1367,4)&lt;&gt;"ERRO",I1367="OK",J1367="OK"),"OK","REVISAR"))</f>
      </c>
    </row>
    <row r="1368">
      <c r="A1368" s="5"/>
      <c r="B1368" s="4"/>
      <c r="C1368" s="4"/>
      <c r="D1368" s="4"/>
      <c r="E1368" s="5"/>
      <c r="F1368" s="4"/>
      <c r="G1368" s="6">
        <f>IF(A1368="","",SUBSTITUTE(SUBSTITUTE(SUBSTITUTE(SUBSTITUTE(SUBSTITUTE(SUBSTITUTE(SUBSTITUTE(TRIM(A1368),".",""),"/",""),"-","")," ",""),"(",""),")",""),"+",""))</f>
      </c>
      <c r="H1368" s="6">
        <f>IF(G1368="","",IF(LEN(G1368)&lt;&gt;14,"ERRO: "&amp;LEN(G1368)&amp;" dígitos",IF(NOT(ISNUMBER(VALUE(G1368))),"ERRO: não numérico",IF(AND(VALUE(MID(G1368,13,1))=IF(MOD(SUMPRODUCT(--MID(G1368,{1,2,3,4,5,6,7,8,9,10,11,12},1),{5,4,3,2,9,8,7,6,5,4,3,2}),11)&lt;2,0,11-MOD(SUMPRODUCT(--MID(G1368,{1,2,3,4,5,6,7,8,9,10,11,12},1),{5,4,3,2,9,8,7,6,5,4,3,2}),11)),VALUE(MID(G1368,14,1))=IF(MOD(SUMPRODUCT(--MID(G1368,{1,2,3,4,5,6,7,8,9,10,11,12,13},1),{6,5,4,3,2,9,8,7,6,5,4,3,2}),11)&lt;2,0,11-MOD(SUMPRODUCT(--MID(G1368,{1,2,3,4,5,6,7,8,9,10,11,12,13},1),{6,5,4,3,2,9,8,7,6,5,4,3,2}),11))),"OK","AVISO: dígito verificador (conferir na org)"))))</f>
      </c>
      <c r="I1368" s="6">
        <f>IF(G1368="","",IF(COUNTIF($G$2:$G$2001,G1368)&gt;1,"DUPLICADO","OK"))</f>
      </c>
      <c r="J1368" s="6">
        <f>IF(COUNTA(A1368:F1368)=0,"",IF(AND(A1368&lt;&gt;"",E1368&lt;&gt;""),"OK","ERRO: faltam "&amp;IF(A1368="","CNPJ; ","")&amp;IF(E1368="","Novo gerente; ","")))</f>
      </c>
      <c r="K1368" s="6">
        <f>IF(COUNTA(A1368:F1368)=0,"",IF(AND(LEFT(H1368,4)&lt;&gt;"ERRO",I1368="OK",J1368="OK"),"OK","REVISAR"))</f>
      </c>
    </row>
    <row r="1369">
      <c r="A1369" s="5"/>
      <c r="B1369" s="4"/>
      <c r="C1369" s="4"/>
      <c r="D1369" s="4"/>
      <c r="E1369" s="5"/>
      <c r="F1369" s="4"/>
      <c r="G1369" s="6">
        <f>IF(A1369="","",SUBSTITUTE(SUBSTITUTE(SUBSTITUTE(SUBSTITUTE(SUBSTITUTE(SUBSTITUTE(SUBSTITUTE(TRIM(A1369),".",""),"/",""),"-","")," ",""),"(",""),")",""),"+",""))</f>
      </c>
      <c r="H1369" s="6">
        <f>IF(G1369="","",IF(LEN(G1369)&lt;&gt;14,"ERRO: "&amp;LEN(G1369)&amp;" dígitos",IF(NOT(ISNUMBER(VALUE(G1369))),"ERRO: não numérico",IF(AND(VALUE(MID(G1369,13,1))=IF(MOD(SUMPRODUCT(--MID(G1369,{1,2,3,4,5,6,7,8,9,10,11,12},1),{5,4,3,2,9,8,7,6,5,4,3,2}),11)&lt;2,0,11-MOD(SUMPRODUCT(--MID(G1369,{1,2,3,4,5,6,7,8,9,10,11,12},1),{5,4,3,2,9,8,7,6,5,4,3,2}),11)),VALUE(MID(G1369,14,1))=IF(MOD(SUMPRODUCT(--MID(G1369,{1,2,3,4,5,6,7,8,9,10,11,12,13},1),{6,5,4,3,2,9,8,7,6,5,4,3,2}),11)&lt;2,0,11-MOD(SUMPRODUCT(--MID(G1369,{1,2,3,4,5,6,7,8,9,10,11,12,13},1),{6,5,4,3,2,9,8,7,6,5,4,3,2}),11))),"OK","AVISO: dígito verificador (conferir na org)"))))</f>
      </c>
      <c r="I1369" s="6">
        <f>IF(G1369="","",IF(COUNTIF($G$2:$G$2001,G1369)&gt;1,"DUPLICADO","OK"))</f>
      </c>
      <c r="J1369" s="6">
        <f>IF(COUNTA(A1369:F1369)=0,"",IF(AND(A1369&lt;&gt;"",E1369&lt;&gt;""),"OK","ERRO: faltam "&amp;IF(A1369="","CNPJ; ","")&amp;IF(E1369="","Novo gerente; ","")))</f>
      </c>
      <c r="K1369" s="6">
        <f>IF(COUNTA(A1369:F1369)=0,"",IF(AND(LEFT(H1369,4)&lt;&gt;"ERRO",I1369="OK",J1369="OK"),"OK","REVISAR"))</f>
      </c>
    </row>
    <row r="1370">
      <c r="A1370" s="5"/>
      <c r="B1370" s="4"/>
      <c r="C1370" s="4"/>
      <c r="D1370" s="4"/>
      <c r="E1370" s="5"/>
      <c r="F1370" s="4"/>
      <c r="G1370" s="6">
        <f>IF(A1370="","",SUBSTITUTE(SUBSTITUTE(SUBSTITUTE(SUBSTITUTE(SUBSTITUTE(SUBSTITUTE(SUBSTITUTE(TRIM(A1370),".",""),"/",""),"-","")," ",""),"(",""),")",""),"+",""))</f>
      </c>
      <c r="H1370" s="6">
        <f>IF(G1370="","",IF(LEN(G1370)&lt;&gt;14,"ERRO: "&amp;LEN(G1370)&amp;" dígitos",IF(NOT(ISNUMBER(VALUE(G1370))),"ERRO: não numérico",IF(AND(VALUE(MID(G1370,13,1))=IF(MOD(SUMPRODUCT(--MID(G1370,{1,2,3,4,5,6,7,8,9,10,11,12},1),{5,4,3,2,9,8,7,6,5,4,3,2}),11)&lt;2,0,11-MOD(SUMPRODUCT(--MID(G1370,{1,2,3,4,5,6,7,8,9,10,11,12},1),{5,4,3,2,9,8,7,6,5,4,3,2}),11)),VALUE(MID(G1370,14,1))=IF(MOD(SUMPRODUCT(--MID(G1370,{1,2,3,4,5,6,7,8,9,10,11,12,13},1),{6,5,4,3,2,9,8,7,6,5,4,3,2}),11)&lt;2,0,11-MOD(SUMPRODUCT(--MID(G1370,{1,2,3,4,5,6,7,8,9,10,11,12,13},1),{6,5,4,3,2,9,8,7,6,5,4,3,2}),11))),"OK","AVISO: dígito verificador (conferir na org)"))))</f>
      </c>
      <c r="I1370" s="6">
        <f>IF(G1370="","",IF(COUNTIF($G$2:$G$2001,G1370)&gt;1,"DUPLICADO","OK"))</f>
      </c>
      <c r="J1370" s="6">
        <f>IF(COUNTA(A1370:F1370)=0,"",IF(AND(A1370&lt;&gt;"",E1370&lt;&gt;""),"OK","ERRO: faltam "&amp;IF(A1370="","CNPJ; ","")&amp;IF(E1370="","Novo gerente; ","")))</f>
      </c>
      <c r="K1370" s="6">
        <f>IF(COUNTA(A1370:F1370)=0,"",IF(AND(LEFT(H1370,4)&lt;&gt;"ERRO",I1370="OK",J1370="OK"),"OK","REVISAR"))</f>
      </c>
    </row>
    <row r="1371">
      <c r="A1371" s="5"/>
      <c r="B1371" s="4"/>
      <c r="C1371" s="4"/>
      <c r="D1371" s="4"/>
      <c r="E1371" s="5"/>
      <c r="F1371" s="4"/>
      <c r="G1371" s="6">
        <f>IF(A1371="","",SUBSTITUTE(SUBSTITUTE(SUBSTITUTE(SUBSTITUTE(SUBSTITUTE(SUBSTITUTE(SUBSTITUTE(TRIM(A1371),".",""),"/",""),"-","")," ",""),"(",""),")",""),"+",""))</f>
      </c>
      <c r="H1371" s="6">
        <f>IF(G1371="","",IF(LEN(G1371)&lt;&gt;14,"ERRO: "&amp;LEN(G1371)&amp;" dígitos",IF(NOT(ISNUMBER(VALUE(G1371))),"ERRO: não numérico",IF(AND(VALUE(MID(G1371,13,1))=IF(MOD(SUMPRODUCT(--MID(G1371,{1,2,3,4,5,6,7,8,9,10,11,12},1),{5,4,3,2,9,8,7,6,5,4,3,2}),11)&lt;2,0,11-MOD(SUMPRODUCT(--MID(G1371,{1,2,3,4,5,6,7,8,9,10,11,12},1),{5,4,3,2,9,8,7,6,5,4,3,2}),11)),VALUE(MID(G1371,14,1))=IF(MOD(SUMPRODUCT(--MID(G1371,{1,2,3,4,5,6,7,8,9,10,11,12,13},1),{6,5,4,3,2,9,8,7,6,5,4,3,2}),11)&lt;2,0,11-MOD(SUMPRODUCT(--MID(G1371,{1,2,3,4,5,6,7,8,9,10,11,12,13},1),{6,5,4,3,2,9,8,7,6,5,4,3,2}),11))),"OK","AVISO: dígito verificador (conferir na org)"))))</f>
      </c>
      <c r="I1371" s="6">
        <f>IF(G1371="","",IF(COUNTIF($G$2:$G$2001,G1371)&gt;1,"DUPLICADO","OK"))</f>
      </c>
      <c r="J1371" s="6">
        <f>IF(COUNTA(A1371:F1371)=0,"",IF(AND(A1371&lt;&gt;"",E1371&lt;&gt;""),"OK","ERRO: faltam "&amp;IF(A1371="","CNPJ; ","")&amp;IF(E1371="","Novo gerente; ","")))</f>
      </c>
      <c r="K1371" s="6">
        <f>IF(COUNTA(A1371:F1371)=0,"",IF(AND(LEFT(H1371,4)&lt;&gt;"ERRO",I1371="OK",J1371="OK"),"OK","REVISAR"))</f>
      </c>
    </row>
    <row r="1372">
      <c r="A1372" s="5"/>
      <c r="B1372" s="4"/>
      <c r="C1372" s="4"/>
      <c r="D1372" s="4"/>
      <c r="E1372" s="5"/>
      <c r="F1372" s="4"/>
      <c r="G1372" s="6">
        <f>IF(A1372="","",SUBSTITUTE(SUBSTITUTE(SUBSTITUTE(SUBSTITUTE(SUBSTITUTE(SUBSTITUTE(SUBSTITUTE(TRIM(A1372),".",""),"/",""),"-","")," ",""),"(",""),")",""),"+",""))</f>
      </c>
      <c r="H1372" s="6">
        <f>IF(G1372="","",IF(LEN(G1372)&lt;&gt;14,"ERRO: "&amp;LEN(G1372)&amp;" dígitos",IF(NOT(ISNUMBER(VALUE(G1372))),"ERRO: não numérico",IF(AND(VALUE(MID(G1372,13,1))=IF(MOD(SUMPRODUCT(--MID(G1372,{1,2,3,4,5,6,7,8,9,10,11,12},1),{5,4,3,2,9,8,7,6,5,4,3,2}),11)&lt;2,0,11-MOD(SUMPRODUCT(--MID(G1372,{1,2,3,4,5,6,7,8,9,10,11,12},1),{5,4,3,2,9,8,7,6,5,4,3,2}),11)),VALUE(MID(G1372,14,1))=IF(MOD(SUMPRODUCT(--MID(G1372,{1,2,3,4,5,6,7,8,9,10,11,12,13},1),{6,5,4,3,2,9,8,7,6,5,4,3,2}),11)&lt;2,0,11-MOD(SUMPRODUCT(--MID(G1372,{1,2,3,4,5,6,7,8,9,10,11,12,13},1),{6,5,4,3,2,9,8,7,6,5,4,3,2}),11))),"OK","AVISO: dígito verificador (conferir na org)"))))</f>
      </c>
      <c r="I1372" s="6">
        <f>IF(G1372="","",IF(COUNTIF($G$2:$G$2001,G1372)&gt;1,"DUPLICADO","OK"))</f>
      </c>
      <c r="J1372" s="6">
        <f>IF(COUNTA(A1372:F1372)=0,"",IF(AND(A1372&lt;&gt;"",E1372&lt;&gt;""),"OK","ERRO: faltam "&amp;IF(A1372="","CNPJ; ","")&amp;IF(E1372="","Novo gerente; ","")))</f>
      </c>
      <c r="K1372" s="6">
        <f>IF(COUNTA(A1372:F1372)=0,"",IF(AND(LEFT(H1372,4)&lt;&gt;"ERRO",I1372="OK",J1372="OK"),"OK","REVISAR"))</f>
      </c>
    </row>
    <row r="1373">
      <c r="A1373" s="5"/>
      <c r="B1373" s="4"/>
      <c r="C1373" s="4"/>
      <c r="D1373" s="4"/>
      <c r="E1373" s="5"/>
      <c r="F1373" s="4"/>
      <c r="G1373" s="6">
        <f>IF(A1373="","",SUBSTITUTE(SUBSTITUTE(SUBSTITUTE(SUBSTITUTE(SUBSTITUTE(SUBSTITUTE(SUBSTITUTE(TRIM(A1373),".",""),"/",""),"-","")," ",""),"(",""),")",""),"+",""))</f>
      </c>
      <c r="H1373" s="6">
        <f>IF(G1373="","",IF(LEN(G1373)&lt;&gt;14,"ERRO: "&amp;LEN(G1373)&amp;" dígitos",IF(NOT(ISNUMBER(VALUE(G1373))),"ERRO: não numérico",IF(AND(VALUE(MID(G1373,13,1))=IF(MOD(SUMPRODUCT(--MID(G1373,{1,2,3,4,5,6,7,8,9,10,11,12},1),{5,4,3,2,9,8,7,6,5,4,3,2}),11)&lt;2,0,11-MOD(SUMPRODUCT(--MID(G1373,{1,2,3,4,5,6,7,8,9,10,11,12},1),{5,4,3,2,9,8,7,6,5,4,3,2}),11)),VALUE(MID(G1373,14,1))=IF(MOD(SUMPRODUCT(--MID(G1373,{1,2,3,4,5,6,7,8,9,10,11,12,13},1),{6,5,4,3,2,9,8,7,6,5,4,3,2}),11)&lt;2,0,11-MOD(SUMPRODUCT(--MID(G1373,{1,2,3,4,5,6,7,8,9,10,11,12,13},1),{6,5,4,3,2,9,8,7,6,5,4,3,2}),11))),"OK","AVISO: dígito verificador (conferir na org)"))))</f>
      </c>
      <c r="I1373" s="6">
        <f>IF(G1373="","",IF(COUNTIF($G$2:$G$2001,G1373)&gt;1,"DUPLICADO","OK"))</f>
      </c>
      <c r="J1373" s="6">
        <f>IF(COUNTA(A1373:F1373)=0,"",IF(AND(A1373&lt;&gt;"",E1373&lt;&gt;""),"OK","ERRO: faltam "&amp;IF(A1373="","CNPJ; ","")&amp;IF(E1373="","Novo gerente; ","")))</f>
      </c>
      <c r="K1373" s="6">
        <f>IF(COUNTA(A1373:F1373)=0,"",IF(AND(LEFT(H1373,4)&lt;&gt;"ERRO",I1373="OK",J1373="OK"),"OK","REVISAR"))</f>
      </c>
    </row>
    <row r="1374">
      <c r="A1374" s="5"/>
      <c r="B1374" s="4"/>
      <c r="C1374" s="4"/>
      <c r="D1374" s="4"/>
      <c r="E1374" s="5"/>
      <c r="F1374" s="4"/>
      <c r="G1374" s="6">
        <f>IF(A1374="","",SUBSTITUTE(SUBSTITUTE(SUBSTITUTE(SUBSTITUTE(SUBSTITUTE(SUBSTITUTE(SUBSTITUTE(TRIM(A1374),".",""),"/",""),"-","")," ",""),"(",""),")",""),"+",""))</f>
      </c>
      <c r="H1374" s="6">
        <f>IF(G1374="","",IF(LEN(G1374)&lt;&gt;14,"ERRO: "&amp;LEN(G1374)&amp;" dígitos",IF(NOT(ISNUMBER(VALUE(G1374))),"ERRO: não numérico",IF(AND(VALUE(MID(G1374,13,1))=IF(MOD(SUMPRODUCT(--MID(G1374,{1,2,3,4,5,6,7,8,9,10,11,12},1),{5,4,3,2,9,8,7,6,5,4,3,2}),11)&lt;2,0,11-MOD(SUMPRODUCT(--MID(G1374,{1,2,3,4,5,6,7,8,9,10,11,12},1),{5,4,3,2,9,8,7,6,5,4,3,2}),11)),VALUE(MID(G1374,14,1))=IF(MOD(SUMPRODUCT(--MID(G1374,{1,2,3,4,5,6,7,8,9,10,11,12,13},1),{6,5,4,3,2,9,8,7,6,5,4,3,2}),11)&lt;2,0,11-MOD(SUMPRODUCT(--MID(G1374,{1,2,3,4,5,6,7,8,9,10,11,12,13},1),{6,5,4,3,2,9,8,7,6,5,4,3,2}),11))),"OK","AVISO: dígito verificador (conferir na org)"))))</f>
      </c>
      <c r="I1374" s="6">
        <f>IF(G1374="","",IF(COUNTIF($G$2:$G$2001,G1374)&gt;1,"DUPLICADO","OK"))</f>
      </c>
      <c r="J1374" s="6">
        <f>IF(COUNTA(A1374:F1374)=0,"",IF(AND(A1374&lt;&gt;"",E1374&lt;&gt;""),"OK","ERRO: faltam "&amp;IF(A1374="","CNPJ; ","")&amp;IF(E1374="","Novo gerente; ","")))</f>
      </c>
      <c r="K1374" s="6">
        <f>IF(COUNTA(A1374:F1374)=0,"",IF(AND(LEFT(H1374,4)&lt;&gt;"ERRO",I1374="OK",J1374="OK"),"OK","REVISAR"))</f>
      </c>
    </row>
    <row r="1375">
      <c r="A1375" s="5"/>
      <c r="B1375" s="4"/>
      <c r="C1375" s="4"/>
      <c r="D1375" s="4"/>
      <c r="E1375" s="5"/>
      <c r="F1375" s="4"/>
      <c r="G1375" s="6">
        <f>IF(A1375="","",SUBSTITUTE(SUBSTITUTE(SUBSTITUTE(SUBSTITUTE(SUBSTITUTE(SUBSTITUTE(SUBSTITUTE(TRIM(A1375),".",""),"/",""),"-","")," ",""),"(",""),")",""),"+",""))</f>
      </c>
      <c r="H1375" s="6">
        <f>IF(G1375="","",IF(LEN(G1375)&lt;&gt;14,"ERRO: "&amp;LEN(G1375)&amp;" dígitos",IF(NOT(ISNUMBER(VALUE(G1375))),"ERRO: não numérico",IF(AND(VALUE(MID(G1375,13,1))=IF(MOD(SUMPRODUCT(--MID(G1375,{1,2,3,4,5,6,7,8,9,10,11,12},1),{5,4,3,2,9,8,7,6,5,4,3,2}),11)&lt;2,0,11-MOD(SUMPRODUCT(--MID(G1375,{1,2,3,4,5,6,7,8,9,10,11,12},1),{5,4,3,2,9,8,7,6,5,4,3,2}),11)),VALUE(MID(G1375,14,1))=IF(MOD(SUMPRODUCT(--MID(G1375,{1,2,3,4,5,6,7,8,9,10,11,12,13},1),{6,5,4,3,2,9,8,7,6,5,4,3,2}),11)&lt;2,0,11-MOD(SUMPRODUCT(--MID(G1375,{1,2,3,4,5,6,7,8,9,10,11,12,13},1),{6,5,4,3,2,9,8,7,6,5,4,3,2}),11))),"OK","AVISO: dígito verificador (conferir na org)"))))</f>
      </c>
      <c r="I1375" s="6">
        <f>IF(G1375="","",IF(COUNTIF($G$2:$G$2001,G1375)&gt;1,"DUPLICADO","OK"))</f>
      </c>
      <c r="J1375" s="6">
        <f>IF(COUNTA(A1375:F1375)=0,"",IF(AND(A1375&lt;&gt;"",E1375&lt;&gt;""),"OK","ERRO: faltam "&amp;IF(A1375="","CNPJ; ","")&amp;IF(E1375="","Novo gerente; ","")))</f>
      </c>
      <c r="K1375" s="6">
        <f>IF(COUNTA(A1375:F1375)=0,"",IF(AND(LEFT(H1375,4)&lt;&gt;"ERRO",I1375="OK",J1375="OK"),"OK","REVISAR"))</f>
      </c>
    </row>
    <row r="1376">
      <c r="A1376" s="5"/>
      <c r="B1376" s="4"/>
      <c r="C1376" s="4"/>
      <c r="D1376" s="4"/>
      <c r="E1376" s="5"/>
      <c r="F1376" s="4"/>
      <c r="G1376" s="6">
        <f>IF(A1376="","",SUBSTITUTE(SUBSTITUTE(SUBSTITUTE(SUBSTITUTE(SUBSTITUTE(SUBSTITUTE(SUBSTITUTE(TRIM(A1376),".",""),"/",""),"-","")," ",""),"(",""),")",""),"+",""))</f>
      </c>
      <c r="H1376" s="6">
        <f>IF(G1376="","",IF(LEN(G1376)&lt;&gt;14,"ERRO: "&amp;LEN(G1376)&amp;" dígitos",IF(NOT(ISNUMBER(VALUE(G1376))),"ERRO: não numérico",IF(AND(VALUE(MID(G1376,13,1))=IF(MOD(SUMPRODUCT(--MID(G1376,{1,2,3,4,5,6,7,8,9,10,11,12},1),{5,4,3,2,9,8,7,6,5,4,3,2}),11)&lt;2,0,11-MOD(SUMPRODUCT(--MID(G1376,{1,2,3,4,5,6,7,8,9,10,11,12},1),{5,4,3,2,9,8,7,6,5,4,3,2}),11)),VALUE(MID(G1376,14,1))=IF(MOD(SUMPRODUCT(--MID(G1376,{1,2,3,4,5,6,7,8,9,10,11,12,13},1),{6,5,4,3,2,9,8,7,6,5,4,3,2}),11)&lt;2,0,11-MOD(SUMPRODUCT(--MID(G1376,{1,2,3,4,5,6,7,8,9,10,11,12,13},1),{6,5,4,3,2,9,8,7,6,5,4,3,2}),11))),"OK","AVISO: dígito verificador (conferir na org)"))))</f>
      </c>
      <c r="I1376" s="6">
        <f>IF(G1376="","",IF(COUNTIF($G$2:$G$2001,G1376)&gt;1,"DUPLICADO","OK"))</f>
      </c>
      <c r="J1376" s="6">
        <f>IF(COUNTA(A1376:F1376)=0,"",IF(AND(A1376&lt;&gt;"",E1376&lt;&gt;""),"OK","ERRO: faltam "&amp;IF(A1376="","CNPJ; ","")&amp;IF(E1376="","Novo gerente; ","")))</f>
      </c>
      <c r="K1376" s="6">
        <f>IF(COUNTA(A1376:F1376)=0,"",IF(AND(LEFT(H1376,4)&lt;&gt;"ERRO",I1376="OK",J1376="OK"),"OK","REVISAR"))</f>
      </c>
    </row>
    <row r="1377">
      <c r="A1377" s="5"/>
      <c r="B1377" s="4"/>
      <c r="C1377" s="4"/>
      <c r="D1377" s="4"/>
      <c r="E1377" s="5"/>
      <c r="F1377" s="4"/>
      <c r="G1377" s="6">
        <f>IF(A1377="","",SUBSTITUTE(SUBSTITUTE(SUBSTITUTE(SUBSTITUTE(SUBSTITUTE(SUBSTITUTE(SUBSTITUTE(TRIM(A1377),".",""),"/",""),"-","")," ",""),"(",""),")",""),"+",""))</f>
      </c>
      <c r="H1377" s="6">
        <f>IF(G1377="","",IF(LEN(G1377)&lt;&gt;14,"ERRO: "&amp;LEN(G1377)&amp;" dígitos",IF(NOT(ISNUMBER(VALUE(G1377))),"ERRO: não numérico",IF(AND(VALUE(MID(G1377,13,1))=IF(MOD(SUMPRODUCT(--MID(G1377,{1,2,3,4,5,6,7,8,9,10,11,12},1),{5,4,3,2,9,8,7,6,5,4,3,2}),11)&lt;2,0,11-MOD(SUMPRODUCT(--MID(G1377,{1,2,3,4,5,6,7,8,9,10,11,12},1),{5,4,3,2,9,8,7,6,5,4,3,2}),11)),VALUE(MID(G1377,14,1))=IF(MOD(SUMPRODUCT(--MID(G1377,{1,2,3,4,5,6,7,8,9,10,11,12,13},1),{6,5,4,3,2,9,8,7,6,5,4,3,2}),11)&lt;2,0,11-MOD(SUMPRODUCT(--MID(G1377,{1,2,3,4,5,6,7,8,9,10,11,12,13},1),{6,5,4,3,2,9,8,7,6,5,4,3,2}),11))),"OK","AVISO: dígito verificador (conferir na org)"))))</f>
      </c>
      <c r="I1377" s="6">
        <f>IF(G1377="","",IF(COUNTIF($G$2:$G$2001,G1377)&gt;1,"DUPLICADO","OK"))</f>
      </c>
      <c r="J1377" s="6">
        <f>IF(COUNTA(A1377:F1377)=0,"",IF(AND(A1377&lt;&gt;"",E1377&lt;&gt;""),"OK","ERRO: faltam "&amp;IF(A1377="","CNPJ; ","")&amp;IF(E1377="","Novo gerente; ","")))</f>
      </c>
      <c r="K1377" s="6">
        <f>IF(COUNTA(A1377:F1377)=0,"",IF(AND(LEFT(H1377,4)&lt;&gt;"ERRO",I1377="OK",J1377="OK"),"OK","REVISAR"))</f>
      </c>
    </row>
    <row r="1378">
      <c r="A1378" s="5"/>
      <c r="B1378" s="4"/>
      <c r="C1378" s="4"/>
      <c r="D1378" s="4"/>
      <c r="E1378" s="5"/>
      <c r="F1378" s="4"/>
      <c r="G1378" s="6">
        <f>IF(A1378="","",SUBSTITUTE(SUBSTITUTE(SUBSTITUTE(SUBSTITUTE(SUBSTITUTE(SUBSTITUTE(SUBSTITUTE(TRIM(A1378),".",""),"/",""),"-","")," ",""),"(",""),")",""),"+",""))</f>
      </c>
      <c r="H1378" s="6">
        <f>IF(G1378="","",IF(LEN(G1378)&lt;&gt;14,"ERRO: "&amp;LEN(G1378)&amp;" dígitos",IF(NOT(ISNUMBER(VALUE(G1378))),"ERRO: não numérico",IF(AND(VALUE(MID(G1378,13,1))=IF(MOD(SUMPRODUCT(--MID(G1378,{1,2,3,4,5,6,7,8,9,10,11,12},1),{5,4,3,2,9,8,7,6,5,4,3,2}),11)&lt;2,0,11-MOD(SUMPRODUCT(--MID(G1378,{1,2,3,4,5,6,7,8,9,10,11,12},1),{5,4,3,2,9,8,7,6,5,4,3,2}),11)),VALUE(MID(G1378,14,1))=IF(MOD(SUMPRODUCT(--MID(G1378,{1,2,3,4,5,6,7,8,9,10,11,12,13},1),{6,5,4,3,2,9,8,7,6,5,4,3,2}),11)&lt;2,0,11-MOD(SUMPRODUCT(--MID(G1378,{1,2,3,4,5,6,7,8,9,10,11,12,13},1),{6,5,4,3,2,9,8,7,6,5,4,3,2}),11))),"OK","AVISO: dígito verificador (conferir na org)"))))</f>
      </c>
      <c r="I1378" s="6">
        <f>IF(G1378="","",IF(COUNTIF($G$2:$G$2001,G1378)&gt;1,"DUPLICADO","OK"))</f>
      </c>
      <c r="J1378" s="6">
        <f>IF(COUNTA(A1378:F1378)=0,"",IF(AND(A1378&lt;&gt;"",E1378&lt;&gt;""),"OK","ERRO: faltam "&amp;IF(A1378="","CNPJ; ","")&amp;IF(E1378="","Novo gerente; ","")))</f>
      </c>
      <c r="K1378" s="6">
        <f>IF(COUNTA(A1378:F1378)=0,"",IF(AND(LEFT(H1378,4)&lt;&gt;"ERRO",I1378="OK",J1378="OK"),"OK","REVISAR"))</f>
      </c>
    </row>
    <row r="1379">
      <c r="A1379" s="5"/>
      <c r="B1379" s="4"/>
      <c r="C1379" s="4"/>
      <c r="D1379" s="4"/>
      <c r="E1379" s="5"/>
      <c r="F1379" s="4"/>
      <c r="G1379" s="6">
        <f>IF(A1379="","",SUBSTITUTE(SUBSTITUTE(SUBSTITUTE(SUBSTITUTE(SUBSTITUTE(SUBSTITUTE(SUBSTITUTE(TRIM(A1379),".",""),"/",""),"-","")," ",""),"(",""),")",""),"+",""))</f>
      </c>
      <c r="H1379" s="6">
        <f>IF(G1379="","",IF(LEN(G1379)&lt;&gt;14,"ERRO: "&amp;LEN(G1379)&amp;" dígitos",IF(NOT(ISNUMBER(VALUE(G1379))),"ERRO: não numérico",IF(AND(VALUE(MID(G1379,13,1))=IF(MOD(SUMPRODUCT(--MID(G1379,{1,2,3,4,5,6,7,8,9,10,11,12},1),{5,4,3,2,9,8,7,6,5,4,3,2}),11)&lt;2,0,11-MOD(SUMPRODUCT(--MID(G1379,{1,2,3,4,5,6,7,8,9,10,11,12},1),{5,4,3,2,9,8,7,6,5,4,3,2}),11)),VALUE(MID(G1379,14,1))=IF(MOD(SUMPRODUCT(--MID(G1379,{1,2,3,4,5,6,7,8,9,10,11,12,13},1),{6,5,4,3,2,9,8,7,6,5,4,3,2}),11)&lt;2,0,11-MOD(SUMPRODUCT(--MID(G1379,{1,2,3,4,5,6,7,8,9,10,11,12,13},1),{6,5,4,3,2,9,8,7,6,5,4,3,2}),11))),"OK","AVISO: dígito verificador (conferir na org)"))))</f>
      </c>
      <c r="I1379" s="6">
        <f>IF(G1379="","",IF(COUNTIF($G$2:$G$2001,G1379)&gt;1,"DUPLICADO","OK"))</f>
      </c>
      <c r="J1379" s="6">
        <f>IF(COUNTA(A1379:F1379)=0,"",IF(AND(A1379&lt;&gt;"",E1379&lt;&gt;""),"OK","ERRO: faltam "&amp;IF(A1379="","CNPJ; ","")&amp;IF(E1379="","Novo gerente; ","")))</f>
      </c>
      <c r="K1379" s="6">
        <f>IF(COUNTA(A1379:F1379)=0,"",IF(AND(LEFT(H1379,4)&lt;&gt;"ERRO",I1379="OK",J1379="OK"),"OK","REVISAR"))</f>
      </c>
    </row>
    <row r="1380">
      <c r="A1380" s="5"/>
      <c r="B1380" s="4"/>
      <c r="C1380" s="4"/>
      <c r="D1380" s="4"/>
      <c r="E1380" s="5"/>
      <c r="F1380" s="4"/>
      <c r="G1380" s="6">
        <f>IF(A1380="","",SUBSTITUTE(SUBSTITUTE(SUBSTITUTE(SUBSTITUTE(SUBSTITUTE(SUBSTITUTE(SUBSTITUTE(TRIM(A1380),".",""),"/",""),"-","")," ",""),"(",""),")",""),"+",""))</f>
      </c>
      <c r="H1380" s="6">
        <f>IF(G1380="","",IF(LEN(G1380)&lt;&gt;14,"ERRO: "&amp;LEN(G1380)&amp;" dígitos",IF(NOT(ISNUMBER(VALUE(G1380))),"ERRO: não numérico",IF(AND(VALUE(MID(G1380,13,1))=IF(MOD(SUMPRODUCT(--MID(G1380,{1,2,3,4,5,6,7,8,9,10,11,12},1),{5,4,3,2,9,8,7,6,5,4,3,2}),11)&lt;2,0,11-MOD(SUMPRODUCT(--MID(G1380,{1,2,3,4,5,6,7,8,9,10,11,12},1),{5,4,3,2,9,8,7,6,5,4,3,2}),11)),VALUE(MID(G1380,14,1))=IF(MOD(SUMPRODUCT(--MID(G1380,{1,2,3,4,5,6,7,8,9,10,11,12,13},1),{6,5,4,3,2,9,8,7,6,5,4,3,2}),11)&lt;2,0,11-MOD(SUMPRODUCT(--MID(G1380,{1,2,3,4,5,6,7,8,9,10,11,12,13},1),{6,5,4,3,2,9,8,7,6,5,4,3,2}),11))),"OK","AVISO: dígito verificador (conferir na org)"))))</f>
      </c>
      <c r="I1380" s="6">
        <f>IF(G1380="","",IF(COUNTIF($G$2:$G$2001,G1380)&gt;1,"DUPLICADO","OK"))</f>
      </c>
      <c r="J1380" s="6">
        <f>IF(COUNTA(A1380:F1380)=0,"",IF(AND(A1380&lt;&gt;"",E1380&lt;&gt;""),"OK","ERRO: faltam "&amp;IF(A1380="","CNPJ; ","")&amp;IF(E1380="","Novo gerente; ","")))</f>
      </c>
      <c r="K1380" s="6">
        <f>IF(COUNTA(A1380:F1380)=0,"",IF(AND(LEFT(H1380,4)&lt;&gt;"ERRO",I1380="OK",J1380="OK"),"OK","REVISAR"))</f>
      </c>
    </row>
    <row r="1381">
      <c r="A1381" s="5"/>
      <c r="B1381" s="4"/>
      <c r="C1381" s="4"/>
      <c r="D1381" s="4"/>
      <c r="E1381" s="5"/>
      <c r="F1381" s="4"/>
      <c r="G1381" s="6">
        <f>IF(A1381="","",SUBSTITUTE(SUBSTITUTE(SUBSTITUTE(SUBSTITUTE(SUBSTITUTE(SUBSTITUTE(SUBSTITUTE(TRIM(A1381),".",""),"/",""),"-","")," ",""),"(",""),")",""),"+",""))</f>
      </c>
      <c r="H1381" s="6">
        <f>IF(G1381="","",IF(LEN(G1381)&lt;&gt;14,"ERRO: "&amp;LEN(G1381)&amp;" dígitos",IF(NOT(ISNUMBER(VALUE(G1381))),"ERRO: não numérico",IF(AND(VALUE(MID(G1381,13,1))=IF(MOD(SUMPRODUCT(--MID(G1381,{1,2,3,4,5,6,7,8,9,10,11,12},1),{5,4,3,2,9,8,7,6,5,4,3,2}),11)&lt;2,0,11-MOD(SUMPRODUCT(--MID(G1381,{1,2,3,4,5,6,7,8,9,10,11,12},1),{5,4,3,2,9,8,7,6,5,4,3,2}),11)),VALUE(MID(G1381,14,1))=IF(MOD(SUMPRODUCT(--MID(G1381,{1,2,3,4,5,6,7,8,9,10,11,12,13},1),{6,5,4,3,2,9,8,7,6,5,4,3,2}),11)&lt;2,0,11-MOD(SUMPRODUCT(--MID(G1381,{1,2,3,4,5,6,7,8,9,10,11,12,13},1),{6,5,4,3,2,9,8,7,6,5,4,3,2}),11))),"OK","AVISO: dígito verificador (conferir na org)"))))</f>
      </c>
      <c r="I1381" s="6">
        <f>IF(G1381="","",IF(COUNTIF($G$2:$G$2001,G1381)&gt;1,"DUPLICADO","OK"))</f>
      </c>
      <c r="J1381" s="6">
        <f>IF(COUNTA(A1381:F1381)=0,"",IF(AND(A1381&lt;&gt;"",E1381&lt;&gt;""),"OK","ERRO: faltam "&amp;IF(A1381="","CNPJ; ","")&amp;IF(E1381="","Novo gerente; ","")))</f>
      </c>
      <c r="K1381" s="6">
        <f>IF(COUNTA(A1381:F1381)=0,"",IF(AND(LEFT(H1381,4)&lt;&gt;"ERRO",I1381="OK",J1381="OK"),"OK","REVISAR"))</f>
      </c>
    </row>
    <row r="1382">
      <c r="A1382" s="5"/>
      <c r="B1382" s="4"/>
      <c r="C1382" s="4"/>
      <c r="D1382" s="4"/>
      <c r="E1382" s="5"/>
      <c r="F1382" s="4"/>
      <c r="G1382" s="6">
        <f>IF(A1382="","",SUBSTITUTE(SUBSTITUTE(SUBSTITUTE(SUBSTITUTE(SUBSTITUTE(SUBSTITUTE(SUBSTITUTE(TRIM(A1382),".",""),"/",""),"-","")," ",""),"(",""),")",""),"+",""))</f>
      </c>
      <c r="H1382" s="6">
        <f>IF(G1382="","",IF(LEN(G1382)&lt;&gt;14,"ERRO: "&amp;LEN(G1382)&amp;" dígitos",IF(NOT(ISNUMBER(VALUE(G1382))),"ERRO: não numérico",IF(AND(VALUE(MID(G1382,13,1))=IF(MOD(SUMPRODUCT(--MID(G1382,{1,2,3,4,5,6,7,8,9,10,11,12},1),{5,4,3,2,9,8,7,6,5,4,3,2}),11)&lt;2,0,11-MOD(SUMPRODUCT(--MID(G1382,{1,2,3,4,5,6,7,8,9,10,11,12},1),{5,4,3,2,9,8,7,6,5,4,3,2}),11)),VALUE(MID(G1382,14,1))=IF(MOD(SUMPRODUCT(--MID(G1382,{1,2,3,4,5,6,7,8,9,10,11,12,13},1),{6,5,4,3,2,9,8,7,6,5,4,3,2}),11)&lt;2,0,11-MOD(SUMPRODUCT(--MID(G1382,{1,2,3,4,5,6,7,8,9,10,11,12,13},1),{6,5,4,3,2,9,8,7,6,5,4,3,2}),11))),"OK","AVISO: dígito verificador (conferir na org)"))))</f>
      </c>
      <c r="I1382" s="6">
        <f>IF(G1382="","",IF(COUNTIF($G$2:$G$2001,G1382)&gt;1,"DUPLICADO","OK"))</f>
      </c>
      <c r="J1382" s="6">
        <f>IF(COUNTA(A1382:F1382)=0,"",IF(AND(A1382&lt;&gt;"",E1382&lt;&gt;""),"OK","ERRO: faltam "&amp;IF(A1382="","CNPJ; ","")&amp;IF(E1382="","Novo gerente; ","")))</f>
      </c>
      <c r="K1382" s="6">
        <f>IF(COUNTA(A1382:F1382)=0,"",IF(AND(LEFT(H1382,4)&lt;&gt;"ERRO",I1382="OK",J1382="OK"),"OK","REVISAR"))</f>
      </c>
    </row>
    <row r="1383">
      <c r="A1383" s="5"/>
      <c r="B1383" s="4"/>
      <c r="C1383" s="4"/>
      <c r="D1383" s="4"/>
      <c r="E1383" s="5"/>
      <c r="F1383" s="4"/>
      <c r="G1383" s="6">
        <f>IF(A1383="","",SUBSTITUTE(SUBSTITUTE(SUBSTITUTE(SUBSTITUTE(SUBSTITUTE(SUBSTITUTE(SUBSTITUTE(TRIM(A1383),".",""),"/",""),"-","")," ",""),"(",""),")",""),"+",""))</f>
      </c>
      <c r="H1383" s="6">
        <f>IF(G1383="","",IF(LEN(G1383)&lt;&gt;14,"ERRO: "&amp;LEN(G1383)&amp;" dígitos",IF(NOT(ISNUMBER(VALUE(G1383))),"ERRO: não numérico",IF(AND(VALUE(MID(G1383,13,1))=IF(MOD(SUMPRODUCT(--MID(G1383,{1,2,3,4,5,6,7,8,9,10,11,12},1),{5,4,3,2,9,8,7,6,5,4,3,2}),11)&lt;2,0,11-MOD(SUMPRODUCT(--MID(G1383,{1,2,3,4,5,6,7,8,9,10,11,12},1),{5,4,3,2,9,8,7,6,5,4,3,2}),11)),VALUE(MID(G1383,14,1))=IF(MOD(SUMPRODUCT(--MID(G1383,{1,2,3,4,5,6,7,8,9,10,11,12,13},1),{6,5,4,3,2,9,8,7,6,5,4,3,2}),11)&lt;2,0,11-MOD(SUMPRODUCT(--MID(G1383,{1,2,3,4,5,6,7,8,9,10,11,12,13},1),{6,5,4,3,2,9,8,7,6,5,4,3,2}),11))),"OK","AVISO: dígito verificador (conferir na org)"))))</f>
      </c>
      <c r="I1383" s="6">
        <f>IF(G1383="","",IF(COUNTIF($G$2:$G$2001,G1383)&gt;1,"DUPLICADO","OK"))</f>
      </c>
      <c r="J1383" s="6">
        <f>IF(COUNTA(A1383:F1383)=0,"",IF(AND(A1383&lt;&gt;"",E1383&lt;&gt;""),"OK","ERRO: faltam "&amp;IF(A1383="","CNPJ; ","")&amp;IF(E1383="","Novo gerente; ","")))</f>
      </c>
      <c r="K1383" s="6">
        <f>IF(COUNTA(A1383:F1383)=0,"",IF(AND(LEFT(H1383,4)&lt;&gt;"ERRO",I1383="OK",J1383="OK"),"OK","REVISAR"))</f>
      </c>
    </row>
    <row r="1384">
      <c r="A1384" s="5"/>
      <c r="B1384" s="4"/>
      <c r="C1384" s="4"/>
      <c r="D1384" s="4"/>
      <c r="E1384" s="5"/>
      <c r="F1384" s="4"/>
      <c r="G1384" s="6">
        <f>IF(A1384="","",SUBSTITUTE(SUBSTITUTE(SUBSTITUTE(SUBSTITUTE(SUBSTITUTE(SUBSTITUTE(SUBSTITUTE(TRIM(A1384),".",""),"/",""),"-","")," ",""),"(",""),")",""),"+",""))</f>
      </c>
      <c r="H1384" s="6">
        <f>IF(G1384="","",IF(LEN(G1384)&lt;&gt;14,"ERRO: "&amp;LEN(G1384)&amp;" dígitos",IF(NOT(ISNUMBER(VALUE(G1384))),"ERRO: não numérico",IF(AND(VALUE(MID(G1384,13,1))=IF(MOD(SUMPRODUCT(--MID(G1384,{1,2,3,4,5,6,7,8,9,10,11,12},1),{5,4,3,2,9,8,7,6,5,4,3,2}),11)&lt;2,0,11-MOD(SUMPRODUCT(--MID(G1384,{1,2,3,4,5,6,7,8,9,10,11,12},1),{5,4,3,2,9,8,7,6,5,4,3,2}),11)),VALUE(MID(G1384,14,1))=IF(MOD(SUMPRODUCT(--MID(G1384,{1,2,3,4,5,6,7,8,9,10,11,12,13},1),{6,5,4,3,2,9,8,7,6,5,4,3,2}),11)&lt;2,0,11-MOD(SUMPRODUCT(--MID(G1384,{1,2,3,4,5,6,7,8,9,10,11,12,13},1),{6,5,4,3,2,9,8,7,6,5,4,3,2}),11))),"OK","AVISO: dígito verificador (conferir na org)"))))</f>
      </c>
      <c r="I1384" s="6">
        <f>IF(G1384="","",IF(COUNTIF($G$2:$G$2001,G1384)&gt;1,"DUPLICADO","OK"))</f>
      </c>
      <c r="J1384" s="6">
        <f>IF(COUNTA(A1384:F1384)=0,"",IF(AND(A1384&lt;&gt;"",E1384&lt;&gt;""),"OK","ERRO: faltam "&amp;IF(A1384="","CNPJ; ","")&amp;IF(E1384="","Novo gerente; ","")))</f>
      </c>
      <c r="K1384" s="6">
        <f>IF(COUNTA(A1384:F1384)=0,"",IF(AND(LEFT(H1384,4)&lt;&gt;"ERRO",I1384="OK",J1384="OK"),"OK","REVISAR"))</f>
      </c>
    </row>
    <row r="1385">
      <c r="A1385" s="5"/>
      <c r="B1385" s="4"/>
      <c r="C1385" s="4"/>
      <c r="D1385" s="4"/>
      <c r="E1385" s="5"/>
      <c r="F1385" s="4"/>
      <c r="G1385" s="6">
        <f>IF(A1385="","",SUBSTITUTE(SUBSTITUTE(SUBSTITUTE(SUBSTITUTE(SUBSTITUTE(SUBSTITUTE(SUBSTITUTE(TRIM(A1385),".",""),"/",""),"-","")," ",""),"(",""),")",""),"+",""))</f>
      </c>
      <c r="H1385" s="6">
        <f>IF(G1385="","",IF(LEN(G1385)&lt;&gt;14,"ERRO: "&amp;LEN(G1385)&amp;" dígitos",IF(NOT(ISNUMBER(VALUE(G1385))),"ERRO: não numérico",IF(AND(VALUE(MID(G1385,13,1))=IF(MOD(SUMPRODUCT(--MID(G1385,{1,2,3,4,5,6,7,8,9,10,11,12},1),{5,4,3,2,9,8,7,6,5,4,3,2}),11)&lt;2,0,11-MOD(SUMPRODUCT(--MID(G1385,{1,2,3,4,5,6,7,8,9,10,11,12},1),{5,4,3,2,9,8,7,6,5,4,3,2}),11)),VALUE(MID(G1385,14,1))=IF(MOD(SUMPRODUCT(--MID(G1385,{1,2,3,4,5,6,7,8,9,10,11,12,13},1),{6,5,4,3,2,9,8,7,6,5,4,3,2}),11)&lt;2,0,11-MOD(SUMPRODUCT(--MID(G1385,{1,2,3,4,5,6,7,8,9,10,11,12,13},1),{6,5,4,3,2,9,8,7,6,5,4,3,2}),11))),"OK","AVISO: dígito verificador (conferir na org)"))))</f>
      </c>
      <c r="I1385" s="6">
        <f>IF(G1385="","",IF(COUNTIF($G$2:$G$2001,G1385)&gt;1,"DUPLICADO","OK"))</f>
      </c>
      <c r="J1385" s="6">
        <f>IF(COUNTA(A1385:F1385)=0,"",IF(AND(A1385&lt;&gt;"",E1385&lt;&gt;""),"OK","ERRO: faltam "&amp;IF(A1385="","CNPJ; ","")&amp;IF(E1385="","Novo gerente; ","")))</f>
      </c>
      <c r="K1385" s="6">
        <f>IF(COUNTA(A1385:F1385)=0,"",IF(AND(LEFT(H1385,4)&lt;&gt;"ERRO",I1385="OK",J1385="OK"),"OK","REVISAR"))</f>
      </c>
    </row>
    <row r="1386">
      <c r="A1386" s="5"/>
      <c r="B1386" s="4"/>
      <c r="C1386" s="4"/>
      <c r="D1386" s="4"/>
      <c r="E1386" s="5"/>
      <c r="F1386" s="4"/>
      <c r="G1386" s="6">
        <f>IF(A1386="","",SUBSTITUTE(SUBSTITUTE(SUBSTITUTE(SUBSTITUTE(SUBSTITUTE(SUBSTITUTE(SUBSTITUTE(TRIM(A1386),".",""),"/",""),"-","")," ",""),"(",""),")",""),"+",""))</f>
      </c>
      <c r="H1386" s="6">
        <f>IF(G1386="","",IF(LEN(G1386)&lt;&gt;14,"ERRO: "&amp;LEN(G1386)&amp;" dígitos",IF(NOT(ISNUMBER(VALUE(G1386))),"ERRO: não numérico",IF(AND(VALUE(MID(G1386,13,1))=IF(MOD(SUMPRODUCT(--MID(G1386,{1,2,3,4,5,6,7,8,9,10,11,12},1),{5,4,3,2,9,8,7,6,5,4,3,2}),11)&lt;2,0,11-MOD(SUMPRODUCT(--MID(G1386,{1,2,3,4,5,6,7,8,9,10,11,12},1),{5,4,3,2,9,8,7,6,5,4,3,2}),11)),VALUE(MID(G1386,14,1))=IF(MOD(SUMPRODUCT(--MID(G1386,{1,2,3,4,5,6,7,8,9,10,11,12,13},1),{6,5,4,3,2,9,8,7,6,5,4,3,2}),11)&lt;2,0,11-MOD(SUMPRODUCT(--MID(G1386,{1,2,3,4,5,6,7,8,9,10,11,12,13},1),{6,5,4,3,2,9,8,7,6,5,4,3,2}),11))),"OK","AVISO: dígito verificador (conferir na org)"))))</f>
      </c>
      <c r="I1386" s="6">
        <f>IF(G1386="","",IF(COUNTIF($G$2:$G$2001,G1386)&gt;1,"DUPLICADO","OK"))</f>
      </c>
      <c r="J1386" s="6">
        <f>IF(COUNTA(A1386:F1386)=0,"",IF(AND(A1386&lt;&gt;"",E1386&lt;&gt;""),"OK","ERRO: faltam "&amp;IF(A1386="","CNPJ; ","")&amp;IF(E1386="","Novo gerente; ","")))</f>
      </c>
      <c r="K1386" s="6">
        <f>IF(COUNTA(A1386:F1386)=0,"",IF(AND(LEFT(H1386,4)&lt;&gt;"ERRO",I1386="OK",J1386="OK"),"OK","REVISAR"))</f>
      </c>
    </row>
    <row r="1387">
      <c r="A1387" s="5"/>
      <c r="B1387" s="4"/>
      <c r="C1387" s="4"/>
      <c r="D1387" s="4"/>
      <c r="E1387" s="5"/>
      <c r="F1387" s="4"/>
      <c r="G1387" s="6">
        <f>IF(A1387="","",SUBSTITUTE(SUBSTITUTE(SUBSTITUTE(SUBSTITUTE(SUBSTITUTE(SUBSTITUTE(SUBSTITUTE(TRIM(A1387),".",""),"/",""),"-","")," ",""),"(",""),")",""),"+",""))</f>
      </c>
      <c r="H1387" s="6">
        <f>IF(G1387="","",IF(LEN(G1387)&lt;&gt;14,"ERRO: "&amp;LEN(G1387)&amp;" dígitos",IF(NOT(ISNUMBER(VALUE(G1387))),"ERRO: não numérico",IF(AND(VALUE(MID(G1387,13,1))=IF(MOD(SUMPRODUCT(--MID(G1387,{1,2,3,4,5,6,7,8,9,10,11,12},1),{5,4,3,2,9,8,7,6,5,4,3,2}),11)&lt;2,0,11-MOD(SUMPRODUCT(--MID(G1387,{1,2,3,4,5,6,7,8,9,10,11,12},1),{5,4,3,2,9,8,7,6,5,4,3,2}),11)),VALUE(MID(G1387,14,1))=IF(MOD(SUMPRODUCT(--MID(G1387,{1,2,3,4,5,6,7,8,9,10,11,12,13},1),{6,5,4,3,2,9,8,7,6,5,4,3,2}),11)&lt;2,0,11-MOD(SUMPRODUCT(--MID(G1387,{1,2,3,4,5,6,7,8,9,10,11,12,13},1),{6,5,4,3,2,9,8,7,6,5,4,3,2}),11))),"OK","AVISO: dígito verificador (conferir na org)"))))</f>
      </c>
      <c r="I1387" s="6">
        <f>IF(G1387="","",IF(COUNTIF($G$2:$G$2001,G1387)&gt;1,"DUPLICADO","OK"))</f>
      </c>
      <c r="J1387" s="6">
        <f>IF(COUNTA(A1387:F1387)=0,"",IF(AND(A1387&lt;&gt;"",E1387&lt;&gt;""),"OK","ERRO: faltam "&amp;IF(A1387="","CNPJ; ","")&amp;IF(E1387="","Novo gerente; ","")))</f>
      </c>
      <c r="K1387" s="6">
        <f>IF(COUNTA(A1387:F1387)=0,"",IF(AND(LEFT(H1387,4)&lt;&gt;"ERRO",I1387="OK",J1387="OK"),"OK","REVISAR"))</f>
      </c>
    </row>
    <row r="1388">
      <c r="A1388" s="5"/>
      <c r="B1388" s="4"/>
      <c r="C1388" s="4"/>
      <c r="D1388" s="4"/>
      <c r="E1388" s="5"/>
      <c r="F1388" s="4"/>
      <c r="G1388" s="6">
        <f>IF(A1388="","",SUBSTITUTE(SUBSTITUTE(SUBSTITUTE(SUBSTITUTE(SUBSTITUTE(SUBSTITUTE(SUBSTITUTE(TRIM(A1388),".",""),"/",""),"-","")," ",""),"(",""),")",""),"+",""))</f>
      </c>
      <c r="H1388" s="6">
        <f>IF(G1388="","",IF(LEN(G1388)&lt;&gt;14,"ERRO: "&amp;LEN(G1388)&amp;" dígitos",IF(NOT(ISNUMBER(VALUE(G1388))),"ERRO: não numérico",IF(AND(VALUE(MID(G1388,13,1))=IF(MOD(SUMPRODUCT(--MID(G1388,{1,2,3,4,5,6,7,8,9,10,11,12},1),{5,4,3,2,9,8,7,6,5,4,3,2}),11)&lt;2,0,11-MOD(SUMPRODUCT(--MID(G1388,{1,2,3,4,5,6,7,8,9,10,11,12},1),{5,4,3,2,9,8,7,6,5,4,3,2}),11)),VALUE(MID(G1388,14,1))=IF(MOD(SUMPRODUCT(--MID(G1388,{1,2,3,4,5,6,7,8,9,10,11,12,13},1),{6,5,4,3,2,9,8,7,6,5,4,3,2}),11)&lt;2,0,11-MOD(SUMPRODUCT(--MID(G1388,{1,2,3,4,5,6,7,8,9,10,11,12,13},1),{6,5,4,3,2,9,8,7,6,5,4,3,2}),11))),"OK","AVISO: dígito verificador (conferir na org)"))))</f>
      </c>
      <c r="I1388" s="6">
        <f>IF(G1388="","",IF(COUNTIF($G$2:$G$2001,G1388)&gt;1,"DUPLICADO","OK"))</f>
      </c>
      <c r="J1388" s="6">
        <f>IF(COUNTA(A1388:F1388)=0,"",IF(AND(A1388&lt;&gt;"",E1388&lt;&gt;""),"OK","ERRO: faltam "&amp;IF(A1388="","CNPJ; ","")&amp;IF(E1388="","Novo gerente; ","")))</f>
      </c>
      <c r="K1388" s="6">
        <f>IF(COUNTA(A1388:F1388)=0,"",IF(AND(LEFT(H1388,4)&lt;&gt;"ERRO",I1388="OK",J1388="OK"),"OK","REVISAR"))</f>
      </c>
    </row>
    <row r="1389">
      <c r="A1389" s="5"/>
      <c r="B1389" s="4"/>
      <c r="C1389" s="4"/>
      <c r="D1389" s="4"/>
      <c r="E1389" s="5"/>
      <c r="F1389" s="4"/>
      <c r="G1389" s="6">
        <f>IF(A1389="","",SUBSTITUTE(SUBSTITUTE(SUBSTITUTE(SUBSTITUTE(SUBSTITUTE(SUBSTITUTE(SUBSTITUTE(TRIM(A1389),".",""),"/",""),"-","")," ",""),"(",""),")",""),"+",""))</f>
      </c>
      <c r="H1389" s="6">
        <f>IF(G1389="","",IF(LEN(G1389)&lt;&gt;14,"ERRO: "&amp;LEN(G1389)&amp;" dígitos",IF(NOT(ISNUMBER(VALUE(G1389))),"ERRO: não numérico",IF(AND(VALUE(MID(G1389,13,1))=IF(MOD(SUMPRODUCT(--MID(G1389,{1,2,3,4,5,6,7,8,9,10,11,12},1),{5,4,3,2,9,8,7,6,5,4,3,2}),11)&lt;2,0,11-MOD(SUMPRODUCT(--MID(G1389,{1,2,3,4,5,6,7,8,9,10,11,12},1),{5,4,3,2,9,8,7,6,5,4,3,2}),11)),VALUE(MID(G1389,14,1))=IF(MOD(SUMPRODUCT(--MID(G1389,{1,2,3,4,5,6,7,8,9,10,11,12,13},1),{6,5,4,3,2,9,8,7,6,5,4,3,2}),11)&lt;2,0,11-MOD(SUMPRODUCT(--MID(G1389,{1,2,3,4,5,6,7,8,9,10,11,12,13},1),{6,5,4,3,2,9,8,7,6,5,4,3,2}),11))),"OK","AVISO: dígito verificador (conferir na org)"))))</f>
      </c>
      <c r="I1389" s="6">
        <f>IF(G1389="","",IF(COUNTIF($G$2:$G$2001,G1389)&gt;1,"DUPLICADO","OK"))</f>
      </c>
      <c r="J1389" s="6">
        <f>IF(COUNTA(A1389:F1389)=0,"",IF(AND(A1389&lt;&gt;"",E1389&lt;&gt;""),"OK","ERRO: faltam "&amp;IF(A1389="","CNPJ; ","")&amp;IF(E1389="","Novo gerente; ","")))</f>
      </c>
      <c r="K1389" s="6">
        <f>IF(COUNTA(A1389:F1389)=0,"",IF(AND(LEFT(H1389,4)&lt;&gt;"ERRO",I1389="OK",J1389="OK"),"OK","REVISAR"))</f>
      </c>
    </row>
    <row r="1390">
      <c r="A1390" s="5"/>
      <c r="B1390" s="4"/>
      <c r="C1390" s="4"/>
      <c r="D1390" s="4"/>
      <c r="E1390" s="5"/>
      <c r="F1390" s="4"/>
      <c r="G1390" s="6">
        <f>IF(A1390="","",SUBSTITUTE(SUBSTITUTE(SUBSTITUTE(SUBSTITUTE(SUBSTITUTE(SUBSTITUTE(SUBSTITUTE(TRIM(A1390),".",""),"/",""),"-","")," ",""),"(",""),")",""),"+",""))</f>
      </c>
      <c r="H1390" s="6">
        <f>IF(G1390="","",IF(LEN(G1390)&lt;&gt;14,"ERRO: "&amp;LEN(G1390)&amp;" dígitos",IF(NOT(ISNUMBER(VALUE(G1390))),"ERRO: não numérico",IF(AND(VALUE(MID(G1390,13,1))=IF(MOD(SUMPRODUCT(--MID(G1390,{1,2,3,4,5,6,7,8,9,10,11,12},1),{5,4,3,2,9,8,7,6,5,4,3,2}),11)&lt;2,0,11-MOD(SUMPRODUCT(--MID(G1390,{1,2,3,4,5,6,7,8,9,10,11,12},1),{5,4,3,2,9,8,7,6,5,4,3,2}),11)),VALUE(MID(G1390,14,1))=IF(MOD(SUMPRODUCT(--MID(G1390,{1,2,3,4,5,6,7,8,9,10,11,12,13},1),{6,5,4,3,2,9,8,7,6,5,4,3,2}),11)&lt;2,0,11-MOD(SUMPRODUCT(--MID(G1390,{1,2,3,4,5,6,7,8,9,10,11,12,13},1),{6,5,4,3,2,9,8,7,6,5,4,3,2}),11))),"OK","AVISO: dígito verificador (conferir na org)"))))</f>
      </c>
      <c r="I1390" s="6">
        <f>IF(G1390="","",IF(COUNTIF($G$2:$G$2001,G1390)&gt;1,"DUPLICADO","OK"))</f>
      </c>
      <c r="J1390" s="6">
        <f>IF(COUNTA(A1390:F1390)=0,"",IF(AND(A1390&lt;&gt;"",E1390&lt;&gt;""),"OK","ERRO: faltam "&amp;IF(A1390="","CNPJ; ","")&amp;IF(E1390="","Novo gerente; ","")))</f>
      </c>
      <c r="K1390" s="6">
        <f>IF(COUNTA(A1390:F1390)=0,"",IF(AND(LEFT(H1390,4)&lt;&gt;"ERRO",I1390="OK",J1390="OK"),"OK","REVISAR"))</f>
      </c>
    </row>
    <row r="1391">
      <c r="A1391" s="5"/>
      <c r="B1391" s="4"/>
      <c r="C1391" s="4"/>
      <c r="D1391" s="4"/>
      <c r="E1391" s="5"/>
      <c r="F1391" s="4"/>
      <c r="G1391" s="6">
        <f>IF(A1391="","",SUBSTITUTE(SUBSTITUTE(SUBSTITUTE(SUBSTITUTE(SUBSTITUTE(SUBSTITUTE(SUBSTITUTE(TRIM(A1391),".",""),"/",""),"-","")," ",""),"(",""),")",""),"+",""))</f>
      </c>
      <c r="H1391" s="6">
        <f>IF(G1391="","",IF(LEN(G1391)&lt;&gt;14,"ERRO: "&amp;LEN(G1391)&amp;" dígitos",IF(NOT(ISNUMBER(VALUE(G1391))),"ERRO: não numérico",IF(AND(VALUE(MID(G1391,13,1))=IF(MOD(SUMPRODUCT(--MID(G1391,{1,2,3,4,5,6,7,8,9,10,11,12},1),{5,4,3,2,9,8,7,6,5,4,3,2}),11)&lt;2,0,11-MOD(SUMPRODUCT(--MID(G1391,{1,2,3,4,5,6,7,8,9,10,11,12},1),{5,4,3,2,9,8,7,6,5,4,3,2}),11)),VALUE(MID(G1391,14,1))=IF(MOD(SUMPRODUCT(--MID(G1391,{1,2,3,4,5,6,7,8,9,10,11,12,13},1),{6,5,4,3,2,9,8,7,6,5,4,3,2}),11)&lt;2,0,11-MOD(SUMPRODUCT(--MID(G1391,{1,2,3,4,5,6,7,8,9,10,11,12,13},1),{6,5,4,3,2,9,8,7,6,5,4,3,2}),11))),"OK","AVISO: dígito verificador (conferir na org)"))))</f>
      </c>
      <c r="I1391" s="6">
        <f>IF(G1391="","",IF(COUNTIF($G$2:$G$2001,G1391)&gt;1,"DUPLICADO","OK"))</f>
      </c>
      <c r="J1391" s="6">
        <f>IF(COUNTA(A1391:F1391)=0,"",IF(AND(A1391&lt;&gt;"",E1391&lt;&gt;""),"OK","ERRO: faltam "&amp;IF(A1391="","CNPJ; ","")&amp;IF(E1391="","Novo gerente; ","")))</f>
      </c>
      <c r="K1391" s="6">
        <f>IF(COUNTA(A1391:F1391)=0,"",IF(AND(LEFT(H1391,4)&lt;&gt;"ERRO",I1391="OK",J1391="OK"),"OK","REVISAR"))</f>
      </c>
    </row>
    <row r="1392">
      <c r="A1392" s="5"/>
      <c r="B1392" s="4"/>
      <c r="C1392" s="4"/>
      <c r="D1392" s="4"/>
      <c r="E1392" s="5"/>
      <c r="F1392" s="4"/>
      <c r="G1392" s="6">
        <f>IF(A1392="","",SUBSTITUTE(SUBSTITUTE(SUBSTITUTE(SUBSTITUTE(SUBSTITUTE(SUBSTITUTE(SUBSTITUTE(TRIM(A1392),".",""),"/",""),"-","")," ",""),"(",""),")",""),"+",""))</f>
      </c>
      <c r="H1392" s="6">
        <f>IF(G1392="","",IF(LEN(G1392)&lt;&gt;14,"ERRO: "&amp;LEN(G1392)&amp;" dígitos",IF(NOT(ISNUMBER(VALUE(G1392))),"ERRO: não numérico",IF(AND(VALUE(MID(G1392,13,1))=IF(MOD(SUMPRODUCT(--MID(G1392,{1,2,3,4,5,6,7,8,9,10,11,12},1),{5,4,3,2,9,8,7,6,5,4,3,2}),11)&lt;2,0,11-MOD(SUMPRODUCT(--MID(G1392,{1,2,3,4,5,6,7,8,9,10,11,12},1),{5,4,3,2,9,8,7,6,5,4,3,2}),11)),VALUE(MID(G1392,14,1))=IF(MOD(SUMPRODUCT(--MID(G1392,{1,2,3,4,5,6,7,8,9,10,11,12,13},1),{6,5,4,3,2,9,8,7,6,5,4,3,2}),11)&lt;2,0,11-MOD(SUMPRODUCT(--MID(G1392,{1,2,3,4,5,6,7,8,9,10,11,12,13},1),{6,5,4,3,2,9,8,7,6,5,4,3,2}),11))),"OK","AVISO: dígito verificador (conferir na org)"))))</f>
      </c>
      <c r="I1392" s="6">
        <f>IF(G1392="","",IF(COUNTIF($G$2:$G$2001,G1392)&gt;1,"DUPLICADO","OK"))</f>
      </c>
      <c r="J1392" s="6">
        <f>IF(COUNTA(A1392:F1392)=0,"",IF(AND(A1392&lt;&gt;"",E1392&lt;&gt;""),"OK","ERRO: faltam "&amp;IF(A1392="","CNPJ; ","")&amp;IF(E1392="","Novo gerente; ","")))</f>
      </c>
      <c r="K1392" s="6">
        <f>IF(COUNTA(A1392:F1392)=0,"",IF(AND(LEFT(H1392,4)&lt;&gt;"ERRO",I1392="OK",J1392="OK"),"OK","REVISAR"))</f>
      </c>
    </row>
    <row r="1393">
      <c r="A1393" s="5"/>
      <c r="B1393" s="4"/>
      <c r="C1393" s="4"/>
      <c r="D1393" s="4"/>
      <c r="E1393" s="5"/>
      <c r="F1393" s="4"/>
      <c r="G1393" s="6">
        <f>IF(A1393="","",SUBSTITUTE(SUBSTITUTE(SUBSTITUTE(SUBSTITUTE(SUBSTITUTE(SUBSTITUTE(SUBSTITUTE(TRIM(A1393),".",""),"/",""),"-","")," ",""),"(",""),")",""),"+",""))</f>
      </c>
      <c r="H1393" s="6">
        <f>IF(G1393="","",IF(LEN(G1393)&lt;&gt;14,"ERRO: "&amp;LEN(G1393)&amp;" dígitos",IF(NOT(ISNUMBER(VALUE(G1393))),"ERRO: não numérico",IF(AND(VALUE(MID(G1393,13,1))=IF(MOD(SUMPRODUCT(--MID(G1393,{1,2,3,4,5,6,7,8,9,10,11,12},1),{5,4,3,2,9,8,7,6,5,4,3,2}),11)&lt;2,0,11-MOD(SUMPRODUCT(--MID(G1393,{1,2,3,4,5,6,7,8,9,10,11,12},1),{5,4,3,2,9,8,7,6,5,4,3,2}),11)),VALUE(MID(G1393,14,1))=IF(MOD(SUMPRODUCT(--MID(G1393,{1,2,3,4,5,6,7,8,9,10,11,12,13},1),{6,5,4,3,2,9,8,7,6,5,4,3,2}),11)&lt;2,0,11-MOD(SUMPRODUCT(--MID(G1393,{1,2,3,4,5,6,7,8,9,10,11,12,13},1),{6,5,4,3,2,9,8,7,6,5,4,3,2}),11))),"OK","AVISO: dígito verificador (conferir na org)"))))</f>
      </c>
      <c r="I1393" s="6">
        <f>IF(G1393="","",IF(COUNTIF($G$2:$G$2001,G1393)&gt;1,"DUPLICADO","OK"))</f>
      </c>
      <c r="J1393" s="6">
        <f>IF(COUNTA(A1393:F1393)=0,"",IF(AND(A1393&lt;&gt;"",E1393&lt;&gt;""),"OK","ERRO: faltam "&amp;IF(A1393="","CNPJ; ","")&amp;IF(E1393="","Novo gerente; ","")))</f>
      </c>
      <c r="K1393" s="6">
        <f>IF(COUNTA(A1393:F1393)=0,"",IF(AND(LEFT(H1393,4)&lt;&gt;"ERRO",I1393="OK",J1393="OK"),"OK","REVISAR"))</f>
      </c>
    </row>
    <row r="1394">
      <c r="A1394" s="5"/>
      <c r="B1394" s="4"/>
      <c r="C1394" s="4"/>
      <c r="D1394" s="4"/>
      <c r="E1394" s="5"/>
      <c r="F1394" s="4"/>
      <c r="G1394" s="6">
        <f>IF(A1394="","",SUBSTITUTE(SUBSTITUTE(SUBSTITUTE(SUBSTITUTE(SUBSTITUTE(SUBSTITUTE(SUBSTITUTE(TRIM(A1394),".",""),"/",""),"-","")," ",""),"(",""),")",""),"+",""))</f>
      </c>
      <c r="H1394" s="6">
        <f>IF(G1394="","",IF(LEN(G1394)&lt;&gt;14,"ERRO: "&amp;LEN(G1394)&amp;" dígitos",IF(NOT(ISNUMBER(VALUE(G1394))),"ERRO: não numérico",IF(AND(VALUE(MID(G1394,13,1))=IF(MOD(SUMPRODUCT(--MID(G1394,{1,2,3,4,5,6,7,8,9,10,11,12},1),{5,4,3,2,9,8,7,6,5,4,3,2}),11)&lt;2,0,11-MOD(SUMPRODUCT(--MID(G1394,{1,2,3,4,5,6,7,8,9,10,11,12},1),{5,4,3,2,9,8,7,6,5,4,3,2}),11)),VALUE(MID(G1394,14,1))=IF(MOD(SUMPRODUCT(--MID(G1394,{1,2,3,4,5,6,7,8,9,10,11,12,13},1),{6,5,4,3,2,9,8,7,6,5,4,3,2}),11)&lt;2,0,11-MOD(SUMPRODUCT(--MID(G1394,{1,2,3,4,5,6,7,8,9,10,11,12,13},1),{6,5,4,3,2,9,8,7,6,5,4,3,2}),11))),"OK","AVISO: dígito verificador (conferir na org)"))))</f>
      </c>
      <c r="I1394" s="6">
        <f>IF(G1394="","",IF(COUNTIF($G$2:$G$2001,G1394)&gt;1,"DUPLICADO","OK"))</f>
      </c>
      <c r="J1394" s="6">
        <f>IF(COUNTA(A1394:F1394)=0,"",IF(AND(A1394&lt;&gt;"",E1394&lt;&gt;""),"OK","ERRO: faltam "&amp;IF(A1394="","CNPJ; ","")&amp;IF(E1394="","Novo gerente; ","")))</f>
      </c>
      <c r="K1394" s="6">
        <f>IF(COUNTA(A1394:F1394)=0,"",IF(AND(LEFT(H1394,4)&lt;&gt;"ERRO",I1394="OK",J1394="OK"),"OK","REVISAR"))</f>
      </c>
    </row>
    <row r="1395">
      <c r="A1395" s="5"/>
      <c r="B1395" s="4"/>
      <c r="C1395" s="4"/>
      <c r="D1395" s="4"/>
      <c r="E1395" s="5"/>
      <c r="F1395" s="4"/>
      <c r="G1395" s="6">
        <f>IF(A1395="","",SUBSTITUTE(SUBSTITUTE(SUBSTITUTE(SUBSTITUTE(SUBSTITUTE(SUBSTITUTE(SUBSTITUTE(TRIM(A1395),".",""),"/",""),"-","")," ",""),"(",""),")",""),"+",""))</f>
      </c>
      <c r="H1395" s="6">
        <f>IF(G1395="","",IF(LEN(G1395)&lt;&gt;14,"ERRO: "&amp;LEN(G1395)&amp;" dígitos",IF(NOT(ISNUMBER(VALUE(G1395))),"ERRO: não numérico",IF(AND(VALUE(MID(G1395,13,1))=IF(MOD(SUMPRODUCT(--MID(G1395,{1,2,3,4,5,6,7,8,9,10,11,12},1),{5,4,3,2,9,8,7,6,5,4,3,2}),11)&lt;2,0,11-MOD(SUMPRODUCT(--MID(G1395,{1,2,3,4,5,6,7,8,9,10,11,12},1),{5,4,3,2,9,8,7,6,5,4,3,2}),11)),VALUE(MID(G1395,14,1))=IF(MOD(SUMPRODUCT(--MID(G1395,{1,2,3,4,5,6,7,8,9,10,11,12,13},1),{6,5,4,3,2,9,8,7,6,5,4,3,2}),11)&lt;2,0,11-MOD(SUMPRODUCT(--MID(G1395,{1,2,3,4,5,6,7,8,9,10,11,12,13},1),{6,5,4,3,2,9,8,7,6,5,4,3,2}),11))),"OK","AVISO: dígito verificador (conferir na org)"))))</f>
      </c>
      <c r="I1395" s="6">
        <f>IF(G1395="","",IF(COUNTIF($G$2:$G$2001,G1395)&gt;1,"DUPLICADO","OK"))</f>
      </c>
      <c r="J1395" s="6">
        <f>IF(COUNTA(A1395:F1395)=0,"",IF(AND(A1395&lt;&gt;"",E1395&lt;&gt;""),"OK","ERRO: faltam "&amp;IF(A1395="","CNPJ; ","")&amp;IF(E1395="","Novo gerente; ","")))</f>
      </c>
      <c r="K1395" s="6">
        <f>IF(COUNTA(A1395:F1395)=0,"",IF(AND(LEFT(H1395,4)&lt;&gt;"ERRO",I1395="OK",J1395="OK"),"OK","REVISAR"))</f>
      </c>
    </row>
    <row r="1396">
      <c r="A1396" s="5"/>
      <c r="B1396" s="4"/>
      <c r="C1396" s="4"/>
      <c r="D1396" s="4"/>
      <c r="E1396" s="5"/>
      <c r="F1396" s="4"/>
      <c r="G1396" s="6">
        <f>IF(A1396="","",SUBSTITUTE(SUBSTITUTE(SUBSTITUTE(SUBSTITUTE(SUBSTITUTE(SUBSTITUTE(SUBSTITUTE(TRIM(A1396),".",""),"/",""),"-","")," ",""),"(",""),")",""),"+",""))</f>
      </c>
      <c r="H1396" s="6">
        <f>IF(G1396="","",IF(LEN(G1396)&lt;&gt;14,"ERRO: "&amp;LEN(G1396)&amp;" dígitos",IF(NOT(ISNUMBER(VALUE(G1396))),"ERRO: não numérico",IF(AND(VALUE(MID(G1396,13,1))=IF(MOD(SUMPRODUCT(--MID(G1396,{1,2,3,4,5,6,7,8,9,10,11,12},1),{5,4,3,2,9,8,7,6,5,4,3,2}),11)&lt;2,0,11-MOD(SUMPRODUCT(--MID(G1396,{1,2,3,4,5,6,7,8,9,10,11,12},1),{5,4,3,2,9,8,7,6,5,4,3,2}),11)),VALUE(MID(G1396,14,1))=IF(MOD(SUMPRODUCT(--MID(G1396,{1,2,3,4,5,6,7,8,9,10,11,12,13},1),{6,5,4,3,2,9,8,7,6,5,4,3,2}),11)&lt;2,0,11-MOD(SUMPRODUCT(--MID(G1396,{1,2,3,4,5,6,7,8,9,10,11,12,13},1),{6,5,4,3,2,9,8,7,6,5,4,3,2}),11))),"OK","AVISO: dígito verificador (conferir na org)"))))</f>
      </c>
      <c r="I1396" s="6">
        <f>IF(G1396="","",IF(COUNTIF($G$2:$G$2001,G1396)&gt;1,"DUPLICADO","OK"))</f>
      </c>
      <c r="J1396" s="6">
        <f>IF(COUNTA(A1396:F1396)=0,"",IF(AND(A1396&lt;&gt;"",E1396&lt;&gt;""),"OK","ERRO: faltam "&amp;IF(A1396="","CNPJ; ","")&amp;IF(E1396="","Novo gerente; ","")))</f>
      </c>
      <c r="K1396" s="6">
        <f>IF(COUNTA(A1396:F1396)=0,"",IF(AND(LEFT(H1396,4)&lt;&gt;"ERRO",I1396="OK",J1396="OK"),"OK","REVISAR"))</f>
      </c>
    </row>
    <row r="1397">
      <c r="A1397" s="5"/>
      <c r="B1397" s="4"/>
      <c r="C1397" s="4"/>
      <c r="D1397" s="4"/>
      <c r="E1397" s="5"/>
      <c r="F1397" s="4"/>
      <c r="G1397" s="6">
        <f>IF(A1397="","",SUBSTITUTE(SUBSTITUTE(SUBSTITUTE(SUBSTITUTE(SUBSTITUTE(SUBSTITUTE(SUBSTITUTE(TRIM(A1397),".",""),"/",""),"-","")," ",""),"(",""),")",""),"+",""))</f>
      </c>
      <c r="H1397" s="6">
        <f>IF(G1397="","",IF(LEN(G1397)&lt;&gt;14,"ERRO: "&amp;LEN(G1397)&amp;" dígitos",IF(NOT(ISNUMBER(VALUE(G1397))),"ERRO: não numérico",IF(AND(VALUE(MID(G1397,13,1))=IF(MOD(SUMPRODUCT(--MID(G1397,{1,2,3,4,5,6,7,8,9,10,11,12},1),{5,4,3,2,9,8,7,6,5,4,3,2}),11)&lt;2,0,11-MOD(SUMPRODUCT(--MID(G1397,{1,2,3,4,5,6,7,8,9,10,11,12},1),{5,4,3,2,9,8,7,6,5,4,3,2}),11)),VALUE(MID(G1397,14,1))=IF(MOD(SUMPRODUCT(--MID(G1397,{1,2,3,4,5,6,7,8,9,10,11,12,13},1),{6,5,4,3,2,9,8,7,6,5,4,3,2}),11)&lt;2,0,11-MOD(SUMPRODUCT(--MID(G1397,{1,2,3,4,5,6,7,8,9,10,11,12,13},1),{6,5,4,3,2,9,8,7,6,5,4,3,2}),11))),"OK","AVISO: dígito verificador (conferir na org)"))))</f>
      </c>
      <c r="I1397" s="6">
        <f>IF(G1397="","",IF(COUNTIF($G$2:$G$2001,G1397)&gt;1,"DUPLICADO","OK"))</f>
      </c>
      <c r="J1397" s="6">
        <f>IF(COUNTA(A1397:F1397)=0,"",IF(AND(A1397&lt;&gt;"",E1397&lt;&gt;""),"OK","ERRO: faltam "&amp;IF(A1397="","CNPJ; ","")&amp;IF(E1397="","Novo gerente; ","")))</f>
      </c>
      <c r="K1397" s="6">
        <f>IF(COUNTA(A1397:F1397)=0,"",IF(AND(LEFT(H1397,4)&lt;&gt;"ERRO",I1397="OK",J1397="OK"),"OK","REVISAR"))</f>
      </c>
    </row>
    <row r="1398">
      <c r="A1398" s="5"/>
      <c r="B1398" s="4"/>
      <c r="C1398" s="4"/>
      <c r="D1398" s="4"/>
      <c r="E1398" s="5"/>
      <c r="F1398" s="4"/>
      <c r="G1398" s="6">
        <f>IF(A1398="","",SUBSTITUTE(SUBSTITUTE(SUBSTITUTE(SUBSTITUTE(SUBSTITUTE(SUBSTITUTE(SUBSTITUTE(TRIM(A1398),".",""),"/",""),"-","")," ",""),"(",""),")",""),"+",""))</f>
      </c>
      <c r="H1398" s="6">
        <f>IF(G1398="","",IF(LEN(G1398)&lt;&gt;14,"ERRO: "&amp;LEN(G1398)&amp;" dígitos",IF(NOT(ISNUMBER(VALUE(G1398))),"ERRO: não numérico",IF(AND(VALUE(MID(G1398,13,1))=IF(MOD(SUMPRODUCT(--MID(G1398,{1,2,3,4,5,6,7,8,9,10,11,12},1),{5,4,3,2,9,8,7,6,5,4,3,2}),11)&lt;2,0,11-MOD(SUMPRODUCT(--MID(G1398,{1,2,3,4,5,6,7,8,9,10,11,12},1),{5,4,3,2,9,8,7,6,5,4,3,2}),11)),VALUE(MID(G1398,14,1))=IF(MOD(SUMPRODUCT(--MID(G1398,{1,2,3,4,5,6,7,8,9,10,11,12,13},1),{6,5,4,3,2,9,8,7,6,5,4,3,2}),11)&lt;2,0,11-MOD(SUMPRODUCT(--MID(G1398,{1,2,3,4,5,6,7,8,9,10,11,12,13},1),{6,5,4,3,2,9,8,7,6,5,4,3,2}),11))),"OK","AVISO: dígito verificador (conferir na org)"))))</f>
      </c>
      <c r="I1398" s="6">
        <f>IF(G1398="","",IF(COUNTIF($G$2:$G$2001,G1398)&gt;1,"DUPLICADO","OK"))</f>
      </c>
      <c r="J1398" s="6">
        <f>IF(COUNTA(A1398:F1398)=0,"",IF(AND(A1398&lt;&gt;"",E1398&lt;&gt;""),"OK","ERRO: faltam "&amp;IF(A1398="","CNPJ; ","")&amp;IF(E1398="","Novo gerente; ","")))</f>
      </c>
      <c r="K1398" s="6">
        <f>IF(COUNTA(A1398:F1398)=0,"",IF(AND(LEFT(H1398,4)&lt;&gt;"ERRO",I1398="OK",J1398="OK"),"OK","REVISAR"))</f>
      </c>
    </row>
    <row r="1399">
      <c r="A1399" s="5"/>
      <c r="B1399" s="4"/>
      <c r="C1399" s="4"/>
      <c r="D1399" s="4"/>
      <c r="E1399" s="5"/>
      <c r="F1399" s="4"/>
      <c r="G1399" s="6">
        <f>IF(A1399="","",SUBSTITUTE(SUBSTITUTE(SUBSTITUTE(SUBSTITUTE(SUBSTITUTE(SUBSTITUTE(SUBSTITUTE(TRIM(A1399),".",""),"/",""),"-","")," ",""),"(",""),")",""),"+",""))</f>
      </c>
      <c r="H1399" s="6">
        <f>IF(G1399="","",IF(LEN(G1399)&lt;&gt;14,"ERRO: "&amp;LEN(G1399)&amp;" dígitos",IF(NOT(ISNUMBER(VALUE(G1399))),"ERRO: não numérico",IF(AND(VALUE(MID(G1399,13,1))=IF(MOD(SUMPRODUCT(--MID(G1399,{1,2,3,4,5,6,7,8,9,10,11,12},1),{5,4,3,2,9,8,7,6,5,4,3,2}),11)&lt;2,0,11-MOD(SUMPRODUCT(--MID(G1399,{1,2,3,4,5,6,7,8,9,10,11,12},1),{5,4,3,2,9,8,7,6,5,4,3,2}),11)),VALUE(MID(G1399,14,1))=IF(MOD(SUMPRODUCT(--MID(G1399,{1,2,3,4,5,6,7,8,9,10,11,12,13},1),{6,5,4,3,2,9,8,7,6,5,4,3,2}),11)&lt;2,0,11-MOD(SUMPRODUCT(--MID(G1399,{1,2,3,4,5,6,7,8,9,10,11,12,13},1),{6,5,4,3,2,9,8,7,6,5,4,3,2}),11))),"OK","AVISO: dígito verificador (conferir na org)"))))</f>
      </c>
      <c r="I1399" s="6">
        <f>IF(G1399="","",IF(COUNTIF($G$2:$G$2001,G1399)&gt;1,"DUPLICADO","OK"))</f>
      </c>
      <c r="J1399" s="6">
        <f>IF(COUNTA(A1399:F1399)=0,"",IF(AND(A1399&lt;&gt;"",E1399&lt;&gt;""),"OK","ERRO: faltam "&amp;IF(A1399="","CNPJ; ","")&amp;IF(E1399="","Novo gerente; ","")))</f>
      </c>
      <c r="K1399" s="6">
        <f>IF(COUNTA(A1399:F1399)=0,"",IF(AND(LEFT(H1399,4)&lt;&gt;"ERRO",I1399="OK",J1399="OK"),"OK","REVISAR"))</f>
      </c>
    </row>
    <row r="1400">
      <c r="A1400" s="5"/>
      <c r="B1400" s="4"/>
      <c r="C1400" s="4"/>
      <c r="D1400" s="4"/>
      <c r="E1400" s="5"/>
      <c r="F1400" s="4"/>
      <c r="G1400" s="6">
        <f>IF(A1400="","",SUBSTITUTE(SUBSTITUTE(SUBSTITUTE(SUBSTITUTE(SUBSTITUTE(SUBSTITUTE(SUBSTITUTE(TRIM(A1400),".",""),"/",""),"-","")," ",""),"(",""),")",""),"+",""))</f>
      </c>
      <c r="H1400" s="6">
        <f>IF(G1400="","",IF(LEN(G1400)&lt;&gt;14,"ERRO: "&amp;LEN(G1400)&amp;" dígitos",IF(NOT(ISNUMBER(VALUE(G1400))),"ERRO: não numérico",IF(AND(VALUE(MID(G1400,13,1))=IF(MOD(SUMPRODUCT(--MID(G1400,{1,2,3,4,5,6,7,8,9,10,11,12},1),{5,4,3,2,9,8,7,6,5,4,3,2}),11)&lt;2,0,11-MOD(SUMPRODUCT(--MID(G1400,{1,2,3,4,5,6,7,8,9,10,11,12},1),{5,4,3,2,9,8,7,6,5,4,3,2}),11)),VALUE(MID(G1400,14,1))=IF(MOD(SUMPRODUCT(--MID(G1400,{1,2,3,4,5,6,7,8,9,10,11,12,13},1),{6,5,4,3,2,9,8,7,6,5,4,3,2}),11)&lt;2,0,11-MOD(SUMPRODUCT(--MID(G1400,{1,2,3,4,5,6,7,8,9,10,11,12,13},1),{6,5,4,3,2,9,8,7,6,5,4,3,2}),11))),"OK","AVISO: dígito verificador (conferir na org)"))))</f>
      </c>
      <c r="I1400" s="6">
        <f>IF(G1400="","",IF(COUNTIF($G$2:$G$2001,G1400)&gt;1,"DUPLICADO","OK"))</f>
      </c>
      <c r="J1400" s="6">
        <f>IF(COUNTA(A1400:F1400)=0,"",IF(AND(A1400&lt;&gt;"",E1400&lt;&gt;""),"OK","ERRO: faltam "&amp;IF(A1400="","CNPJ; ","")&amp;IF(E1400="","Novo gerente; ","")))</f>
      </c>
      <c r="K1400" s="6">
        <f>IF(COUNTA(A1400:F1400)=0,"",IF(AND(LEFT(H1400,4)&lt;&gt;"ERRO",I1400="OK",J1400="OK"),"OK","REVISAR"))</f>
      </c>
    </row>
    <row r="1401">
      <c r="A1401" s="5"/>
      <c r="B1401" s="4"/>
      <c r="C1401" s="4"/>
      <c r="D1401" s="4"/>
      <c r="E1401" s="5"/>
      <c r="F1401" s="4"/>
      <c r="G1401" s="6">
        <f>IF(A1401="","",SUBSTITUTE(SUBSTITUTE(SUBSTITUTE(SUBSTITUTE(SUBSTITUTE(SUBSTITUTE(SUBSTITUTE(TRIM(A1401),".",""),"/",""),"-","")," ",""),"(",""),")",""),"+",""))</f>
      </c>
      <c r="H1401" s="6">
        <f>IF(G1401="","",IF(LEN(G1401)&lt;&gt;14,"ERRO: "&amp;LEN(G1401)&amp;" dígitos",IF(NOT(ISNUMBER(VALUE(G1401))),"ERRO: não numérico",IF(AND(VALUE(MID(G1401,13,1))=IF(MOD(SUMPRODUCT(--MID(G1401,{1,2,3,4,5,6,7,8,9,10,11,12},1),{5,4,3,2,9,8,7,6,5,4,3,2}),11)&lt;2,0,11-MOD(SUMPRODUCT(--MID(G1401,{1,2,3,4,5,6,7,8,9,10,11,12},1),{5,4,3,2,9,8,7,6,5,4,3,2}),11)),VALUE(MID(G1401,14,1))=IF(MOD(SUMPRODUCT(--MID(G1401,{1,2,3,4,5,6,7,8,9,10,11,12,13},1),{6,5,4,3,2,9,8,7,6,5,4,3,2}),11)&lt;2,0,11-MOD(SUMPRODUCT(--MID(G1401,{1,2,3,4,5,6,7,8,9,10,11,12,13},1),{6,5,4,3,2,9,8,7,6,5,4,3,2}),11))),"OK","AVISO: dígito verificador (conferir na org)"))))</f>
      </c>
      <c r="I1401" s="6">
        <f>IF(G1401="","",IF(COUNTIF($G$2:$G$2001,G1401)&gt;1,"DUPLICADO","OK"))</f>
      </c>
      <c r="J1401" s="6">
        <f>IF(COUNTA(A1401:F1401)=0,"",IF(AND(A1401&lt;&gt;"",E1401&lt;&gt;""),"OK","ERRO: faltam "&amp;IF(A1401="","CNPJ; ","")&amp;IF(E1401="","Novo gerente; ","")))</f>
      </c>
      <c r="K1401" s="6">
        <f>IF(COUNTA(A1401:F1401)=0,"",IF(AND(LEFT(H1401,4)&lt;&gt;"ERRO",I1401="OK",J1401="OK"),"OK","REVISAR"))</f>
      </c>
    </row>
    <row r="1402">
      <c r="A1402" s="5"/>
      <c r="B1402" s="4"/>
      <c r="C1402" s="4"/>
      <c r="D1402" s="4"/>
      <c r="E1402" s="5"/>
      <c r="F1402" s="4"/>
      <c r="G1402" s="6">
        <f>IF(A1402="","",SUBSTITUTE(SUBSTITUTE(SUBSTITUTE(SUBSTITUTE(SUBSTITUTE(SUBSTITUTE(SUBSTITUTE(TRIM(A1402),".",""),"/",""),"-","")," ",""),"(",""),")",""),"+",""))</f>
      </c>
      <c r="H1402" s="6">
        <f>IF(G1402="","",IF(LEN(G1402)&lt;&gt;14,"ERRO: "&amp;LEN(G1402)&amp;" dígitos",IF(NOT(ISNUMBER(VALUE(G1402))),"ERRO: não numérico",IF(AND(VALUE(MID(G1402,13,1))=IF(MOD(SUMPRODUCT(--MID(G1402,{1,2,3,4,5,6,7,8,9,10,11,12},1),{5,4,3,2,9,8,7,6,5,4,3,2}),11)&lt;2,0,11-MOD(SUMPRODUCT(--MID(G1402,{1,2,3,4,5,6,7,8,9,10,11,12},1),{5,4,3,2,9,8,7,6,5,4,3,2}),11)),VALUE(MID(G1402,14,1))=IF(MOD(SUMPRODUCT(--MID(G1402,{1,2,3,4,5,6,7,8,9,10,11,12,13},1),{6,5,4,3,2,9,8,7,6,5,4,3,2}),11)&lt;2,0,11-MOD(SUMPRODUCT(--MID(G1402,{1,2,3,4,5,6,7,8,9,10,11,12,13},1),{6,5,4,3,2,9,8,7,6,5,4,3,2}),11))),"OK","AVISO: dígito verificador (conferir na org)"))))</f>
      </c>
      <c r="I1402" s="6">
        <f>IF(G1402="","",IF(COUNTIF($G$2:$G$2001,G1402)&gt;1,"DUPLICADO","OK"))</f>
      </c>
      <c r="J1402" s="6">
        <f>IF(COUNTA(A1402:F1402)=0,"",IF(AND(A1402&lt;&gt;"",E1402&lt;&gt;""),"OK","ERRO: faltam "&amp;IF(A1402="","CNPJ; ","")&amp;IF(E1402="","Novo gerente; ","")))</f>
      </c>
      <c r="K1402" s="6">
        <f>IF(COUNTA(A1402:F1402)=0,"",IF(AND(LEFT(H1402,4)&lt;&gt;"ERRO",I1402="OK",J1402="OK"),"OK","REVISAR"))</f>
      </c>
    </row>
    <row r="1403">
      <c r="A1403" s="5"/>
      <c r="B1403" s="4"/>
      <c r="C1403" s="4"/>
      <c r="D1403" s="4"/>
      <c r="E1403" s="5"/>
      <c r="F1403" s="4"/>
      <c r="G1403" s="6">
        <f>IF(A1403="","",SUBSTITUTE(SUBSTITUTE(SUBSTITUTE(SUBSTITUTE(SUBSTITUTE(SUBSTITUTE(SUBSTITUTE(TRIM(A1403),".",""),"/",""),"-","")," ",""),"(",""),")",""),"+",""))</f>
      </c>
      <c r="H1403" s="6">
        <f>IF(G1403="","",IF(LEN(G1403)&lt;&gt;14,"ERRO: "&amp;LEN(G1403)&amp;" dígitos",IF(NOT(ISNUMBER(VALUE(G1403))),"ERRO: não numérico",IF(AND(VALUE(MID(G1403,13,1))=IF(MOD(SUMPRODUCT(--MID(G1403,{1,2,3,4,5,6,7,8,9,10,11,12},1),{5,4,3,2,9,8,7,6,5,4,3,2}),11)&lt;2,0,11-MOD(SUMPRODUCT(--MID(G1403,{1,2,3,4,5,6,7,8,9,10,11,12},1),{5,4,3,2,9,8,7,6,5,4,3,2}),11)),VALUE(MID(G1403,14,1))=IF(MOD(SUMPRODUCT(--MID(G1403,{1,2,3,4,5,6,7,8,9,10,11,12,13},1),{6,5,4,3,2,9,8,7,6,5,4,3,2}),11)&lt;2,0,11-MOD(SUMPRODUCT(--MID(G1403,{1,2,3,4,5,6,7,8,9,10,11,12,13},1),{6,5,4,3,2,9,8,7,6,5,4,3,2}),11))),"OK","AVISO: dígito verificador (conferir na org)"))))</f>
      </c>
      <c r="I1403" s="6">
        <f>IF(G1403="","",IF(COUNTIF($G$2:$G$2001,G1403)&gt;1,"DUPLICADO","OK"))</f>
      </c>
      <c r="J1403" s="6">
        <f>IF(COUNTA(A1403:F1403)=0,"",IF(AND(A1403&lt;&gt;"",E1403&lt;&gt;""),"OK","ERRO: faltam "&amp;IF(A1403="","CNPJ; ","")&amp;IF(E1403="","Novo gerente; ","")))</f>
      </c>
      <c r="K1403" s="6">
        <f>IF(COUNTA(A1403:F1403)=0,"",IF(AND(LEFT(H1403,4)&lt;&gt;"ERRO",I1403="OK",J1403="OK"),"OK","REVISAR"))</f>
      </c>
    </row>
    <row r="1404">
      <c r="A1404" s="5"/>
      <c r="B1404" s="4"/>
      <c r="C1404" s="4"/>
      <c r="D1404" s="4"/>
      <c r="E1404" s="5"/>
      <c r="F1404" s="4"/>
      <c r="G1404" s="6">
        <f>IF(A1404="","",SUBSTITUTE(SUBSTITUTE(SUBSTITUTE(SUBSTITUTE(SUBSTITUTE(SUBSTITUTE(SUBSTITUTE(TRIM(A1404),".",""),"/",""),"-","")," ",""),"(",""),")",""),"+",""))</f>
      </c>
      <c r="H1404" s="6">
        <f>IF(G1404="","",IF(LEN(G1404)&lt;&gt;14,"ERRO: "&amp;LEN(G1404)&amp;" dígitos",IF(NOT(ISNUMBER(VALUE(G1404))),"ERRO: não numérico",IF(AND(VALUE(MID(G1404,13,1))=IF(MOD(SUMPRODUCT(--MID(G1404,{1,2,3,4,5,6,7,8,9,10,11,12},1),{5,4,3,2,9,8,7,6,5,4,3,2}),11)&lt;2,0,11-MOD(SUMPRODUCT(--MID(G1404,{1,2,3,4,5,6,7,8,9,10,11,12},1),{5,4,3,2,9,8,7,6,5,4,3,2}),11)),VALUE(MID(G1404,14,1))=IF(MOD(SUMPRODUCT(--MID(G1404,{1,2,3,4,5,6,7,8,9,10,11,12,13},1),{6,5,4,3,2,9,8,7,6,5,4,3,2}),11)&lt;2,0,11-MOD(SUMPRODUCT(--MID(G1404,{1,2,3,4,5,6,7,8,9,10,11,12,13},1),{6,5,4,3,2,9,8,7,6,5,4,3,2}),11))),"OK","AVISO: dígito verificador (conferir na org)"))))</f>
      </c>
      <c r="I1404" s="6">
        <f>IF(G1404="","",IF(COUNTIF($G$2:$G$2001,G1404)&gt;1,"DUPLICADO","OK"))</f>
      </c>
      <c r="J1404" s="6">
        <f>IF(COUNTA(A1404:F1404)=0,"",IF(AND(A1404&lt;&gt;"",E1404&lt;&gt;""),"OK","ERRO: faltam "&amp;IF(A1404="","CNPJ; ","")&amp;IF(E1404="","Novo gerente; ","")))</f>
      </c>
      <c r="K1404" s="6">
        <f>IF(COUNTA(A1404:F1404)=0,"",IF(AND(LEFT(H1404,4)&lt;&gt;"ERRO",I1404="OK",J1404="OK"),"OK","REVISAR"))</f>
      </c>
    </row>
    <row r="1405">
      <c r="A1405" s="5"/>
      <c r="B1405" s="4"/>
      <c r="C1405" s="4"/>
      <c r="D1405" s="4"/>
      <c r="E1405" s="5"/>
      <c r="F1405" s="4"/>
      <c r="G1405" s="6">
        <f>IF(A1405="","",SUBSTITUTE(SUBSTITUTE(SUBSTITUTE(SUBSTITUTE(SUBSTITUTE(SUBSTITUTE(SUBSTITUTE(TRIM(A1405),".",""),"/",""),"-","")," ",""),"(",""),")",""),"+",""))</f>
      </c>
      <c r="H1405" s="6">
        <f>IF(G1405="","",IF(LEN(G1405)&lt;&gt;14,"ERRO: "&amp;LEN(G1405)&amp;" dígitos",IF(NOT(ISNUMBER(VALUE(G1405))),"ERRO: não numérico",IF(AND(VALUE(MID(G1405,13,1))=IF(MOD(SUMPRODUCT(--MID(G1405,{1,2,3,4,5,6,7,8,9,10,11,12},1),{5,4,3,2,9,8,7,6,5,4,3,2}),11)&lt;2,0,11-MOD(SUMPRODUCT(--MID(G1405,{1,2,3,4,5,6,7,8,9,10,11,12},1),{5,4,3,2,9,8,7,6,5,4,3,2}),11)),VALUE(MID(G1405,14,1))=IF(MOD(SUMPRODUCT(--MID(G1405,{1,2,3,4,5,6,7,8,9,10,11,12,13},1),{6,5,4,3,2,9,8,7,6,5,4,3,2}),11)&lt;2,0,11-MOD(SUMPRODUCT(--MID(G1405,{1,2,3,4,5,6,7,8,9,10,11,12,13},1),{6,5,4,3,2,9,8,7,6,5,4,3,2}),11))),"OK","AVISO: dígito verificador (conferir na org)"))))</f>
      </c>
      <c r="I1405" s="6">
        <f>IF(G1405="","",IF(COUNTIF($G$2:$G$2001,G1405)&gt;1,"DUPLICADO","OK"))</f>
      </c>
      <c r="J1405" s="6">
        <f>IF(COUNTA(A1405:F1405)=0,"",IF(AND(A1405&lt;&gt;"",E1405&lt;&gt;""),"OK","ERRO: faltam "&amp;IF(A1405="","CNPJ; ","")&amp;IF(E1405="","Novo gerente; ","")))</f>
      </c>
      <c r="K1405" s="6">
        <f>IF(COUNTA(A1405:F1405)=0,"",IF(AND(LEFT(H1405,4)&lt;&gt;"ERRO",I1405="OK",J1405="OK"),"OK","REVISAR"))</f>
      </c>
    </row>
    <row r="1406">
      <c r="A1406" s="5"/>
      <c r="B1406" s="4"/>
      <c r="C1406" s="4"/>
      <c r="D1406" s="4"/>
      <c r="E1406" s="5"/>
      <c r="F1406" s="4"/>
      <c r="G1406" s="6">
        <f>IF(A1406="","",SUBSTITUTE(SUBSTITUTE(SUBSTITUTE(SUBSTITUTE(SUBSTITUTE(SUBSTITUTE(SUBSTITUTE(TRIM(A1406),".",""),"/",""),"-","")," ",""),"(",""),")",""),"+",""))</f>
      </c>
      <c r="H1406" s="6">
        <f>IF(G1406="","",IF(LEN(G1406)&lt;&gt;14,"ERRO: "&amp;LEN(G1406)&amp;" dígitos",IF(NOT(ISNUMBER(VALUE(G1406))),"ERRO: não numérico",IF(AND(VALUE(MID(G1406,13,1))=IF(MOD(SUMPRODUCT(--MID(G1406,{1,2,3,4,5,6,7,8,9,10,11,12},1),{5,4,3,2,9,8,7,6,5,4,3,2}),11)&lt;2,0,11-MOD(SUMPRODUCT(--MID(G1406,{1,2,3,4,5,6,7,8,9,10,11,12},1),{5,4,3,2,9,8,7,6,5,4,3,2}),11)),VALUE(MID(G1406,14,1))=IF(MOD(SUMPRODUCT(--MID(G1406,{1,2,3,4,5,6,7,8,9,10,11,12,13},1),{6,5,4,3,2,9,8,7,6,5,4,3,2}),11)&lt;2,0,11-MOD(SUMPRODUCT(--MID(G1406,{1,2,3,4,5,6,7,8,9,10,11,12,13},1),{6,5,4,3,2,9,8,7,6,5,4,3,2}),11))),"OK","AVISO: dígito verificador (conferir na org)"))))</f>
      </c>
      <c r="I1406" s="6">
        <f>IF(G1406="","",IF(COUNTIF($G$2:$G$2001,G1406)&gt;1,"DUPLICADO","OK"))</f>
      </c>
      <c r="J1406" s="6">
        <f>IF(COUNTA(A1406:F1406)=0,"",IF(AND(A1406&lt;&gt;"",E1406&lt;&gt;""),"OK","ERRO: faltam "&amp;IF(A1406="","CNPJ; ","")&amp;IF(E1406="","Novo gerente; ","")))</f>
      </c>
      <c r="K1406" s="6">
        <f>IF(COUNTA(A1406:F1406)=0,"",IF(AND(LEFT(H1406,4)&lt;&gt;"ERRO",I1406="OK",J1406="OK"),"OK","REVISAR"))</f>
      </c>
    </row>
    <row r="1407">
      <c r="A1407" s="5"/>
      <c r="B1407" s="4"/>
      <c r="C1407" s="4"/>
      <c r="D1407" s="4"/>
      <c r="E1407" s="5"/>
      <c r="F1407" s="4"/>
      <c r="G1407" s="6">
        <f>IF(A1407="","",SUBSTITUTE(SUBSTITUTE(SUBSTITUTE(SUBSTITUTE(SUBSTITUTE(SUBSTITUTE(SUBSTITUTE(TRIM(A1407),".",""),"/",""),"-","")," ",""),"(",""),")",""),"+",""))</f>
      </c>
      <c r="H1407" s="6">
        <f>IF(G1407="","",IF(LEN(G1407)&lt;&gt;14,"ERRO: "&amp;LEN(G1407)&amp;" dígitos",IF(NOT(ISNUMBER(VALUE(G1407))),"ERRO: não numérico",IF(AND(VALUE(MID(G1407,13,1))=IF(MOD(SUMPRODUCT(--MID(G1407,{1,2,3,4,5,6,7,8,9,10,11,12},1),{5,4,3,2,9,8,7,6,5,4,3,2}),11)&lt;2,0,11-MOD(SUMPRODUCT(--MID(G1407,{1,2,3,4,5,6,7,8,9,10,11,12},1),{5,4,3,2,9,8,7,6,5,4,3,2}),11)),VALUE(MID(G1407,14,1))=IF(MOD(SUMPRODUCT(--MID(G1407,{1,2,3,4,5,6,7,8,9,10,11,12,13},1),{6,5,4,3,2,9,8,7,6,5,4,3,2}),11)&lt;2,0,11-MOD(SUMPRODUCT(--MID(G1407,{1,2,3,4,5,6,7,8,9,10,11,12,13},1),{6,5,4,3,2,9,8,7,6,5,4,3,2}),11))),"OK","AVISO: dígito verificador (conferir na org)"))))</f>
      </c>
      <c r="I1407" s="6">
        <f>IF(G1407="","",IF(COUNTIF($G$2:$G$2001,G1407)&gt;1,"DUPLICADO","OK"))</f>
      </c>
      <c r="J1407" s="6">
        <f>IF(COUNTA(A1407:F1407)=0,"",IF(AND(A1407&lt;&gt;"",E1407&lt;&gt;""),"OK","ERRO: faltam "&amp;IF(A1407="","CNPJ; ","")&amp;IF(E1407="","Novo gerente; ","")))</f>
      </c>
      <c r="K1407" s="6">
        <f>IF(COUNTA(A1407:F1407)=0,"",IF(AND(LEFT(H1407,4)&lt;&gt;"ERRO",I1407="OK",J1407="OK"),"OK","REVISAR"))</f>
      </c>
    </row>
    <row r="1408">
      <c r="A1408" s="5"/>
      <c r="B1408" s="4"/>
      <c r="C1408" s="4"/>
      <c r="D1408" s="4"/>
      <c r="E1408" s="5"/>
      <c r="F1408" s="4"/>
      <c r="G1408" s="6">
        <f>IF(A1408="","",SUBSTITUTE(SUBSTITUTE(SUBSTITUTE(SUBSTITUTE(SUBSTITUTE(SUBSTITUTE(SUBSTITUTE(TRIM(A1408),".",""),"/",""),"-","")," ",""),"(",""),")",""),"+",""))</f>
      </c>
      <c r="H1408" s="6">
        <f>IF(G1408="","",IF(LEN(G1408)&lt;&gt;14,"ERRO: "&amp;LEN(G1408)&amp;" dígitos",IF(NOT(ISNUMBER(VALUE(G1408))),"ERRO: não numérico",IF(AND(VALUE(MID(G1408,13,1))=IF(MOD(SUMPRODUCT(--MID(G1408,{1,2,3,4,5,6,7,8,9,10,11,12},1),{5,4,3,2,9,8,7,6,5,4,3,2}),11)&lt;2,0,11-MOD(SUMPRODUCT(--MID(G1408,{1,2,3,4,5,6,7,8,9,10,11,12},1),{5,4,3,2,9,8,7,6,5,4,3,2}),11)),VALUE(MID(G1408,14,1))=IF(MOD(SUMPRODUCT(--MID(G1408,{1,2,3,4,5,6,7,8,9,10,11,12,13},1),{6,5,4,3,2,9,8,7,6,5,4,3,2}),11)&lt;2,0,11-MOD(SUMPRODUCT(--MID(G1408,{1,2,3,4,5,6,7,8,9,10,11,12,13},1),{6,5,4,3,2,9,8,7,6,5,4,3,2}),11))),"OK","AVISO: dígito verificador (conferir na org)"))))</f>
      </c>
      <c r="I1408" s="6">
        <f>IF(G1408="","",IF(COUNTIF($G$2:$G$2001,G1408)&gt;1,"DUPLICADO","OK"))</f>
      </c>
      <c r="J1408" s="6">
        <f>IF(COUNTA(A1408:F1408)=0,"",IF(AND(A1408&lt;&gt;"",E1408&lt;&gt;""),"OK","ERRO: faltam "&amp;IF(A1408="","CNPJ; ","")&amp;IF(E1408="","Novo gerente; ","")))</f>
      </c>
      <c r="K1408" s="6">
        <f>IF(COUNTA(A1408:F1408)=0,"",IF(AND(LEFT(H1408,4)&lt;&gt;"ERRO",I1408="OK",J1408="OK"),"OK","REVISAR"))</f>
      </c>
    </row>
    <row r="1409">
      <c r="A1409" s="5"/>
      <c r="B1409" s="4"/>
      <c r="C1409" s="4"/>
      <c r="D1409" s="4"/>
      <c r="E1409" s="5"/>
      <c r="F1409" s="4"/>
      <c r="G1409" s="6">
        <f>IF(A1409="","",SUBSTITUTE(SUBSTITUTE(SUBSTITUTE(SUBSTITUTE(SUBSTITUTE(SUBSTITUTE(SUBSTITUTE(TRIM(A1409),".",""),"/",""),"-","")," ",""),"(",""),")",""),"+",""))</f>
      </c>
      <c r="H1409" s="6">
        <f>IF(G1409="","",IF(LEN(G1409)&lt;&gt;14,"ERRO: "&amp;LEN(G1409)&amp;" dígitos",IF(NOT(ISNUMBER(VALUE(G1409))),"ERRO: não numérico",IF(AND(VALUE(MID(G1409,13,1))=IF(MOD(SUMPRODUCT(--MID(G1409,{1,2,3,4,5,6,7,8,9,10,11,12},1),{5,4,3,2,9,8,7,6,5,4,3,2}),11)&lt;2,0,11-MOD(SUMPRODUCT(--MID(G1409,{1,2,3,4,5,6,7,8,9,10,11,12},1),{5,4,3,2,9,8,7,6,5,4,3,2}),11)),VALUE(MID(G1409,14,1))=IF(MOD(SUMPRODUCT(--MID(G1409,{1,2,3,4,5,6,7,8,9,10,11,12,13},1),{6,5,4,3,2,9,8,7,6,5,4,3,2}),11)&lt;2,0,11-MOD(SUMPRODUCT(--MID(G1409,{1,2,3,4,5,6,7,8,9,10,11,12,13},1),{6,5,4,3,2,9,8,7,6,5,4,3,2}),11))),"OK","AVISO: dígito verificador (conferir na org)"))))</f>
      </c>
      <c r="I1409" s="6">
        <f>IF(G1409="","",IF(COUNTIF($G$2:$G$2001,G1409)&gt;1,"DUPLICADO","OK"))</f>
      </c>
      <c r="J1409" s="6">
        <f>IF(COUNTA(A1409:F1409)=0,"",IF(AND(A1409&lt;&gt;"",E1409&lt;&gt;""),"OK","ERRO: faltam "&amp;IF(A1409="","CNPJ; ","")&amp;IF(E1409="","Novo gerente; ","")))</f>
      </c>
      <c r="K1409" s="6">
        <f>IF(COUNTA(A1409:F1409)=0,"",IF(AND(LEFT(H1409,4)&lt;&gt;"ERRO",I1409="OK",J1409="OK"),"OK","REVISAR"))</f>
      </c>
    </row>
    <row r="1410">
      <c r="A1410" s="5"/>
      <c r="B1410" s="4"/>
      <c r="C1410" s="4"/>
      <c r="D1410" s="4"/>
      <c r="E1410" s="5"/>
      <c r="F1410" s="4"/>
      <c r="G1410" s="6">
        <f>IF(A1410="","",SUBSTITUTE(SUBSTITUTE(SUBSTITUTE(SUBSTITUTE(SUBSTITUTE(SUBSTITUTE(SUBSTITUTE(TRIM(A1410),".",""),"/",""),"-","")," ",""),"(",""),")",""),"+",""))</f>
      </c>
      <c r="H1410" s="6">
        <f>IF(G1410="","",IF(LEN(G1410)&lt;&gt;14,"ERRO: "&amp;LEN(G1410)&amp;" dígitos",IF(NOT(ISNUMBER(VALUE(G1410))),"ERRO: não numérico",IF(AND(VALUE(MID(G1410,13,1))=IF(MOD(SUMPRODUCT(--MID(G1410,{1,2,3,4,5,6,7,8,9,10,11,12},1),{5,4,3,2,9,8,7,6,5,4,3,2}),11)&lt;2,0,11-MOD(SUMPRODUCT(--MID(G1410,{1,2,3,4,5,6,7,8,9,10,11,12},1),{5,4,3,2,9,8,7,6,5,4,3,2}),11)),VALUE(MID(G1410,14,1))=IF(MOD(SUMPRODUCT(--MID(G1410,{1,2,3,4,5,6,7,8,9,10,11,12,13},1),{6,5,4,3,2,9,8,7,6,5,4,3,2}),11)&lt;2,0,11-MOD(SUMPRODUCT(--MID(G1410,{1,2,3,4,5,6,7,8,9,10,11,12,13},1),{6,5,4,3,2,9,8,7,6,5,4,3,2}),11))),"OK","AVISO: dígito verificador (conferir na org)"))))</f>
      </c>
      <c r="I1410" s="6">
        <f>IF(G1410="","",IF(COUNTIF($G$2:$G$2001,G1410)&gt;1,"DUPLICADO","OK"))</f>
      </c>
      <c r="J1410" s="6">
        <f>IF(COUNTA(A1410:F1410)=0,"",IF(AND(A1410&lt;&gt;"",E1410&lt;&gt;""),"OK","ERRO: faltam "&amp;IF(A1410="","CNPJ; ","")&amp;IF(E1410="","Novo gerente; ","")))</f>
      </c>
      <c r="K1410" s="6">
        <f>IF(COUNTA(A1410:F1410)=0,"",IF(AND(LEFT(H1410,4)&lt;&gt;"ERRO",I1410="OK",J1410="OK"),"OK","REVISAR"))</f>
      </c>
    </row>
    <row r="1411">
      <c r="A1411" s="5"/>
      <c r="B1411" s="4"/>
      <c r="C1411" s="4"/>
      <c r="D1411" s="4"/>
      <c r="E1411" s="5"/>
      <c r="F1411" s="4"/>
      <c r="G1411" s="6">
        <f>IF(A1411="","",SUBSTITUTE(SUBSTITUTE(SUBSTITUTE(SUBSTITUTE(SUBSTITUTE(SUBSTITUTE(SUBSTITUTE(TRIM(A1411),".",""),"/",""),"-","")," ",""),"(",""),")",""),"+",""))</f>
      </c>
      <c r="H1411" s="6">
        <f>IF(G1411="","",IF(LEN(G1411)&lt;&gt;14,"ERRO: "&amp;LEN(G1411)&amp;" dígitos",IF(NOT(ISNUMBER(VALUE(G1411))),"ERRO: não numérico",IF(AND(VALUE(MID(G1411,13,1))=IF(MOD(SUMPRODUCT(--MID(G1411,{1,2,3,4,5,6,7,8,9,10,11,12},1),{5,4,3,2,9,8,7,6,5,4,3,2}),11)&lt;2,0,11-MOD(SUMPRODUCT(--MID(G1411,{1,2,3,4,5,6,7,8,9,10,11,12},1),{5,4,3,2,9,8,7,6,5,4,3,2}),11)),VALUE(MID(G1411,14,1))=IF(MOD(SUMPRODUCT(--MID(G1411,{1,2,3,4,5,6,7,8,9,10,11,12,13},1),{6,5,4,3,2,9,8,7,6,5,4,3,2}),11)&lt;2,0,11-MOD(SUMPRODUCT(--MID(G1411,{1,2,3,4,5,6,7,8,9,10,11,12,13},1),{6,5,4,3,2,9,8,7,6,5,4,3,2}),11))),"OK","AVISO: dígito verificador (conferir na org)"))))</f>
      </c>
      <c r="I1411" s="6">
        <f>IF(G1411="","",IF(COUNTIF($G$2:$G$2001,G1411)&gt;1,"DUPLICADO","OK"))</f>
      </c>
      <c r="J1411" s="6">
        <f>IF(COUNTA(A1411:F1411)=0,"",IF(AND(A1411&lt;&gt;"",E1411&lt;&gt;""),"OK","ERRO: faltam "&amp;IF(A1411="","CNPJ; ","")&amp;IF(E1411="","Novo gerente; ","")))</f>
      </c>
      <c r="K1411" s="6">
        <f>IF(COUNTA(A1411:F1411)=0,"",IF(AND(LEFT(H1411,4)&lt;&gt;"ERRO",I1411="OK",J1411="OK"),"OK","REVISAR"))</f>
      </c>
    </row>
    <row r="1412">
      <c r="A1412" s="5"/>
      <c r="B1412" s="4"/>
      <c r="C1412" s="4"/>
      <c r="D1412" s="4"/>
      <c r="E1412" s="5"/>
      <c r="F1412" s="4"/>
      <c r="G1412" s="6">
        <f>IF(A1412="","",SUBSTITUTE(SUBSTITUTE(SUBSTITUTE(SUBSTITUTE(SUBSTITUTE(SUBSTITUTE(SUBSTITUTE(TRIM(A1412),".",""),"/",""),"-","")," ",""),"(",""),")",""),"+",""))</f>
      </c>
      <c r="H1412" s="6">
        <f>IF(G1412="","",IF(LEN(G1412)&lt;&gt;14,"ERRO: "&amp;LEN(G1412)&amp;" dígitos",IF(NOT(ISNUMBER(VALUE(G1412))),"ERRO: não numérico",IF(AND(VALUE(MID(G1412,13,1))=IF(MOD(SUMPRODUCT(--MID(G1412,{1,2,3,4,5,6,7,8,9,10,11,12},1),{5,4,3,2,9,8,7,6,5,4,3,2}),11)&lt;2,0,11-MOD(SUMPRODUCT(--MID(G1412,{1,2,3,4,5,6,7,8,9,10,11,12},1),{5,4,3,2,9,8,7,6,5,4,3,2}),11)),VALUE(MID(G1412,14,1))=IF(MOD(SUMPRODUCT(--MID(G1412,{1,2,3,4,5,6,7,8,9,10,11,12,13},1),{6,5,4,3,2,9,8,7,6,5,4,3,2}),11)&lt;2,0,11-MOD(SUMPRODUCT(--MID(G1412,{1,2,3,4,5,6,7,8,9,10,11,12,13},1),{6,5,4,3,2,9,8,7,6,5,4,3,2}),11))),"OK","AVISO: dígito verificador (conferir na org)"))))</f>
      </c>
      <c r="I1412" s="6">
        <f>IF(G1412="","",IF(COUNTIF($G$2:$G$2001,G1412)&gt;1,"DUPLICADO","OK"))</f>
      </c>
      <c r="J1412" s="6">
        <f>IF(COUNTA(A1412:F1412)=0,"",IF(AND(A1412&lt;&gt;"",E1412&lt;&gt;""),"OK","ERRO: faltam "&amp;IF(A1412="","CNPJ; ","")&amp;IF(E1412="","Novo gerente; ","")))</f>
      </c>
      <c r="K1412" s="6">
        <f>IF(COUNTA(A1412:F1412)=0,"",IF(AND(LEFT(H1412,4)&lt;&gt;"ERRO",I1412="OK",J1412="OK"),"OK","REVISAR"))</f>
      </c>
    </row>
    <row r="1413">
      <c r="A1413" s="5"/>
      <c r="B1413" s="4"/>
      <c r="C1413" s="4"/>
      <c r="D1413" s="4"/>
      <c r="E1413" s="5"/>
      <c r="F1413" s="4"/>
      <c r="G1413" s="6">
        <f>IF(A1413="","",SUBSTITUTE(SUBSTITUTE(SUBSTITUTE(SUBSTITUTE(SUBSTITUTE(SUBSTITUTE(SUBSTITUTE(TRIM(A1413),".",""),"/",""),"-","")," ",""),"(",""),")",""),"+",""))</f>
      </c>
      <c r="H1413" s="6">
        <f>IF(G1413="","",IF(LEN(G1413)&lt;&gt;14,"ERRO: "&amp;LEN(G1413)&amp;" dígitos",IF(NOT(ISNUMBER(VALUE(G1413))),"ERRO: não numérico",IF(AND(VALUE(MID(G1413,13,1))=IF(MOD(SUMPRODUCT(--MID(G1413,{1,2,3,4,5,6,7,8,9,10,11,12},1),{5,4,3,2,9,8,7,6,5,4,3,2}),11)&lt;2,0,11-MOD(SUMPRODUCT(--MID(G1413,{1,2,3,4,5,6,7,8,9,10,11,12},1),{5,4,3,2,9,8,7,6,5,4,3,2}),11)),VALUE(MID(G1413,14,1))=IF(MOD(SUMPRODUCT(--MID(G1413,{1,2,3,4,5,6,7,8,9,10,11,12,13},1),{6,5,4,3,2,9,8,7,6,5,4,3,2}),11)&lt;2,0,11-MOD(SUMPRODUCT(--MID(G1413,{1,2,3,4,5,6,7,8,9,10,11,12,13},1),{6,5,4,3,2,9,8,7,6,5,4,3,2}),11))),"OK","AVISO: dígito verificador (conferir na org)"))))</f>
      </c>
      <c r="I1413" s="6">
        <f>IF(G1413="","",IF(COUNTIF($G$2:$G$2001,G1413)&gt;1,"DUPLICADO","OK"))</f>
      </c>
      <c r="J1413" s="6">
        <f>IF(COUNTA(A1413:F1413)=0,"",IF(AND(A1413&lt;&gt;"",E1413&lt;&gt;""),"OK","ERRO: faltam "&amp;IF(A1413="","CNPJ; ","")&amp;IF(E1413="","Novo gerente; ","")))</f>
      </c>
      <c r="K1413" s="6">
        <f>IF(COUNTA(A1413:F1413)=0,"",IF(AND(LEFT(H1413,4)&lt;&gt;"ERRO",I1413="OK",J1413="OK"),"OK","REVISAR"))</f>
      </c>
    </row>
    <row r="1414">
      <c r="A1414" s="5"/>
      <c r="B1414" s="4"/>
      <c r="C1414" s="4"/>
      <c r="D1414" s="4"/>
      <c r="E1414" s="5"/>
      <c r="F1414" s="4"/>
      <c r="G1414" s="6">
        <f>IF(A1414="","",SUBSTITUTE(SUBSTITUTE(SUBSTITUTE(SUBSTITUTE(SUBSTITUTE(SUBSTITUTE(SUBSTITUTE(TRIM(A1414),".",""),"/",""),"-","")," ",""),"(",""),")",""),"+",""))</f>
      </c>
      <c r="H1414" s="6">
        <f>IF(G1414="","",IF(LEN(G1414)&lt;&gt;14,"ERRO: "&amp;LEN(G1414)&amp;" dígitos",IF(NOT(ISNUMBER(VALUE(G1414))),"ERRO: não numérico",IF(AND(VALUE(MID(G1414,13,1))=IF(MOD(SUMPRODUCT(--MID(G1414,{1,2,3,4,5,6,7,8,9,10,11,12},1),{5,4,3,2,9,8,7,6,5,4,3,2}),11)&lt;2,0,11-MOD(SUMPRODUCT(--MID(G1414,{1,2,3,4,5,6,7,8,9,10,11,12},1),{5,4,3,2,9,8,7,6,5,4,3,2}),11)),VALUE(MID(G1414,14,1))=IF(MOD(SUMPRODUCT(--MID(G1414,{1,2,3,4,5,6,7,8,9,10,11,12,13},1),{6,5,4,3,2,9,8,7,6,5,4,3,2}),11)&lt;2,0,11-MOD(SUMPRODUCT(--MID(G1414,{1,2,3,4,5,6,7,8,9,10,11,12,13},1),{6,5,4,3,2,9,8,7,6,5,4,3,2}),11))),"OK","AVISO: dígito verificador (conferir na org)"))))</f>
      </c>
      <c r="I1414" s="6">
        <f>IF(G1414="","",IF(COUNTIF($G$2:$G$2001,G1414)&gt;1,"DUPLICADO","OK"))</f>
      </c>
      <c r="J1414" s="6">
        <f>IF(COUNTA(A1414:F1414)=0,"",IF(AND(A1414&lt;&gt;"",E1414&lt;&gt;""),"OK","ERRO: faltam "&amp;IF(A1414="","CNPJ; ","")&amp;IF(E1414="","Novo gerente; ","")))</f>
      </c>
      <c r="K1414" s="6">
        <f>IF(COUNTA(A1414:F1414)=0,"",IF(AND(LEFT(H1414,4)&lt;&gt;"ERRO",I1414="OK",J1414="OK"),"OK","REVISAR"))</f>
      </c>
    </row>
    <row r="1415">
      <c r="A1415" s="5"/>
      <c r="B1415" s="4"/>
      <c r="C1415" s="4"/>
      <c r="D1415" s="4"/>
      <c r="E1415" s="5"/>
      <c r="F1415" s="4"/>
      <c r="G1415" s="6">
        <f>IF(A1415="","",SUBSTITUTE(SUBSTITUTE(SUBSTITUTE(SUBSTITUTE(SUBSTITUTE(SUBSTITUTE(SUBSTITUTE(TRIM(A1415),".",""),"/",""),"-","")," ",""),"(",""),")",""),"+",""))</f>
      </c>
      <c r="H1415" s="6">
        <f>IF(G1415="","",IF(LEN(G1415)&lt;&gt;14,"ERRO: "&amp;LEN(G1415)&amp;" dígitos",IF(NOT(ISNUMBER(VALUE(G1415))),"ERRO: não numérico",IF(AND(VALUE(MID(G1415,13,1))=IF(MOD(SUMPRODUCT(--MID(G1415,{1,2,3,4,5,6,7,8,9,10,11,12},1),{5,4,3,2,9,8,7,6,5,4,3,2}),11)&lt;2,0,11-MOD(SUMPRODUCT(--MID(G1415,{1,2,3,4,5,6,7,8,9,10,11,12},1),{5,4,3,2,9,8,7,6,5,4,3,2}),11)),VALUE(MID(G1415,14,1))=IF(MOD(SUMPRODUCT(--MID(G1415,{1,2,3,4,5,6,7,8,9,10,11,12,13},1),{6,5,4,3,2,9,8,7,6,5,4,3,2}),11)&lt;2,0,11-MOD(SUMPRODUCT(--MID(G1415,{1,2,3,4,5,6,7,8,9,10,11,12,13},1),{6,5,4,3,2,9,8,7,6,5,4,3,2}),11))),"OK","AVISO: dígito verificador (conferir na org)"))))</f>
      </c>
      <c r="I1415" s="6">
        <f>IF(G1415="","",IF(COUNTIF($G$2:$G$2001,G1415)&gt;1,"DUPLICADO","OK"))</f>
      </c>
      <c r="J1415" s="6">
        <f>IF(COUNTA(A1415:F1415)=0,"",IF(AND(A1415&lt;&gt;"",E1415&lt;&gt;""),"OK","ERRO: faltam "&amp;IF(A1415="","CNPJ; ","")&amp;IF(E1415="","Novo gerente; ","")))</f>
      </c>
      <c r="K1415" s="6">
        <f>IF(COUNTA(A1415:F1415)=0,"",IF(AND(LEFT(H1415,4)&lt;&gt;"ERRO",I1415="OK",J1415="OK"),"OK","REVISAR"))</f>
      </c>
    </row>
    <row r="1416">
      <c r="A1416" s="5"/>
      <c r="B1416" s="4"/>
      <c r="C1416" s="4"/>
      <c r="D1416" s="4"/>
      <c r="E1416" s="5"/>
      <c r="F1416" s="4"/>
      <c r="G1416" s="6">
        <f>IF(A1416="","",SUBSTITUTE(SUBSTITUTE(SUBSTITUTE(SUBSTITUTE(SUBSTITUTE(SUBSTITUTE(SUBSTITUTE(TRIM(A1416),".",""),"/",""),"-","")," ",""),"(",""),")",""),"+",""))</f>
      </c>
      <c r="H1416" s="6">
        <f>IF(G1416="","",IF(LEN(G1416)&lt;&gt;14,"ERRO: "&amp;LEN(G1416)&amp;" dígitos",IF(NOT(ISNUMBER(VALUE(G1416))),"ERRO: não numérico",IF(AND(VALUE(MID(G1416,13,1))=IF(MOD(SUMPRODUCT(--MID(G1416,{1,2,3,4,5,6,7,8,9,10,11,12},1),{5,4,3,2,9,8,7,6,5,4,3,2}),11)&lt;2,0,11-MOD(SUMPRODUCT(--MID(G1416,{1,2,3,4,5,6,7,8,9,10,11,12},1),{5,4,3,2,9,8,7,6,5,4,3,2}),11)),VALUE(MID(G1416,14,1))=IF(MOD(SUMPRODUCT(--MID(G1416,{1,2,3,4,5,6,7,8,9,10,11,12,13},1),{6,5,4,3,2,9,8,7,6,5,4,3,2}),11)&lt;2,0,11-MOD(SUMPRODUCT(--MID(G1416,{1,2,3,4,5,6,7,8,9,10,11,12,13},1),{6,5,4,3,2,9,8,7,6,5,4,3,2}),11))),"OK","AVISO: dígito verificador (conferir na org)"))))</f>
      </c>
      <c r="I1416" s="6">
        <f>IF(G1416="","",IF(COUNTIF($G$2:$G$2001,G1416)&gt;1,"DUPLICADO","OK"))</f>
      </c>
      <c r="J1416" s="6">
        <f>IF(COUNTA(A1416:F1416)=0,"",IF(AND(A1416&lt;&gt;"",E1416&lt;&gt;""),"OK","ERRO: faltam "&amp;IF(A1416="","CNPJ; ","")&amp;IF(E1416="","Novo gerente; ","")))</f>
      </c>
      <c r="K1416" s="6">
        <f>IF(COUNTA(A1416:F1416)=0,"",IF(AND(LEFT(H1416,4)&lt;&gt;"ERRO",I1416="OK",J1416="OK"),"OK","REVISAR"))</f>
      </c>
    </row>
    <row r="1417">
      <c r="A1417" s="5"/>
      <c r="B1417" s="4"/>
      <c r="C1417" s="4"/>
      <c r="D1417" s="4"/>
      <c r="E1417" s="5"/>
      <c r="F1417" s="4"/>
      <c r="G1417" s="6">
        <f>IF(A1417="","",SUBSTITUTE(SUBSTITUTE(SUBSTITUTE(SUBSTITUTE(SUBSTITUTE(SUBSTITUTE(SUBSTITUTE(TRIM(A1417),".",""),"/",""),"-","")," ",""),"(",""),")",""),"+",""))</f>
      </c>
      <c r="H1417" s="6">
        <f>IF(G1417="","",IF(LEN(G1417)&lt;&gt;14,"ERRO: "&amp;LEN(G1417)&amp;" dígitos",IF(NOT(ISNUMBER(VALUE(G1417))),"ERRO: não numérico",IF(AND(VALUE(MID(G1417,13,1))=IF(MOD(SUMPRODUCT(--MID(G1417,{1,2,3,4,5,6,7,8,9,10,11,12},1),{5,4,3,2,9,8,7,6,5,4,3,2}),11)&lt;2,0,11-MOD(SUMPRODUCT(--MID(G1417,{1,2,3,4,5,6,7,8,9,10,11,12},1),{5,4,3,2,9,8,7,6,5,4,3,2}),11)),VALUE(MID(G1417,14,1))=IF(MOD(SUMPRODUCT(--MID(G1417,{1,2,3,4,5,6,7,8,9,10,11,12,13},1),{6,5,4,3,2,9,8,7,6,5,4,3,2}),11)&lt;2,0,11-MOD(SUMPRODUCT(--MID(G1417,{1,2,3,4,5,6,7,8,9,10,11,12,13},1),{6,5,4,3,2,9,8,7,6,5,4,3,2}),11))),"OK","AVISO: dígito verificador (conferir na org)"))))</f>
      </c>
      <c r="I1417" s="6">
        <f>IF(G1417="","",IF(COUNTIF($G$2:$G$2001,G1417)&gt;1,"DUPLICADO","OK"))</f>
      </c>
      <c r="J1417" s="6">
        <f>IF(COUNTA(A1417:F1417)=0,"",IF(AND(A1417&lt;&gt;"",E1417&lt;&gt;""),"OK","ERRO: faltam "&amp;IF(A1417="","CNPJ; ","")&amp;IF(E1417="","Novo gerente; ","")))</f>
      </c>
      <c r="K1417" s="6">
        <f>IF(COUNTA(A1417:F1417)=0,"",IF(AND(LEFT(H1417,4)&lt;&gt;"ERRO",I1417="OK",J1417="OK"),"OK","REVISAR"))</f>
      </c>
    </row>
    <row r="1418">
      <c r="A1418" s="5"/>
      <c r="B1418" s="4"/>
      <c r="C1418" s="4"/>
      <c r="D1418" s="4"/>
      <c r="E1418" s="5"/>
      <c r="F1418" s="4"/>
      <c r="G1418" s="6">
        <f>IF(A1418="","",SUBSTITUTE(SUBSTITUTE(SUBSTITUTE(SUBSTITUTE(SUBSTITUTE(SUBSTITUTE(SUBSTITUTE(TRIM(A1418),".",""),"/",""),"-","")," ",""),"(",""),")",""),"+",""))</f>
      </c>
      <c r="H1418" s="6">
        <f>IF(G1418="","",IF(LEN(G1418)&lt;&gt;14,"ERRO: "&amp;LEN(G1418)&amp;" dígitos",IF(NOT(ISNUMBER(VALUE(G1418))),"ERRO: não numérico",IF(AND(VALUE(MID(G1418,13,1))=IF(MOD(SUMPRODUCT(--MID(G1418,{1,2,3,4,5,6,7,8,9,10,11,12},1),{5,4,3,2,9,8,7,6,5,4,3,2}),11)&lt;2,0,11-MOD(SUMPRODUCT(--MID(G1418,{1,2,3,4,5,6,7,8,9,10,11,12},1),{5,4,3,2,9,8,7,6,5,4,3,2}),11)),VALUE(MID(G1418,14,1))=IF(MOD(SUMPRODUCT(--MID(G1418,{1,2,3,4,5,6,7,8,9,10,11,12,13},1),{6,5,4,3,2,9,8,7,6,5,4,3,2}),11)&lt;2,0,11-MOD(SUMPRODUCT(--MID(G1418,{1,2,3,4,5,6,7,8,9,10,11,12,13},1),{6,5,4,3,2,9,8,7,6,5,4,3,2}),11))),"OK","AVISO: dígito verificador (conferir na org)"))))</f>
      </c>
      <c r="I1418" s="6">
        <f>IF(G1418="","",IF(COUNTIF($G$2:$G$2001,G1418)&gt;1,"DUPLICADO","OK"))</f>
      </c>
      <c r="J1418" s="6">
        <f>IF(COUNTA(A1418:F1418)=0,"",IF(AND(A1418&lt;&gt;"",E1418&lt;&gt;""),"OK","ERRO: faltam "&amp;IF(A1418="","CNPJ; ","")&amp;IF(E1418="","Novo gerente; ","")))</f>
      </c>
      <c r="K1418" s="6">
        <f>IF(COUNTA(A1418:F1418)=0,"",IF(AND(LEFT(H1418,4)&lt;&gt;"ERRO",I1418="OK",J1418="OK"),"OK","REVISAR"))</f>
      </c>
    </row>
    <row r="1419">
      <c r="A1419" s="5"/>
      <c r="B1419" s="4"/>
      <c r="C1419" s="4"/>
      <c r="D1419" s="4"/>
      <c r="E1419" s="5"/>
      <c r="F1419" s="4"/>
      <c r="G1419" s="6">
        <f>IF(A1419="","",SUBSTITUTE(SUBSTITUTE(SUBSTITUTE(SUBSTITUTE(SUBSTITUTE(SUBSTITUTE(SUBSTITUTE(TRIM(A1419),".",""),"/",""),"-","")," ",""),"(",""),")",""),"+",""))</f>
      </c>
      <c r="H1419" s="6">
        <f>IF(G1419="","",IF(LEN(G1419)&lt;&gt;14,"ERRO: "&amp;LEN(G1419)&amp;" dígitos",IF(NOT(ISNUMBER(VALUE(G1419))),"ERRO: não numérico",IF(AND(VALUE(MID(G1419,13,1))=IF(MOD(SUMPRODUCT(--MID(G1419,{1,2,3,4,5,6,7,8,9,10,11,12},1),{5,4,3,2,9,8,7,6,5,4,3,2}),11)&lt;2,0,11-MOD(SUMPRODUCT(--MID(G1419,{1,2,3,4,5,6,7,8,9,10,11,12},1),{5,4,3,2,9,8,7,6,5,4,3,2}),11)),VALUE(MID(G1419,14,1))=IF(MOD(SUMPRODUCT(--MID(G1419,{1,2,3,4,5,6,7,8,9,10,11,12,13},1),{6,5,4,3,2,9,8,7,6,5,4,3,2}),11)&lt;2,0,11-MOD(SUMPRODUCT(--MID(G1419,{1,2,3,4,5,6,7,8,9,10,11,12,13},1),{6,5,4,3,2,9,8,7,6,5,4,3,2}),11))),"OK","AVISO: dígito verificador (conferir na org)"))))</f>
      </c>
      <c r="I1419" s="6">
        <f>IF(G1419="","",IF(COUNTIF($G$2:$G$2001,G1419)&gt;1,"DUPLICADO","OK"))</f>
      </c>
      <c r="J1419" s="6">
        <f>IF(COUNTA(A1419:F1419)=0,"",IF(AND(A1419&lt;&gt;"",E1419&lt;&gt;""),"OK","ERRO: faltam "&amp;IF(A1419="","CNPJ; ","")&amp;IF(E1419="","Novo gerente; ","")))</f>
      </c>
      <c r="K1419" s="6">
        <f>IF(COUNTA(A1419:F1419)=0,"",IF(AND(LEFT(H1419,4)&lt;&gt;"ERRO",I1419="OK",J1419="OK"),"OK","REVISAR"))</f>
      </c>
    </row>
    <row r="1420">
      <c r="A1420" s="5"/>
      <c r="B1420" s="4"/>
      <c r="C1420" s="4"/>
      <c r="D1420" s="4"/>
      <c r="E1420" s="5"/>
      <c r="F1420" s="4"/>
      <c r="G1420" s="6">
        <f>IF(A1420="","",SUBSTITUTE(SUBSTITUTE(SUBSTITUTE(SUBSTITUTE(SUBSTITUTE(SUBSTITUTE(SUBSTITUTE(TRIM(A1420),".",""),"/",""),"-","")," ",""),"(",""),")",""),"+",""))</f>
      </c>
      <c r="H1420" s="6">
        <f>IF(G1420="","",IF(LEN(G1420)&lt;&gt;14,"ERRO: "&amp;LEN(G1420)&amp;" dígitos",IF(NOT(ISNUMBER(VALUE(G1420))),"ERRO: não numérico",IF(AND(VALUE(MID(G1420,13,1))=IF(MOD(SUMPRODUCT(--MID(G1420,{1,2,3,4,5,6,7,8,9,10,11,12},1),{5,4,3,2,9,8,7,6,5,4,3,2}),11)&lt;2,0,11-MOD(SUMPRODUCT(--MID(G1420,{1,2,3,4,5,6,7,8,9,10,11,12},1),{5,4,3,2,9,8,7,6,5,4,3,2}),11)),VALUE(MID(G1420,14,1))=IF(MOD(SUMPRODUCT(--MID(G1420,{1,2,3,4,5,6,7,8,9,10,11,12,13},1),{6,5,4,3,2,9,8,7,6,5,4,3,2}),11)&lt;2,0,11-MOD(SUMPRODUCT(--MID(G1420,{1,2,3,4,5,6,7,8,9,10,11,12,13},1),{6,5,4,3,2,9,8,7,6,5,4,3,2}),11))),"OK","AVISO: dígito verificador (conferir na org)"))))</f>
      </c>
      <c r="I1420" s="6">
        <f>IF(G1420="","",IF(COUNTIF($G$2:$G$2001,G1420)&gt;1,"DUPLICADO","OK"))</f>
      </c>
      <c r="J1420" s="6">
        <f>IF(COUNTA(A1420:F1420)=0,"",IF(AND(A1420&lt;&gt;"",E1420&lt;&gt;""),"OK","ERRO: faltam "&amp;IF(A1420="","CNPJ; ","")&amp;IF(E1420="","Novo gerente; ","")))</f>
      </c>
      <c r="K1420" s="6">
        <f>IF(COUNTA(A1420:F1420)=0,"",IF(AND(LEFT(H1420,4)&lt;&gt;"ERRO",I1420="OK",J1420="OK"),"OK","REVISAR"))</f>
      </c>
    </row>
    <row r="1421">
      <c r="A1421" s="5"/>
      <c r="B1421" s="4"/>
      <c r="C1421" s="4"/>
      <c r="D1421" s="4"/>
      <c r="E1421" s="5"/>
      <c r="F1421" s="4"/>
      <c r="G1421" s="6">
        <f>IF(A1421="","",SUBSTITUTE(SUBSTITUTE(SUBSTITUTE(SUBSTITUTE(SUBSTITUTE(SUBSTITUTE(SUBSTITUTE(TRIM(A1421),".",""),"/",""),"-","")," ",""),"(",""),")",""),"+",""))</f>
      </c>
      <c r="H1421" s="6">
        <f>IF(G1421="","",IF(LEN(G1421)&lt;&gt;14,"ERRO: "&amp;LEN(G1421)&amp;" dígitos",IF(NOT(ISNUMBER(VALUE(G1421))),"ERRO: não numérico",IF(AND(VALUE(MID(G1421,13,1))=IF(MOD(SUMPRODUCT(--MID(G1421,{1,2,3,4,5,6,7,8,9,10,11,12},1),{5,4,3,2,9,8,7,6,5,4,3,2}),11)&lt;2,0,11-MOD(SUMPRODUCT(--MID(G1421,{1,2,3,4,5,6,7,8,9,10,11,12},1),{5,4,3,2,9,8,7,6,5,4,3,2}),11)),VALUE(MID(G1421,14,1))=IF(MOD(SUMPRODUCT(--MID(G1421,{1,2,3,4,5,6,7,8,9,10,11,12,13},1),{6,5,4,3,2,9,8,7,6,5,4,3,2}),11)&lt;2,0,11-MOD(SUMPRODUCT(--MID(G1421,{1,2,3,4,5,6,7,8,9,10,11,12,13},1),{6,5,4,3,2,9,8,7,6,5,4,3,2}),11))),"OK","AVISO: dígito verificador (conferir na org)"))))</f>
      </c>
      <c r="I1421" s="6">
        <f>IF(G1421="","",IF(COUNTIF($G$2:$G$2001,G1421)&gt;1,"DUPLICADO","OK"))</f>
      </c>
      <c r="J1421" s="6">
        <f>IF(COUNTA(A1421:F1421)=0,"",IF(AND(A1421&lt;&gt;"",E1421&lt;&gt;""),"OK","ERRO: faltam "&amp;IF(A1421="","CNPJ; ","")&amp;IF(E1421="","Novo gerente; ","")))</f>
      </c>
      <c r="K1421" s="6">
        <f>IF(COUNTA(A1421:F1421)=0,"",IF(AND(LEFT(H1421,4)&lt;&gt;"ERRO",I1421="OK",J1421="OK"),"OK","REVISAR"))</f>
      </c>
    </row>
    <row r="1422">
      <c r="A1422" s="5"/>
      <c r="B1422" s="4"/>
      <c r="C1422" s="4"/>
      <c r="D1422" s="4"/>
      <c r="E1422" s="5"/>
      <c r="F1422" s="4"/>
      <c r="G1422" s="6">
        <f>IF(A1422="","",SUBSTITUTE(SUBSTITUTE(SUBSTITUTE(SUBSTITUTE(SUBSTITUTE(SUBSTITUTE(SUBSTITUTE(TRIM(A1422),".",""),"/",""),"-","")," ",""),"(",""),")",""),"+",""))</f>
      </c>
      <c r="H1422" s="6">
        <f>IF(G1422="","",IF(LEN(G1422)&lt;&gt;14,"ERRO: "&amp;LEN(G1422)&amp;" dígitos",IF(NOT(ISNUMBER(VALUE(G1422))),"ERRO: não numérico",IF(AND(VALUE(MID(G1422,13,1))=IF(MOD(SUMPRODUCT(--MID(G1422,{1,2,3,4,5,6,7,8,9,10,11,12},1),{5,4,3,2,9,8,7,6,5,4,3,2}),11)&lt;2,0,11-MOD(SUMPRODUCT(--MID(G1422,{1,2,3,4,5,6,7,8,9,10,11,12},1),{5,4,3,2,9,8,7,6,5,4,3,2}),11)),VALUE(MID(G1422,14,1))=IF(MOD(SUMPRODUCT(--MID(G1422,{1,2,3,4,5,6,7,8,9,10,11,12,13},1),{6,5,4,3,2,9,8,7,6,5,4,3,2}),11)&lt;2,0,11-MOD(SUMPRODUCT(--MID(G1422,{1,2,3,4,5,6,7,8,9,10,11,12,13},1),{6,5,4,3,2,9,8,7,6,5,4,3,2}),11))),"OK","AVISO: dígito verificador (conferir na org)"))))</f>
      </c>
      <c r="I1422" s="6">
        <f>IF(G1422="","",IF(COUNTIF($G$2:$G$2001,G1422)&gt;1,"DUPLICADO","OK"))</f>
      </c>
      <c r="J1422" s="6">
        <f>IF(COUNTA(A1422:F1422)=0,"",IF(AND(A1422&lt;&gt;"",E1422&lt;&gt;""),"OK","ERRO: faltam "&amp;IF(A1422="","CNPJ; ","")&amp;IF(E1422="","Novo gerente; ","")))</f>
      </c>
      <c r="K1422" s="6">
        <f>IF(COUNTA(A1422:F1422)=0,"",IF(AND(LEFT(H1422,4)&lt;&gt;"ERRO",I1422="OK",J1422="OK"),"OK","REVISAR"))</f>
      </c>
    </row>
    <row r="1423">
      <c r="A1423" s="5"/>
      <c r="B1423" s="4"/>
      <c r="C1423" s="4"/>
      <c r="D1423" s="4"/>
      <c r="E1423" s="5"/>
      <c r="F1423" s="4"/>
      <c r="G1423" s="6">
        <f>IF(A1423="","",SUBSTITUTE(SUBSTITUTE(SUBSTITUTE(SUBSTITUTE(SUBSTITUTE(SUBSTITUTE(SUBSTITUTE(TRIM(A1423),".",""),"/",""),"-","")," ",""),"(",""),")",""),"+",""))</f>
      </c>
      <c r="H1423" s="6">
        <f>IF(G1423="","",IF(LEN(G1423)&lt;&gt;14,"ERRO: "&amp;LEN(G1423)&amp;" dígitos",IF(NOT(ISNUMBER(VALUE(G1423))),"ERRO: não numérico",IF(AND(VALUE(MID(G1423,13,1))=IF(MOD(SUMPRODUCT(--MID(G1423,{1,2,3,4,5,6,7,8,9,10,11,12},1),{5,4,3,2,9,8,7,6,5,4,3,2}),11)&lt;2,0,11-MOD(SUMPRODUCT(--MID(G1423,{1,2,3,4,5,6,7,8,9,10,11,12},1),{5,4,3,2,9,8,7,6,5,4,3,2}),11)),VALUE(MID(G1423,14,1))=IF(MOD(SUMPRODUCT(--MID(G1423,{1,2,3,4,5,6,7,8,9,10,11,12,13},1),{6,5,4,3,2,9,8,7,6,5,4,3,2}),11)&lt;2,0,11-MOD(SUMPRODUCT(--MID(G1423,{1,2,3,4,5,6,7,8,9,10,11,12,13},1),{6,5,4,3,2,9,8,7,6,5,4,3,2}),11))),"OK","AVISO: dígito verificador (conferir na org)"))))</f>
      </c>
      <c r="I1423" s="6">
        <f>IF(G1423="","",IF(COUNTIF($G$2:$G$2001,G1423)&gt;1,"DUPLICADO","OK"))</f>
      </c>
      <c r="J1423" s="6">
        <f>IF(COUNTA(A1423:F1423)=0,"",IF(AND(A1423&lt;&gt;"",E1423&lt;&gt;""),"OK","ERRO: faltam "&amp;IF(A1423="","CNPJ; ","")&amp;IF(E1423="","Novo gerente; ","")))</f>
      </c>
      <c r="K1423" s="6">
        <f>IF(COUNTA(A1423:F1423)=0,"",IF(AND(LEFT(H1423,4)&lt;&gt;"ERRO",I1423="OK",J1423="OK"),"OK","REVISAR"))</f>
      </c>
    </row>
    <row r="1424">
      <c r="A1424" s="5"/>
      <c r="B1424" s="4"/>
      <c r="C1424" s="4"/>
      <c r="D1424" s="4"/>
      <c r="E1424" s="5"/>
      <c r="F1424" s="4"/>
      <c r="G1424" s="6">
        <f>IF(A1424="","",SUBSTITUTE(SUBSTITUTE(SUBSTITUTE(SUBSTITUTE(SUBSTITUTE(SUBSTITUTE(SUBSTITUTE(TRIM(A1424),".",""),"/",""),"-","")," ",""),"(",""),")",""),"+",""))</f>
      </c>
      <c r="H1424" s="6">
        <f>IF(G1424="","",IF(LEN(G1424)&lt;&gt;14,"ERRO: "&amp;LEN(G1424)&amp;" dígitos",IF(NOT(ISNUMBER(VALUE(G1424))),"ERRO: não numérico",IF(AND(VALUE(MID(G1424,13,1))=IF(MOD(SUMPRODUCT(--MID(G1424,{1,2,3,4,5,6,7,8,9,10,11,12},1),{5,4,3,2,9,8,7,6,5,4,3,2}),11)&lt;2,0,11-MOD(SUMPRODUCT(--MID(G1424,{1,2,3,4,5,6,7,8,9,10,11,12},1),{5,4,3,2,9,8,7,6,5,4,3,2}),11)),VALUE(MID(G1424,14,1))=IF(MOD(SUMPRODUCT(--MID(G1424,{1,2,3,4,5,6,7,8,9,10,11,12,13},1),{6,5,4,3,2,9,8,7,6,5,4,3,2}),11)&lt;2,0,11-MOD(SUMPRODUCT(--MID(G1424,{1,2,3,4,5,6,7,8,9,10,11,12,13},1),{6,5,4,3,2,9,8,7,6,5,4,3,2}),11))),"OK","AVISO: dígito verificador (conferir na org)"))))</f>
      </c>
      <c r="I1424" s="6">
        <f>IF(G1424="","",IF(COUNTIF($G$2:$G$2001,G1424)&gt;1,"DUPLICADO","OK"))</f>
      </c>
      <c r="J1424" s="6">
        <f>IF(COUNTA(A1424:F1424)=0,"",IF(AND(A1424&lt;&gt;"",E1424&lt;&gt;""),"OK","ERRO: faltam "&amp;IF(A1424="","CNPJ; ","")&amp;IF(E1424="","Novo gerente; ","")))</f>
      </c>
      <c r="K1424" s="6">
        <f>IF(COUNTA(A1424:F1424)=0,"",IF(AND(LEFT(H1424,4)&lt;&gt;"ERRO",I1424="OK",J1424="OK"),"OK","REVISAR"))</f>
      </c>
    </row>
    <row r="1425">
      <c r="A1425" s="5"/>
      <c r="B1425" s="4"/>
      <c r="C1425" s="4"/>
      <c r="D1425" s="4"/>
      <c r="E1425" s="5"/>
      <c r="F1425" s="4"/>
      <c r="G1425" s="6">
        <f>IF(A1425="","",SUBSTITUTE(SUBSTITUTE(SUBSTITUTE(SUBSTITUTE(SUBSTITUTE(SUBSTITUTE(SUBSTITUTE(TRIM(A1425),".",""),"/",""),"-","")," ",""),"(",""),")",""),"+",""))</f>
      </c>
      <c r="H1425" s="6">
        <f>IF(G1425="","",IF(LEN(G1425)&lt;&gt;14,"ERRO: "&amp;LEN(G1425)&amp;" dígitos",IF(NOT(ISNUMBER(VALUE(G1425))),"ERRO: não numérico",IF(AND(VALUE(MID(G1425,13,1))=IF(MOD(SUMPRODUCT(--MID(G1425,{1,2,3,4,5,6,7,8,9,10,11,12},1),{5,4,3,2,9,8,7,6,5,4,3,2}),11)&lt;2,0,11-MOD(SUMPRODUCT(--MID(G1425,{1,2,3,4,5,6,7,8,9,10,11,12},1),{5,4,3,2,9,8,7,6,5,4,3,2}),11)),VALUE(MID(G1425,14,1))=IF(MOD(SUMPRODUCT(--MID(G1425,{1,2,3,4,5,6,7,8,9,10,11,12,13},1),{6,5,4,3,2,9,8,7,6,5,4,3,2}),11)&lt;2,0,11-MOD(SUMPRODUCT(--MID(G1425,{1,2,3,4,5,6,7,8,9,10,11,12,13},1),{6,5,4,3,2,9,8,7,6,5,4,3,2}),11))),"OK","AVISO: dígito verificador (conferir na org)"))))</f>
      </c>
      <c r="I1425" s="6">
        <f>IF(G1425="","",IF(COUNTIF($G$2:$G$2001,G1425)&gt;1,"DUPLICADO","OK"))</f>
      </c>
      <c r="J1425" s="6">
        <f>IF(COUNTA(A1425:F1425)=0,"",IF(AND(A1425&lt;&gt;"",E1425&lt;&gt;""),"OK","ERRO: faltam "&amp;IF(A1425="","CNPJ; ","")&amp;IF(E1425="","Novo gerente; ","")))</f>
      </c>
      <c r="K1425" s="6">
        <f>IF(COUNTA(A1425:F1425)=0,"",IF(AND(LEFT(H1425,4)&lt;&gt;"ERRO",I1425="OK",J1425="OK"),"OK","REVISAR"))</f>
      </c>
    </row>
    <row r="1426">
      <c r="A1426" s="5"/>
      <c r="B1426" s="4"/>
      <c r="C1426" s="4"/>
      <c r="D1426" s="4"/>
      <c r="E1426" s="5"/>
      <c r="F1426" s="4"/>
      <c r="G1426" s="6">
        <f>IF(A1426="","",SUBSTITUTE(SUBSTITUTE(SUBSTITUTE(SUBSTITUTE(SUBSTITUTE(SUBSTITUTE(SUBSTITUTE(TRIM(A1426),".",""),"/",""),"-","")," ",""),"(",""),")",""),"+",""))</f>
      </c>
      <c r="H1426" s="6">
        <f>IF(G1426="","",IF(LEN(G1426)&lt;&gt;14,"ERRO: "&amp;LEN(G1426)&amp;" dígitos",IF(NOT(ISNUMBER(VALUE(G1426))),"ERRO: não numérico",IF(AND(VALUE(MID(G1426,13,1))=IF(MOD(SUMPRODUCT(--MID(G1426,{1,2,3,4,5,6,7,8,9,10,11,12},1),{5,4,3,2,9,8,7,6,5,4,3,2}),11)&lt;2,0,11-MOD(SUMPRODUCT(--MID(G1426,{1,2,3,4,5,6,7,8,9,10,11,12},1),{5,4,3,2,9,8,7,6,5,4,3,2}),11)),VALUE(MID(G1426,14,1))=IF(MOD(SUMPRODUCT(--MID(G1426,{1,2,3,4,5,6,7,8,9,10,11,12,13},1),{6,5,4,3,2,9,8,7,6,5,4,3,2}),11)&lt;2,0,11-MOD(SUMPRODUCT(--MID(G1426,{1,2,3,4,5,6,7,8,9,10,11,12,13},1),{6,5,4,3,2,9,8,7,6,5,4,3,2}),11))),"OK","AVISO: dígito verificador (conferir na org)"))))</f>
      </c>
      <c r="I1426" s="6">
        <f>IF(G1426="","",IF(COUNTIF($G$2:$G$2001,G1426)&gt;1,"DUPLICADO","OK"))</f>
      </c>
      <c r="J1426" s="6">
        <f>IF(COUNTA(A1426:F1426)=0,"",IF(AND(A1426&lt;&gt;"",E1426&lt;&gt;""),"OK","ERRO: faltam "&amp;IF(A1426="","CNPJ; ","")&amp;IF(E1426="","Novo gerente; ","")))</f>
      </c>
      <c r="K1426" s="6">
        <f>IF(COUNTA(A1426:F1426)=0,"",IF(AND(LEFT(H1426,4)&lt;&gt;"ERRO",I1426="OK",J1426="OK"),"OK","REVISAR"))</f>
      </c>
    </row>
    <row r="1427">
      <c r="A1427" s="5"/>
      <c r="B1427" s="4"/>
      <c r="C1427" s="4"/>
      <c r="D1427" s="4"/>
      <c r="E1427" s="5"/>
      <c r="F1427" s="4"/>
      <c r="G1427" s="6">
        <f>IF(A1427="","",SUBSTITUTE(SUBSTITUTE(SUBSTITUTE(SUBSTITUTE(SUBSTITUTE(SUBSTITUTE(SUBSTITUTE(TRIM(A1427),".",""),"/",""),"-","")," ",""),"(",""),")",""),"+",""))</f>
      </c>
      <c r="H1427" s="6">
        <f>IF(G1427="","",IF(LEN(G1427)&lt;&gt;14,"ERRO: "&amp;LEN(G1427)&amp;" dígitos",IF(NOT(ISNUMBER(VALUE(G1427))),"ERRO: não numérico",IF(AND(VALUE(MID(G1427,13,1))=IF(MOD(SUMPRODUCT(--MID(G1427,{1,2,3,4,5,6,7,8,9,10,11,12},1),{5,4,3,2,9,8,7,6,5,4,3,2}),11)&lt;2,0,11-MOD(SUMPRODUCT(--MID(G1427,{1,2,3,4,5,6,7,8,9,10,11,12},1),{5,4,3,2,9,8,7,6,5,4,3,2}),11)),VALUE(MID(G1427,14,1))=IF(MOD(SUMPRODUCT(--MID(G1427,{1,2,3,4,5,6,7,8,9,10,11,12,13},1),{6,5,4,3,2,9,8,7,6,5,4,3,2}),11)&lt;2,0,11-MOD(SUMPRODUCT(--MID(G1427,{1,2,3,4,5,6,7,8,9,10,11,12,13},1),{6,5,4,3,2,9,8,7,6,5,4,3,2}),11))),"OK","AVISO: dígito verificador (conferir na org)"))))</f>
      </c>
      <c r="I1427" s="6">
        <f>IF(G1427="","",IF(COUNTIF($G$2:$G$2001,G1427)&gt;1,"DUPLICADO","OK"))</f>
      </c>
      <c r="J1427" s="6">
        <f>IF(COUNTA(A1427:F1427)=0,"",IF(AND(A1427&lt;&gt;"",E1427&lt;&gt;""),"OK","ERRO: faltam "&amp;IF(A1427="","CNPJ; ","")&amp;IF(E1427="","Novo gerente; ","")))</f>
      </c>
      <c r="K1427" s="6">
        <f>IF(COUNTA(A1427:F1427)=0,"",IF(AND(LEFT(H1427,4)&lt;&gt;"ERRO",I1427="OK",J1427="OK"),"OK","REVISAR"))</f>
      </c>
    </row>
    <row r="1428">
      <c r="A1428" s="5"/>
      <c r="B1428" s="4"/>
      <c r="C1428" s="4"/>
      <c r="D1428" s="4"/>
      <c r="E1428" s="5"/>
      <c r="F1428" s="4"/>
      <c r="G1428" s="6">
        <f>IF(A1428="","",SUBSTITUTE(SUBSTITUTE(SUBSTITUTE(SUBSTITUTE(SUBSTITUTE(SUBSTITUTE(SUBSTITUTE(TRIM(A1428),".",""),"/",""),"-","")," ",""),"(",""),")",""),"+",""))</f>
      </c>
      <c r="H1428" s="6">
        <f>IF(G1428="","",IF(LEN(G1428)&lt;&gt;14,"ERRO: "&amp;LEN(G1428)&amp;" dígitos",IF(NOT(ISNUMBER(VALUE(G1428))),"ERRO: não numérico",IF(AND(VALUE(MID(G1428,13,1))=IF(MOD(SUMPRODUCT(--MID(G1428,{1,2,3,4,5,6,7,8,9,10,11,12},1),{5,4,3,2,9,8,7,6,5,4,3,2}),11)&lt;2,0,11-MOD(SUMPRODUCT(--MID(G1428,{1,2,3,4,5,6,7,8,9,10,11,12},1),{5,4,3,2,9,8,7,6,5,4,3,2}),11)),VALUE(MID(G1428,14,1))=IF(MOD(SUMPRODUCT(--MID(G1428,{1,2,3,4,5,6,7,8,9,10,11,12,13},1),{6,5,4,3,2,9,8,7,6,5,4,3,2}),11)&lt;2,0,11-MOD(SUMPRODUCT(--MID(G1428,{1,2,3,4,5,6,7,8,9,10,11,12,13},1),{6,5,4,3,2,9,8,7,6,5,4,3,2}),11))),"OK","AVISO: dígito verificador (conferir na org)"))))</f>
      </c>
      <c r="I1428" s="6">
        <f>IF(G1428="","",IF(COUNTIF($G$2:$G$2001,G1428)&gt;1,"DUPLICADO","OK"))</f>
      </c>
      <c r="J1428" s="6">
        <f>IF(COUNTA(A1428:F1428)=0,"",IF(AND(A1428&lt;&gt;"",E1428&lt;&gt;""),"OK","ERRO: faltam "&amp;IF(A1428="","CNPJ; ","")&amp;IF(E1428="","Novo gerente; ","")))</f>
      </c>
      <c r="K1428" s="6">
        <f>IF(COUNTA(A1428:F1428)=0,"",IF(AND(LEFT(H1428,4)&lt;&gt;"ERRO",I1428="OK",J1428="OK"),"OK","REVISAR"))</f>
      </c>
    </row>
    <row r="1429">
      <c r="A1429" s="5"/>
      <c r="B1429" s="4"/>
      <c r="C1429" s="4"/>
      <c r="D1429" s="4"/>
      <c r="E1429" s="5"/>
      <c r="F1429" s="4"/>
      <c r="G1429" s="6">
        <f>IF(A1429="","",SUBSTITUTE(SUBSTITUTE(SUBSTITUTE(SUBSTITUTE(SUBSTITUTE(SUBSTITUTE(SUBSTITUTE(TRIM(A1429),".",""),"/",""),"-","")," ",""),"(",""),")",""),"+",""))</f>
      </c>
      <c r="H1429" s="6">
        <f>IF(G1429="","",IF(LEN(G1429)&lt;&gt;14,"ERRO: "&amp;LEN(G1429)&amp;" dígitos",IF(NOT(ISNUMBER(VALUE(G1429))),"ERRO: não numérico",IF(AND(VALUE(MID(G1429,13,1))=IF(MOD(SUMPRODUCT(--MID(G1429,{1,2,3,4,5,6,7,8,9,10,11,12},1),{5,4,3,2,9,8,7,6,5,4,3,2}),11)&lt;2,0,11-MOD(SUMPRODUCT(--MID(G1429,{1,2,3,4,5,6,7,8,9,10,11,12},1),{5,4,3,2,9,8,7,6,5,4,3,2}),11)),VALUE(MID(G1429,14,1))=IF(MOD(SUMPRODUCT(--MID(G1429,{1,2,3,4,5,6,7,8,9,10,11,12,13},1),{6,5,4,3,2,9,8,7,6,5,4,3,2}),11)&lt;2,0,11-MOD(SUMPRODUCT(--MID(G1429,{1,2,3,4,5,6,7,8,9,10,11,12,13},1),{6,5,4,3,2,9,8,7,6,5,4,3,2}),11))),"OK","AVISO: dígito verificador (conferir na org)"))))</f>
      </c>
      <c r="I1429" s="6">
        <f>IF(G1429="","",IF(COUNTIF($G$2:$G$2001,G1429)&gt;1,"DUPLICADO","OK"))</f>
      </c>
      <c r="J1429" s="6">
        <f>IF(COUNTA(A1429:F1429)=0,"",IF(AND(A1429&lt;&gt;"",E1429&lt;&gt;""),"OK","ERRO: faltam "&amp;IF(A1429="","CNPJ; ","")&amp;IF(E1429="","Novo gerente; ","")))</f>
      </c>
      <c r="K1429" s="6">
        <f>IF(COUNTA(A1429:F1429)=0,"",IF(AND(LEFT(H1429,4)&lt;&gt;"ERRO",I1429="OK",J1429="OK"),"OK","REVISAR"))</f>
      </c>
    </row>
    <row r="1430">
      <c r="A1430" s="5"/>
      <c r="B1430" s="4"/>
      <c r="C1430" s="4"/>
      <c r="D1430" s="4"/>
      <c r="E1430" s="5"/>
      <c r="F1430" s="4"/>
      <c r="G1430" s="6">
        <f>IF(A1430="","",SUBSTITUTE(SUBSTITUTE(SUBSTITUTE(SUBSTITUTE(SUBSTITUTE(SUBSTITUTE(SUBSTITUTE(TRIM(A1430),".",""),"/",""),"-","")," ",""),"(",""),")",""),"+",""))</f>
      </c>
      <c r="H1430" s="6">
        <f>IF(G1430="","",IF(LEN(G1430)&lt;&gt;14,"ERRO: "&amp;LEN(G1430)&amp;" dígitos",IF(NOT(ISNUMBER(VALUE(G1430))),"ERRO: não numérico",IF(AND(VALUE(MID(G1430,13,1))=IF(MOD(SUMPRODUCT(--MID(G1430,{1,2,3,4,5,6,7,8,9,10,11,12},1),{5,4,3,2,9,8,7,6,5,4,3,2}),11)&lt;2,0,11-MOD(SUMPRODUCT(--MID(G1430,{1,2,3,4,5,6,7,8,9,10,11,12},1),{5,4,3,2,9,8,7,6,5,4,3,2}),11)),VALUE(MID(G1430,14,1))=IF(MOD(SUMPRODUCT(--MID(G1430,{1,2,3,4,5,6,7,8,9,10,11,12,13},1),{6,5,4,3,2,9,8,7,6,5,4,3,2}),11)&lt;2,0,11-MOD(SUMPRODUCT(--MID(G1430,{1,2,3,4,5,6,7,8,9,10,11,12,13},1),{6,5,4,3,2,9,8,7,6,5,4,3,2}),11))),"OK","AVISO: dígito verificador (conferir na org)"))))</f>
      </c>
      <c r="I1430" s="6">
        <f>IF(G1430="","",IF(COUNTIF($G$2:$G$2001,G1430)&gt;1,"DUPLICADO","OK"))</f>
      </c>
      <c r="J1430" s="6">
        <f>IF(COUNTA(A1430:F1430)=0,"",IF(AND(A1430&lt;&gt;"",E1430&lt;&gt;""),"OK","ERRO: faltam "&amp;IF(A1430="","CNPJ; ","")&amp;IF(E1430="","Novo gerente; ","")))</f>
      </c>
      <c r="K1430" s="6">
        <f>IF(COUNTA(A1430:F1430)=0,"",IF(AND(LEFT(H1430,4)&lt;&gt;"ERRO",I1430="OK",J1430="OK"),"OK","REVISAR"))</f>
      </c>
    </row>
    <row r="1431">
      <c r="A1431" s="5"/>
      <c r="B1431" s="4"/>
      <c r="C1431" s="4"/>
      <c r="D1431" s="4"/>
      <c r="E1431" s="5"/>
      <c r="F1431" s="4"/>
      <c r="G1431" s="6">
        <f>IF(A1431="","",SUBSTITUTE(SUBSTITUTE(SUBSTITUTE(SUBSTITUTE(SUBSTITUTE(SUBSTITUTE(SUBSTITUTE(TRIM(A1431),".",""),"/",""),"-","")," ",""),"(",""),")",""),"+",""))</f>
      </c>
      <c r="H1431" s="6">
        <f>IF(G1431="","",IF(LEN(G1431)&lt;&gt;14,"ERRO: "&amp;LEN(G1431)&amp;" dígitos",IF(NOT(ISNUMBER(VALUE(G1431))),"ERRO: não numérico",IF(AND(VALUE(MID(G1431,13,1))=IF(MOD(SUMPRODUCT(--MID(G1431,{1,2,3,4,5,6,7,8,9,10,11,12},1),{5,4,3,2,9,8,7,6,5,4,3,2}),11)&lt;2,0,11-MOD(SUMPRODUCT(--MID(G1431,{1,2,3,4,5,6,7,8,9,10,11,12},1),{5,4,3,2,9,8,7,6,5,4,3,2}),11)),VALUE(MID(G1431,14,1))=IF(MOD(SUMPRODUCT(--MID(G1431,{1,2,3,4,5,6,7,8,9,10,11,12,13},1),{6,5,4,3,2,9,8,7,6,5,4,3,2}),11)&lt;2,0,11-MOD(SUMPRODUCT(--MID(G1431,{1,2,3,4,5,6,7,8,9,10,11,12,13},1),{6,5,4,3,2,9,8,7,6,5,4,3,2}),11))),"OK","AVISO: dígito verificador (conferir na org)"))))</f>
      </c>
      <c r="I1431" s="6">
        <f>IF(G1431="","",IF(COUNTIF($G$2:$G$2001,G1431)&gt;1,"DUPLICADO","OK"))</f>
      </c>
      <c r="J1431" s="6">
        <f>IF(COUNTA(A1431:F1431)=0,"",IF(AND(A1431&lt;&gt;"",E1431&lt;&gt;""),"OK","ERRO: faltam "&amp;IF(A1431="","CNPJ; ","")&amp;IF(E1431="","Novo gerente; ","")))</f>
      </c>
      <c r="K1431" s="6">
        <f>IF(COUNTA(A1431:F1431)=0,"",IF(AND(LEFT(H1431,4)&lt;&gt;"ERRO",I1431="OK",J1431="OK"),"OK","REVISAR"))</f>
      </c>
    </row>
    <row r="1432">
      <c r="A1432" s="5"/>
      <c r="B1432" s="4"/>
      <c r="C1432" s="4"/>
      <c r="D1432" s="4"/>
      <c r="E1432" s="5"/>
      <c r="F1432" s="4"/>
      <c r="G1432" s="6">
        <f>IF(A1432="","",SUBSTITUTE(SUBSTITUTE(SUBSTITUTE(SUBSTITUTE(SUBSTITUTE(SUBSTITUTE(SUBSTITUTE(TRIM(A1432),".",""),"/",""),"-","")," ",""),"(",""),")",""),"+",""))</f>
      </c>
      <c r="H1432" s="6">
        <f>IF(G1432="","",IF(LEN(G1432)&lt;&gt;14,"ERRO: "&amp;LEN(G1432)&amp;" dígitos",IF(NOT(ISNUMBER(VALUE(G1432))),"ERRO: não numérico",IF(AND(VALUE(MID(G1432,13,1))=IF(MOD(SUMPRODUCT(--MID(G1432,{1,2,3,4,5,6,7,8,9,10,11,12},1),{5,4,3,2,9,8,7,6,5,4,3,2}),11)&lt;2,0,11-MOD(SUMPRODUCT(--MID(G1432,{1,2,3,4,5,6,7,8,9,10,11,12},1),{5,4,3,2,9,8,7,6,5,4,3,2}),11)),VALUE(MID(G1432,14,1))=IF(MOD(SUMPRODUCT(--MID(G1432,{1,2,3,4,5,6,7,8,9,10,11,12,13},1),{6,5,4,3,2,9,8,7,6,5,4,3,2}),11)&lt;2,0,11-MOD(SUMPRODUCT(--MID(G1432,{1,2,3,4,5,6,7,8,9,10,11,12,13},1),{6,5,4,3,2,9,8,7,6,5,4,3,2}),11))),"OK","AVISO: dígito verificador (conferir na org)"))))</f>
      </c>
      <c r="I1432" s="6">
        <f>IF(G1432="","",IF(COUNTIF($G$2:$G$2001,G1432)&gt;1,"DUPLICADO","OK"))</f>
      </c>
      <c r="J1432" s="6">
        <f>IF(COUNTA(A1432:F1432)=0,"",IF(AND(A1432&lt;&gt;"",E1432&lt;&gt;""),"OK","ERRO: faltam "&amp;IF(A1432="","CNPJ; ","")&amp;IF(E1432="","Novo gerente; ","")))</f>
      </c>
      <c r="K1432" s="6">
        <f>IF(COUNTA(A1432:F1432)=0,"",IF(AND(LEFT(H1432,4)&lt;&gt;"ERRO",I1432="OK",J1432="OK"),"OK","REVISAR"))</f>
      </c>
    </row>
    <row r="1433">
      <c r="A1433" s="5"/>
      <c r="B1433" s="4"/>
      <c r="C1433" s="4"/>
      <c r="D1433" s="4"/>
      <c r="E1433" s="5"/>
      <c r="F1433" s="4"/>
      <c r="G1433" s="6">
        <f>IF(A1433="","",SUBSTITUTE(SUBSTITUTE(SUBSTITUTE(SUBSTITUTE(SUBSTITUTE(SUBSTITUTE(SUBSTITUTE(TRIM(A1433),".",""),"/",""),"-","")," ",""),"(",""),")",""),"+",""))</f>
      </c>
      <c r="H1433" s="6">
        <f>IF(G1433="","",IF(LEN(G1433)&lt;&gt;14,"ERRO: "&amp;LEN(G1433)&amp;" dígitos",IF(NOT(ISNUMBER(VALUE(G1433))),"ERRO: não numérico",IF(AND(VALUE(MID(G1433,13,1))=IF(MOD(SUMPRODUCT(--MID(G1433,{1,2,3,4,5,6,7,8,9,10,11,12},1),{5,4,3,2,9,8,7,6,5,4,3,2}),11)&lt;2,0,11-MOD(SUMPRODUCT(--MID(G1433,{1,2,3,4,5,6,7,8,9,10,11,12},1),{5,4,3,2,9,8,7,6,5,4,3,2}),11)),VALUE(MID(G1433,14,1))=IF(MOD(SUMPRODUCT(--MID(G1433,{1,2,3,4,5,6,7,8,9,10,11,12,13},1),{6,5,4,3,2,9,8,7,6,5,4,3,2}),11)&lt;2,0,11-MOD(SUMPRODUCT(--MID(G1433,{1,2,3,4,5,6,7,8,9,10,11,12,13},1),{6,5,4,3,2,9,8,7,6,5,4,3,2}),11))),"OK","AVISO: dígito verificador (conferir na org)"))))</f>
      </c>
      <c r="I1433" s="6">
        <f>IF(G1433="","",IF(COUNTIF($G$2:$G$2001,G1433)&gt;1,"DUPLICADO","OK"))</f>
      </c>
      <c r="J1433" s="6">
        <f>IF(COUNTA(A1433:F1433)=0,"",IF(AND(A1433&lt;&gt;"",E1433&lt;&gt;""),"OK","ERRO: faltam "&amp;IF(A1433="","CNPJ; ","")&amp;IF(E1433="","Novo gerente; ","")))</f>
      </c>
      <c r="K1433" s="6">
        <f>IF(COUNTA(A1433:F1433)=0,"",IF(AND(LEFT(H1433,4)&lt;&gt;"ERRO",I1433="OK",J1433="OK"),"OK","REVISAR"))</f>
      </c>
    </row>
    <row r="1434">
      <c r="A1434" s="5"/>
      <c r="B1434" s="4"/>
      <c r="C1434" s="4"/>
      <c r="D1434" s="4"/>
      <c r="E1434" s="5"/>
      <c r="F1434" s="4"/>
      <c r="G1434" s="6">
        <f>IF(A1434="","",SUBSTITUTE(SUBSTITUTE(SUBSTITUTE(SUBSTITUTE(SUBSTITUTE(SUBSTITUTE(SUBSTITUTE(TRIM(A1434),".",""),"/",""),"-","")," ",""),"(",""),")",""),"+",""))</f>
      </c>
      <c r="H1434" s="6">
        <f>IF(G1434="","",IF(LEN(G1434)&lt;&gt;14,"ERRO: "&amp;LEN(G1434)&amp;" dígitos",IF(NOT(ISNUMBER(VALUE(G1434))),"ERRO: não numérico",IF(AND(VALUE(MID(G1434,13,1))=IF(MOD(SUMPRODUCT(--MID(G1434,{1,2,3,4,5,6,7,8,9,10,11,12},1),{5,4,3,2,9,8,7,6,5,4,3,2}),11)&lt;2,0,11-MOD(SUMPRODUCT(--MID(G1434,{1,2,3,4,5,6,7,8,9,10,11,12},1),{5,4,3,2,9,8,7,6,5,4,3,2}),11)),VALUE(MID(G1434,14,1))=IF(MOD(SUMPRODUCT(--MID(G1434,{1,2,3,4,5,6,7,8,9,10,11,12,13},1),{6,5,4,3,2,9,8,7,6,5,4,3,2}),11)&lt;2,0,11-MOD(SUMPRODUCT(--MID(G1434,{1,2,3,4,5,6,7,8,9,10,11,12,13},1),{6,5,4,3,2,9,8,7,6,5,4,3,2}),11))),"OK","AVISO: dígito verificador (conferir na org)"))))</f>
      </c>
      <c r="I1434" s="6">
        <f>IF(G1434="","",IF(COUNTIF($G$2:$G$2001,G1434)&gt;1,"DUPLICADO","OK"))</f>
      </c>
      <c r="J1434" s="6">
        <f>IF(COUNTA(A1434:F1434)=0,"",IF(AND(A1434&lt;&gt;"",E1434&lt;&gt;""),"OK","ERRO: faltam "&amp;IF(A1434="","CNPJ; ","")&amp;IF(E1434="","Novo gerente; ","")))</f>
      </c>
      <c r="K1434" s="6">
        <f>IF(COUNTA(A1434:F1434)=0,"",IF(AND(LEFT(H1434,4)&lt;&gt;"ERRO",I1434="OK",J1434="OK"),"OK","REVISAR"))</f>
      </c>
    </row>
    <row r="1435">
      <c r="A1435" s="5"/>
      <c r="B1435" s="4"/>
      <c r="C1435" s="4"/>
      <c r="D1435" s="4"/>
      <c r="E1435" s="5"/>
      <c r="F1435" s="4"/>
      <c r="G1435" s="6">
        <f>IF(A1435="","",SUBSTITUTE(SUBSTITUTE(SUBSTITUTE(SUBSTITUTE(SUBSTITUTE(SUBSTITUTE(SUBSTITUTE(TRIM(A1435),".",""),"/",""),"-","")," ",""),"(",""),")",""),"+",""))</f>
      </c>
      <c r="H1435" s="6">
        <f>IF(G1435="","",IF(LEN(G1435)&lt;&gt;14,"ERRO: "&amp;LEN(G1435)&amp;" dígitos",IF(NOT(ISNUMBER(VALUE(G1435))),"ERRO: não numérico",IF(AND(VALUE(MID(G1435,13,1))=IF(MOD(SUMPRODUCT(--MID(G1435,{1,2,3,4,5,6,7,8,9,10,11,12},1),{5,4,3,2,9,8,7,6,5,4,3,2}),11)&lt;2,0,11-MOD(SUMPRODUCT(--MID(G1435,{1,2,3,4,5,6,7,8,9,10,11,12},1),{5,4,3,2,9,8,7,6,5,4,3,2}),11)),VALUE(MID(G1435,14,1))=IF(MOD(SUMPRODUCT(--MID(G1435,{1,2,3,4,5,6,7,8,9,10,11,12,13},1),{6,5,4,3,2,9,8,7,6,5,4,3,2}),11)&lt;2,0,11-MOD(SUMPRODUCT(--MID(G1435,{1,2,3,4,5,6,7,8,9,10,11,12,13},1),{6,5,4,3,2,9,8,7,6,5,4,3,2}),11))),"OK","AVISO: dígito verificador (conferir na org)"))))</f>
      </c>
      <c r="I1435" s="6">
        <f>IF(G1435="","",IF(COUNTIF($G$2:$G$2001,G1435)&gt;1,"DUPLICADO","OK"))</f>
      </c>
      <c r="J1435" s="6">
        <f>IF(COUNTA(A1435:F1435)=0,"",IF(AND(A1435&lt;&gt;"",E1435&lt;&gt;""),"OK","ERRO: faltam "&amp;IF(A1435="","CNPJ; ","")&amp;IF(E1435="","Novo gerente; ","")))</f>
      </c>
      <c r="K1435" s="6">
        <f>IF(COUNTA(A1435:F1435)=0,"",IF(AND(LEFT(H1435,4)&lt;&gt;"ERRO",I1435="OK",J1435="OK"),"OK","REVISAR"))</f>
      </c>
    </row>
    <row r="1436">
      <c r="A1436" s="5"/>
      <c r="B1436" s="4"/>
      <c r="C1436" s="4"/>
      <c r="D1436" s="4"/>
      <c r="E1436" s="5"/>
      <c r="F1436" s="4"/>
      <c r="G1436" s="6">
        <f>IF(A1436="","",SUBSTITUTE(SUBSTITUTE(SUBSTITUTE(SUBSTITUTE(SUBSTITUTE(SUBSTITUTE(SUBSTITUTE(TRIM(A1436),".",""),"/",""),"-","")," ",""),"(",""),")",""),"+",""))</f>
      </c>
      <c r="H1436" s="6">
        <f>IF(G1436="","",IF(LEN(G1436)&lt;&gt;14,"ERRO: "&amp;LEN(G1436)&amp;" dígitos",IF(NOT(ISNUMBER(VALUE(G1436))),"ERRO: não numérico",IF(AND(VALUE(MID(G1436,13,1))=IF(MOD(SUMPRODUCT(--MID(G1436,{1,2,3,4,5,6,7,8,9,10,11,12},1),{5,4,3,2,9,8,7,6,5,4,3,2}),11)&lt;2,0,11-MOD(SUMPRODUCT(--MID(G1436,{1,2,3,4,5,6,7,8,9,10,11,12},1),{5,4,3,2,9,8,7,6,5,4,3,2}),11)),VALUE(MID(G1436,14,1))=IF(MOD(SUMPRODUCT(--MID(G1436,{1,2,3,4,5,6,7,8,9,10,11,12,13},1),{6,5,4,3,2,9,8,7,6,5,4,3,2}),11)&lt;2,0,11-MOD(SUMPRODUCT(--MID(G1436,{1,2,3,4,5,6,7,8,9,10,11,12,13},1),{6,5,4,3,2,9,8,7,6,5,4,3,2}),11))),"OK","AVISO: dígito verificador (conferir na org)"))))</f>
      </c>
      <c r="I1436" s="6">
        <f>IF(G1436="","",IF(COUNTIF($G$2:$G$2001,G1436)&gt;1,"DUPLICADO","OK"))</f>
      </c>
      <c r="J1436" s="6">
        <f>IF(COUNTA(A1436:F1436)=0,"",IF(AND(A1436&lt;&gt;"",E1436&lt;&gt;""),"OK","ERRO: faltam "&amp;IF(A1436="","CNPJ; ","")&amp;IF(E1436="","Novo gerente; ","")))</f>
      </c>
      <c r="K1436" s="6">
        <f>IF(COUNTA(A1436:F1436)=0,"",IF(AND(LEFT(H1436,4)&lt;&gt;"ERRO",I1436="OK",J1436="OK"),"OK","REVISAR"))</f>
      </c>
    </row>
    <row r="1437">
      <c r="A1437" s="5"/>
      <c r="B1437" s="4"/>
      <c r="C1437" s="4"/>
      <c r="D1437" s="4"/>
      <c r="E1437" s="5"/>
      <c r="F1437" s="4"/>
      <c r="G1437" s="6">
        <f>IF(A1437="","",SUBSTITUTE(SUBSTITUTE(SUBSTITUTE(SUBSTITUTE(SUBSTITUTE(SUBSTITUTE(SUBSTITUTE(TRIM(A1437),".",""),"/",""),"-","")," ",""),"(",""),")",""),"+",""))</f>
      </c>
      <c r="H1437" s="6">
        <f>IF(G1437="","",IF(LEN(G1437)&lt;&gt;14,"ERRO: "&amp;LEN(G1437)&amp;" dígitos",IF(NOT(ISNUMBER(VALUE(G1437))),"ERRO: não numérico",IF(AND(VALUE(MID(G1437,13,1))=IF(MOD(SUMPRODUCT(--MID(G1437,{1,2,3,4,5,6,7,8,9,10,11,12},1),{5,4,3,2,9,8,7,6,5,4,3,2}),11)&lt;2,0,11-MOD(SUMPRODUCT(--MID(G1437,{1,2,3,4,5,6,7,8,9,10,11,12},1),{5,4,3,2,9,8,7,6,5,4,3,2}),11)),VALUE(MID(G1437,14,1))=IF(MOD(SUMPRODUCT(--MID(G1437,{1,2,3,4,5,6,7,8,9,10,11,12,13},1),{6,5,4,3,2,9,8,7,6,5,4,3,2}),11)&lt;2,0,11-MOD(SUMPRODUCT(--MID(G1437,{1,2,3,4,5,6,7,8,9,10,11,12,13},1),{6,5,4,3,2,9,8,7,6,5,4,3,2}),11))),"OK","AVISO: dígito verificador (conferir na org)"))))</f>
      </c>
      <c r="I1437" s="6">
        <f>IF(G1437="","",IF(COUNTIF($G$2:$G$2001,G1437)&gt;1,"DUPLICADO","OK"))</f>
      </c>
      <c r="J1437" s="6">
        <f>IF(COUNTA(A1437:F1437)=0,"",IF(AND(A1437&lt;&gt;"",E1437&lt;&gt;""),"OK","ERRO: faltam "&amp;IF(A1437="","CNPJ; ","")&amp;IF(E1437="","Novo gerente; ","")))</f>
      </c>
      <c r="K1437" s="6">
        <f>IF(COUNTA(A1437:F1437)=0,"",IF(AND(LEFT(H1437,4)&lt;&gt;"ERRO",I1437="OK",J1437="OK"),"OK","REVISAR"))</f>
      </c>
    </row>
    <row r="1438">
      <c r="A1438" s="5"/>
      <c r="B1438" s="4"/>
      <c r="C1438" s="4"/>
      <c r="D1438" s="4"/>
      <c r="E1438" s="5"/>
      <c r="F1438" s="4"/>
      <c r="G1438" s="6">
        <f>IF(A1438="","",SUBSTITUTE(SUBSTITUTE(SUBSTITUTE(SUBSTITUTE(SUBSTITUTE(SUBSTITUTE(SUBSTITUTE(TRIM(A1438),".",""),"/",""),"-","")," ",""),"(",""),")",""),"+",""))</f>
      </c>
      <c r="H1438" s="6">
        <f>IF(G1438="","",IF(LEN(G1438)&lt;&gt;14,"ERRO: "&amp;LEN(G1438)&amp;" dígitos",IF(NOT(ISNUMBER(VALUE(G1438))),"ERRO: não numérico",IF(AND(VALUE(MID(G1438,13,1))=IF(MOD(SUMPRODUCT(--MID(G1438,{1,2,3,4,5,6,7,8,9,10,11,12},1),{5,4,3,2,9,8,7,6,5,4,3,2}),11)&lt;2,0,11-MOD(SUMPRODUCT(--MID(G1438,{1,2,3,4,5,6,7,8,9,10,11,12},1),{5,4,3,2,9,8,7,6,5,4,3,2}),11)),VALUE(MID(G1438,14,1))=IF(MOD(SUMPRODUCT(--MID(G1438,{1,2,3,4,5,6,7,8,9,10,11,12,13},1),{6,5,4,3,2,9,8,7,6,5,4,3,2}),11)&lt;2,0,11-MOD(SUMPRODUCT(--MID(G1438,{1,2,3,4,5,6,7,8,9,10,11,12,13},1),{6,5,4,3,2,9,8,7,6,5,4,3,2}),11))),"OK","AVISO: dígito verificador (conferir na org)"))))</f>
      </c>
      <c r="I1438" s="6">
        <f>IF(G1438="","",IF(COUNTIF($G$2:$G$2001,G1438)&gt;1,"DUPLICADO","OK"))</f>
      </c>
      <c r="J1438" s="6">
        <f>IF(COUNTA(A1438:F1438)=0,"",IF(AND(A1438&lt;&gt;"",E1438&lt;&gt;""),"OK","ERRO: faltam "&amp;IF(A1438="","CNPJ; ","")&amp;IF(E1438="","Novo gerente; ","")))</f>
      </c>
      <c r="K1438" s="6">
        <f>IF(COUNTA(A1438:F1438)=0,"",IF(AND(LEFT(H1438,4)&lt;&gt;"ERRO",I1438="OK",J1438="OK"),"OK","REVISAR"))</f>
      </c>
    </row>
    <row r="1439">
      <c r="A1439" s="5"/>
      <c r="B1439" s="4"/>
      <c r="C1439" s="4"/>
      <c r="D1439" s="4"/>
      <c r="E1439" s="5"/>
      <c r="F1439" s="4"/>
      <c r="G1439" s="6">
        <f>IF(A1439="","",SUBSTITUTE(SUBSTITUTE(SUBSTITUTE(SUBSTITUTE(SUBSTITUTE(SUBSTITUTE(SUBSTITUTE(TRIM(A1439),".",""),"/",""),"-","")," ",""),"(",""),")",""),"+",""))</f>
      </c>
      <c r="H1439" s="6">
        <f>IF(G1439="","",IF(LEN(G1439)&lt;&gt;14,"ERRO: "&amp;LEN(G1439)&amp;" dígitos",IF(NOT(ISNUMBER(VALUE(G1439))),"ERRO: não numérico",IF(AND(VALUE(MID(G1439,13,1))=IF(MOD(SUMPRODUCT(--MID(G1439,{1,2,3,4,5,6,7,8,9,10,11,12},1),{5,4,3,2,9,8,7,6,5,4,3,2}),11)&lt;2,0,11-MOD(SUMPRODUCT(--MID(G1439,{1,2,3,4,5,6,7,8,9,10,11,12},1),{5,4,3,2,9,8,7,6,5,4,3,2}),11)),VALUE(MID(G1439,14,1))=IF(MOD(SUMPRODUCT(--MID(G1439,{1,2,3,4,5,6,7,8,9,10,11,12,13},1),{6,5,4,3,2,9,8,7,6,5,4,3,2}),11)&lt;2,0,11-MOD(SUMPRODUCT(--MID(G1439,{1,2,3,4,5,6,7,8,9,10,11,12,13},1),{6,5,4,3,2,9,8,7,6,5,4,3,2}),11))),"OK","AVISO: dígito verificador (conferir na org)"))))</f>
      </c>
      <c r="I1439" s="6">
        <f>IF(G1439="","",IF(COUNTIF($G$2:$G$2001,G1439)&gt;1,"DUPLICADO","OK"))</f>
      </c>
      <c r="J1439" s="6">
        <f>IF(COUNTA(A1439:F1439)=0,"",IF(AND(A1439&lt;&gt;"",E1439&lt;&gt;""),"OK","ERRO: faltam "&amp;IF(A1439="","CNPJ; ","")&amp;IF(E1439="","Novo gerente; ","")))</f>
      </c>
      <c r="K1439" s="6">
        <f>IF(COUNTA(A1439:F1439)=0,"",IF(AND(LEFT(H1439,4)&lt;&gt;"ERRO",I1439="OK",J1439="OK"),"OK","REVISAR"))</f>
      </c>
    </row>
    <row r="1440">
      <c r="A1440" s="5"/>
      <c r="B1440" s="4"/>
      <c r="C1440" s="4"/>
      <c r="D1440" s="4"/>
      <c r="E1440" s="5"/>
      <c r="F1440" s="4"/>
      <c r="G1440" s="6">
        <f>IF(A1440="","",SUBSTITUTE(SUBSTITUTE(SUBSTITUTE(SUBSTITUTE(SUBSTITUTE(SUBSTITUTE(SUBSTITUTE(TRIM(A1440),".",""),"/",""),"-","")," ",""),"(",""),")",""),"+",""))</f>
      </c>
      <c r="H1440" s="6">
        <f>IF(G1440="","",IF(LEN(G1440)&lt;&gt;14,"ERRO: "&amp;LEN(G1440)&amp;" dígitos",IF(NOT(ISNUMBER(VALUE(G1440))),"ERRO: não numérico",IF(AND(VALUE(MID(G1440,13,1))=IF(MOD(SUMPRODUCT(--MID(G1440,{1,2,3,4,5,6,7,8,9,10,11,12},1),{5,4,3,2,9,8,7,6,5,4,3,2}),11)&lt;2,0,11-MOD(SUMPRODUCT(--MID(G1440,{1,2,3,4,5,6,7,8,9,10,11,12},1),{5,4,3,2,9,8,7,6,5,4,3,2}),11)),VALUE(MID(G1440,14,1))=IF(MOD(SUMPRODUCT(--MID(G1440,{1,2,3,4,5,6,7,8,9,10,11,12,13},1),{6,5,4,3,2,9,8,7,6,5,4,3,2}),11)&lt;2,0,11-MOD(SUMPRODUCT(--MID(G1440,{1,2,3,4,5,6,7,8,9,10,11,12,13},1),{6,5,4,3,2,9,8,7,6,5,4,3,2}),11))),"OK","AVISO: dígito verificador (conferir na org)"))))</f>
      </c>
      <c r="I1440" s="6">
        <f>IF(G1440="","",IF(COUNTIF($G$2:$G$2001,G1440)&gt;1,"DUPLICADO","OK"))</f>
      </c>
      <c r="J1440" s="6">
        <f>IF(COUNTA(A1440:F1440)=0,"",IF(AND(A1440&lt;&gt;"",E1440&lt;&gt;""),"OK","ERRO: faltam "&amp;IF(A1440="","CNPJ; ","")&amp;IF(E1440="","Novo gerente; ","")))</f>
      </c>
      <c r="K1440" s="6">
        <f>IF(COUNTA(A1440:F1440)=0,"",IF(AND(LEFT(H1440,4)&lt;&gt;"ERRO",I1440="OK",J1440="OK"),"OK","REVISAR"))</f>
      </c>
    </row>
    <row r="1441">
      <c r="A1441" s="5"/>
      <c r="B1441" s="4"/>
      <c r="C1441" s="4"/>
      <c r="D1441" s="4"/>
      <c r="E1441" s="5"/>
      <c r="F1441" s="4"/>
      <c r="G1441" s="6">
        <f>IF(A1441="","",SUBSTITUTE(SUBSTITUTE(SUBSTITUTE(SUBSTITUTE(SUBSTITUTE(SUBSTITUTE(SUBSTITUTE(TRIM(A1441),".",""),"/",""),"-","")," ",""),"(",""),")",""),"+",""))</f>
      </c>
      <c r="H1441" s="6">
        <f>IF(G1441="","",IF(LEN(G1441)&lt;&gt;14,"ERRO: "&amp;LEN(G1441)&amp;" dígitos",IF(NOT(ISNUMBER(VALUE(G1441))),"ERRO: não numérico",IF(AND(VALUE(MID(G1441,13,1))=IF(MOD(SUMPRODUCT(--MID(G1441,{1,2,3,4,5,6,7,8,9,10,11,12},1),{5,4,3,2,9,8,7,6,5,4,3,2}),11)&lt;2,0,11-MOD(SUMPRODUCT(--MID(G1441,{1,2,3,4,5,6,7,8,9,10,11,12},1),{5,4,3,2,9,8,7,6,5,4,3,2}),11)),VALUE(MID(G1441,14,1))=IF(MOD(SUMPRODUCT(--MID(G1441,{1,2,3,4,5,6,7,8,9,10,11,12,13},1),{6,5,4,3,2,9,8,7,6,5,4,3,2}),11)&lt;2,0,11-MOD(SUMPRODUCT(--MID(G1441,{1,2,3,4,5,6,7,8,9,10,11,12,13},1),{6,5,4,3,2,9,8,7,6,5,4,3,2}),11))),"OK","AVISO: dígito verificador (conferir na org)"))))</f>
      </c>
      <c r="I1441" s="6">
        <f>IF(G1441="","",IF(COUNTIF($G$2:$G$2001,G1441)&gt;1,"DUPLICADO","OK"))</f>
      </c>
      <c r="J1441" s="6">
        <f>IF(COUNTA(A1441:F1441)=0,"",IF(AND(A1441&lt;&gt;"",E1441&lt;&gt;""),"OK","ERRO: faltam "&amp;IF(A1441="","CNPJ; ","")&amp;IF(E1441="","Novo gerente; ","")))</f>
      </c>
      <c r="K1441" s="6">
        <f>IF(COUNTA(A1441:F1441)=0,"",IF(AND(LEFT(H1441,4)&lt;&gt;"ERRO",I1441="OK",J1441="OK"),"OK","REVISAR"))</f>
      </c>
    </row>
    <row r="1442">
      <c r="A1442" s="5"/>
      <c r="B1442" s="4"/>
      <c r="C1442" s="4"/>
      <c r="D1442" s="4"/>
      <c r="E1442" s="5"/>
      <c r="F1442" s="4"/>
      <c r="G1442" s="6">
        <f>IF(A1442="","",SUBSTITUTE(SUBSTITUTE(SUBSTITUTE(SUBSTITUTE(SUBSTITUTE(SUBSTITUTE(SUBSTITUTE(TRIM(A1442),".",""),"/",""),"-","")," ",""),"(",""),")",""),"+",""))</f>
      </c>
      <c r="H1442" s="6">
        <f>IF(G1442="","",IF(LEN(G1442)&lt;&gt;14,"ERRO: "&amp;LEN(G1442)&amp;" dígitos",IF(NOT(ISNUMBER(VALUE(G1442))),"ERRO: não numérico",IF(AND(VALUE(MID(G1442,13,1))=IF(MOD(SUMPRODUCT(--MID(G1442,{1,2,3,4,5,6,7,8,9,10,11,12},1),{5,4,3,2,9,8,7,6,5,4,3,2}),11)&lt;2,0,11-MOD(SUMPRODUCT(--MID(G1442,{1,2,3,4,5,6,7,8,9,10,11,12},1),{5,4,3,2,9,8,7,6,5,4,3,2}),11)),VALUE(MID(G1442,14,1))=IF(MOD(SUMPRODUCT(--MID(G1442,{1,2,3,4,5,6,7,8,9,10,11,12,13},1),{6,5,4,3,2,9,8,7,6,5,4,3,2}),11)&lt;2,0,11-MOD(SUMPRODUCT(--MID(G1442,{1,2,3,4,5,6,7,8,9,10,11,12,13},1),{6,5,4,3,2,9,8,7,6,5,4,3,2}),11))),"OK","AVISO: dígito verificador (conferir na org)"))))</f>
      </c>
      <c r="I1442" s="6">
        <f>IF(G1442="","",IF(COUNTIF($G$2:$G$2001,G1442)&gt;1,"DUPLICADO","OK"))</f>
      </c>
      <c r="J1442" s="6">
        <f>IF(COUNTA(A1442:F1442)=0,"",IF(AND(A1442&lt;&gt;"",E1442&lt;&gt;""),"OK","ERRO: faltam "&amp;IF(A1442="","CNPJ; ","")&amp;IF(E1442="","Novo gerente; ","")))</f>
      </c>
      <c r="K1442" s="6">
        <f>IF(COUNTA(A1442:F1442)=0,"",IF(AND(LEFT(H1442,4)&lt;&gt;"ERRO",I1442="OK",J1442="OK"),"OK","REVISAR"))</f>
      </c>
    </row>
    <row r="1443">
      <c r="A1443" s="5"/>
      <c r="B1443" s="4"/>
      <c r="C1443" s="4"/>
      <c r="D1443" s="4"/>
      <c r="E1443" s="5"/>
      <c r="F1443" s="4"/>
      <c r="G1443" s="6">
        <f>IF(A1443="","",SUBSTITUTE(SUBSTITUTE(SUBSTITUTE(SUBSTITUTE(SUBSTITUTE(SUBSTITUTE(SUBSTITUTE(TRIM(A1443),".",""),"/",""),"-","")," ",""),"(",""),")",""),"+",""))</f>
      </c>
      <c r="H1443" s="6">
        <f>IF(G1443="","",IF(LEN(G1443)&lt;&gt;14,"ERRO: "&amp;LEN(G1443)&amp;" dígitos",IF(NOT(ISNUMBER(VALUE(G1443))),"ERRO: não numérico",IF(AND(VALUE(MID(G1443,13,1))=IF(MOD(SUMPRODUCT(--MID(G1443,{1,2,3,4,5,6,7,8,9,10,11,12},1),{5,4,3,2,9,8,7,6,5,4,3,2}),11)&lt;2,0,11-MOD(SUMPRODUCT(--MID(G1443,{1,2,3,4,5,6,7,8,9,10,11,12},1),{5,4,3,2,9,8,7,6,5,4,3,2}),11)),VALUE(MID(G1443,14,1))=IF(MOD(SUMPRODUCT(--MID(G1443,{1,2,3,4,5,6,7,8,9,10,11,12,13},1),{6,5,4,3,2,9,8,7,6,5,4,3,2}),11)&lt;2,0,11-MOD(SUMPRODUCT(--MID(G1443,{1,2,3,4,5,6,7,8,9,10,11,12,13},1),{6,5,4,3,2,9,8,7,6,5,4,3,2}),11))),"OK","AVISO: dígito verificador (conferir na org)"))))</f>
      </c>
      <c r="I1443" s="6">
        <f>IF(G1443="","",IF(COUNTIF($G$2:$G$2001,G1443)&gt;1,"DUPLICADO","OK"))</f>
      </c>
      <c r="J1443" s="6">
        <f>IF(COUNTA(A1443:F1443)=0,"",IF(AND(A1443&lt;&gt;"",E1443&lt;&gt;""),"OK","ERRO: faltam "&amp;IF(A1443="","CNPJ; ","")&amp;IF(E1443="","Novo gerente; ","")))</f>
      </c>
      <c r="K1443" s="6">
        <f>IF(COUNTA(A1443:F1443)=0,"",IF(AND(LEFT(H1443,4)&lt;&gt;"ERRO",I1443="OK",J1443="OK"),"OK","REVISAR"))</f>
      </c>
    </row>
    <row r="1444">
      <c r="A1444" s="5"/>
      <c r="B1444" s="4"/>
      <c r="C1444" s="4"/>
      <c r="D1444" s="4"/>
      <c r="E1444" s="5"/>
      <c r="F1444" s="4"/>
      <c r="G1444" s="6">
        <f>IF(A1444="","",SUBSTITUTE(SUBSTITUTE(SUBSTITUTE(SUBSTITUTE(SUBSTITUTE(SUBSTITUTE(SUBSTITUTE(TRIM(A1444),".",""),"/",""),"-","")," ",""),"(",""),")",""),"+",""))</f>
      </c>
      <c r="H1444" s="6">
        <f>IF(G1444="","",IF(LEN(G1444)&lt;&gt;14,"ERRO: "&amp;LEN(G1444)&amp;" dígitos",IF(NOT(ISNUMBER(VALUE(G1444))),"ERRO: não numérico",IF(AND(VALUE(MID(G1444,13,1))=IF(MOD(SUMPRODUCT(--MID(G1444,{1,2,3,4,5,6,7,8,9,10,11,12},1),{5,4,3,2,9,8,7,6,5,4,3,2}),11)&lt;2,0,11-MOD(SUMPRODUCT(--MID(G1444,{1,2,3,4,5,6,7,8,9,10,11,12},1),{5,4,3,2,9,8,7,6,5,4,3,2}),11)),VALUE(MID(G1444,14,1))=IF(MOD(SUMPRODUCT(--MID(G1444,{1,2,3,4,5,6,7,8,9,10,11,12,13},1),{6,5,4,3,2,9,8,7,6,5,4,3,2}),11)&lt;2,0,11-MOD(SUMPRODUCT(--MID(G1444,{1,2,3,4,5,6,7,8,9,10,11,12,13},1),{6,5,4,3,2,9,8,7,6,5,4,3,2}),11))),"OK","AVISO: dígito verificador (conferir na org)"))))</f>
      </c>
      <c r="I1444" s="6">
        <f>IF(G1444="","",IF(COUNTIF($G$2:$G$2001,G1444)&gt;1,"DUPLICADO","OK"))</f>
      </c>
      <c r="J1444" s="6">
        <f>IF(COUNTA(A1444:F1444)=0,"",IF(AND(A1444&lt;&gt;"",E1444&lt;&gt;""),"OK","ERRO: faltam "&amp;IF(A1444="","CNPJ; ","")&amp;IF(E1444="","Novo gerente; ","")))</f>
      </c>
      <c r="K1444" s="6">
        <f>IF(COUNTA(A1444:F1444)=0,"",IF(AND(LEFT(H1444,4)&lt;&gt;"ERRO",I1444="OK",J1444="OK"),"OK","REVISAR"))</f>
      </c>
    </row>
    <row r="1445">
      <c r="A1445" s="5"/>
      <c r="B1445" s="4"/>
      <c r="C1445" s="4"/>
      <c r="D1445" s="4"/>
      <c r="E1445" s="5"/>
      <c r="F1445" s="4"/>
      <c r="G1445" s="6">
        <f>IF(A1445="","",SUBSTITUTE(SUBSTITUTE(SUBSTITUTE(SUBSTITUTE(SUBSTITUTE(SUBSTITUTE(SUBSTITUTE(TRIM(A1445),".",""),"/",""),"-","")," ",""),"(",""),")",""),"+",""))</f>
      </c>
      <c r="H1445" s="6">
        <f>IF(G1445="","",IF(LEN(G1445)&lt;&gt;14,"ERRO: "&amp;LEN(G1445)&amp;" dígitos",IF(NOT(ISNUMBER(VALUE(G1445))),"ERRO: não numérico",IF(AND(VALUE(MID(G1445,13,1))=IF(MOD(SUMPRODUCT(--MID(G1445,{1,2,3,4,5,6,7,8,9,10,11,12},1),{5,4,3,2,9,8,7,6,5,4,3,2}),11)&lt;2,0,11-MOD(SUMPRODUCT(--MID(G1445,{1,2,3,4,5,6,7,8,9,10,11,12},1),{5,4,3,2,9,8,7,6,5,4,3,2}),11)),VALUE(MID(G1445,14,1))=IF(MOD(SUMPRODUCT(--MID(G1445,{1,2,3,4,5,6,7,8,9,10,11,12,13},1),{6,5,4,3,2,9,8,7,6,5,4,3,2}),11)&lt;2,0,11-MOD(SUMPRODUCT(--MID(G1445,{1,2,3,4,5,6,7,8,9,10,11,12,13},1),{6,5,4,3,2,9,8,7,6,5,4,3,2}),11))),"OK","AVISO: dígito verificador (conferir na org)"))))</f>
      </c>
      <c r="I1445" s="6">
        <f>IF(G1445="","",IF(COUNTIF($G$2:$G$2001,G1445)&gt;1,"DUPLICADO","OK"))</f>
      </c>
      <c r="J1445" s="6">
        <f>IF(COUNTA(A1445:F1445)=0,"",IF(AND(A1445&lt;&gt;"",E1445&lt;&gt;""),"OK","ERRO: faltam "&amp;IF(A1445="","CNPJ; ","")&amp;IF(E1445="","Novo gerente; ","")))</f>
      </c>
      <c r="K1445" s="6">
        <f>IF(COUNTA(A1445:F1445)=0,"",IF(AND(LEFT(H1445,4)&lt;&gt;"ERRO",I1445="OK",J1445="OK"),"OK","REVISAR"))</f>
      </c>
    </row>
    <row r="1446">
      <c r="A1446" s="5"/>
      <c r="B1446" s="4"/>
      <c r="C1446" s="4"/>
      <c r="D1446" s="4"/>
      <c r="E1446" s="5"/>
      <c r="F1446" s="4"/>
      <c r="G1446" s="6">
        <f>IF(A1446="","",SUBSTITUTE(SUBSTITUTE(SUBSTITUTE(SUBSTITUTE(SUBSTITUTE(SUBSTITUTE(SUBSTITUTE(TRIM(A1446),".",""),"/",""),"-","")," ",""),"(",""),")",""),"+",""))</f>
      </c>
      <c r="H1446" s="6">
        <f>IF(G1446="","",IF(LEN(G1446)&lt;&gt;14,"ERRO: "&amp;LEN(G1446)&amp;" dígitos",IF(NOT(ISNUMBER(VALUE(G1446))),"ERRO: não numérico",IF(AND(VALUE(MID(G1446,13,1))=IF(MOD(SUMPRODUCT(--MID(G1446,{1,2,3,4,5,6,7,8,9,10,11,12},1),{5,4,3,2,9,8,7,6,5,4,3,2}),11)&lt;2,0,11-MOD(SUMPRODUCT(--MID(G1446,{1,2,3,4,5,6,7,8,9,10,11,12},1),{5,4,3,2,9,8,7,6,5,4,3,2}),11)),VALUE(MID(G1446,14,1))=IF(MOD(SUMPRODUCT(--MID(G1446,{1,2,3,4,5,6,7,8,9,10,11,12,13},1),{6,5,4,3,2,9,8,7,6,5,4,3,2}),11)&lt;2,0,11-MOD(SUMPRODUCT(--MID(G1446,{1,2,3,4,5,6,7,8,9,10,11,12,13},1),{6,5,4,3,2,9,8,7,6,5,4,3,2}),11))),"OK","AVISO: dígito verificador (conferir na org)"))))</f>
      </c>
      <c r="I1446" s="6">
        <f>IF(G1446="","",IF(COUNTIF($G$2:$G$2001,G1446)&gt;1,"DUPLICADO","OK"))</f>
      </c>
      <c r="J1446" s="6">
        <f>IF(COUNTA(A1446:F1446)=0,"",IF(AND(A1446&lt;&gt;"",E1446&lt;&gt;""),"OK","ERRO: faltam "&amp;IF(A1446="","CNPJ; ","")&amp;IF(E1446="","Novo gerente; ","")))</f>
      </c>
      <c r="K1446" s="6">
        <f>IF(COUNTA(A1446:F1446)=0,"",IF(AND(LEFT(H1446,4)&lt;&gt;"ERRO",I1446="OK",J1446="OK"),"OK","REVISAR"))</f>
      </c>
    </row>
    <row r="1447">
      <c r="A1447" s="5"/>
      <c r="B1447" s="4"/>
      <c r="C1447" s="4"/>
      <c r="D1447" s="4"/>
      <c r="E1447" s="5"/>
      <c r="F1447" s="4"/>
      <c r="G1447" s="6">
        <f>IF(A1447="","",SUBSTITUTE(SUBSTITUTE(SUBSTITUTE(SUBSTITUTE(SUBSTITUTE(SUBSTITUTE(SUBSTITUTE(TRIM(A1447),".",""),"/",""),"-","")," ",""),"(",""),")",""),"+",""))</f>
      </c>
      <c r="H1447" s="6">
        <f>IF(G1447="","",IF(LEN(G1447)&lt;&gt;14,"ERRO: "&amp;LEN(G1447)&amp;" dígitos",IF(NOT(ISNUMBER(VALUE(G1447))),"ERRO: não numérico",IF(AND(VALUE(MID(G1447,13,1))=IF(MOD(SUMPRODUCT(--MID(G1447,{1,2,3,4,5,6,7,8,9,10,11,12},1),{5,4,3,2,9,8,7,6,5,4,3,2}),11)&lt;2,0,11-MOD(SUMPRODUCT(--MID(G1447,{1,2,3,4,5,6,7,8,9,10,11,12},1),{5,4,3,2,9,8,7,6,5,4,3,2}),11)),VALUE(MID(G1447,14,1))=IF(MOD(SUMPRODUCT(--MID(G1447,{1,2,3,4,5,6,7,8,9,10,11,12,13},1),{6,5,4,3,2,9,8,7,6,5,4,3,2}),11)&lt;2,0,11-MOD(SUMPRODUCT(--MID(G1447,{1,2,3,4,5,6,7,8,9,10,11,12,13},1),{6,5,4,3,2,9,8,7,6,5,4,3,2}),11))),"OK","AVISO: dígito verificador (conferir na org)"))))</f>
      </c>
      <c r="I1447" s="6">
        <f>IF(G1447="","",IF(COUNTIF($G$2:$G$2001,G1447)&gt;1,"DUPLICADO","OK"))</f>
      </c>
      <c r="J1447" s="6">
        <f>IF(COUNTA(A1447:F1447)=0,"",IF(AND(A1447&lt;&gt;"",E1447&lt;&gt;""),"OK","ERRO: faltam "&amp;IF(A1447="","CNPJ; ","")&amp;IF(E1447="","Novo gerente; ","")))</f>
      </c>
      <c r="K1447" s="6">
        <f>IF(COUNTA(A1447:F1447)=0,"",IF(AND(LEFT(H1447,4)&lt;&gt;"ERRO",I1447="OK",J1447="OK"),"OK","REVISAR"))</f>
      </c>
    </row>
    <row r="1448">
      <c r="A1448" s="5"/>
      <c r="B1448" s="4"/>
      <c r="C1448" s="4"/>
      <c r="D1448" s="4"/>
      <c r="E1448" s="5"/>
      <c r="F1448" s="4"/>
      <c r="G1448" s="6">
        <f>IF(A1448="","",SUBSTITUTE(SUBSTITUTE(SUBSTITUTE(SUBSTITUTE(SUBSTITUTE(SUBSTITUTE(SUBSTITUTE(TRIM(A1448),".",""),"/",""),"-","")," ",""),"(",""),")",""),"+",""))</f>
      </c>
      <c r="H1448" s="6">
        <f>IF(G1448="","",IF(LEN(G1448)&lt;&gt;14,"ERRO: "&amp;LEN(G1448)&amp;" dígitos",IF(NOT(ISNUMBER(VALUE(G1448))),"ERRO: não numérico",IF(AND(VALUE(MID(G1448,13,1))=IF(MOD(SUMPRODUCT(--MID(G1448,{1,2,3,4,5,6,7,8,9,10,11,12},1),{5,4,3,2,9,8,7,6,5,4,3,2}),11)&lt;2,0,11-MOD(SUMPRODUCT(--MID(G1448,{1,2,3,4,5,6,7,8,9,10,11,12},1),{5,4,3,2,9,8,7,6,5,4,3,2}),11)),VALUE(MID(G1448,14,1))=IF(MOD(SUMPRODUCT(--MID(G1448,{1,2,3,4,5,6,7,8,9,10,11,12,13},1),{6,5,4,3,2,9,8,7,6,5,4,3,2}),11)&lt;2,0,11-MOD(SUMPRODUCT(--MID(G1448,{1,2,3,4,5,6,7,8,9,10,11,12,13},1),{6,5,4,3,2,9,8,7,6,5,4,3,2}),11))),"OK","AVISO: dígito verificador (conferir na org)"))))</f>
      </c>
      <c r="I1448" s="6">
        <f>IF(G1448="","",IF(COUNTIF($G$2:$G$2001,G1448)&gt;1,"DUPLICADO","OK"))</f>
      </c>
      <c r="J1448" s="6">
        <f>IF(COUNTA(A1448:F1448)=0,"",IF(AND(A1448&lt;&gt;"",E1448&lt;&gt;""),"OK","ERRO: faltam "&amp;IF(A1448="","CNPJ; ","")&amp;IF(E1448="","Novo gerente; ","")))</f>
      </c>
      <c r="K1448" s="6">
        <f>IF(COUNTA(A1448:F1448)=0,"",IF(AND(LEFT(H1448,4)&lt;&gt;"ERRO",I1448="OK",J1448="OK"),"OK","REVISAR"))</f>
      </c>
    </row>
    <row r="1449">
      <c r="A1449" s="5"/>
      <c r="B1449" s="4"/>
      <c r="C1449" s="4"/>
      <c r="D1449" s="4"/>
      <c r="E1449" s="5"/>
      <c r="F1449" s="4"/>
      <c r="G1449" s="6">
        <f>IF(A1449="","",SUBSTITUTE(SUBSTITUTE(SUBSTITUTE(SUBSTITUTE(SUBSTITUTE(SUBSTITUTE(SUBSTITUTE(TRIM(A1449),".",""),"/",""),"-","")," ",""),"(",""),")",""),"+",""))</f>
      </c>
      <c r="H1449" s="6">
        <f>IF(G1449="","",IF(LEN(G1449)&lt;&gt;14,"ERRO: "&amp;LEN(G1449)&amp;" dígitos",IF(NOT(ISNUMBER(VALUE(G1449))),"ERRO: não numérico",IF(AND(VALUE(MID(G1449,13,1))=IF(MOD(SUMPRODUCT(--MID(G1449,{1,2,3,4,5,6,7,8,9,10,11,12},1),{5,4,3,2,9,8,7,6,5,4,3,2}),11)&lt;2,0,11-MOD(SUMPRODUCT(--MID(G1449,{1,2,3,4,5,6,7,8,9,10,11,12},1),{5,4,3,2,9,8,7,6,5,4,3,2}),11)),VALUE(MID(G1449,14,1))=IF(MOD(SUMPRODUCT(--MID(G1449,{1,2,3,4,5,6,7,8,9,10,11,12,13},1),{6,5,4,3,2,9,8,7,6,5,4,3,2}),11)&lt;2,0,11-MOD(SUMPRODUCT(--MID(G1449,{1,2,3,4,5,6,7,8,9,10,11,12,13},1),{6,5,4,3,2,9,8,7,6,5,4,3,2}),11))),"OK","AVISO: dígito verificador (conferir na org)"))))</f>
      </c>
      <c r="I1449" s="6">
        <f>IF(G1449="","",IF(COUNTIF($G$2:$G$2001,G1449)&gt;1,"DUPLICADO","OK"))</f>
      </c>
      <c r="J1449" s="6">
        <f>IF(COUNTA(A1449:F1449)=0,"",IF(AND(A1449&lt;&gt;"",E1449&lt;&gt;""),"OK","ERRO: faltam "&amp;IF(A1449="","CNPJ; ","")&amp;IF(E1449="","Novo gerente; ","")))</f>
      </c>
      <c r="K1449" s="6">
        <f>IF(COUNTA(A1449:F1449)=0,"",IF(AND(LEFT(H1449,4)&lt;&gt;"ERRO",I1449="OK",J1449="OK"),"OK","REVISAR"))</f>
      </c>
    </row>
    <row r="1450">
      <c r="A1450" s="5"/>
      <c r="B1450" s="4"/>
      <c r="C1450" s="4"/>
      <c r="D1450" s="4"/>
      <c r="E1450" s="5"/>
      <c r="F1450" s="4"/>
      <c r="G1450" s="6">
        <f>IF(A1450="","",SUBSTITUTE(SUBSTITUTE(SUBSTITUTE(SUBSTITUTE(SUBSTITUTE(SUBSTITUTE(SUBSTITUTE(TRIM(A1450),".",""),"/",""),"-","")," ",""),"(",""),")",""),"+",""))</f>
      </c>
      <c r="H1450" s="6">
        <f>IF(G1450="","",IF(LEN(G1450)&lt;&gt;14,"ERRO: "&amp;LEN(G1450)&amp;" dígitos",IF(NOT(ISNUMBER(VALUE(G1450))),"ERRO: não numérico",IF(AND(VALUE(MID(G1450,13,1))=IF(MOD(SUMPRODUCT(--MID(G1450,{1,2,3,4,5,6,7,8,9,10,11,12},1),{5,4,3,2,9,8,7,6,5,4,3,2}),11)&lt;2,0,11-MOD(SUMPRODUCT(--MID(G1450,{1,2,3,4,5,6,7,8,9,10,11,12},1),{5,4,3,2,9,8,7,6,5,4,3,2}),11)),VALUE(MID(G1450,14,1))=IF(MOD(SUMPRODUCT(--MID(G1450,{1,2,3,4,5,6,7,8,9,10,11,12,13},1),{6,5,4,3,2,9,8,7,6,5,4,3,2}),11)&lt;2,0,11-MOD(SUMPRODUCT(--MID(G1450,{1,2,3,4,5,6,7,8,9,10,11,12,13},1),{6,5,4,3,2,9,8,7,6,5,4,3,2}),11))),"OK","AVISO: dígito verificador (conferir na org)"))))</f>
      </c>
      <c r="I1450" s="6">
        <f>IF(G1450="","",IF(COUNTIF($G$2:$G$2001,G1450)&gt;1,"DUPLICADO","OK"))</f>
      </c>
      <c r="J1450" s="6">
        <f>IF(COUNTA(A1450:F1450)=0,"",IF(AND(A1450&lt;&gt;"",E1450&lt;&gt;""),"OK","ERRO: faltam "&amp;IF(A1450="","CNPJ; ","")&amp;IF(E1450="","Novo gerente; ","")))</f>
      </c>
      <c r="K1450" s="6">
        <f>IF(COUNTA(A1450:F1450)=0,"",IF(AND(LEFT(H1450,4)&lt;&gt;"ERRO",I1450="OK",J1450="OK"),"OK","REVISAR"))</f>
      </c>
    </row>
    <row r="1451">
      <c r="A1451" s="5"/>
      <c r="B1451" s="4"/>
      <c r="C1451" s="4"/>
      <c r="D1451" s="4"/>
      <c r="E1451" s="5"/>
      <c r="F1451" s="4"/>
      <c r="G1451" s="6">
        <f>IF(A1451="","",SUBSTITUTE(SUBSTITUTE(SUBSTITUTE(SUBSTITUTE(SUBSTITUTE(SUBSTITUTE(SUBSTITUTE(TRIM(A1451),".",""),"/",""),"-","")," ",""),"(",""),")",""),"+",""))</f>
      </c>
      <c r="H1451" s="6">
        <f>IF(G1451="","",IF(LEN(G1451)&lt;&gt;14,"ERRO: "&amp;LEN(G1451)&amp;" dígitos",IF(NOT(ISNUMBER(VALUE(G1451))),"ERRO: não numérico",IF(AND(VALUE(MID(G1451,13,1))=IF(MOD(SUMPRODUCT(--MID(G1451,{1,2,3,4,5,6,7,8,9,10,11,12},1),{5,4,3,2,9,8,7,6,5,4,3,2}),11)&lt;2,0,11-MOD(SUMPRODUCT(--MID(G1451,{1,2,3,4,5,6,7,8,9,10,11,12},1),{5,4,3,2,9,8,7,6,5,4,3,2}),11)),VALUE(MID(G1451,14,1))=IF(MOD(SUMPRODUCT(--MID(G1451,{1,2,3,4,5,6,7,8,9,10,11,12,13},1),{6,5,4,3,2,9,8,7,6,5,4,3,2}),11)&lt;2,0,11-MOD(SUMPRODUCT(--MID(G1451,{1,2,3,4,5,6,7,8,9,10,11,12,13},1),{6,5,4,3,2,9,8,7,6,5,4,3,2}),11))),"OK","AVISO: dígito verificador (conferir na org)"))))</f>
      </c>
      <c r="I1451" s="6">
        <f>IF(G1451="","",IF(COUNTIF($G$2:$G$2001,G1451)&gt;1,"DUPLICADO","OK"))</f>
      </c>
      <c r="J1451" s="6">
        <f>IF(COUNTA(A1451:F1451)=0,"",IF(AND(A1451&lt;&gt;"",E1451&lt;&gt;""),"OK","ERRO: faltam "&amp;IF(A1451="","CNPJ; ","")&amp;IF(E1451="","Novo gerente; ","")))</f>
      </c>
      <c r="K1451" s="6">
        <f>IF(COUNTA(A1451:F1451)=0,"",IF(AND(LEFT(H1451,4)&lt;&gt;"ERRO",I1451="OK",J1451="OK"),"OK","REVISAR"))</f>
      </c>
    </row>
    <row r="1452">
      <c r="A1452" s="5"/>
      <c r="B1452" s="4"/>
      <c r="C1452" s="4"/>
      <c r="D1452" s="4"/>
      <c r="E1452" s="5"/>
      <c r="F1452" s="4"/>
      <c r="G1452" s="6">
        <f>IF(A1452="","",SUBSTITUTE(SUBSTITUTE(SUBSTITUTE(SUBSTITUTE(SUBSTITUTE(SUBSTITUTE(SUBSTITUTE(TRIM(A1452),".",""),"/",""),"-","")," ",""),"(",""),")",""),"+",""))</f>
      </c>
      <c r="H1452" s="6">
        <f>IF(G1452="","",IF(LEN(G1452)&lt;&gt;14,"ERRO: "&amp;LEN(G1452)&amp;" dígitos",IF(NOT(ISNUMBER(VALUE(G1452))),"ERRO: não numérico",IF(AND(VALUE(MID(G1452,13,1))=IF(MOD(SUMPRODUCT(--MID(G1452,{1,2,3,4,5,6,7,8,9,10,11,12},1),{5,4,3,2,9,8,7,6,5,4,3,2}),11)&lt;2,0,11-MOD(SUMPRODUCT(--MID(G1452,{1,2,3,4,5,6,7,8,9,10,11,12},1),{5,4,3,2,9,8,7,6,5,4,3,2}),11)),VALUE(MID(G1452,14,1))=IF(MOD(SUMPRODUCT(--MID(G1452,{1,2,3,4,5,6,7,8,9,10,11,12,13},1),{6,5,4,3,2,9,8,7,6,5,4,3,2}),11)&lt;2,0,11-MOD(SUMPRODUCT(--MID(G1452,{1,2,3,4,5,6,7,8,9,10,11,12,13},1),{6,5,4,3,2,9,8,7,6,5,4,3,2}),11))),"OK","AVISO: dígito verificador (conferir na org)"))))</f>
      </c>
      <c r="I1452" s="6">
        <f>IF(G1452="","",IF(COUNTIF($G$2:$G$2001,G1452)&gt;1,"DUPLICADO","OK"))</f>
      </c>
      <c r="J1452" s="6">
        <f>IF(COUNTA(A1452:F1452)=0,"",IF(AND(A1452&lt;&gt;"",E1452&lt;&gt;""),"OK","ERRO: faltam "&amp;IF(A1452="","CNPJ; ","")&amp;IF(E1452="","Novo gerente; ","")))</f>
      </c>
      <c r="K1452" s="6">
        <f>IF(COUNTA(A1452:F1452)=0,"",IF(AND(LEFT(H1452,4)&lt;&gt;"ERRO",I1452="OK",J1452="OK"),"OK","REVISAR"))</f>
      </c>
    </row>
    <row r="1453">
      <c r="A1453" s="5"/>
      <c r="B1453" s="4"/>
      <c r="C1453" s="4"/>
      <c r="D1453" s="4"/>
      <c r="E1453" s="5"/>
      <c r="F1453" s="4"/>
      <c r="G1453" s="6">
        <f>IF(A1453="","",SUBSTITUTE(SUBSTITUTE(SUBSTITUTE(SUBSTITUTE(SUBSTITUTE(SUBSTITUTE(SUBSTITUTE(TRIM(A1453),".",""),"/",""),"-","")," ",""),"(",""),")",""),"+",""))</f>
      </c>
      <c r="H1453" s="6">
        <f>IF(G1453="","",IF(LEN(G1453)&lt;&gt;14,"ERRO: "&amp;LEN(G1453)&amp;" dígitos",IF(NOT(ISNUMBER(VALUE(G1453))),"ERRO: não numérico",IF(AND(VALUE(MID(G1453,13,1))=IF(MOD(SUMPRODUCT(--MID(G1453,{1,2,3,4,5,6,7,8,9,10,11,12},1),{5,4,3,2,9,8,7,6,5,4,3,2}),11)&lt;2,0,11-MOD(SUMPRODUCT(--MID(G1453,{1,2,3,4,5,6,7,8,9,10,11,12},1),{5,4,3,2,9,8,7,6,5,4,3,2}),11)),VALUE(MID(G1453,14,1))=IF(MOD(SUMPRODUCT(--MID(G1453,{1,2,3,4,5,6,7,8,9,10,11,12,13},1),{6,5,4,3,2,9,8,7,6,5,4,3,2}),11)&lt;2,0,11-MOD(SUMPRODUCT(--MID(G1453,{1,2,3,4,5,6,7,8,9,10,11,12,13},1),{6,5,4,3,2,9,8,7,6,5,4,3,2}),11))),"OK","AVISO: dígito verificador (conferir na org)"))))</f>
      </c>
      <c r="I1453" s="6">
        <f>IF(G1453="","",IF(COUNTIF($G$2:$G$2001,G1453)&gt;1,"DUPLICADO","OK"))</f>
      </c>
      <c r="J1453" s="6">
        <f>IF(COUNTA(A1453:F1453)=0,"",IF(AND(A1453&lt;&gt;"",E1453&lt;&gt;""),"OK","ERRO: faltam "&amp;IF(A1453="","CNPJ; ","")&amp;IF(E1453="","Novo gerente; ","")))</f>
      </c>
      <c r="K1453" s="6">
        <f>IF(COUNTA(A1453:F1453)=0,"",IF(AND(LEFT(H1453,4)&lt;&gt;"ERRO",I1453="OK",J1453="OK"),"OK","REVISAR"))</f>
      </c>
    </row>
    <row r="1454">
      <c r="A1454" s="5"/>
      <c r="B1454" s="4"/>
      <c r="C1454" s="4"/>
      <c r="D1454" s="4"/>
      <c r="E1454" s="5"/>
      <c r="F1454" s="4"/>
      <c r="G1454" s="6">
        <f>IF(A1454="","",SUBSTITUTE(SUBSTITUTE(SUBSTITUTE(SUBSTITUTE(SUBSTITUTE(SUBSTITUTE(SUBSTITUTE(TRIM(A1454),".",""),"/",""),"-","")," ",""),"(",""),")",""),"+",""))</f>
      </c>
      <c r="H1454" s="6">
        <f>IF(G1454="","",IF(LEN(G1454)&lt;&gt;14,"ERRO: "&amp;LEN(G1454)&amp;" dígitos",IF(NOT(ISNUMBER(VALUE(G1454))),"ERRO: não numérico",IF(AND(VALUE(MID(G1454,13,1))=IF(MOD(SUMPRODUCT(--MID(G1454,{1,2,3,4,5,6,7,8,9,10,11,12},1),{5,4,3,2,9,8,7,6,5,4,3,2}),11)&lt;2,0,11-MOD(SUMPRODUCT(--MID(G1454,{1,2,3,4,5,6,7,8,9,10,11,12},1),{5,4,3,2,9,8,7,6,5,4,3,2}),11)),VALUE(MID(G1454,14,1))=IF(MOD(SUMPRODUCT(--MID(G1454,{1,2,3,4,5,6,7,8,9,10,11,12,13},1),{6,5,4,3,2,9,8,7,6,5,4,3,2}),11)&lt;2,0,11-MOD(SUMPRODUCT(--MID(G1454,{1,2,3,4,5,6,7,8,9,10,11,12,13},1),{6,5,4,3,2,9,8,7,6,5,4,3,2}),11))),"OK","AVISO: dígito verificador (conferir na org)"))))</f>
      </c>
      <c r="I1454" s="6">
        <f>IF(G1454="","",IF(COUNTIF($G$2:$G$2001,G1454)&gt;1,"DUPLICADO","OK"))</f>
      </c>
      <c r="J1454" s="6">
        <f>IF(COUNTA(A1454:F1454)=0,"",IF(AND(A1454&lt;&gt;"",E1454&lt;&gt;""),"OK","ERRO: faltam "&amp;IF(A1454="","CNPJ; ","")&amp;IF(E1454="","Novo gerente; ","")))</f>
      </c>
      <c r="K1454" s="6">
        <f>IF(COUNTA(A1454:F1454)=0,"",IF(AND(LEFT(H1454,4)&lt;&gt;"ERRO",I1454="OK",J1454="OK"),"OK","REVISAR"))</f>
      </c>
    </row>
    <row r="1455">
      <c r="A1455" s="5"/>
      <c r="B1455" s="4"/>
      <c r="C1455" s="4"/>
      <c r="D1455" s="4"/>
      <c r="E1455" s="5"/>
      <c r="F1455" s="4"/>
      <c r="G1455" s="6">
        <f>IF(A1455="","",SUBSTITUTE(SUBSTITUTE(SUBSTITUTE(SUBSTITUTE(SUBSTITUTE(SUBSTITUTE(SUBSTITUTE(TRIM(A1455),".",""),"/",""),"-","")," ",""),"(",""),")",""),"+",""))</f>
      </c>
      <c r="H1455" s="6">
        <f>IF(G1455="","",IF(LEN(G1455)&lt;&gt;14,"ERRO: "&amp;LEN(G1455)&amp;" dígitos",IF(NOT(ISNUMBER(VALUE(G1455))),"ERRO: não numérico",IF(AND(VALUE(MID(G1455,13,1))=IF(MOD(SUMPRODUCT(--MID(G1455,{1,2,3,4,5,6,7,8,9,10,11,12},1),{5,4,3,2,9,8,7,6,5,4,3,2}),11)&lt;2,0,11-MOD(SUMPRODUCT(--MID(G1455,{1,2,3,4,5,6,7,8,9,10,11,12},1),{5,4,3,2,9,8,7,6,5,4,3,2}),11)),VALUE(MID(G1455,14,1))=IF(MOD(SUMPRODUCT(--MID(G1455,{1,2,3,4,5,6,7,8,9,10,11,12,13},1),{6,5,4,3,2,9,8,7,6,5,4,3,2}),11)&lt;2,0,11-MOD(SUMPRODUCT(--MID(G1455,{1,2,3,4,5,6,7,8,9,10,11,12,13},1),{6,5,4,3,2,9,8,7,6,5,4,3,2}),11))),"OK","AVISO: dígito verificador (conferir na org)"))))</f>
      </c>
      <c r="I1455" s="6">
        <f>IF(G1455="","",IF(COUNTIF($G$2:$G$2001,G1455)&gt;1,"DUPLICADO","OK"))</f>
      </c>
      <c r="J1455" s="6">
        <f>IF(COUNTA(A1455:F1455)=0,"",IF(AND(A1455&lt;&gt;"",E1455&lt;&gt;""),"OK","ERRO: faltam "&amp;IF(A1455="","CNPJ; ","")&amp;IF(E1455="","Novo gerente; ","")))</f>
      </c>
      <c r="K1455" s="6">
        <f>IF(COUNTA(A1455:F1455)=0,"",IF(AND(LEFT(H1455,4)&lt;&gt;"ERRO",I1455="OK",J1455="OK"),"OK","REVISAR"))</f>
      </c>
    </row>
    <row r="1456">
      <c r="A1456" s="5"/>
      <c r="B1456" s="4"/>
      <c r="C1456" s="4"/>
      <c r="D1456" s="4"/>
      <c r="E1456" s="5"/>
      <c r="F1456" s="4"/>
      <c r="G1456" s="6">
        <f>IF(A1456="","",SUBSTITUTE(SUBSTITUTE(SUBSTITUTE(SUBSTITUTE(SUBSTITUTE(SUBSTITUTE(SUBSTITUTE(TRIM(A1456),".",""),"/",""),"-","")," ",""),"(",""),")",""),"+",""))</f>
      </c>
      <c r="H1456" s="6">
        <f>IF(G1456="","",IF(LEN(G1456)&lt;&gt;14,"ERRO: "&amp;LEN(G1456)&amp;" dígitos",IF(NOT(ISNUMBER(VALUE(G1456))),"ERRO: não numérico",IF(AND(VALUE(MID(G1456,13,1))=IF(MOD(SUMPRODUCT(--MID(G1456,{1,2,3,4,5,6,7,8,9,10,11,12},1),{5,4,3,2,9,8,7,6,5,4,3,2}),11)&lt;2,0,11-MOD(SUMPRODUCT(--MID(G1456,{1,2,3,4,5,6,7,8,9,10,11,12},1),{5,4,3,2,9,8,7,6,5,4,3,2}),11)),VALUE(MID(G1456,14,1))=IF(MOD(SUMPRODUCT(--MID(G1456,{1,2,3,4,5,6,7,8,9,10,11,12,13},1),{6,5,4,3,2,9,8,7,6,5,4,3,2}),11)&lt;2,0,11-MOD(SUMPRODUCT(--MID(G1456,{1,2,3,4,5,6,7,8,9,10,11,12,13},1),{6,5,4,3,2,9,8,7,6,5,4,3,2}),11))),"OK","AVISO: dígito verificador (conferir na org)"))))</f>
      </c>
      <c r="I1456" s="6">
        <f>IF(G1456="","",IF(COUNTIF($G$2:$G$2001,G1456)&gt;1,"DUPLICADO","OK"))</f>
      </c>
      <c r="J1456" s="6">
        <f>IF(COUNTA(A1456:F1456)=0,"",IF(AND(A1456&lt;&gt;"",E1456&lt;&gt;""),"OK","ERRO: faltam "&amp;IF(A1456="","CNPJ; ","")&amp;IF(E1456="","Novo gerente; ","")))</f>
      </c>
      <c r="K1456" s="6">
        <f>IF(COUNTA(A1456:F1456)=0,"",IF(AND(LEFT(H1456,4)&lt;&gt;"ERRO",I1456="OK",J1456="OK"),"OK","REVISAR"))</f>
      </c>
    </row>
    <row r="1457">
      <c r="A1457" s="5"/>
      <c r="B1457" s="4"/>
      <c r="C1457" s="4"/>
      <c r="D1457" s="4"/>
      <c r="E1457" s="5"/>
      <c r="F1457" s="4"/>
      <c r="G1457" s="6">
        <f>IF(A1457="","",SUBSTITUTE(SUBSTITUTE(SUBSTITUTE(SUBSTITUTE(SUBSTITUTE(SUBSTITUTE(SUBSTITUTE(TRIM(A1457),".",""),"/",""),"-","")," ",""),"(",""),")",""),"+",""))</f>
      </c>
      <c r="H1457" s="6">
        <f>IF(G1457="","",IF(LEN(G1457)&lt;&gt;14,"ERRO: "&amp;LEN(G1457)&amp;" dígitos",IF(NOT(ISNUMBER(VALUE(G1457))),"ERRO: não numérico",IF(AND(VALUE(MID(G1457,13,1))=IF(MOD(SUMPRODUCT(--MID(G1457,{1,2,3,4,5,6,7,8,9,10,11,12},1),{5,4,3,2,9,8,7,6,5,4,3,2}),11)&lt;2,0,11-MOD(SUMPRODUCT(--MID(G1457,{1,2,3,4,5,6,7,8,9,10,11,12},1),{5,4,3,2,9,8,7,6,5,4,3,2}),11)),VALUE(MID(G1457,14,1))=IF(MOD(SUMPRODUCT(--MID(G1457,{1,2,3,4,5,6,7,8,9,10,11,12,13},1),{6,5,4,3,2,9,8,7,6,5,4,3,2}),11)&lt;2,0,11-MOD(SUMPRODUCT(--MID(G1457,{1,2,3,4,5,6,7,8,9,10,11,12,13},1),{6,5,4,3,2,9,8,7,6,5,4,3,2}),11))),"OK","AVISO: dígito verificador (conferir na org)"))))</f>
      </c>
      <c r="I1457" s="6">
        <f>IF(G1457="","",IF(COUNTIF($G$2:$G$2001,G1457)&gt;1,"DUPLICADO","OK"))</f>
      </c>
      <c r="J1457" s="6">
        <f>IF(COUNTA(A1457:F1457)=0,"",IF(AND(A1457&lt;&gt;"",E1457&lt;&gt;""),"OK","ERRO: faltam "&amp;IF(A1457="","CNPJ; ","")&amp;IF(E1457="","Novo gerente; ","")))</f>
      </c>
      <c r="K1457" s="6">
        <f>IF(COUNTA(A1457:F1457)=0,"",IF(AND(LEFT(H1457,4)&lt;&gt;"ERRO",I1457="OK",J1457="OK"),"OK","REVISAR"))</f>
      </c>
    </row>
    <row r="1458">
      <c r="A1458" s="5"/>
      <c r="B1458" s="4"/>
      <c r="C1458" s="4"/>
      <c r="D1458" s="4"/>
      <c r="E1458" s="5"/>
      <c r="F1458" s="4"/>
      <c r="G1458" s="6">
        <f>IF(A1458="","",SUBSTITUTE(SUBSTITUTE(SUBSTITUTE(SUBSTITUTE(SUBSTITUTE(SUBSTITUTE(SUBSTITUTE(TRIM(A1458),".",""),"/",""),"-","")," ",""),"(",""),")",""),"+",""))</f>
      </c>
      <c r="H1458" s="6">
        <f>IF(G1458="","",IF(LEN(G1458)&lt;&gt;14,"ERRO: "&amp;LEN(G1458)&amp;" dígitos",IF(NOT(ISNUMBER(VALUE(G1458))),"ERRO: não numérico",IF(AND(VALUE(MID(G1458,13,1))=IF(MOD(SUMPRODUCT(--MID(G1458,{1,2,3,4,5,6,7,8,9,10,11,12},1),{5,4,3,2,9,8,7,6,5,4,3,2}),11)&lt;2,0,11-MOD(SUMPRODUCT(--MID(G1458,{1,2,3,4,5,6,7,8,9,10,11,12},1),{5,4,3,2,9,8,7,6,5,4,3,2}),11)),VALUE(MID(G1458,14,1))=IF(MOD(SUMPRODUCT(--MID(G1458,{1,2,3,4,5,6,7,8,9,10,11,12,13},1),{6,5,4,3,2,9,8,7,6,5,4,3,2}),11)&lt;2,0,11-MOD(SUMPRODUCT(--MID(G1458,{1,2,3,4,5,6,7,8,9,10,11,12,13},1),{6,5,4,3,2,9,8,7,6,5,4,3,2}),11))),"OK","AVISO: dígito verificador (conferir na org)"))))</f>
      </c>
      <c r="I1458" s="6">
        <f>IF(G1458="","",IF(COUNTIF($G$2:$G$2001,G1458)&gt;1,"DUPLICADO","OK"))</f>
      </c>
      <c r="J1458" s="6">
        <f>IF(COUNTA(A1458:F1458)=0,"",IF(AND(A1458&lt;&gt;"",E1458&lt;&gt;""),"OK","ERRO: faltam "&amp;IF(A1458="","CNPJ; ","")&amp;IF(E1458="","Novo gerente; ","")))</f>
      </c>
      <c r="K1458" s="6">
        <f>IF(COUNTA(A1458:F1458)=0,"",IF(AND(LEFT(H1458,4)&lt;&gt;"ERRO",I1458="OK",J1458="OK"),"OK","REVISAR"))</f>
      </c>
    </row>
    <row r="1459">
      <c r="A1459" s="5"/>
      <c r="B1459" s="4"/>
      <c r="C1459" s="4"/>
      <c r="D1459" s="4"/>
      <c r="E1459" s="5"/>
      <c r="F1459" s="4"/>
      <c r="G1459" s="6">
        <f>IF(A1459="","",SUBSTITUTE(SUBSTITUTE(SUBSTITUTE(SUBSTITUTE(SUBSTITUTE(SUBSTITUTE(SUBSTITUTE(TRIM(A1459),".",""),"/",""),"-","")," ",""),"(",""),")",""),"+",""))</f>
      </c>
      <c r="H1459" s="6">
        <f>IF(G1459="","",IF(LEN(G1459)&lt;&gt;14,"ERRO: "&amp;LEN(G1459)&amp;" dígitos",IF(NOT(ISNUMBER(VALUE(G1459))),"ERRO: não numérico",IF(AND(VALUE(MID(G1459,13,1))=IF(MOD(SUMPRODUCT(--MID(G1459,{1,2,3,4,5,6,7,8,9,10,11,12},1),{5,4,3,2,9,8,7,6,5,4,3,2}),11)&lt;2,0,11-MOD(SUMPRODUCT(--MID(G1459,{1,2,3,4,5,6,7,8,9,10,11,12},1),{5,4,3,2,9,8,7,6,5,4,3,2}),11)),VALUE(MID(G1459,14,1))=IF(MOD(SUMPRODUCT(--MID(G1459,{1,2,3,4,5,6,7,8,9,10,11,12,13},1),{6,5,4,3,2,9,8,7,6,5,4,3,2}),11)&lt;2,0,11-MOD(SUMPRODUCT(--MID(G1459,{1,2,3,4,5,6,7,8,9,10,11,12,13},1),{6,5,4,3,2,9,8,7,6,5,4,3,2}),11))),"OK","AVISO: dígito verificador (conferir na org)"))))</f>
      </c>
      <c r="I1459" s="6">
        <f>IF(G1459="","",IF(COUNTIF($G$2:$G$2001,G1459)&gt;1,"DUPLICADO","OK"))</f>
      </c>
      <c r="J1459" s="6">
        <f>IF(COUNTA(A1459:F1459)=0,"",IF(AND(A1459&lt;&gt;"",E1459&lt;&gt;""),"OK","ERRO: faltam "&amp;IF(A1459="","CNPJ; ","")&amp;IF(E1459="","Novo gerente; ","")))</f>
      </c>
      <c r="K1459" s="6">
        <f>IF(COUNTA(A1459:F1459)=0,"",IF(AND(LEFT(H1459,4)&lt;&gt;"ERRO",I1459="OK",J1459="OK"),"OK","REVISAR"))</f>
      </c>
    </row>
    <row r="1460">
      <c r="A1460" s="5"/>
      <c r="B1460" s="4"/>
      <c r="C1460" s="4"/>
      <c r="D1460" s="4"/>
      <c r="E1460" s="5"/>
      <c r="F1460" s="4"/>
      <c r="G1460" s="6">
        <f>IF(A1460="","",SUBSTITUTE(SUBSTITUTE(SUBSTITUTE(SUBSTITUTE(SUBSTITUTE(SUBSTITUTE(SUBSTITUTE(TRIM(A1460),".",""),"/",""),"-","")," ",""),"(",""),")",""),"+",""))</f>
      </c>
      <c r="H1460" s="6">
        <f>IF(G1460="","",IF(LEN(G1460)&lt;&gt;14,"ERRO: "&amp;LEN(G1460)&amp;" dígitos",IF(NOT(ISNUMBER(VALUE(G1460))),"ERRO: não numérico",IF(AND(VALUE(MID(G1460,13,1))=IF(MOD(SUMPRODUCT(--MID(G1460,{1,2,3,4,5,6,7,8,9,10,11,12},1),{5,4,3,2,9,8,7,6,5,4,3,2}),11)&lt;2,0,11-MOD(SUMPRODUCT(--MID(G1460,{1,2,3,4,5,6,7,8,9,10,11,12},1),{5,4,3,2,9,8,7,6,5,4,3,2}),11)),VALUE(MID(G1460,14,1))=IF(MOD(SUMPRODUCT(--MID(G1460,{1,2,3,4,5,6,7,8,9,10,11,12,13},1),{6,5,4,3,2,9,8,7,6,5,4,3,2}),11)&lt;2,0,11-MOD(SUMPRODUCT(--MID(G1460,{1,2,3,4,5,6,7,8,9,10,11,12,13},1),{6,5,4,3,2,9,8,7,6,5,4,3,2}),11))),"OK","AVISO: dígito verificador (conferir na org)"))))</f>
      </c>
      <c r="I1460" s="6">
        <f>IF(G1460="","",IF(COUNTIF($G$2:$G$2001,G1460)&gt;1,"DUPLICADO","OK"))</f>
      </c>
      <c r="J1460" s="6">
        <f>IF(COUNTA(A1460:F1460)=0,"",IF(AND(A1460&lt;&gt;"",E1460&lt;&gt;""),"OK","ERRO: faltam "&amp;IF(A1460="","CNPJ; ","")&amp;IF(E1460="","Novo gerente; ","")))</f>
      </c>
      <c r="K1460" s="6">
        <f>IF(COUNTA(A1460:F1460)=0,"",IF(AND(LEFT(H1460,4)&lt;&gt;"ERRO",I1460="OK",J1460="OK"),"OK","REVISAR"))</f>
      </c>
    </row>
    <row r="1461">
      <c r="A1461" s="5"/>
      <c r="B1461" s="4"/>
      <c r="C1461" s="4"/>
      <c r="D1461" s="4"/>
      <c r="E1461" s="5"/>
      <c r="F1461" s="4"/>
      <c r="G1461" s="6">
        <f>IF(A1461="","",SUBSTITUTE(SUBSTITUTE(SUBSTITUTE(SUBSTITUTE(SUBSTITUTE(SUBSTITUTE(SUBSTITUTE(TRIM(A1461),".",""),"/",""),"-","")," ",""),"(",""),")",""),"+",""))</f>
      </c>
      <c r="H1461" s="6">
        <f>IF(G1461="","",IF(LEN(G1461)&lt;&gt;14,"ERRO: "&amp;LEN(G1461)&amp;" dígitos",IF(NOT(ISNUMBER(VALUE(G1461))),"ERRO: não numérico",IF(AND(VALUE(MID(G1461,13,1))=IF(MOD(SUMPRODUCT(--MID(G1461,{1,2,3,4,5,6,7,8,9,10,11,12},1),{5,4,3,2,9,8,7,6,5,4,3,2}),11)&lt;2,0,11-MOD(SUMPRODUCT(--MID(G1461,{1,2,3,4,5,6,7,8,9,10,11,12},1),{5,4,3,2,9,8,7,6,5,4,3,2}),11)),VALUE(MID(G1461,14,1))=IF(MOD(SUMPRODUCT(--MID(G1461,{1,2,3,4,5,6,7,8,9,10,11,12,13},1),{6,5,4,3,2,9,8,7,6,5,4,3,2}),11)&lt;2,0,11-MOD(SUMPRODUCT(--MID(G1461,{1,2,3,4,5,6,7,8,9,10,11,12,13},1),{6,5,4,3,2,9,8,7,6,5,4,3,2}),11))),"OK","AVISO: dígito verificador (conferir na org)"))))</f>
      </c>
      <c r="I1461" s="6">
        <f>IF(G1461="","",IF(COUNTIF($G$2:$G$2001,G1461)&gt;1,"DUPLICADO","OK"))</f>
      </c>
      <c r="J1461" s="6">
        <f>IF(COUNTA(A1461:F1461)=0,"",IF(AND(A1461&lt;&gt;"",E1461&lt;&gt;""),"OK","ERRO: faltam "&amp;IF(A1461="","CNPJ; ","")&amp;IF(E1461="","Novo gerente; ","")))</f>
      </c>
      <c r="K1461" s="6">
        <f>IF(COUNTA(A1461:F1461)=0,"",IF(AND(LEFT(H1461,4)&lt;&gt;"ERRO",I1461="OK",J1461="OK"),"OK","REVISAR"))</f>
      </c>
    </row>
    <row r="1462">
      <c r="A1462" s="5"/>
      <c r="B1462" s="4"/>
      <c r="C1462" s="4"/>
      <c r="D1462" s="4"/>
      <c r="E1462" s="5"/>
      <c r="F1462" s="4"/>
      <c r="G1462" s="6">
        <f>IF(A1462="","",SUBSTITUTE(SUBSTITUTE(SUBSTITUTE(SUBSTITUTE(SUBSTITUTE(SUBSTITUTE(SUBSTITUTE(TRIM(A1462),".",""),"/",""),"-","")," ",""),"(",""),")",""),"+",""))</f>
      </c>
      <c r="H1462" s="6">
        <f>IF(G1462="","",IF(LEN(G1462)&lt;&gt;14,"ERRO: "&amp;LEN(G1462)&amp;" dígitos",IF(NOT(ISNUMBER(VALUE(G1462))),"ERRO: não numérico",IF(AND(VALUE(MID(G1462,13,1))=IF(MOD(SUMPRODUCT(--MID(G1462,{1,2,3,4,5,6,7,8,9,10,11,12},1),{5,4,3,2,9,8,7,6,5,4,3,2}),11)&lt;2,0,11-MOD(SUMPRODUCT(--MID(G1462,{1,2,3,4,5,6,7,8,9,10,11,12},1),{5,4,3,2,9,8,7,6,5,4,3,2}),11)),VALUE(MID(G1462,14,1))=IF(MOD(SUMPRODUCT(--MID(G1462,{1,2,3,4,5,6,7,8,9,10,11,12,13},1),{6,5,4,3,2,9,8,7,6,5,4,3,2}),11)&lt;2,0,11-MOD(SUMPRODUCT(--MID(G1462,{1,2,3,4,5,6,7,8,9,10,11,12,13},1),{6,5,4,3,2,9,8,7,6,5,4,3,2}),11))),"OK","AVISO: dígito verificador (conferir na org)"))))</f>
      </c>
      <c r="I1462" s="6">
        <f>IF(G1462="","",IF(COUNTIF($G$2:$G$2001,G1462)&gt;1,"DUPLICADO","OK"))</f>
      </c>
      <c r="J1462" s="6">
        <f>IF(COUNTA(A1462:F1462)=0,"",IF(AND(A1462&lt;&gt;"",E1462&lt;&gt;""),"OK","ERRO: faltam "&amp;IF(A1462="","CNPJ; ","")&amp;IF(E1462="","Novo gerente; ","")))</f>
      </c>
      <c r="K1462" s="6">
        <f>IF(COUNTA(A1462:F1462)=0,"",IF(AND(LEFT(H1462,4)&lt;&gt;"ERRO",I1462="OK",J1462="OK"),"OK","REVISAR"))</f>
      </c>
    </row>
    <row r="1463">
      <c r="A1463" s="5"/>
      <c r="B1463" s="4"/>
      <c r="C1463" s="4"/>
      <c r="D1463" s="4"/>
      <c r="E1463" s="5"/>
      <c r="F1463" s="4"/>
      <c r="G1463" s="6">
        <f>IF(A1463="","",SUBSTITUTE(SUBSTITUTE(SUBSTITUTE(SUBSTITUTE(SUBSTITUTE(SUBSTITUTE(SUBSTITUTE(TRIM(A1463),".",""),"/",""),"-","")," ",""),"(",""),")",""),"+",""))</f>
      </c>
      <c r="H1463" s="6">
        <f>IF(G1463="","",IF(LEN(G1463)&lt;&gt;14,"ERRO: "&amp;LEN(G1463)&amp;" dígitos",IF(NOT(ISNUMBER(VALUE(G1463))),"ERRO: não numérico",IF(AND(VALUE(MID(G1463,13,1))=IF(MOD(SUMPRODUCT(--MID(G1463,{1,2,3,4,5,6,7,8,9,10,11,12},1),{5,4,3,2,9,8,7,6,5,4,3,2}),11)&lt;2,0,11-MOD(SUMPRODUCT(--MID(G1463,{1,2,3,4,5,6,7,8,9,10,11,12},1),{5,4,3,2,9,8,7,6,5,4,3,2}),11)),VALUE(MID(G1463,14,1))=IF(MOD(SUMPRODUCT(--MID(G1463,{1,2,3,4,5,6,7,8,9,10,11,12,13},1),{6,5,4,3,2,9,8,7,6,5,4,3,2}),11)&lt;2,0,11-MOD(SUMPRODUCT(--MID(G1463,{1,2,3,4,5,6,7,8,9,10,11,12,13},1),{6,5,4,3,2,9,8,7,6,5,4,3,2}),11))),"OK","AVISO: dígito verificador (conferir na org)"))))</f>
      </c>
      <c r="I1463" s="6">
        <f>IF(G1463="","",IF(COUNTIF($G$2:$G$2001,G1463)&gt;1,"DUPLICADO","OK"))</f>
      </c>
      <c r="J1463" s="6">
        <f>IF(COUNTA(A1463:F1463)=0,"",IF(AND(A1463&lt;&gt;"",E1463&lt;&gt;""),"OK","ERRO: faltam "&amp;IF(A1463="","CNPJ; ","")&amp;IF(E1463="","Novo gerente; ","")))</f>
      </c>
      <c r="K1463" s="6">
        <f>IF(COUNTA(A1463:F1463)=0,"",IF(AND(LEFT(H1463,4)&lt;&gt;"ERRO",I1463="OK",J1463="OK"),"OK","REVISAR"))</f>
      </c>
    </row>
    <row r="1464">
      <c r="A1464" s="5"/>
      <c r="B1464" s="4"/>
      <c r="C1464" s="4"/>
      <c r="D1464" s="4"/>
      <c r="E1464" s="5"/>
      <c r="F1464" s="4"/>
      <c r="G1464" s="6">
        <f>IF(A1464="","",SUBSTITUTE(SUBSTITUTE(SUBSTITUTE(SUBSTITUTE(SUBSTITUTE(SUBSTITUTE(SUBSTITUTE(TRIM(A1464),".",""),"/",""),"-","")," ",""),"(",""),")",""),"+",""))</f>
      </c>
      <c r="H1464" s="6">
        <f>IF(G1464="","",IF(LEN(G1464)&lt;&gt;14,"ERRO: "&amp;LEN(G1464)&amp;" dígitos",IF(NOT(ISNUMBER(VALUE(G1464))),"ERRO: não numérico",IF(AND(VALUE(MID(G1464,13,1))=IF(MOD(SUMPRODUCT(--MID(G1464,{1,2,3,4,5,6,7,8,9,10,11,12},1),{5,4,3,2,9,8,7,6,5,4,3,2}),11)&lt;2,0,11-MOD(SUMPRODUCT(--MID(G1464,{1,2,3,4,5,6,7,8,9,10,11,12},1),{5,4,3,2,9,8,7,6,5,4,3,2}),11)),VALUE(MID(G1464,14,1))=IF(MOD(SUMPRODUCT(--MID(G1464,{1,2,3,4,5,6,7,8,9,10,11,12,13},1),{6,5,4,3,2,9,8,7,6,5,4,3,2}),11)&lt;2,0,11-MOD(SUMPRODUCT(--MID(G1464,{1,2,3,4,5,6,7,8,9,10,11,12,13},1),{6,5,4,3,2,9,8,7,6,5,4,3,2}),11))),"OK","AVISO: dígito verificador (conferir na org)"))))</f>
      </c>
      <c r="I1464" s="6">
        <f>IF(G1464="","",IF(COUNTIF($G$2:$G$2001,G1464)&gt;1,"DUPLICADO","OK"))</f>
      </c>
      <c r="J1464" s="6">
        <f>IF(COUNTA(A1464:F1464)=0,"",IF(AND(A1464&lt;&gt;"",E1464&lt;&gt;""),"OK","ERRO: faltam "&amp;IF(A1464="","CNPJ; ","")&amp;IF(E1464="","Novo gerente; ","")))</f>
      </c>
      <c r="K1464" s="6">
        <f>IF(COUNTA(A1464:F1464)=0,"",IF(AND(LEFT(H1464,4)&lt;&gt;"ERRO",I1464="OK",J1464="OK"),"OK","REVISAR"))</f>
      </c>
    </row>
    <row r="1465">
      <c r="A1465" s="5"/>
      <c r="B1465" s="4"/>
      <c r="C1465" s="4"/>
      <c r="D1465" s="4"/>
      <c r="E1465" s="5"/>
      <c r="F1465" s="4"/>
      <c r="G1465" s="6">
        <f>IF(A1465="","",SUBSTITUTE(SUBSTITUTE(SUBSTITUTE(SUBSTITUTE(SUBSTITUTE(SUBSTITUTE(SUBSTITUTE(TRIM(A1465),".",""),"/",""),"-","")," ",""),"(",""),")",""),"+",""))</f>
      </c>
      <c r="H1465" s="6">
        <f>IF(G1465="","",IF(LEN(G1465)&lt;&gt;14,"ERRO: "&amp;LEN(G1465)&amp;" dígitos",IF(NOT(ISNUMBER(VALUE(G1465))),"ERRO: não numérico",IF(AND(VALUE(MID(G1465,13,1))=IF(MOD(SUMPRODUCT(--MID(G1465,{1,2,3,4,5,6,7,8,9,10,11,12},1),{5,4,3,2,9,8,7,6,5,4,3,2}),11)&lt;2,0,11-MOD(SUMPRODUCT(--MID(G1465,{1,2,3,4,5,6,7,8,9,10,11,12},1),{5,4,3,2,9,8,7,6,5,4,3,2}),11)),VALUE(MID(G1465,14,1))=IF(MOD(SUMPRODUCT(--MID(G1465,{1,2,3,4,5,6,7,8,9,10,11,12,13},1),{6,5,4,3,2,9,8,7,6,5,4,3,2}),11)&lt;2,0,11-MOD(SUMPRODUCT(--MID(G1465,{1,2,3,4,5,6,7,8,9,10,11,12,13},1),{6,5,4,3,2,9,8,7,6,5,4,3,2}),11))),"OK","AVISO: dígito verificador (conferir na org)"))))</f>
      </c>
      <c r="I1465" s="6">
        <f>IF(G1465="","",IF(COUNTIF($G$2:$G$2001,G1465)&gt;1,"DUPLICADO","OK"))</f>
      </c>
      <c r="J1465" s="6">
        <f>IF(COUNTA(A1465:F1465)=0,"",IF(AND(A1465&lt;&gt;"",E1465&lt;&gt;""),"OK","ERRO: faltam "&amp;IF(A1465="","CNPJ; ","")&amp;IF(E1465="","Novo gerente; ","")))</f>
      </c>
      <c r="K1465" s="6">
        <f>IF(COUNTA(A1465:F1465)=0,"",IF(AND(LEFT(H1465,4)&lt;&gt;"ERRO",I1465="OK",J1465="OK"),"OK","REVISAR"))</f>
      </c>
    </row>
    <row r="1466">
      <c r="A1466" s="5"/>
      <c r="B1466" s="4"/>
      <c r="C1466" s="4"/>
      <c r="D1466" s="4"/>
      <c r="E1466" s="5"/>
      <c r="F1466" s="4"/>
      <c r="G1466" s="6">
        <f>IF(A1466="","",SUBSTITUTE(SUBSTITUTE(SUBSTITUTE(SUBSTITUTE(SUBSTITUTE(SUBSTITUTE(SUBSTITUTE(TRIM(A1466),".",""),"/",""),"-","")," ",""),"(",""),")",""),"+",""))</f>
      </c>
      <c r="H1466" s="6">
        <f>IF(G1466="","",IF(LEN(G1466)&lt;&gt;14,"ERRO: "&amp;LEN(G1466)&amp;" dígitos",IF(NOT(ISNUMBER(VALUE(G1466))),"ERRO: não numérico",IF(AND(VALUE(MID(G1466,13,1))=IF(MOD(SUMPRODUCT(--MID(G1466,{1,2,3,4,5,6,7,8,9,10,11,12},1),{5,4,3,2,9,8,7,6,5,4,3,2}),11)&lt;2,0,11-MOD(SUMPRODUCT(--MID(G1466,{1,2,3,4,5,6,7,8,9,10,11,12},1),{5,4,3,2,9,8,7,6,5,4,3,2}),11)),VALUE(MID(G1466,14,1))=IF(MOD(SUMPRODUCT(--MID(G1466,{1,2,3,4,5,6,7,8,9,10,11,12,13},1),{6,5,4,3,2,9,8,7,6,5,4,3,2}),11)&lt;2,0,11-MOD(SUMPRODUCT(--MID(G1466,{1,2,3,4,5,6,7,8,9,10,11,12,13},1),{6,5,4,3,2,9,8,7,6,5,4,3,2}),11))),"OK","AVISO: dígito verificador (conferir na org)"))))</f>
      </c>
      <c r="I1466" s="6">
        <f>IF(G1466="","",IF(COUNTIF($G$2:$G$2001,G1466)&gt;1,"DUPLICADO","OK"))</f>
      </c>
      <c r="J1466" s="6">
        <f>IF(COUNTA(A1466:F1466)=0,"",IF(AND(A1466&lt;&gt;"",E1466&lt;&gt;""),"OK","ERRO: faltam "&amp;IF(A1466="","CNPJ; ","")&amp;IF(E1466="","Novo gerente; ","")))</f>
      </c>
      <c r="K1466" s="6">
        <f>IF(COUNTA(A1466:F1466)=0,"",IF(AND(LEFT(H1466,4)&lt;&gt;"ERRO",I1466="OK",J1466="OK"),"OK","REVISAR"))</f>
      </c>
    </row>
    <row r="1467">
      <c r="A1467" s="5"/>
      <c r="B1467" s="4"/>
      <c r="C1467" s="4"/>
      <c r="D1467" s="4"/>
      <c r="E1467" s="5"/>
      <c r="F1467" s="4"/>
      <c r="G1467" s="6">
        <f>IF(A1467="","",SUBSTITUTE(SUBSTITUTE(SUBSTITUTE(SUBSTITUTE(SUBSTITUTE(SUBSTITUTE(SUBSTITUTE(TRIM(A1467),".",""),"/",""),"-","")," ",""),"(",""),")",""),"+",""))</f>
      </c>
      <c r="H1467" s="6">
        <f>IF(G1467="","",IF(LEN(G1467)&lt;&gt;14,"ERRO: "&amp;LEN(G1467)&amp;" dígitos",IF(NOT(ISNUMBER(VALUE(G1467))),"ERRO: não numérico",IF(AND(VALUE(MID(G1467,13,1))=IF(MOD(SUMPRODUCT(--MID(G1467,{1,2,3,4,5,6,7,8,9,10,11,12},1),{5,4,3,2,9,8,7,6,5,4,3,2}),11)&lt;2,0,11-MOD(SUMPRODUCT(--MID(G1467,{1,2,3,4,5,6,7,8,9,10,11,12},1),{5,4,3,2,9,8,7,6,5,4,3,2}),11)),VALUE(MID(G1467,14,1))=IF(MOD(SUMPRODUCT(--MID(G1467,{1,2,3,4,5,6,7,8,9,10,11,12,13},1),{6,5,4,3,2,9,8,7,6,5,4,3,2}),11)&lt;2,0,11-MOD(SUMPRODUCT(--MID(G1467,{1,2,3,4,5,6,7,8,9,10,11,12,13},1),{6,5,4,3,2,9,8,7,6,5,4,3,2}),11))),"OK","AVISO: dígito verificador (conferir na org)"))))</f>
      </c>
      <c r="I1467" s="6">
        <f>IF(G1467="","",IF(COUNTIF($G$2:$G$2001,G1467)&gt;1,"DUPLICADO","OK"))</f>
      </c>
      <c r="J1467" s="6">
        <f>IF(COUNTA(A1467:F1467)=0,"",IF(AND(A1467&lt;&gt;"",E1467&lt;&gt;""),"OK","ERRO: faltam "&amp;IF(A1467="","CNPJ; ","")&amp;IF(E1467="","Novo gerente; ","")))</f>
      </c>
      <c r="K1467" s="6">
        <f>IF(COUNTA(A1467:F1467)=0,"",IF(AND(LEFT(H1467,4)&lt;&gt;"ERRO",I1467="OK",J1467="OK"),"OK","REVISAR"))</f>
      </c>
    </row>
    <row r="1468">
      <c r="A1468" s="5"/>
      <c r="B1468" s="4"/>
      <c r="C1468" s="4"/>
      <c r="D1468" s="4"/>
      <c r="E1468" s="5"/>
      <c r="F1468" s="4"/>
      <c r="G1468" s="6">
        <f>IF(A1468="","",SUBSTITUTE(SUBSTITUTE(SUBSTITUTE(SUBSTITUTE(SUBSTITUTE(SUBSTITUTE(SUBSTITUTE(TRIM(A1468),".",""),"/",""),"-","")," ",""),"(",""),")",""),"+",""))</f>
      </c>
      <c r="H1468" s="6">
        <f>IF(G1468="","",IF(LEN(G1468)&lt;&gt;14,"ERRO: "&amp;LEN(G1468)&amp;" dígitos",IF(NOT(ISNUMBER(VALUE(G1468))),"ERRO: não numérico",IF(AND(VALUE(MID(G1468,13,1))=IF(MOD(SUMPRODUCT(--MID(G1468,{1,2,3,4,5,6,7,8,9,10,11,12},1),{5,4,3,2,9,8,7,6,5,4,3,2}),11)&lt;2,0,11-MOD(SUMPRODUCT(--MID(G1468,{1,2,3,4,5,6,7,8,9,10,11,12},1),{5,4,3,2,9,8,7,6,5,4,3,2}),11)),VALUE(MID(G1468,14,1))=IF(MOD(SUMPRODUCT(--MID(G1468,{1,2,3,4,5,6,7,8,9,10,11,12,13},1),{6,5,4,3,2,9,8,7,6,5,4,3,2}),11)&lt;2,0,11-MOD(SUMPRODUCT(--MID(G1468,{1,2,3,4,5,6,7,8,9,10,11,12,13},1),{6,5,4,3,2,9,8,7,6,5,4,3,2}),11))),"OK","AVISO: dígito verificador (conferir na org)"))))</f>
      </c>
      <c r="I1468" s="6">
        <f>IF(G1468="","",IF(COUNTIF($G$2:$G$2001,G1468)&gt;1,"DUPLICADO","OK"))</f>
      </c>
      <c r="J1468" s="6">
        <f>IF(COUNTA(A1468:F1468)=0,"",IF(AND(A1468&lt;&gt;"",E1468&lt;&gt;""),"OK","ERRO: faltam "&amp;IF(A1468="","CNPJ; ","")&amp;IF(E1468="","Novo gerente; ","")))</f>
      </c>
      <c r="K1468" s="6">
        <f>IF(COUNTA(A1468:F1468)=0,"",IF(AND(LEFT(H1468,4)&lt;&gt;"ERRO",I1468="OK",J1468="OK"),"OK","REVISAR"))</f>
      </c>
    </row>
    <row r="1469">
      <c r="A1469" s="5"/>
      <c r="B1469" s="4"/>
      <c r="C1469" s="4"/>
      <c r="D1469" s="4"/>
      <c r="E1469" s="5"/>
      <c r="F1469" s="4"/>
      <c r="G1469" s="6">
        <f>IF(A1469="","",SUBSTITUTE(SUBSTITUTE(SUBSTITUTE(SUBSTITUTE(SUBSTITUTE(SUBSTITUTE(SUBSTITUTE(TRIM(A1469),".",""),"/",""),"-","")," ",""),"(",""),")",""),"+",""))</f>
      </c>
      <c r="H1469" s="6">
        <f>IF(G1469="","",IF(LEN(G1469)&lt;&gt;14,"ERRO: "&amp;LEN(G1469)&amp;" dígitos",IF(NOT(ISNUMBER(VALUE(G1469))),"ERRO: não numérico",IF(AND(VALUE(MID(G1469,13,1))=IF(MOD(SUMPRODUCT(--MID(G1469,{1,2,3,4,5,6,7,8,9,10,11,12},1),{5,4,3,2,9,8,7,6,5,4,3,2}),11)&lt;2,0,11-MOD(SUMPRODUCT(--MID(G1469,{1,2,3,4,5,6,7,8,9,10,11,12},1),{5,4,3,2,9,8,7,6,5,4,3,2}),11)),VALUE(MID(G1469,14,1))=IF(MOD(SUMPRODUCT(--MID(G1469,{1,2,3,4,5,6,7,8,9,10,11,12,13},1),{6,5,4,3,2,9,8,7,6,5,4,3,2}),11)&lt;2,0,11-MOD(SUMPRODUCT(--MID(G1469,{1,2,3,4,5,6,7,8,9,10,11,12,13},1),{6,5,4,3,2,9,8,7,6,5,4,3,2}),11))),"OK","AVISO: dígito verificador (conferir na org)"))))</f>
      </c>
      <c r="I1469" s="6">
        <f>IF(G1469="","",IF(COUNTIF($G$2:$G$2001,G1469)&gt;1,"DUPLICADO","OK"))</f>
      </c>
      <c r="J1469" s="6">
        <f>IF(COUNTA(A1469:F1469)=0,"",IF(AND(A1469&lt;&gt;"",E1469&lt;&gt;""),"OK","ERRO: faltam "&amp;IF(A1469="","CNPJ; ","")&amp;IF(E1469="","Novo gerente; ","")))</f>
      </c>
      <c r="K1469" s="6">
        <f>IF(COUNTA(A1469:F1469)=0,"",IF(AND(LEFT(H1469,4)&lt;&gt;"ERRO",I1469="OK",J1469="OK"),"OK","REVISAR"))</f>
      </c>
    </row>
    <row r="1470">
      <c r="A1470" s="5"/>
      <c r="B1470" s="4"/>
      <c r="C1470" s="4"/>
      <c r="D1470" s="4"/>
      <c r="E1470" s="5"/>
      <c r="F1470" s="4"/>
      <c r="G1470" s="6">
        <f>IF(A1470="","",SUBSTITUTE(SUBSTITUTE(SUBSTITUTE(SUBSTITUTE(SUBSTITUTE(SUBSTITUTE(SUBSTITUTE(TRIM(A1470),".",""),"/",""),"-","")," ",""),"(",""),")",""),"+",""))</f>
      </c>
      <c r="H1470" s="6">
        <f>IF(G1470="","",IF(LEN(G1470)&lt;&gt;14,"ERRO: "&amp;LEN(G1470)&amp;" dígitos",IF(NOT(ISNUMBER(VALUE(G1470))),"ERRO: não numérico",IF(AND(VALUE(MID(G1470,13,1))=IF(MOD(SUMPRODUCT(--MID(G1470,{1,2,3,4,5,6,7,8,9,10,11,12},1),{5,4,3,2,9,8,7,6,5,4,3,2}),11)&lt;2,0,11-MOD(SUMPRODUCT(--MID(G1470,{1,2,3,4,5,6,7,8,9,10,11,12},1),{5,4,3,2,9,8,7,6,5,4,3,2}),11)),VALUE(MID(G1470,14,1))=IF(MOD(SUMPRODUCT(--MID(G1470,{1,2,3,4,5,6,7,8,9,10,11,12,13},1),{6,5,4,3,2,9,8,7,6,5,4,3,2}),11)&lt;2,0,11-MOD(SUMPRODUCT(--MID(G1470,{1,2,3,4,5,6,7,8,9,10,11,12,13},1),{6,5,4,3,2,9,8,7,6,5,4,3,2}),11))),"OK","AVISO: dígito verificador (conferir na org)"))))</f>
      </c>
      <c r="I1470" s="6">
        <f>IF(G1470="","",IF(COUNTIF($G$2:$G$2001,G1470)&gt;1,"DUPLICADO","OK"))</f>
      </c>
      <c r="J1470" s="6">
        <f>IF(COUNTA(A1470:F1470)=0,"",IF(AND(A1470&lt;&gt;"",E1470&lt;&gt;""),"OK","ERRO: faltam "&amp;IF(A1470="","CNPJ; ","")&amp;IF(E1470="","Novo gerente; ","")))</f>
      </c>
      <c r="K1470" s="6">
        <f>IF(COUNTA(A1470:F1470)=0,"",IF(AND(LEFT(H1470,4)&lt;&gt;"ERRO",I1470="OK",J1470="OK"),"OK","REVISAR"))</f>
      </c>
    </row>
    <row r="1471">
      <c r="A1471" s="5"/>
      <c r="B1471" s="4"/>
      <c r="C1471" s="4"/>
      <c r="D1471" s="4"/>
      <c r="E1471" s="5"/>
      <c r="F1471" s="4"/>
      <c r="G1471" s="6">
        <f>IF(A1471="","",SUBSTITUTE(SUBSTITUTE(SUBSTITUTE(SUBSTITUTE(SUBSTITUTE(SUBSTITUTE(SUBSTITUTE(TRIM(A1471),".",""),"/",""),"-","")," ",""),"(",""),")",""),"+",""))</f>
      </c>
      <c r="H1471" s="6">
        <f>IF(G1471="","",IF(LEN(G1471)&lt;&gt;14,"ERRO: "&amp;LEN(G1471)&amp;" dígitos",IF(NOT(ISNUMBER(VALUE(G1471))),"ERRO: não numérico",IF(AND(VALUE(MID(G1471,13,1))=IF(MOD(SUMPRODUCT(--MID(G1471,{1,2,3,4,5,6,7,8,9,10,11,12},1),{5,4,3,2,9,8,7,6,5,4,3,2}),11)&lt;2,0,11-MOD(SUMPRODUCT(--MID(G1471,{1,2,3,4,5,6,7,8,9,10,11,12},1),{5,4,3,2,9,8,7,6,5,4,3,2}),11)),VALUE(MID(G1471,14,1))=IF(MOD(SUMPRODUCT(--MID(G1471,{1,2,3,4,5,6,7,8,9,10,11,12,13},1),{6,5,4,3,2,9,8,7,6,5,4,3,2}),11)&lt;2,0,11-MOD(SUMPRODUCT(--MID(G1471,{1,2,3,4,5,6,7,8,9,10,11,12,13},1),{6,5,4,3,2,9,8,7,6,5,4,3,2}),11))),"OK","AVISO: dígito verificador (conferir na org)"))))</f>
      </c>
      <c r="I1471" s="6">
        <f>IF(G1471="","",IF(COUNTIF($G$2:$G$2001,G1471)&gt;1,"DUPLICADO","OK"))</f>
      </c>
      <c r="J1471" s="6">
        <f>IF(COUNTA(A1471:F1471)=0,"",IF(AND(A1471&lt;&gt;"",E1471&lt;&gt;""),"OK","ERRO: faltam "&amp;IF(A1471="","CNPJ; ","")&amp;IF(E1471="","Novo gerente; ","")))</f>
      </c>
      <c r="K1471" s="6">
        <f>IF(COUNTA(A1471:F1471)=0,"",IF(AND(LEFT(H1471,4)&lt;&gt;"ERRO",I1471="OK",J1471="OK"),"OK","REVISAR"))</f>
      </c>
    </row>
    <row r="1472">
      <c r="A1472" s="5"/>
      <c r="B1472" s="4"/>
      <c r="C1472" s="4"/>
      <c r="D1472" s="4"/>
      <c r="E1472" s="5"/>
      <c r="F1472" s="4"/>
      <c r="G1472" s="6">
        <f>IF(A1472="","",SUBSTITUTE(SUBSTITUTE(SUBSTITUTE(SUBSTITUTE(SUBSTITUTE(SUBSTITUTE(SUBSTITUTE(TRIM(A1472),".",""),"/",""),"-","")," ",""),"(",""),")",""),"+",""))</f>
      </c>
      <c r="H1472" s="6">
        <f>IF(G1472="","",IF(LEN(G1472)&lt;&gt;14,"ERRO: "&amp;LEN(G1472)&amp;" dígitos",IF(NOT(ISNUMBER(VALUE(G1472))),"ERRO: não numérico",IF(AND(VALUE(MID(G1472,13,1))=IF(MOD(SUMPRODUCT(--MID(G1472,{1,2,3,4,5,6,7,8,9,10,11,12},1),{5,4,3,2,9,8,7,6,5,4,3,2}),11)&lt;2,0,11-MOD(SUMPRODUCT(--MID(G1472,{1,2,3,4,5,6,7,8,9,10,11,12},1),{5,4,3,2,9,8,7,6,5,4,3,2}),11)),VALUE(MID(G1472,14,1))=IF(MOD(SUMPRODUCT(--MID(G1472,{1,2,3,4,5,6,7,8,9,10,11,12,13},1),{6,5,4,3,2,9,8,7,6,5,4,3,2}),11)&lt;2,0,11-MOD(SUMPRODUCT(--MID(G1472,{1,2,3,4,5,6,7,8,9,10,11,12,13},1),{6,5,4,3,2,9,8,7,6,5,4,3,2}),11))),"OK","AVISO: dígito verificador (conferir na org)"))))</f>
      </c>
      <c r="I1472" s="6">
        <f>IF(G1472="","",IF(COUNTIF($G$2:$G$2001,G1472)&gt;1,"DUPLICADO","OK"))</f>
      </c>
      <c r="J1472" s="6">
        <f>IF(COUNTA(A1472:F1472)=0,"",IF(AND(A1472&lt;&gt;"",E1472&lt;&gt;""),"OK","ERRO: faltam "&amp;IF(A1472="","CNPJ; ","")&amp;IF(E1472="","Novo gerente; ","")))</f>
      </c>
      <c r="K1472" s="6">
        <f>IF(COUNTA(A1472:F1472)=0,"",IF(AND(LEFT(H1472,4)&lt;&gt;"ERRO",I1472="OK",J1472="OK"),"OK","REVISAR"))</f>
      </c>
    </row>
    <row r="1473">
      <c r="A1473" s="5"/>
      <c r="B1473" s="4"/>
      <c r="C1473" s="4"/>
      <c r="D1473" s="4"/>
      <c r="E1473" s="5"/>
      <c r="F1473" s="4"/>
      <c r="G1473" s="6">
        <f>IF(A1473="","",SUBSTITUTE(SUBSTITUTE(SUBSTITUTE(SUBSTITUTE(SUBSTITUTE(SUBSTITUTE(SUBSTITUTE(TRIM(A1473),".",""),"/",""),"-","")," ",""),"(",""),")",""),"+",""))</f>
      </c>
      <c r="H1473" s="6">
        <f>IF(G1473="","",IF(LEN(G1473)&lt;&gt;14,"ERRO: "&amp;LEN(G1473)&amp;" dígitos",IF(NOT(ISNUMBER(VALUE(G1473))),"ERRO: não numérico",IF(AND(VALUE(MID(G1473,13,1))=IF(MOD(SUMPRODUCT(--MID(G1473,{1,2,3,4,5,6,7,8,9,10,11,12},1),{5,4,3,2,9,8,7,6,5,4,3,2}),11)&lt;2,0,11-MOD(SUMPRODUCT(--MID(G1473,{1,2,3,4,5,6,7,8,9,10,11,12},1),{5,4,3,2,9,8,7,6,5,4,3,2}),11)),VALUE(MID(G1473,14,1))=IF(MOD(SUMPRODUCT(--MID(G1473,{1,2,3,4,5,6,7,8,9,10,11,12,13},1),{6,5,4,3,2,9,8,7,6,5,4,3,2}),11)&lt;2,0,11-MOD(SUMPRODUCT(--MID(G1473,{1,2,3,4,5,6,7,8,9,10,11,12,13},1),{6,5,4,3,2,9,8,7,6,5,4,3,2}),11))),"OK","AVISO: dígito verificador (conferir na org)"))))</f>
      </c>
      <c r="I1473" s="6">
        <f>IF(G1473="","",IF(COUNTIF($G$2:$G$2001,G1473)&gt;1,"DUPLICADO","OK"))</f>
      </c>
      <c r="J1473" s="6">
        <f>IF(COUNTA(A1473:F1473)=0,"",IF(AND(A1473&lt;&gt;"",E1473&lt;&gt;""),"OK","ERRO: faltam "&amp;IF(A1473="","CNPJ; ","")&amp;IF(E1473="","Novo gerente; ","")))</f>
      </c>
      <c r="K1473" s="6">
        <f>IF(COUNTA(A1473:F1473)=0,"",IF(AND(LEFT(H1473,4)&lt;&gt;"ERRO",I1473="OK",J1473="OK"),"OK","REVISAR"))</f>
      </c>
    </row>
    <row r="1474">
      <c r="A1474" s="5"/>
      <c r="B1474" s="4"/>
      <c r="C1474" s="4"/>
      <c r="D1474" s="4"/>
      <c r="E1474" s="5"/>
      <c r="F1474" s="4"/>
      <c r="G1474" s="6">
        <f>IF(A1474="","",SUBSTITUTE(SUBSTITUTE(SUBSTITUTE(SUBSTITUTE(SUBSTITUTE(SUBSTITUTE(SUBSTITUTE(TRIM(A1474),".",""),"/",""),"-","")," ",""),"(",""),")",""),"+",""))</f>
      </c>
      <c r="H1474" s="6">
        <f>IF(G1474="","",IF(LEN(G1474)&lt;&gt;14,"ERRO: "&amp;LEN(G1474)&amp;" dígitos",IF(NOT(ISNUMBER(VALUE(G1474))),"ERRO: não numérico",IF(AND(VALUE(MID(G1474,13,1))=IF(MOD(SUMPRODUCT(--MID(G1474,{1,2,3,4,5,6,7,8,9,10,11,12},1),{5,4,3,2,9,8,7,6,5,4,3,2}),11)&lt;2,0,11-MOD(SUMPRODUCT(--MID(G1474,{1,2,3,4,5,6,7,8,9,10,11,12},1),{5,4,3,2,9,8,7,6,5,4,3,2}),11)),VALUE(MID(G1474,14,1))=IF(MOD(SUMPRODUCT(--MID(G1474,{1,2,3,4,5,6,7,8,9,10,11,12,13},1),{6,5,4,3,2,9,8,7,6,5,4,3,2}),11)&lt;2,0,11-MOD(SUMPRODUCT(--MID(G1474,{1,2,3,4,5,6,7,8,9,10,11,12,13},1),{6,5,4,3,2,9,8,7,6,5,4,3,2}),11))),"OK","AVISO: dígito verificador (conferir na org)"))))</f>
      </c>
      <c r="I1474" s="6">
        <f>IF(G1474="","",IF(COUNTIF($G$2:$G$2001,G1474)&gt;1,"DUPLICADO","OK"))</f>
      </c>
      <c r="J1474" s="6">
        <f>IF(COUNTA(A1474:F1474)=0,"",IF(AND(A1474&lt;&gt;"",E1474&lt;&gt;""),"OK","ERRO: faltam "&amp;IF(A1474="","CNPJ; ","")&amp;IF(E1474="","Novo gerente; ","")))</f>
      </c>
      <c r="K1474" s="6">
        <f>IF(COUNTA(A1474:F1474)=0,"",IF(AND(LEFT(H1474,4)&lt;&gt;"ERRO",I1474="OK",J1474="OK"),"OK","REVISAR"))</f>
      </c>
    </row>
    <row r="1475">
      <c r="A1475" s="5"/>
      <c r="B1475" s="4"/>
      <c r="C1475" s="4"/>
      <c r="D1475" s="4"/>
      <c r="E1475" s="5"/>
      <c r="F1475" s="4"/>
      <c r="G1475" s="6">
        <f>IF(A1475="","",SUBSTITUTE(SUBSTITUTE(SUBSTITUTE(SUBSTITUTE(SUBSTITUTE(SUBSTITUTE(SUBSTITUTE(TRIM(A1475),".",""),"/",""),"-","")," ",""),"(",""),")",""),"+",""))</f>
      </c>
      <c r="H1475" s="6">
        <f>IF(G1475="","",IF(LEN(G1475)&lt;&gt;14,"ERRO: "&amp;LEN(G1475)&amp;" dígitos",IF(NOT(ISNUMBER(VALUE(G1475))),"ERRO: não numérico",IF(AND(VALUE(MID(G1475,13,1))=IF(MOD(SUMPRODUCT(--MID(G1475,{1,2,3,4,5,6,7,8,9,10,11,12},1),{5,4,3,2,9,8,7,6,5,4,3,2}),11)&lt;2,0,11-MOD(SUMPRODUCT(--MID(G1475,{1,2,3,4,5,6,7,8,9,10,11,12},1),{5,4,3,2,9,8,7,6,5,4,3,2}),11)),VALUE(MID(G1475,14,1))=IF(MOD(SUMPRODUCT(--MID(G1475,{1,2,3,4,5,6,7,8,9,10,11,12,13},1),{6,5,4,3,2,9,8,7,6,5,4,3,2}),11)&lt;2,0,11-MOD(SUMPRODUCT(--MID(G1475,{1,2,3,4,5,6,7,8,9,10,11,12,13},1),{6,5,4,3,2,9,8,7,6,5,4,3,2}),11))),"OK","AVISO: dígito verificador (conferir na org)"))))</f>
      </c>
      <c r="I1475" s="6">
        <f>IF(G1475="","",IF(COUNTIF($G$2:$G$2001,G1475)&gt;1,"DUPLICADO","OK"))</f>
      </c>
      <c r="J1475" s="6">
        <f>IF(COUNTA(A1475:F1475)=0,"",IF(AND(A1475&lt;&gt;"",E1475&lt;&gt;""),"OK","ERRO: faltam "&amp;IF(A1475="","CNPJ; ","")&amp;IF(E1475="","Novo gerente; ","")))</f>
      </c>
      <c r="K1475" s="6">
        <f>IF(COUNTA(A1475:F1475)=0,"",IF(AND(LEFT(H1475,4)&lt;&gt;"ERRO",I1475="OK",J1475="OK"),"OK","REVISAR"))</f>
      </c>
    </row>
    <row r="1476">
      <c r="A1476" s="5"/>
      <c r="B1476" s="4"/>
      <c r="C1476" s="4"/>
      <c r="D1476" s="4"/>
      <c r="E1476" s="5"/>
      <c r="F1476" s="4"/>
      <c r="G1476" s="6">
        <f>IF(A1476="","",SUBSTITUTE(SUBSTITUTE(SUBSTITUTE(SUBSTITUTE(SUBSTITUTE(SUBSTITUTE(SUBSTITUTE(TRIM(A1476),".",""),"/",""),"-","")," ",""),"(",""),")",""),"+",""))</f>
      </c>
      <c r="H1476" s="6">
        <f>IF(G1476="","",IF(LEN(G1476)&lt;&gt;14,"ERRO: "&amp;LEN(G1476)&amp;" dígitos",IF(NOT(ISNUMBER(VALUE(G1476))),"ERRO: não numérico",IF(AND(VALUE(MID(G1476,13,1))=IF(MOD(SUMPRODUCT(--MID(G1476,{1,2,3,4,5,6,7,8,9,10,11,12},1),{5,4,3,2,9,8,7,6,5,4,3,2}),11)&lt;2,0,11-MOD(SUMPRODUCT(--MID(G1476,{1,2,3,4,5,6,7,8,9,10,11,12},1),{5,4,3,2,9,8,7,6,5,4,3,2}),11)),VALUE(MID(G1476,14,1))=IF(MOD(SUMPRODUCT(--MID(G1476,{1,2,3,4,5,6,7,8,9,10,11,12,13},1),{6,5,4,3,2,9,8,7,6,5,4,3,2}),11)&lt;2,0,11-MOD(SUMPRODUCT(--MID(G1476,{1,2,3,4,5,6,7,8,9,10,11,12,13},1),{6,5,4,3,2,9,8,7,6,5,4,3,2}),11))),"OK","AVISO: dígito verificador (conferir na org)"))))</f>
      </c>
      <c r="I1476" s="6">
        <f>IF(G1476="","",IF(COUNTIF($G$2:$G$2001,G1476)&gt;1,"DUPLICADO","OK"))</f>
      </c>
      <c r="J1476" s="6">
        <f>IF(COUNTA(A1476:F1476)=0,"",IF(AND(A1476&lt;&gt;"",E1476&lt;&gt;""),"OK","ERRO: faltam "&amp;IF(A1476="","CNPJ; ","")&amp;IF(E1476="","Novo gerente; ","")))</f>
      </c>
      <c r="K1476" s="6">
        <f>IF(COUNTA(A1476:F1476)=0,"",IF(AND(LEFT(H1476,4)&lt;&gt;"ERRO",I1476="OK",J1476="OK"),"OK","REVISAR"))</f>
      </c>
    </row>
    <row r="1477">
      <c r="A1477" s="5"/>
      <c r="B1477" s="4"/>
      <c r="C1477" s="4"/>
      <c r="D1477" s="4"/>
      <c r="E1477" s="5"/>
      <c r="F1477" s="4"/>
      <c r="G1477" s="6">
        <f>IF(A1477="","",SUBSTITUTE(SUBSTITUTE(SUBSTITUTE(SUBSTITUTE(SUBSTITUTE(SUBSTITUTE(SUBSTITUTE(TRIM(A1477),".",""),"/",""),"-","")," ",""),"(",""),")",""),"+",""))</f>
      </c>
      <c r="H1477" s="6">
        <f>IF(G1477="","",IF(LEN(G1477)&lt;&gt;14,"ERRO: "&amp;LEN(G1477)&amp;" dígitos",IF(NOT(ISNUMBER(VALUE(G1477))),"ERRO: não numérico",IF(AND(VALUE(MID(G1477,13,1))=IF(MOD(SUMPRODUCT(--MID(G1477,{1,2,3,4,5,6,7,8,9,10,11,12},1),{5,4,3,2,9,8,7,6,5,4,3,2}),11)&lt;2,0,11-MOD(SUMPRODUCT(--MID(G1477,{1,2,3,4,5,6,7,8,9,10,11,12},1),{5,4,3,2,9,8,7,6,5,4,3,2}),11)),VALUE(MID(G1477,14,1))=IF(MOD(SUMPRODUCT(--MID(G1477,{1,2,3,4,5,6,7,8,9,10,11,12,13},1),{6,5,4,3,2,9,8,7,6,5,4,3,2}),11)&lt;2,0,11-MOD(SUMPRODUCT(--MID(G1477,{1,2,3,4,5,6,7,8,9,10,11,12,13},1),{6,5,4,3,2,9,8,7,6,5,4,3,2}),11))),"OK","AVISO: dígito verificador (conferir na org)"))))</f>
      </c>
      <c r="I1477" s="6">
        <f>IF(G1477="","",IF(COUNTIF($G$2:$G$2001,G1477)&gt;1,"DUPLICADO","OK"))</f>
      </c>
      <c r="J1477" s="6">
        <f>IF(COUNTA(A1477:F1477)=0,"",IF(AND(A1477&lt;&gt;"",E1477&lt;&gt;""),"OK","ERRO: faltam "&amp;IF(A1477="","CNPJ; ","")&amp;IF(E1477="","Novo gerente; ","")))</f>
      </c>
      <c r="K1477" s="6">
        <f>IF(COUNTA(A1477:F1477)=0,"",IF(AND(LEFT(H1477,4)&lt;&gt;"ERRO",I1477="OK",J1477="OK"),"OK","REVISAR"))</f>
      </c>
    </row>
    <row r="1478">
      <c r="A1478" s="5"/>
      <c r="B1478" s="4"/>
      <c r="C1478" s="4"/>
      <c r="D1478" s="4"/>
      <c r="E1478" s="5"/>
      <c r="F1478" s="4"/>
      <c r="G1478" s="6">
        <f>IF(A1478="","",SUBSTITUTE(SUBSTITUTE(SUBSTITUTE(SUBSTITUTE(SUBSTITUTE(SUBSTITUTE(SUBSTITUTE(TRIM(A1478),".",""),"/",""),"-","")," ",""),"(",""),")",""),"+",""))</f>
      </c>
      <c r="H1478" s="6">
        <f>IF(G1478="","",IF(LEN(G1478)&lt;&gt;14,"ERRO: "&amp;LEN(G1478)&amp;" dígitos",IF(NOT(ISNUMBER(VALUE(G1478))),"ERRO: não numérico",IF(AND(VALUE(MID(G1478,13,1))=IF(MOD(SUMPRODUCT(--MID(G1478,{1,2,3,4,5,6,7,8,9,10,11,12},1),{5,4,3,2,9,8,7,6,5,4,3,2}),11)&lt;2,0,11-MOD(SUMPRODUCT(--MID(G1478,{1,2,3,4,5,6,7,8,9,10,11,12},1),{5,4,3,2,9,8,7,6,5,4,3,2}),11)),VALUE(MID(G1478,14,1))=IF(MOD(SUMPRODUCT(--MID(G1478,{1,2,3,4,5,6,7,8,9,10,11,12,13},1),{6,5,4,3,2,9,8,7,6,5,4,3,2}),11)&lt;2,0,11-MOD(SUMPRODUCT(--MID(G1478,{1,2,3,4,5,6,7,8,9,10,11,12,13},1),{6,5,4,3,2,9,8,7,6,5,4,3,2}),11))),"OK","AVISO: dígito verificador (conferir na org)"))))</f>
      </c>
      <c r="I1478" s="6">
        <f>IF(G1478="","",IF(COUNTIF($G$2:$G$2001,G1478)&gt;1,"DUPLICADO","OK"))</f>
      </c>
      <c r="J1478" s="6">
        <f>IF(COUNTA(A1478:F1478)=0,"",IF(AND(A1478&lt;&gt;"",E1478&lt;&gt;""),"OK","ERRO: faltam "&amp;IF(A1478="","CNPJ; ","")&amp;IF(E1478="","Novo gerente; ","")))</f>
      </c>
      <c r="K1478" s="6">
        <f>IF(COUNTA(A1478:F1478)=0,"",IF(AND(LEFT(H1478,4)&lt;&gt;"ERRO",I1478="OK",J1478="OK"),"OK","REVISAR"))</f>
      </c>
    </row>
    <row r="1479">
      <c r="A1479" s="5"/>
      <c r="B1479" s="4"/>
      <c r="C1479" s="4"/>
      <c r="D1479" s="4"/>
      <c r="E1479" s="5"/>
      <c r="F1479" s="4"/>
      <c r="G1479" s="6">
        <f>IF(A1479="","",SUBSTITUTE(SUBSTITUTE(SUBSTITUTE(SUBSTITUTE(SUBSTITUTE(SUBSTITUTE(SUBSTITUTE(TRIM(A1479),".",""),"/",""),"-","")," ",""),"(",""),")",""),"+",""))</f>
      </c>
      <c r="H1479" s="6">
        <f>IF(G1479="","",IF(LEN(G1479)&lt;&gt;14,"ERRO: "&amp;LEN(G1479)&amp;" dígitos",IF(NOT(ISNUMBER(VALUE(G1479))),"ERRO: não numérico",IF(AND(VALUE(MID(G1479,13,1))=IF(MOD(SUMPRODUCT(--MID(G1479,{1,2,3,4,5,6,7,8,9,10,11,12},1),{5,4,3,2,9,8,7,6,5,4,3,2}),11)&lt;2,0,11-MOD(SUMPRODUCT(--MID(G1479,{1,2,3,4,5,6,7,8,9,10,11,12},1),{5,4,3,2,9,8,7,6,5,4,3,2}),11)),VALUE(MID(G1479,14,1))=IF(MOD(SUMPRODUCT(--MID(G1479,{1,2,3,4,5,6,7,8,9,10,11,12,13},1),{6,5,4,3,2,9,8,7,6,5,4,3,2}),11)&lt;2,0,11-MOD(SUMPRODUCT(--MID(G1479,{1,2,3,4,5,6,7,8,9,10,11,12,13},1),{6,5,4,3,2,9,8,7,6,5,4,3,2}),11))),"OK","AVISO: dígito verificador (conferir na org)"))))</f>
      </c>
      <c r="I1479" s="6">
        <f>IF(G1479="","",IF(COUNTIF($G$2:$G$2001,G1479)&gt;1,"DUPLICADO","OK"))</f>
      </c>
      <c r="J1479" s="6">
        <f>IF(COUNTA(A1479:F1479)=0,"",IF(AND(A1479&lt;&gt;"",E1479&lt;&gt;""),"OK","ERRO: faltam "&amp;IF(A1479="","CNPJ; ","")&amp;IF(E1479="","Novo gerente; ","")))</f>
      </c>
      <c r="K1479" s="6">
        <f>IF(COUNTA(A1479:F1479)=0,"",IF(AND(LEFT(H1479,4)&lt;&gt;"ERRO",I1479="OK",J1479="OK"),"OK","REVISAR"))</f>
      </c>
    </row>
    <row r="1480">
      <c r="A1480" s="5"/>
      <c r="B1480" s="4"/>
      <c r="C1480" s="4"/>
      <c r="D1480" s="4"/>
      <c r="E1480" s="5"/>
      <c r="F1480" s="4"/>
      <c r="G1480" s="6">
        <f>IF(A1480="","",SUBSTITUTE(SUBSTITUTE(SUBSTITUTE(SUBSTITUTE(SUBSTITUTE(SUBSTITUTE(SUBSTITUTE(TRIM(A1480),".",""),"/",""),"-","")," ",""),"(",""),")",""),"+",""))</f>
      </c>
      <c r="H1480" s="6">
        <f>IF(G1480="","",IF(LEN(G1480)&lt;&gt;14,"ERRO: "&amp;LEN(G1480)&amp;" dígitos",IF(NOT(ISNUMBER(VALUE(G1480))),"ERRO: não numérico",IF(AND(VALUE(MID(G1480,13,1))=IF(MOD(SUMPRODUCT(--MID(G1480,{1,2,3,4,5,6,7,8,9,10,11,12},1),{5,4,3,2,9,8,7,6,5,4,3,2}),11)&lt;2,0,11-MOD(SUMPRODUCT(--MID(G1480,{1,2,3,4,5,6,7,8,9,10,11,12},1),{5,4,3,2,9,8,7,6,5,4,3,2}),11)),VALUE(MID(G1480,14,1))=IF(MOD(SUMPRODUCT(--MID(G1480,{1,2,3,4,5,6,7,8,9,10,11,12,13},1),{6,5,4,3,2,9,8,7,6,5,4,3,2}),11)&lt;2,0,11-MOD(SUMPRODUCT(--MID(G1480,{1,2,3,4,5,6,7,8,9,10,11,12,13},1),{6,5,4,3,2,9,8,7,6,5,4,3,2}),11))),"OK","AVISO: dígito verificador (conferir na org)"))))</f>
      </c>
      <c r="I1480" s="6">
        <f>IF(G1480="","",IF(COUNTIF($G$2:$G$2001,G1480)&gt;1,"DUPLICADO","OK"))</f>
      </c>
      <c r="J1480" s="6">
        <f>IF(COUNTA(A1480:F1480)=0,"",IF(AND(A1480&lt;&gt;"",E1480&lt;&gt;""),"OK","ERRO: faltam "&amp;IF(A1480="","CNPJ; ","")&amp;IF(E1480="","Novo gerente; ","")))</f>
      </c>
      <c r="K1480" s="6">
        <f>IF(COUNTA(A1480:F1480)=0,"",IF(AND(LEFT(H1480,4)&lt;&gt;"ERRO",I1480="OK",J1480="OK"),"OK","REVISAR"))</f>
      </c>
    </row>
    <row r="1481">
      <c r="A1481" s="5"/>
      <c r="B1481" s="4"/>
      <c r="C1481" s="4"/>
      <c r="D1481" s="4"/>
      <c r="E1481" s="5"/>
      <c r="F1481" s="4"/>
      <c r="G1481" s="6">
        <f>IF(A1481="","",SUBSTITUTE(SUBSTITUTE(SUBSTITUTE(SUBSTITUTE(SUBSTITUTE(SUBSTITUTE(SUBSTITUTE(TRIM(A1481),".",""),"/",""),"-","")," ",""),"(",""),")",""),"+",""))</f>
      </c>
      <c r="H1481" s="6">
        <f>IF(G1481="","",IF(LEN(G1481)&lt;&gt;14,"ERRO: "&amp;LEN(G1481)&amp;" dígitos",IF(NOT(ISNUMBER(VALUE(G1481))),"ERRO: não numérico",IF(AND(VALUE(MID(G1481,13,1))=IF(MOD(SUMPRODUCT(--MID(G1481,{1,2,3,4,5,6,7,8,9,10,11,12},1),{5,4,3,2,9,8,7,6,5,4,3,2}),11)&lt;2,0,11-MOD(SUMPRODUCT(--MID(G1481,{1,2,3,4,5,6,7,8,9,10,11,12},1),{5,4,3,2,9,8,7,6,5,4,3,2}),11)),VALUE(MID(G1481,14,1))=IF(MOD(SUMPRODUCT(--MID(G1481,{1,2,3,4,5,6,7,8,9,10,11,12,13},1),{6,5,4,3,2,9,8,7,6,5,4,3,2}),11)&lt;2,0,11-MOD(SUMPRODUCT(--MID(G1481,{1,2,3,4,5,6,7,8,9,10,11,12,13},1),{6,5,4,3,2,9,8,7,6,5,4,3,2}),11))),"OK","AVISO: dígito verificador (conferir na org)"))))</f>
      </c>
      <c r="I1481" s="6">
        <f>IF(G1481="","",IF(COUNTIF($G$2:$G$2001,G1481)&gt;1,"DUPLICADO","OK"))</f>
      </c>
      <c r="J1481" s="6">
        <f>IF(COUNTA(A1481:F1481)=0,"",IF(AND(A1481&lt;&gt;"",E1481&lt;&gt;""),"OK","ERRO: faltam "&amp;IF(A1481="","CNPJ; ","")&amp;IF(E1481="","Novo gerente; ","")))</f>
      </c>
      <c r="K1481" s="6">
        <f>IF(COUNTA(A1481:F1481)=0,"",IF(AND(LEFT(H1481,4)&lt;&gt;"ERRO",I1481="OK",J1481="OK"),"OK","REVISAR"))</f>
      </c>
    </row>
    <row r="1482">
      <c r="A1482" s="5"/>
      <c r="B1482" s="4"/>
      <c r="C1482" s="4"/>
      <c r="D1482" s="4"/>
      <c r="E1482" s="5"/>
      <c r="F1482" s="4"/>
      <c r="G1482" s="6">
        <f>IF(A1482="","",SUBSTITUTE(SUBSTITUTE(SUBSTITUTE(SUBSTITUTE(SUBSTITUTE(SUBSTITUTE(SUBSTITUTE(TRIM(A1482),".",""),"/",""),"-","")," ",""),"(",""),")",""),"+",""))</f>
      </c>
      <c r="H1482" s="6">
        <f>IF(G1482="","",IF(LEN(G1482)&lt;&gt;14,"ERRO: "&amp;LEN(G1482)&amp;" dígitos",IF(NOT(ISNUMBER(VALUE(G1482))),"ERRO: não numérico",IF(AND(VALUE(MID(G1482,13,1))=IF(MOD(SUMPRODUCT(--MID(G1482,{1,2,3,4,5,6,7,8,9,10,11,12},1),{5,4,3,2,9,8,7,6,5,4,3,2}),11)&lt;2,0,11-MOD(SUMPRODUCT(--MID(G1482,{1,2,3,4,5,6,7,8,9,10,11,12},1),{5,4,3,2,9,8,7,6,5,4,3,2}),11)),VALUE(MID(G1482,14,1))=IF(MOD(SUMPRODUCT(--MID(G1482,{1,2,3,4,5,6,7,8,9,10,11,12,13},1),{6,5,4,3,2,9,8,7,6,5,4,3,2}),11)&lt;2,0,11-MOD(SUMPRODUCT(--MID(G1482,{1,2,3,4,5,6,7,8,9,10,11,12,13},1),{6,5,4,3,2,9,8,7,6,5,4,3,2}),11))),"OK","AVISO: dígito verificador (conferir na org)"))))</f>
      </c>
      <c r="I1482" s="6">
        <f>IF(G1482="","",IF(COUNTIF($G$2:$G$2001,G1482)&gt;1,"DUPLICADO","OK"))</f>
      </c>
      <c r="J1482" s="6">
        <f>IF(COUNTA(A1482:F1482)=0,"",IF(AND(A1482&lt;&gt;"",E1482&lt;&gt;""),"OK","ERRO: faltam "&amp;IF(A1482="","CNPJ; ","")&amp;IF(E1482="","Novo gerente; ","")))</f>
      </c>
      <c r="K1482" s="6">
        <f>IF(COUNTA(A1482:F1482)=0,"",IF(AND(LEFT(H1482,4)&lt;&gt;"ERRO",I1482="OK",J1482="OK"),"OK","REVISAR"))</f>
      </c>
    </row>
    <row r="1483">
      <c r="A1483" s="5"/>
      <c r="B1483" s="4"/>
      <c r="C1483" s="4"/>
      <c r="D1483" s="4"/>
      <c r="E1483" s="5"/>
      <c r="F1483" s="4"/>
      <c r="G1483" s="6">
        <f>IF(A1483="","",SUBSTITUTE(SUBSTITUTE(SUBSTITUTE(SUBSTITUTE(SUBSTITUTE(SUBSTITUTE(SUBSTITUTE(TRIM(A1483),".",""),"/",""),"-","")," ",""),"(",""),")",""),"+",""))</f>
      </c>
      <c r="H1483" s="6">
        <f>IF(G1483="","",IF(LEN(G1483)&lt;&gt;14,"ERRO: "&amp;LEN(G1483)&amp;" dígitos",IF(NOT(ISNUMBER(VALUE(G1483))),"ERRO: não numérico",IF(AND(VALUE(MID(G1483,13,1))=IF(MOD(SUMPRODUCT(--MID(G1483,{1,2,3,4,5,6,7,8,9,10,11,12},1),{5,4,3,2,9,8,7,6,5,4,3,2}),11)&lt;2,0,11-MOD(SUMPRODUCT(--MID(G1483,{1,2,3,4,5,6,7,8,9,10,11,12},1),{5,4,3,2,9,8,7,6,5,4,3,2}),11)),VALUE(MID(G1483,14,1))=IF(MOD(SUMPRODUCT(--MID(G1483,{1,2,3,4,5,6,7,8,9,10,11,12,13},1),{6,5,4,3,2,9,8,7,6,5,4,3,2}),11)&lt;2,0,11-MOD(SUMPRODUCT(--MID(G1483,{1,2,3,4,5,6,7,8,9,10,11,12,13},1),{6,5,4,3,2,9,8,7,6,5,4,3,2}),11))),"OK","AVISO: dígito verificador (conferir na org)"))))</f>
      </c>
      <c r="I1483" s="6">
        <f>IF(G1483="","",IF(COUNTIF($G$2:$G$2001,G1483)&gt;1,"DUPLICADO","OK"))</f>
      </c>
      <c r="J1483" s="6">
        <f>IF(COUNTA(A1483:F1483)=0,"",IF(AND(A1483&lt;&gt;"",E1483&lt;&gt;""),"OK","ERRO: faltam "&amp;IF(A1483="","CNPJ; ","")&amp;IF(E1483="","Novo gerente; ","")))</f>
      </c>
      <c r="K1483" s="6">
        <f>IF(COUNTA(A1483:F1483)=0,"",IF(AND(LEFT(H1483,4)&lt;&gt;"ERRO",I1483="OK",J1483="OK"),"OK","REVISAR"))</f>
      </c>
    </row>
    <row r="1484">
      <c r="A1484" s="5"/>
      <c r="B1484" s="4"/>
      <c r="C1484" s="4"/>
      <c r="D1484" s="4"/>
      <c r="E1484" s="5"/>
      <c r="F1484" s="4"/>
      <c r="G1484" s="6">
        <f>IF(A1484="","",SUBSTITUTE(SUBSTITUTE(SUBSTITUTE(SUBSTITUTE(SUBSTITUTE(SUBSTITUTE(SUBSTITUTE(TRIM(A1484),".",""),"/",""),"-","")," ",""),"(",""),")",""),"+",""))</f>
      </c>
      <c r="H1484" s="6">
        <f>IF(G1484="","",IF(LEN(G1484)&lt;&gt;14,"ERRO: "&amp;LEN(G1484)&amp;" dígitos",IF(NOT(ISNUMBER(VALUE(G1484))),"ERRO: não numérico",IF(AND(VALUE(MID(G1484,13,1))=IF(MOD(SUMPRODUCT(--MID(G1484,{1,2,3,4,5,6,7,8,9,10,11,12},1),{5,4,3,2,9,8,7,6,5,4,3,2}),11)&lt;2,0,11-MOD(SUMPRODUCT(--MID(G1484,{1,2,3,4,5,6,7,8,9,10,11,12},1),{5,4,3,2,9,8,7,6,5,4,3,2}),11)),VALUE(MID(G1484,14,1))=IF(MOD(SUMPRODUCT(--MID(G1484,{1,2,3,4,5,6,7,8,9,10,11,12,13},1),{6,5,4,3,2,9,8,7,6,5,4,3,2}),11)&lt;2,0,11-MOD(SUMPRODUCT(--MID(G1484,{1,2,3,4,5,6,7,8,9,10,11,12,13},1),{6,5,4,3,2,9,8,7,6,5,4,3,2}),11))),"OK","AVISO: dígito verificador (conferir na org)"))))</f>
      </c>
      <c r="I1484" s="6">
        <f>IF(G1484="","",IF(COUNTIF($G$2:$G$2001,G1484)&gt;1,"DUPLICADO","OK"))</f>
      </c>
      <c r="J1484" s="6">
        <f>IF(COUNTA(A1484:F1484)=0,"",IF(AND(A1484&lt;&gt;"",E1484&lt;&gt;""),"OK","ERRO: faltam "&amp;IF(A1484="","CNPJ; ","")&amp;IF(E1484="","Novo gerente; ","")))</f>
      </c>
      <c r="K1484" s="6">
        <f>IF(COUNTA(A1484:F1484)=0,"",IF(AND(LEFT(H1484,4)&lt;&gt;"ERRO",I1484="OK",J1484="OK"),"OK","REVISAR"))</f>
      </c>
    </row>
    <row r="1485">
      <c r="A1485" s="5"/>
      <c r="B1485" s="4"/>
      <c r="C1485" s="4"/>
      <c r="D1485" s="4"/>
      <c r="E1485" s="5"/>
      <c r="F1485" s="4"/>
      <c r="G1485" s="6">
        <f>IF(A1485="","",SUBSTITUTE(SUBSTITUTE(SUBSTITUTE(SUBSTITUTE(SUBSTITUTE(SUBSTITUTE(SUBSTITUTE(TRIM(A1485),".",""),"/",""),"-","")," ",""),"(",""),")",""),"+",""))</f>
      </c>
      <c r="H1485" s="6">
        <f>IF(G1485="","",IF(LEN(G1485)&lt;&gt;14,"ERRO: "&amp;LEN(G1485)&amp;" dígitos",IF(NOT(ISNUMBER(VALUE(G1485))),"ERRO: não numérico",IF(AND(VALUE(MID(G1485,13,1))=IF(MOD(SUMPRODUCT(--MID(G1485,{1,2,3,4,5,6,7,8,9,10,11,12},1),{5,4,3,2,9,8,7,6,5,4,3,2}),11)&lt;2,0,11-MOD(SUMPRODUCT(--MID(G1485,{1,2,3,4,5,6,7,8,9,10,11,12},1),{5,4,3,2,9,8,7,6,5,4,3,2}),11)),VALUE(MID(G1485,14,1))=IF(MOD(SUMPRODUCT(--MID(G1485,{1,2,3,4,5,6,7,8,9,10,11,12,13},1),{6,5,4,3,2,9,8,7,6,5,4,3,2}),11)&lt;2,0,11-MOD(SUMPRODUCT(--MID(G1485,{1,2,3,4,5,6,7,8,9,10,11,12,13},1),{6,5,4,3,2,9,8,7,6,5,4,3,2}),11))),"OK","AVISO: dígito verificador (conferir na org)"))))</f>
      </c>
      <c r="I1485" s="6">
        <f>IF(G1485="","",IF(COUNTIF($G$2:$G$2001,G1485)&gt;1,"DUPLICADO","OK"))</f>
      </c>
      <c r="J1485" s="6">
        <f>IF(COUNTA(A1485:F1485)=0,"",IF(AND(A1485&lt;&gt;"",E1485&lt;&gt;""),"OK","ERRO: faltam "&amp;IF(A1485="","CNPJ; ","")&amp;IF(E1485="","Novo gerente; ","")))</f>
      </c>
      <c r="K1485" s="6">
        <f>IF(COUNTA(A1485:F1485)=0,"",IF(AND(LEFT(H1485,4)&lt;&gt;"ERRO",I1485="OK",J1485="OK"),"OK","REVISAR"))</f>
      </c>
    </row>
    <row r="1486">
      <c r="A1486" s="5"/>
      <c r="B1486" s="4"/>
      <c r="C1486" s="4"/>
      <c r="D1486" s="4"/>
      <c r="E1486" s="5"/>
      <c r="F1486" s="4"/>
      <c r="G1486" s="6">
        <f>IF(A1486="","",SUBSTITUTE(SUBSTITUTE(SUBSTITUTE(SUBSTITUTE(SUBSTITUTE(SUBSTITUTE(SUBSTITUTE(TRIM(A1486),".",""),"/",""),"-","")," ",""),"(",""),")",""),"+",""))</f>
      </c>
      <c r="H1486" s="6">
        <f>IF(G1486="","",IF(LEN(G1486)&lt;&gt;14,"ERRO: "&amp;LEN(G1486)&amp;" dígitos",IF(NOT(ISNUMBER(VALUE(G1486))),"ERRO: não numérico",IF(AND(VALUE(MID(G1486,13,1))=IF(MOD(SUMPRODUCT(--MID(G1486,{1,2,3,4,5,6,7,8,9,10,11,12},1),{5,4,3,2,9,8,7,6,5,4,3,2}),11)&lt;2,0,11-MOD(SUMPRODUCT(--MID(G1486,{1,2,3,4,5,6,7,8,9,10,11,12},1),{5,4,3,2,9,8,7,6,5,4,3,2}),11)),VALUE(MID(G1486,14,1))=IF(MOD(SUMPRODUCT(--MID(G1486,{1,2,3,4,5,6,7,8,9,10,11,12,13},1),{6,5,4,3,2,9,8,7,6,5,4,3,2}),11)&lt;2,0,11-MOD(SUMPRODUCT(--MID(G1486,{1,2,3,4,5,6,7,8,9,10,11,12,13},1),{6,5,4,3,2,9,8,7,6,5,4,3,2}),11))),"OK","AVISO: dígito verificador (conferir na org)"))))</f>
      </c>
      <c r="I1486" s="6">
        <f>IF(G1486="","",IF(COUNTIF($G$2:$G$2001,G1486)&gt;1,"DUPLICADO","OK"))</f>
      </c>
      <c r="J1486" s="6">
        <f>IF(COUNTA(A1486:F1486)=0,"",IF(AND(A1486&lt;&gt;"",E1486&lt;&gt;""),"OK","ERRO: faltam "&amp;IF(A1486="","CNPJ; ","")&amp;IF(E1486="","Novo gerente; ","")))</f>
      </c>
      <c r="K1486" s="6">
        <f>IF(COUNTA(A1486:F1486)=0,"",IF(AND(LEFT(H1486,4)&lt;&gt;"ERRO",I1486="OK",J1486="OK"),"OK","REVISAR"))</f>
      </c>
    </row>
    <row r="1487">
      <c r="A1487" s="5"/>
      <c r="B1487" s="4"/>
      <c r="C1487" s="4"/>
      <c r="D1487" s="4"/>
      <c r="E1487" s="5"/>
      <c r="F1487" s="4"/>
      <c r="G1487" s="6">
        <f>IF(A1487="","",SUBSTITUTE(SUBSTITUTE(SUBSTITUTE(SUBSTITUTE(SUBSTITUTE(SUBSTITUTE(SUBSTITUTE(TRIM(A1487),".",""),"/",""),"-","")," ",""),"(",""),")",""),"+",""))</f>
      </c>
      <c r="H1487" s="6">
        <f>IF(G1487="","",IF(LEN(G1487)&lt;&gt;14,"ERRO: "&amp;LEN(G1487)&amp;" dígitos",IF(NOT(ISNUMBER(VALUE(G1487))),"ERRO: não numérico",IF(AND(VALUE(MID(G1487,13,1))=IF(MOD(SUMPRODUCT(--MID(G1487,{1,2,3,4,5,6,7,8,9,10,11,12},1),{5,4,3,2,9,8,7,6,5,4,3,2}),11)&lt;2,0,11-MOD(SUMPRODUCT(--MID(G1487,{1,2,3,4,5,6,7,8,9,10,11,12},1),{5,4,3,2,9,8,7,6,5,4,3,2}),11)),VALUE(MID(G1487,14,1))=IF(MOD(SUMPRODUCT(--MID(G1487,{1,2,3,4,5,6,7,8,9,10,11,12,13},1),{6,5,4,3,2,9,8,7,6,5,4,3,2}),11)&lt;2,0,11-MOD(SUMPRODUCT(--MID(G1487,{1,2,3,4,5,6,7,8,9,10,11,12,13},1),{6,5,4,3,2,9,8,7,6,5,4,3,2}),11))),"OK","AVISO: dígito verificador (conferir na org)"))))</f>
      </c>
      <c r="I1487" s="6">
        <f>IF(G1487="","",IF(COUNTIF($G$2:$G$2001,G1487)&gt;1,"DUPLICADO","OK"))</f>
      </c>
      <c r="J1487" s="6">
        <f>IF(COUNTA(A1487:F1487)=0,"",IF(AND(A1487&lt;&gt;"",E1487&lt;&gt;""),"OK","ERRO: faltam "&amp;IF(A1487="","CNPJ; ","")&amp;IF(E1487="","Novo gerente; ","")))</f>
      </c>
      <c r="K1487" s="6">
        <f>IF(COUNTA(A1487:F1487)=0,"",IF(AND(LEFT(H1487,4)&lt;&gt;"ERRO",I1487="OK",J1487="OK"),"OK","REVISAR"))</f>
      </c>
    </row>
    <row r="1488">
      <c r="A1488" s="5"/>
      <c r="B1488" s="4"/>
      <c r="C1488" s="4"/>
      <c r="D1488" s="4"/>
      <c r="E1488" s="5"/>
      <c r="F1488" s="4"/>
      <c r="G1488" s="6">
        <f>IF(A1488="","",SUBSTITUTE(SUBSTITUTE(SUBSTITUTE(SUBSTITUTE(SUBSTITUTE(SUBSTITUTE(SUBSTITUTE(TRIM(A1488),".",""),"/",""),"-","")," ",""),"(",""),")",""),"+",""))</f>
      </c>
      <c r="H1488" s="6">
        <f>IF(G1488="","",IF(LEN(G1488)&lt;&gt;14,"ERRO: "&amp;LEN(G1488)&amp;" dígitos",IF(NOT(ISNUMBER(VALUE(G1488))),"ERRO: não numérico",IF(AND(VALUE(MID(G1488,13,1))=IF(MOD(SUMPRODUCT(--MID(G1488,{1,2,3,4,5,6,7,8,9,10,11,12},1),{5,4,3,2,9,8,7,6,5,4,3,2}),11)&lt;2,0,11-MOD(SUMPRODUCT(--MID(G1488,{1,2,3,4,5,6,7,8,9,10,11,12},1),{5,4,3,2,9,8,7,6,5,4,3,2}),11)),VALUE(MID(G1488,14,1))=IF(MOD(SUMPRODUCT(--MID(G1488,{1,2,3,4,5,6,7,8,9,10,11,12,13},1),{6,5,4,3,2,9,8,7,6,5,4,3,2}),11)&lt;2,0,11-MOD(SUMPRODUCT(--MID(G1488,{1,2,3,4,5,6,7,8,9,10,11,12,13},1),{6,5,4,3,2,9,8,7,6,5,4,3,2}),11))),"OK","AVISO: dígito verificador (conferir na org)"))))</f>
      </c>
      <c r="I1488" s="6">
        <f>IF(G1488="","",IF(COUNTIF($G$2:$G$2001,G1488)&gt;1,"DUPLICADO","OK"))</f>
      </c>
      <c r="J1488" s="6">
        <f>IF(COUNTA(A1488:F1488)=0,"",IF(AND(A1488&lt;&gt;"",E1488&lt;&gt;""),"OK","ERRO: faltam "&amp;IF(A1488="","CNPJ; ","")&amp;IF(E1488="","Novo gerente; ","")))</f>
      </c>
      <c r="K1488" s="6">
        <f>IF(COUNTA(A1488:F1488)=0,"",IF(AND(LEFT(H1488,4)&lt;&gt;"ERRO",I1488="OK",J1488="OK"),"OK","REVISAR"))</f>
      </c>
    </row>
    <row r="1489">
      <c r="A1489" s="5"/>
      <c r="B1489" s="4"/>
      <c r="C1489" s="4"/>
      <c r="D1489" s="4"/>
      <c r="E1489" s="5"/>
      <c r="F1489" s="4"/>
      <c r="G1489" s="6">
        <f>IF(A1489="","",SUBSTITUTE(SUBSTITUTE(SUBSTITUTE(SUBSTITUTE(SUBSTITUTE(SUBSTITUTE(SUBSTITUTE(TRIM(A1489),".",""),"/",""),"-","")," ",""),"(",""),")",""),"+",""))</f>
      </c>
      <c r="H1489" s="6">
        <f>IF(G1489="","",IF(LEN(G1489)&lt;&gt;14,"ERRO: "&amp;LEN(G1489)&amp;" dígitos",IF(NOT(ISNUMBER(VALUE(G1489))),"ERRO: não numérico",IF(AND(VALUE(MID(G1489,13,1))=IF(MOD(SUMPRODUCT(--MID(G1489,{1,2,3,4,5,6,7,8,9,10,11,12},1),{5,4,3,2,9,8,7,6,5,4,3,2}),11)&lt;2,0,11-MOD(SUMPRODUCT(--MID(G1489,{1,2,3,4,5,6,7,8,9,10,11,12},1),{5,4,3,2,9,8,7,6,5,4,3,2}),11)),VALUE(MID(G1489,14,1))=IF(MOD(SUMPRODUCT(--MID(G1489,{1,2,3,4,5,6,7,8,9,10,11,12,13},1),{6,5,4,3,2,9,8,7,6,5,4,3,2}),11)&lt;2,0,11-MOD(SUMPRODUCT(--MID(G1489,{1,2,3,4,5,6,7,8,9,10,11,12,13},1),{6,5,4,3,2,9,8,7,6,5,4,3,2}),11))),"OK","AVISO: dígito verificador (conferir na org)"))))</f>
      </c>
      <c r="I1489" s="6">
        <f>IF(G1489="","",IF(COUNTIF($G$2:$G$2001,G1489)&gt;1,"DUPLICADO","OK"))</f>
      </c>
      <c r="J1489" s="6">
        <f>IF(COUNTA(A1489:F1489)=0,"",IF(AND(A1489&lt;&gt;"",E1489&lt;&gt;""),"OK","ERRO: faltam "&amp;IF(A1489="","CNPJ; ","")&amp;IF(E1489="","Novo gerente; ","")))</f>
      </c>
      <c r="K1489" s="6">
        <f>IF(COUNTA(A1489:F1489)=0,"",IF(AND(LEFT(H1489,4)&lt;&gt;"ERRO",I1489="OK",J1489="OK"),"OK","REVISAR"))</f>
      </c>
    </row>
    <row r="1490">
      <c r="A1490" s="5"/>
      <c r="B1490" s="4"/>
      <c r="C1490" s="4"/>
      <c r="D1490" s="4"/>
      <c r="E1490" s="5"/>
      <c r="F1490" s="4"/>
      <c r="G1490" s="6">
        <f>IF(A1490="","",SUBSTITUTE(SUBSTITUTE(SUBSTITUTE(SUBSTITUTE(SUBSTITUTE(SUBSTITUTE(SUBSTITUTE(TRIM(A1490),".",""),"/",""),"-","")," ",""),"(",""),")",""),"+",""))</f>
      </c>
      <c r="H1490" s="6">
        <f>IF(G1490="","",IF(LEN(G1490)&lt;&gt;14,"ERRO: "&amp;LEN(G1490)&amp;" dígitos",IF(NOT(ISNUMBER(VALUE(G1490))),"ERRO: não numérico",IF(AND(VALUE(MID(G1490,13,1))=IF(MOD(SUMPRODUCT(--MID(G1490,{1,2,3,4,5,6,7,8,9,10,11,12},1),{5,4,3,2,9,8,7,6,5,4,3,2}),11)&lt;2,0,11-MOD(SUMPRODUCT(--MID(G1490,{1,2,3,4,5,6,7,8,9,10,11,12},1),{5,4,3,2,9,8,7,6,5,4,3,2}),11)),VALUE(MID(G1490,14,1))=IF(MOD(SUMPRODUCT(--MID(G1490,{1,2,3,4,5,6,7,8,9,10,11,12,13},1),{6,5,4,3,2,9,8,7,6,5,4,3,2}),11)&lt;2,0,11-MOD(SUMPRODUCT(--MID(G1490,{1,2,3,4,5,6,7,8,9,10,11,12,13},1),{6,5,4,3,2,9,8,7,6,5,4,3,2}),11))),"OK","AVISO: dígito verificador (conferir na org)"))))</f>
      </c>
      <c r="I1490" s="6">
        <f>IF(G1490="","",IF(COUNTIF($G$2:$G$2001,G1490)&gt;1,"DUPLICADO","OK"))</f>
      </c>
      <c r="J1490" s="6">
        <f>IF(COUNTA(A1490:F1490)=0,"",IF(AND(A1490&lt;&gt;"",E1490&lt;&gt;""),"OK","ERRO: faltam "&amp;IF(A1490="","CNPJ; ","")&amp;IF(E1490="","Novo gerente; ","")))</f>
      </c>
      <c r="K1490" s="6">
        <f>IF(COUNTA(A1490:F1490)=0,"",IF(AND(LEFT(H1490,4)&lt;&gt;"ERRO",I1490="OK",J1490="OK"),"OK","REVISAR"))</f>
      </c>
    </row>
    <row r="1491">
      <c r="A1491" s="5"/>
      <c r="B1491" s="4"/>
      <c r="C1491" s="4"/>
      <c r="D1491" s="4"/>
      <c r="E1491" s="5"/>
      <c r="F1491" s="4"/>
      <c r="G1491" s="6">
        <f>IF(A1491="","",SUBSTITUTE(SUBSTITUTE(SUBSTITUTE(SUBSTITUTE(SUBSTITUTE(SUBSTITUTE(SUBSTITUTE(TRIM(A1491),".",""),"/",""),"-","")," ",""),"(",""),")",""),"+",""))</f>
      </c>
      <c r="H1491" s="6">
        <f>IF(G1491="","",IF(LEN(G1491)&lt;&gt;14,"ERRO: "&amp;LEN(G1491)&amp;" dígitos",IF(NOT(ISNUMBER(VALUE(G1491))),"ERRO: não numérico",IF(AND(VALUE(MID(G1491,13,1))=IF(MOD(SUMPRODUCT(--MID(G1491,{1,2,3,4,5,6,7,8,9,10,11,12},1),{5,4,3,2,9,8,7,6,5,4,3,2}),11)&lt;2,0,11-MOD(SUMPRODUCT(--MID(G1491,{1,2,3,4,5,6,7,8,9,10,11,12},1),{5,4,3,2,9,8,7,6,5,4,3,2}),11)),VALUE(MID(G1491,14,1))=IF(MOD(SUMPRODUCT(--MID(G1491,{1,2,3,4,5,6,7,8,9,10,11,12,13},1),{6,5,4,3,2,9,8,7,6,5,4,3,2}),11)&lt;2,0,11-MOD(SUMPRODUCT(--MID(G1491,{1,2,3,4,5,6,7,8,9,10,11,12,13},1),{6,5,4,3,2,9,8,7,6,5,4,3,2}),11))),"OK","AVISO: dígito verificador (conferir na org)"))))</f>
      </c>
      <c r="I1491" s="6">
        <f>IF(G1491="","",IF(COUNTIF($G$2:$G$2001,G1491)&gt;1,"DUPLICADO","OK"))</f>
      </c>
      <c r="J1491" s="6">
        <f>IF(COUNTA(A1491:F1491)=0,"",IF(AND(A1491&lt;&gt;"",E1491&lt;&gt;""),"OK","ERRO: faltam "&amp;IF(A1491="","CNPJ; ","")&amp;IF(E1491="","Novo gerente; ","")))</f>
      </c>
      <c r="K1491" s="6">
        <f>IF(COUNTA(A1491:F1491)=0,"",IF(AND(LEFT(H1491,4)&lt;&gt;"ERRO",I1491="OK",J1491="OK"),"OK","REVISAR"))</f>
      </c>
    </row>
    <row r="1492">
      <c r="A1492" s="5"/>
      <c r="B1492" s="4"/>
      <c r="C1492" s="4"/>
      <c r="D1492" s="4"/>
      <c r="E1492" s="5"/>
      <c r="F1492" s="4"/>
      <c r="G1492" s="6">
        <f>IF(A1492="","",SUBSTITUTE(SUBSTITUTE(SUBSTITUTE(SUBSTITUTE(SUBSTITUTE(SUBSTITUTE(SUBSTITUTE(TRIM(A1492),".",""),"/",""),"-","")," ",""),"(",""),")",""),"+",""))</f>
      </c>
      <c r="H1492" s="6">
        <f>IF(G1492="","",IF(LEN(G1492)&lt;&gt;14,"ERRO: "&amp;LEN(G1492)&amp;" dígitos",IF(NOT(ISNUMBER(VALUE(G1492))),"ERRO: não numérico",IF(AND(VALUE(MID(G1492,13,1))=IF(MOD(SUMPRODUCT(--MID(G1492,{1,2,3,4,5,6,7,8,9,10,11,12},1),{5,4,3,2,9,8,7,6,5,4,3,2}),11)&lt;2,0,11-MOD(SUMPRODUCT(--MID(G1492,{1,2,3,4,5,6,7,8,9,10,11,12},1),{5,4,3,2,9,8,7,6,5,4,3,2}),11)),VALUE(MID(G1492,14,1))=IF(MOD(SUMPRODUCT(--MID(G1492,{1,2,3,4,5,6,7,8,9,10,11,12,13},1),{6,5,4,3,2,9,8,7,6,5,4,3,2}),11)&lt;2,0,11-MOD(SUMPRODUCT(--MID(G1492,{1,2,3,4,5,6,7,8,9,10,11,12,13},1),{6,5,4,3,2,9,8,7,6,5,4,3,2}),11))),"OK","AVISO: dígito verificador (conferir na org)"))))</f>
      </c>
      <c r="I1492" s="6">
        <f>IF(G1492="","",IF(COUNTIF($G$2:$G$2001,G1492)&gt;1,"DUPLICADO","OK"))</f>
      </c>
      <c r="J1492" s="6">
        <f>IF(COUNTA(A1492:F1492)=0,"",IF(AND(A1492&lt;&gt;"",E1492&lt;&gt;""),"OK","ERRO: faltam "&amp;IF(A1492="","CNPJ; ","")&amp;IF(E1492="","Novo gerente; ","")))</f>
      </c>
      <c r="K1492" s="6">
        <f>IF(COUNTA(A1492:F1492)=0,"",IF(AND(LEFT(H1492,4)&lt;&gt;"ERRO",I1492="OK",J1492="OK"),"OK","REVISAR"))</f>
      </c>
    </row>
    <row r="1493">
      <c r="A1493" s="5"/>
      <c r="B1493" s="4"/>
      <c r="C1493" s="4"/>
      <c r="D1493" s="4"/>
      <c r="E1493" s="5"/>
      <c r="F1493" s="4"/>
      <c r="G1493" s="6">
        <f>IF(A1493="","",SUBSTITUTE(SUBSTITUTE(SUBSTITUTE(SUBSTITUTE(SUBSTITUTE(SUBSTITUTE(SUBSTITUTE(TRIM(A1493),".",""),"/",""),"-","")," ",""),"(",""),")",""),"+",""))</f>
      </c>
      <c r="H1493" s="6">
        <f>IF(G1493="","",IF(LEN(G1493)&lt;&gt;14,"ERRO: "&amp;LEN(G1493)&amp;" dígitos",IF(NOT(ISNUMBER(VALUE(G1493))),"ERRO: não numérico",IF(AND(VALUE(MID(G1493,13,1))=IF(MOD(SUMPRODUCT(--MID(G1493,{1,2,3,4,5,6,7,8,9,10,11,12},1),{5,4,3,2,9,8,7,6,5,4,3,2}),11)&lt;2,0,11-MOD(SUMPRODUCT(--MID(G1493,{1,2,3,4,5,6,7,8,9,10,11,12},1),{5,4,3,2,9,8,7,6,5,4,3,2}),11)),VALUE(MID(G1493,14,1))=IF(MOD(SUMPRODUCT(--MID(G1493,{1,2,3,4,5,6,7,8,9,10,11,12,13},1),{6,5,4,3,2,9,8,7,6,5,4,3,2}),11)&lt;2,0,11-MOD(SUMPRODUCT(--MID(G1493,{1,2,3,4,5,6,7,8,9,10,11,12,13},1),{6,5,4,3,2,9,8,7,6,5,4,3,2}),11))),"OK","AVISO: dígito verificador (conferir na org)"))))</f>
      </c>
      <c r="I1493" s="6">
        <f>IF(G1493="","",IF(COUNTIF($G$2:$G$2001,G1493)&gt;1,"DUPLICADO","OK"))</f>
      </c>
      <c r="J1493" s="6">
        <f>IF(COUNTA(A1493:F1493)=0,"",IF(AND(A1493&lt;&gt;"",E1493&lt;&gt;""),"OK","ERRO: faltam "&amp;IF(A1493="","CNPJ; ","")&amp;IF(E1493="","Novo gerente; ","")))</f>
      </c>
      <c r="K1493" s="6">
        <f>IF(COUNTA(A1493:F1493)=0,"",IF(AND(LEFT(H1493,4)&lt;&gt;"ERRO",I1493="OK",J1493="OK"),"OK","REVISAR"))</f>
      </c>
    </row>
    <row r="1494">
      <c r="A1494" s="5"/>
      <c r="B1494" s="4"/>
      <c r="C1494" s="4"/>
      <c r="D1494" s="4"/>
      <c r="E1494" s="5"/>
      <c r="F1494" s="4"/>
      <c r="G1494" s="6">
        <f>IF(A1494="","",SUBSTITUTE(SUBSTITUTE(SUBSTITUTE(SUBSTITUTE(SUBSTITUTE(SUBSTITUTE(SUBSTITUTE(TRIM(A1494),".",""),"/",""),"-","")," ",""),"(",""),")",""),"+",""))</f>
      </c>
      <c r="H1494" s="6">
        <f>IF(G1494="","",IF(LEN(G1494)&lt;&gt;14,"ERRO: "&amp;LEN(G1494)&amp;" dígitos",IF(NOT(ISNUMBER(VALUE(G1494))),"ERRO: não numérico",IF(AND(VALUE(MID(G1494,13,1))=IF(MOD(SUMPRODUCT(--MID(G1494,{1,2,3,4,5,6,7,8,9,10,11,12},1),{5,4,3,2,9,8,7,6,5,4,3,2}),11)&lt;2,0,11-MOD(SUMPRODUCT(--MID(G1494,{1,2,3,4,5,6,7,8,9,10,11,12},1),{5,4,3,2,9,8,7,6,5,4,3,2}),11)),VALUE(MID(G1494,14,1))=IF(MOD(SUMPRODUCT(--MID(G1494,{1,2,3,4,5,6,7,8,9,10,11,12,13},1),{6,5,4,3,2,9,8,7,6,5,4,3,2}),11)&lt;2,0,11-MOD(SUMPRODUCT(--MID(G1494,{1,2,3,4,5,6,7,8,9,10,11,12,13},1),{6,5,4,3,2,9,8,7,6,5,4,3,2}),11))),"OK","AVISO: dígito verificador (conferir na org)"))))</f>
      </c>
      <c r="I1494" s="6">
        <f>IF(G1494="","",IF(COUNTIF($G$2:$G$2001,G1494)&gt;1,"DUPLICADO","OK"))</f>
      </c>
      <c r="J1494" s="6">
        <f>IF(COUNTA(A1494:F1494)=0,"",IF(AND(A1494&lt;&gt;"",E1494&lt;&gt;""),"OK","ERRO: faltam "&amp;IF(A1494="","CNPJ; ","")&amp;IF(E1494="","Novo gerente; ","")))</f>
      </c>
      <c r="K1494" s="6">
        <f>IF(COUNTA(A1494:F1494)=0,"",IF(AND(LEFT(H1494,4)&lt;&gt;"ERRO",I1494="OK",J1494="OK"),"OK","REVISAR"))</f>
      </c>
    </row>
    <row r="1495">
      <c r="A1495" s="5"/>
      <c r="B1495" s="4"/>
      <c r="C1495" s="4"/>
      <c r="D1495" s="4"/>
      <c r="E1495" s="5"/>
      <c r="F1495" s="4"/>
      <c r="G1495" s="6">
        <f>IF(A1495="","",SUBSTITUTE(SUBSTITUTE(SUBSTITUTE(SUBSTITUTE(SUBSTITUTE(SUBSTITUTE(SUBSTITUTE(TRIM(A1495),".",""),"/",""),"-","")," ",""),"(",""),")",""),"+",""))</f>
      </c>
      <c r="H1495" s="6">
        <f>IF(G1495="","",IF(LEN(G1495)&lt;&gt;14,"ERRO: "&amp;LEN(G1495)&amp;" dígitos",IF(NOT(ISNUMBER(VALUE(G1495))),"ERRO: não numérico",IF(AND(VALUE(MID(G1495,13,1))=IF(MOD(SUMPRODUCT(--MID(G1495,{1,2,3,4,5,6,7,8,9,10,11,12},1),{5,4,3,2,9,8,7,6,5,4,3,2}),11)&lt;2,0,11-MOD(SUMPRODUCT(--MID(G1495,{1,2,3,4,5,6,7,8,9,10,11,12},1),{5,4,3,2,9,8,7,6,5,4,3,2}),11)),VALUE(MID(G1495,14,1))=IF(MOD(SUMPRODUCT(--MID(G1495,{1,2,3,4,5,6,7,8,9,10,11,12,13},1),{6,5,4,3,2,9,8,7,6,5,4,3,2}),11)&lt;2,0,11-MOD(SUMPRODUCT(--MID(G1495,{1,2,3,4,5,6,7,8,9,10,11,12,13},1),{6,5,4,3,2,9,8,7,6,5,4,3,2}),11))),"OK","AVISO: dígito verificador (conferir na org)"))))</f>
      </c>
      <c r="I1495" s="6">
        <f>IF(G1495="","",IF(COUNTIF($G$2:$G$2001,G1495)&gt;1,"DUPLICADO","OK"))</f>
      </c>
      <c r="J1495" s="6">
        <f>IF(COUNTA(A1495:F1495)=0,"",IF(AND(A1495&lt;&gt;"",E1495&lt;&gt;""),"OK","ERRO: faltam "&amp;IF(A1495="","CNPJ; ","")&amp;IF(E1495="","Novo gerente; ","")))</f>
      </c>
      <c r="K1495" s="6">
        <f>IF(COUNTA(A1495:F1495)=0,"",IF(AND(LEFT(H1495,4)&lt;&gt;"ERRO",I1495="OK",J1495="OK"),"OK","REVISAR"))</f>
      </c>
    </row>
    <row r="1496">
      <c r="A1496" s="5"/>
      <c r="B1496" s="4"/>
      <c r="C1496" s="4"/>
      <c r="D1496" s="4"/>
      <c r="E1496" s="5"/>
      <c r="F1496" s="4"/>
      <c r="G1496" s="6">
        <f>IF(A1496="","",SUBSTITUTE(SUBSTITUTE(SUBSTITUTE(SUBSTITUTE(SUBSTITUTE(SUBSTITUTE(SUBSTITUTE(TRIM(A1496),".",""),"/",""),"-","")," ",""),"(",""),")",""),"+",""))</f>
      </c>
      <c r="H1496" s="6">
        <f>IF(G1496="","",IF(LEN(G1496)&lt;&gt;14,"ERRO: "&amp;LEN(G1496)&amp;" dígitos",IF(NOT(ISNUMBER(VALUE(G1496))),"ERRO: não numérico",IF(AND(VALUE(MID(G1496,13,1))=IF(MOD(SUMPRODUCT(--MID(G1496,{1,2,3,4,5,6,7,8,9,10,11,12},1),{5,4,3,2,9,8,7,6,5,4,3,2}),11)&lt;2,0,11-MOD(SUMPRODUCT(--MID(G1496,{1,2,3,4,5,6,7,8,9,10,11,12},1),{5,4,3,2,9,8,7,6,5,4,3,2}),11)),VALUE(MID(G1496,14,1))=IF(MOD(SUMPRODUCT(--MID(G1496,{1,2,3,4,5,6,7,8,9,10,11,12,13},1),{6,5,4,3,2,9,8,7,6,5,4,3,2}),11)&lt;2,0,11-MOD(SUMPRODUCT(--MID(G1496,{1,2,3,4,5,6,7,8,9,10,11,12,13},1),{6,5,4,3,2,9,8,7,6,5,4,3,2}),11))),"OK","AVISO: dígito verificador (conferir na org)"))))</f>
      </c>
      <c r="I1496" s="6">
        <f>IF(G1496="","",IF(COUNTIF($G$2:$G$2001,G1496)&gt;1,"DUPLICADO","OK"))</f>
      </c>
      <c r="J1496" s="6">
        <f>IF(COUNTA(A1496:F1496)=0,"",IF(AND(A1496&lt;&gt;"",E1496&lt;&gt;""),"OK","ERRO: faltam "&amp;IF(A1496="","CNPJ; ","")&amp;IF(E1496="","Novo gerente; ","")))</f>
      </c>
      <c r="K1496" s="6">
        <f>IF(COUNTA(A1496:F1496)=0,"",IF(AND(LEFT(H1496,4)&lt;&gt;"ERRO",I1496="OK",J1496="OK"),"OK","REVISAR"))</f>
      </c>
    </row>
    <row r="1497">
      <c r="A1497" s="5"/>
      <c r="B1497" s="4"/>
      <c r="C1497" s="4"/>
      <c r="D1497" s="4"/>
      <c r="E1497" s="5"/>
      <c r="F1497" s="4"/>
      <c r="G1497" s="6">
        <f>IF(A1497="","",SUBSTITUTE(SUBSTITUTE(SUBSTITUTE(SUBSTITUTE(SUBSTITUTE(SUBSTITUTE(SUBSTITUTE(TRIM(A1497),".",""),"/",""),"-","")," ",""),"(",""),")",""),"+",""))</f>
      </c>
      <c r="H1497" s="6">
        <f>IF(G1497="","",IF(LEN(G1497)&lt;&gt;14,"ERRO: "&amp;LEN(G1497)&amp;" dígitos",IF(NOT(ISNUMBER(VALUE(G1497))),"ERRO: não numérico",IF(AND(VALUE(MID(G1497,13,1))=IF(MOD(SUMPRODUCT(--MID(G1497,{1,2,3,4,5,6,7,8,9,10,11,12},1),{5,4,3,2,9,8,7,6,5,4,3,2}),11)&lt;2,0,11-MOD(SUMPRODUCT(--MID(G1497,{1,2,3,4,5,6,7,8,9,10,11,12},1),{5,4,3,2,9,8,7,6,5,4,3,2}),11)),VALUE(MID(G1497,14,1))=IF(MOD(SUMPRODUCT(--MID(G1497,{1,2,3,4,5,6,7,8,9,10,11,12,13},1),{6,5,4,3,2,9,8,7,6,5,4,3,2}),11)&lt;2,0,11-MOD(SUMPRODUCT(--MID(G1497,{1,2,3,4,5,6,7,8,9,10,11,12,13},1),{6,5,4,3,2,9,8,7,6,5,4,3,2}),11))),"OK","AVISO: dígito verificador (conferir na org)"))))</f>
      </c>
      <c r="I1497" s="6">
        <f>IF(G1497="","",IF(COUNTIF($G$2:$G$2001,G1497)&gt;1,"DUPLICADO","OK"))</f>
      </c>
      <c r="J1497" s="6">
        <f>IF(COUNTA(A1497:F1497)=0,"",IF(AND(A1497&lt;&gt;"",E1497&lt;&gt;""),"OK","ERRO: faltam "&amp;IF(A1497="","CNPJ; ","")&amp;IF(E1497="","Novo gerente; ","")))</f>
      </c>
      <c r="K1497" s="6">
        <f>IF(COUNTA(A1497:F1497)=0,"",IF(AND(LEFT(H1497,4)&lt;&gt;"ERRO",I1497="OK",J1497="OK"),"OK","REVISAR"))</f>
      </c>
    </row>
    <row r="1498">
      <c r="A1498" s="5"/>
      <c r="B1498" s="4"/>
      <c r="C1498" s="4"/>
      <c r="D1498" s="4"/>
      <c r="E1498" s="5"/>
      <c r="F1498" s="4"/>
      <c r="G1498" s="6">
        <f>IF(A1498="","",SUBSTITUTE(SUBSTITUTE(SUBSTITUTE(SUBSTITUTE(SUBSTITUTE(SUBSTITUTE(SUBSTITUTE(TRIM(A1498),".",""),"/",""),"-","")," ",""),"(",""),")",""),"+",""))</f>
      </c>
      <c r="H1498" s="6">
        <f>IF(G1498="","",IF(LEN(G1498)&lt;&gt;14,"ERRO: "&amp;LEN(G1498)&amp;" dígitos",IF(NOT(ISNUMBER(VALUE(G1498))),"ERRO: não numérico",IF(AND(VALUE(MID(G1498,13,1))=IF(MOD(SUMPRODUCT(--MID(G1498,{1,2,3,4,5,6,7,8,9,10,11,12},1),{5,4,3,2,9,8,7,6,5,4,3,2}),11)&lt;2,0,11-MOD(SUMPRODUCT(--MID(G1498,{1,2,3,4,5,6,7,8,9,10,11,12},1),{5,4,3,2,9,8,7,6,5,4,3,2}),11)),VALUE(MID(G1498,14,1))=IF(MOD(SUMPRODUCT(--MID(G1498,{1,2,3,4,5,6,7,8,9,10,11,12,13},1),{6,5,4,3,2,9,8,7,6,5,4,3,2}),11)&lt;2,0,11-MOD(SUMPRODUCT(--MID(G1498,{1,2,3,4,5,6,7,8,9,10,11,12,13},1),{6,5,4,3,2,9,8,7,6,5,4,3,2}),11))),"OK","AVISO: dígito verificador (conferir na org)"))))</f>
      </c>
      <c r="I1498" s="6">
        <f>IF(G1498="","",IF(COUNTIF($G$2:$G$2001,G1498)&gt;1,"DUPLICADO","OK"))</f>
      </c>
      <c r="J1498" s="6">
        <f>IF(COUNTA(A1498:F1498)=0,"",IF(AND(A1498&lt;&gt;"",E1498&lt;&gt;""),"OK","ERRO: faltam "&amp;IF(A1498="","CNPJ; ","")&amp;IF(E1498="","Novo gerente; ","")))</f>
      </c>
      <c r="K1498" s="6">
        <f>IF(COUNTA(A1498:F1498)=0,"",IF(AND(LEFT(H1498,4)&lt;&gt;"ERRO",I1498="OK",J1498="OK"),"OK","REVISAR"))</f>
      </c>
    </row>
    <row r="1499">
      <c r="A1499" s="5"/>
      <c r="B1499" s="4"/>
      <c r="C1499" s="4"/>
      <c r="D1499" s="4"/>
      <c r="E1499" s="5"/>
      <c r="F1499" s="4"/>
      <c r="G1499" s="6">
        <f>IF(A1499="","",SUBSTITUTE(SUBSTITUTE(SUBSTITUTE(SUBSTITUTE(SUBSTITUTE(SUBSTITUTE(SUBSTITUTE(TRIM(A1499),".",""),"/",""),"-","")," ",""),"(",""),")",""),"+",""))</f>
      </c>
      <c r="H1499" s="6">
        <f>IF(G1499="","",IF(LEN(G1499)&lt;&gt;14,"ERRO: "&amp;LEN(G1499)&amp;" dígitos",IF(NOT(ISNUMBER(VALUE(G1499))),"ERRO: não numérico",IF(AND(VALUE(MID(G1499,13,1))=IF(MOD(SUMPRODUCT(--MID(G1499,{1,2,3,4,5,6,7,8,9,10,11,12},1),{5,4,3,2,9,8,7,6,5,4,3,2}),11)&lt;2,0,11-MOD(SUMPRODUCT(--MID(G1499,{1,2,3,4,5,6,7,8,9,10,11,12},1),{5,4,3,2,9,8,7,6,5,4,3,2}),11)),VALUE(MID(G1499,14,1))=IF(MOD(SUMPRODUCT(--MID(G1499,{1,2,3,4,5,6,7,8,9,10,11,12,13},1),{6,5,4,3,2,9,8,7,6,5,4,3,2}),11)&lt;2,0,11-MOD(SUMPRODUCT(--MID(G1499,{1,2,3,4,5,6,7,8,9,10,11,12,13},1),{6,5,4,3,2,9,8,7,6,5,4,3,2}),11))),"OK","AVISO: dígito verificador (conferir na org)"))))</f>
      </c>
      <c r="I1499" s="6">
        <f>IF(G1499="","",IF(COUNTIF($G$2:$G$2001,G1499)&gt;1,"DUPLICADO","OK"))</f>
      </c>
      <c r="J1499" s="6">
        <f>IF(COUNTA(A1499:F1499)=0,"",IF(AND(A1499&lt;&gt;"",E1499&lt;&gt;""),"OK","ERRO: faltam "&amp;IF(A1499="","CNPJ; ","")&amp;IF(E1499="","Novo gerente; ","")))</f>
      </c>
      <c r="K1499" s="6">
        <f>IF(COUNTA(A1499:F1499)=0,"",IF(AND(LEFT(H1499,4)&lt;&gt;"ERRO",I1499="OK",J1499="OK"),"OK","REVISAR"))</f>
      </c>
    </row>
    <row r="1500">
      <c r="A1500" s="5"/>
      <c r="B1500" s="4"/>
      <c r="C1500" s="4"/>
      <c r="D1500" s="4"/>
      <c r="E1500" s="5"/>
      <c r="F1500" s="4"/>
      <c r="G1500" s="6">
        <f>IF(A1500="","",SUBSTITUTE(SUBSTITUTE(SUBSTITUTE(SUBSTITUTE(SUBSTITUTE(SUBSTITUTE(SUBSTITUTE(TRIM(A1500),".",""),"/",""),"-","")," ",""),"(",""),")",""),"+",""))</f>
      </c>
      <c r="H1500" s="6">
        <f>IF(G1500="","",IF(LEN(G1500)&lt;&gt;14,"ERRO: "&amp;LEN(G1500)&amp;" dígitos",IF(NOT(ISNUMBER(VALUE(G1500))),"ERRO: não numérico",IF(AND(VALUE(MID(G1500,13,1))=IF(MOD(SUMPRODUCT(--MID(G1500,{1,2,3,4,5,6,7,8,9,10,11,12},1),{5,4,3,2,9,8,7,6,5,4,3,2}),11)&lt;2,0,11-MOD(SUMPRODUCT(--MID(G1500,{1,2,3,4,5,6,7,8,9,10,11,12},1),{5,4,3,2,9,8,7,6,5,4,3,2}),11)),VALUE(MID(G1500,14,1))=IF(MOD(SUMPRODUCT(--MID(G1500,{1,2,3,4,5,6,7,8,9,10,11,12,13},1),{6,5,4,3,2,9,8,7,6,5,4,3,2}),11)&lt;2,0,11-MOD(SUMPRODUCT(--MID(G1500,{1,2,3,4,5,6,7,8,9,10,11,12,13},1),{6,5,4,3,2,9,8,7,6,5,4,3,2}),11))),"OK","AVISO: dígito verificador (conferir na org)"))))</f>
      </c>
      <c r="I1500" s="6">
        <f>IF(G1500="","",IF(COUNTIF($G$2:$G$2001,G1500)&gt;1,"DUPLICADO","OK"))</f>
      </c>
      <c r="J1500" s="6">
        <f>IF(COUNTA(A1500:F1500)=0,"",IF(AND(A1500&lt;&gt;"",E1500&lt;&gt;""),"OK","ERRO: faltam "&amp;IF(A1500="","CNPJ; ","")&amp;IF(E1500="","Novo gerente; ","")))</f>
      </c>
      <c r="K1500" s="6">
        <f>IF(COUNTA(A1500:F1500)=0,"",IF(AND(LEFT(H1500,4)&lt;&gt;"ERRO",I1500="OK",J1500="OK"),"OK","REVISAR"))</f>
      </c>
    </row>
    <row r="1501">
      <c r="A1501" s="5"/>
      <c r="B1501" s="4"/>
      <c r="C1501" s="4"/>
      <c r="D1501" s="4"/>
      <c r="E1501" s="5"/>
      <c r="F1501" s="4"/>
      <c r="G1501" s="6">
        <f>IF(A1501="","",SUBSTITUTE(SUBSTITUTE(SUBSTITUTE(SUBSTITUTE(SUBSTITUTE(SUBSTITUTE(SUBSTITUTE(TRIM(A1501),".",""),"/",""),"-","")," ",""),"(",""),")",""),"+",""))</f>
      </c>
      <c r="H1501" s="6">
        <f>IF(G1501="","",IF(LEN(G1501)&lt;&gt;14,"ERRO: "&amp;LEN(G1501)&amp;" dígitos",IF(NOT(ISNUMBER(VALUE(G1501))),"ERRO: não numérico",IF(AND(VALUE(MID(G1501,13,1))=IF(MOD(SUMPRODUCT(--MID(G1501,{1,2,3,4,5,6,7,8,9,10,11,12},1),{5,4,3,2,9,8,7,6,5,4,3,2}),11)&lt;2,0,11-MOD(SUMPRODUCT(--MID(G1501,{1,2,3,4,5,6,7,8,9,10,11,12},1),{5,4,3,2,9,8,7,6,5,4,3,2}),11)),VALUE(MID(G1501,14,1))=IF(MOD(SUMPRODUCT(--MID(G1501,{1,2,3,4,5,6,7,8,9,10,11,12,13},1),{6,5,4,3,2,9,8,7,6,5,4,3,2}),11)&lt;2,0,11-MOD(SUMPRODUCT(--MID(G1501,{1,2,3,4,5,6,7,8,9,10,11,12,13},1),{6,5,4,3,2,9,8,7,6,5,4,3,2}),11))),"OK","AVISO: dígito verificador (conferir na org)"))))</f>
      </c>
      <c r="I1501" s="6">
        <f>IF(G1501="","",IF(COUNTIF($G$2:$G$2001,G1501)&gt;1,"DUPLICADO","OK"))</f>
      </c>
      <c r="J1501" s="6">
        <f>IF(COUNTA(A1501:F1501)=0,"",IF(AND(A1501&lt;&gt;"",E1501&lt;&gt;""),"OK","ERRO: faltam "&amp;IF(A1501="","CNPJ; ","")&amp;IF(E1501="","Novo gerente; ","")))</f>
      </c>
      <c r="K1501" s="6">
        <f>IF(COUNTA(A1501:F1501)=0,"",IF(AND(LEFT(H1501,4)&lt;&gt;"ERRO",I1501="OK",J1501="OK"),"OK","REVISAR"))</f>
      </c>
    </row>
    <row r="1502">
      <c r="A1502" s="5"/>
      <c r="B1502" s="4"/>
      <c r="C1502" s="4"/>
      <c r="D1502" s="4"/>
      <c r="E1502" s="5"/>
      <c r="F1502" s="4"/>
      <c r="G1502" s="6">
        <f>IF(A1502="","",SUBSTITUTE(SUBSTITUTE(SUBSTITUTE(SUBSTITUTE(SUBSTITUTE(SUBSTITUTE(SUBSTITUTE(TRIM(A1502),".",""),"/",""),"-","")," ",""),"(",""),")",""),"+",""))</f>
      </c>
      <c r="H1502" s="6">
        <f>IF(G1502="","",IF(LEN(G1502)&lt;&gt;14,"ERRO: "&amp;LEN(G1502)&amp;" dígitos",IF(NOT(ISNUMBER(VALUE(G1502))),"ERRO: não numérico",IF(AND(VALUE(MID(G1502,13,1))=IF(MOD(SUMPRODUCT(--MID(G1502,{1,2,3,4,5,6,7,8,9,10,11,12},1),{5,4,3,2,9,8,7,6,5,4,3,2}),11)&lt;2,0,11-MOD(SUMPRODUCT(--MID(G1502,{1,2,3,4,5,6,7,8,9,10,11,12},1),{5,4,3,2,9,8,7,6,5,4,3,2}),11)),VALUE(MID(G1502,14,1))=IF(MOD(SUMPRODUCT(--MID(G1502,{1,2,3,4,5,6,7,8,9,10,11,12,13},1),{6,5,4,3,2,9,8,7,6,5,4,3,2}),11)&lt;2,0,11-MOD(SUMPRODUCT(--MID(G1502,{1,2,3,4,5,6,7,8,9,10,11,12,13},1),{6,5,4,3,2,9,8,7,6,5,4,3,2}),11))),"OK","AVISO: dígito verificador (conferir na org)"))))</f>
      </c>
      <c r="I1502" s="6">
        <f>IF(G1502="","",IF(COUNTIF($G$2:$G$2001,G1502)&gt;1,"DUPLICADO","OK"))</f>
      </c>
      <c r="J1502" s="6">
        <f>IF(COUNTA(A1502:F1502)=0,"",IF(AND(A1502&lt;&gt;"",E1502&lt;&gt;""),"OK","ERRO: faltam "&amp;IF(A1502="","CNPJ; ","")&amp;IF(E1502="","Novo gerente; ","")))</f>
      </c>
      <c r="K1502" s="6">
        <f>IF(COUNTA(A1502:F1502)=0,"",IF(AND(LEFT(H1502,4)&lt;&gt;"ERRO",I1502="OK",J1502="OK"),"OK","REVISAR"))</f>
      </c>
    </row>
    <row r="1503">
      <c r="A1503" s="5"/>
      <c r="B1503" s="4"/>
      <c r="C1503" s="4"/>
      <c r="D1503" s="4"/>
      <c r="E1503" s="5"/>
      <c r="F1503" s="4"/>
      <c r="G1503" s="6">
        <f>IF(A1503="","",SUBSTITUTE(SUBSTITUTE(SUBSTITUTE(SUBSTITUTE(SUBSTITUTE(SUBSTITUTE(SUBSTITUTE(TRIM(A1503),".",""),"/",""),"-","")," ",""),"(",""),")",""),"+",""))</f>
      </c>
      <c r="H1503" s="6">
        <f>IF(G1503="","",IF(LEN(G1503)&lt;&gt;14,"ERRO: "&amp;LEN(G1503)&amp;" dígitos",IF(NOT(ISNUMBER(VALUE(G1503))),"ERRO: não numérico",IF(AND(VALUE(MID(G1503,13,1))=IF(MOD(SUMPRODUCT(--MID(G1503,{1,2,3,4,5,6,7,8,9,10,11,12},1),{5,4,3,2,9,8,7,6,5,4,3,2}),11)&lt;2,0,11-MOD(SUMPRODUCT(--MID(G1503,{1,2,3,4,5,6,7,8,9,10,11,12},1),{5,4,3,2,9,8,7,6,5,4,3,2}),11)),VALUE(MID(G1503,14,1))=IF(MOD(SUMPRODUCT(--MID(G1503,{1,2,3,4,5,6,7,8,9,10,11,12,13},1),{6,5,4,3,2,9,8,7,6,5,4,3,2}),11)&lt;2,0,11-MOD(SUMPRODUCT(--MID(G1503,{1,2,3,4,5,6,7,8,9,10,11,12,13},1),{6,5,4,3,2,9,8,7,6,5,4,3,2}),11))),"OK","AVISO: dígito verificador (conferir na org)"))))</f>
      </c>
      <c r="I1503" s="6">
        <f>IF(G1503="","",IF(COUNTIF($G$2:$G$2001,G1503)&gt;1,"DUPLICADO","OK"))</f>
      </c>
      <c r="J1503" s="6">
        <f>IF(COUNTA(A1503:F1503)=0,"",IF(AND(A1503&lt;&gt;"",E1503&lt;&gt;""),"OK","ERRO: faltam "&amp;IF(A1503="","CNPJ; ","")&amp;IF(E1503="","Novo gerente; ","")))</f>
      </c>
      <c r="K1503" s="6">
        <f>IF(COUNTA(A1503:F1503)=0,"",IF(AND(LEFT(H1503,4)&lt;&gt;"ERRO",I1503="OK",J1503="OK"),"OK","REVISAR"))</f>
      </c>
    </row>
    <row r="1504">
      <c r="A1504" s="5"/>
      <c r="B1504" s="4"/>
      <c r="C1504" s="4"/>
      <c r="D1504" s="4"/>
      <c r="E1504" s="5"/>
      <c r="F1504" s="4"/>
      <c r="G1504" s="6">
        <f>IF(A1504="","",SUBSTITUTE(SUBSTITUTE(SUBSTITUTE(SUBSTITUTE(SUBSTITUTE(SUBSTITUTE(SUBSTITUTE(TRIM(A1504),".",""),"/",""),"-","")," ",""),"(",""),")",""),"+",""))</f>
      </c>
      <c r="H1504" s="6">
        <f>IF(G1504="","",IF(LEN(G1504)&lt;&gt;14,"ERRO: "&amp;LEN(G1504)&amp;" dígitos",IF(NOT(ISNUMBER(VALUE(G1504))),"ERRO: não numérico",IF(AND(VALUE(MID(G1504,13,1))=IF(MOD(SUMPRODUCT(--MID(G1504,{1,2,3,4,5,6,7,8,9,10,11,12},1),{5,4,3,2,9,8,7,6,5,4,3,2}),11)&lt;2,0,11-MOD(SUMPRODUCT(--MID(G1504,{1,2,3,4,5,6,7,8,9,10,11,12},1),{5,4,3,2,9,8,7,6,5,4,3,2}),11)),VALUE(MID(G1504,14,1))=IF(MOD(SUMPRODUCT(--MID(G1504,{1,2,3,4,5,6,7,8,9,10,11,12,13},1),{6,5,4,3,2,9,8,7,6,5,4,3,2}),11)&lt;2,0,11-MOD(SUMPRODUCT(--MID(G1504,{1,2,3,4,5,6,7,8,9,10,11,12,13},1),{6,5,4,3,2,9,8,7,6,5,4,3,2}),11))),"OK","AVISO: dígito verificador (conferir na org)"))))</f>
      </c>
      <c r="I1504" s="6">
        <f>IF(G1504="","",IF(COUNTIF($G$2:$G$2001,G1504)&gt;1,"DUPLICADO","OK"))</f>
      </c>
      <c r="J1504" s="6">
        <f>IF(COUNTA(A1504:F1504)=0,"",IF(AND(A1504&lt;&gt;"",E1504&lt;&gt;""),"OK","ERRO: faltam "&amp;IF(A1504="","CNPJ; ","")&amp;IF(E1504="","Novo gerente; ","")))</f>
      </c>
      <c r="K1504" s="6">
        <f>IF(COUNTA(A1504:F1504)=0,"",IF(AND(LEFT(H1504,4)&lt;&gt;"ERRO",I1504="OK",J1504="OK"),"OK","REVISAR"))</f>
      </c>
    </row>
    <row r="1505">
      <c r="A1505" s="5"/>
      <c r="B1505" s="4"/>
      <c r="C1505" s="4"/>
      <c r="D1505" s="4"/>
      <c r="E1505" s="5"/>
      <c r="F1505" s="4"/>
      <c r="G1505" s="6">
        <f>IF(A1505="","",SUBSTITUTE(SUBSTITUTE(SUBSTITUTE(SUBSTITUTE(SUBSTITUTE(SUBSTITUTE(SUBSTITUTE(TRIM(A1505),".",""),"/",""),"-","")," ",""),"(",""),")",""),"+",""))</f>
      </c>
      <c r="H1505" s="6">
        <f>IF(G1505="","",IF(LEN(G1505)&lt;&gt;14,"ERRO: "&amp;LEN(G1505)&amp;" dígitos",IF(NOT(ISNUMBER(VALUE(G1505))),"ERRO: não numérico",IF(AND(VALUE(MID(G1505,13,1))=IF(MOD(SUMPRODUCT(--MID(G1505,{1,2,3,4,5,6,7,8,9,10,11,12},1),{5,4,3,2,9,8,7,6,5,4,3,2}),11)&lt;2,0,11-MOD(SUMPRODUCT(--MID(G1505,{1,2,3,4,5,6,7,8,9,10,11,12},1),{5,4,3,2,9,8,7,6,5,4,3,2}),11)),VALUE(MID(G1505,14,1))=IF(MOD(SUMPRODUCT(--MID(G1505,{1,2,3,4,5,6,7,8,9,10,11,12,13},1),{6,5,4,3,2,9,8,7,6,5,4,3,2}),11)&lt;2,0,11-MOD(SUMPRODUCT(--MID(G1505,{1,2,3,4,5,6,7,8,9,10,11,12,13},1),{6,5,4,3,2,9,8,7,6,5,4,3,2}),11))),"OK","AVISO: dígito verificador (conferir na org)"))))</f>
      </c>
      <c r="I1505" s="6">
        <f>IF(G1505="","",IF(COUNTIF($G$2:$G$2001,G1505)&gt;1,"DUPLICADO","OK"))</f>
      </c>
      <c r="J1505" s="6">
        <f>IF(COUNTA(A1505:F1505)=0,"",IF(AND(A1505&lt;&gt;"",E1505&lt;&gt;""),"OK","ERRO: faltam "&amp;IF(A1505="","CNPJ; ","")&amp;IF(E1505="","Novo gerente; ","")))</f>
      </c>
      <c r="K1505" s="6">
        <f>IF(COUNTA(A1505:F1505)=0,"",IF(AND(LEFT(H1505,4)&lt;&gt;"ERRO",I1505="OK",J1505="OK"),"OK","REVISAR"))</f>
      </c>
    </row>
    <row r="1506">
      <c r="A1506" s="5"/>
      <c r="B1506" s="4"/>
      <c r="C1506" s="4"/>
      <c r="D1506" s="4"/>
      <c r="E1506" s="5"/>
      <c r="F1506" s="4"/>
      <c r="G1506" s="6">
        <f>IF(A1506="","",SUBSTITUTE(SUBSTITUTE(SUBSTITUTE(SUBSTITUTE(SUBSTITUTE(SUBSTITUTE(SUBSTITUTE(TRIM(A1506),".",""),"/",""),"-","")," ",""),"(",""),")",""),"+",""))</f>
      </c>
      <c r="H1506" s="6">
        <f>IF(G1506="","",IF(LEN(G1506)&lt;&gt;14,"ERRO: "&amp;LEN(G1506)&amp;" dígitos",IF(NOT(ISNUMBER(VALUE(G1506))),"ERRO: não numérico",IF(AND(VALUE(MID(G1506,13,1))=IF(MOD(SUMPRODUCT(--MID(G1506,{1,2,3,4,5,6,7,8,9,10,11,12},1),{5,4,3,2,9,8,7,6,5,4,3,2}),11)&lt;2,0,11-MOD(SUMPRODUCT(--MID(G1506,{1,2,3,4,5,6,7,8,9,10,11,12},1),{5,4,3,2,9,8,7,6,5,4,3,2}),11)),VALUE(MID(G1506,14,1))=IF(MOD(SUMPRODUCT(--MID(G1506,{1,2,3,4,5,6,7,8,9,10,11,12,13},1),{6,5,4,3,2,9,8,7,6,5,4,3,2}),11)&lt;2,0,11-MOD(SUMPRODUCT(--MID(G1506,{1,2,3,4,5,6,7,8,9,10,11,12,13},1),{6,5,4,3,2,9,8,7,6,5,4,3,2}),11))),"OK","AVISO: dígito verificador (conferir na org)"))))</f>
      </c>
      <c r="I1506" s="6">
        <f>IF(G1506="","",IF(COUNTIF($G$2:$G$2001,G1506)&gt;1,"DUPLICADO","OK"))</f>
      </c>
      <c r="J1506" s="6">
        <f>IF(COUNTA(A1506:F1506)=0,"",IF(AND(A1506&lt;&gt;"",E1506&lt;&gt;""),"OK","ERRO: faltam "&amp;IF(A1506="","CNPJ; ","")&amp;IF(E1506="","Novo gerente; ","")))</f>
      </c>
      <c r="K1506" s="6">
        <f>IF(COUNTA(A1506:F1506)=0,"",IF(AND(LEFT(H1506,4)&lt;&gt;"ERRO",I1506="OK",J1506="OK"),"OK","REVISAR"))</f>
      </c>
    </row>
    <row r="1507">
      <c r="A1507" s="5"/>
      <c r="B1507" s="4"/>
      <c r="C1507" s="4"/>
      <c r="D1507" s="4"/>
      <c r="E1507" s="5"/>
      <c r="F1507" s="4"/>
      <c r="G1507" s="6">
        <f>IF(A1507="","",SUBSTITUTE(SUBSTITUTE(SUBSTITUTE(SUBSTITUTE(SUBSTITUTE(SUBSTITUTE(SUBSTITUTE(TRIM(A1507),".",""),"/",""),"-","")," ",""),"(",""),")",""),"+",""))</f>
      </c>
      <c r="H1507" s="6">
        <f>IF(G1507="","",IF(LEN(G1507)&lt;&gt;14,"ERRO: "&amp;LEN(G1507)&amp;" dígitos",IF(NOT(ISNUMBER(VALUE(G1507))),"ERRO: não numérico",IF(AND(VALUE(MID(G1507,13,1))=IF(MOD(SUMPRODUCT(--MID(G1507,{1,2,3,4,5,6,7,8,9,10,11,12},1),{5,4,3,2,9,8,7,6,5,4,3,2}),11)&lt;2,0,11-MOD(SUMPRODUCT(--MID(G1507,{1,2,3,4,5,6,7,8,9,10,11,12},1),{5,4,3,2,9,8,7,6,5,4,3,2}),11)),VALUE(MID(G1507,14,1))=IF(MOD(SUMPRODUCT(--MID(G1507,{1,2,3,4,5,6,7,8,9,10,11,12,13},1),{6,5,4,3,2,9,8,7,6,5,4,3,2}),11)&lt;2,0,11-MOD(SUMPRODUCT(--MID(G1507,{1,2,3,4,5,6,7,8,9,10,11,12,13},1),{6,5,4,3,2,9,8,7,6,5,4,3,2}),11))),"OK","AVISO: dígito verificador (conferir na org)"))))</f>
      </c>
      <c r="I1507" s="6">
        <f>IF(G1507="","",IF(COUNTIF($G$2:$G$2001,G1507)&gt;1,"DUPLICADO","OK"))</f>
      </c>
      <c r="J1507" s="6">
        <f>IF(COUNTA(A1507:F1507)=0,"",IF(AND(A1507&lt;&gt;"",E1507&lt;&gt;""),"OK","ERRO: faltam "&amp;IF(A1507="","CNPJ; ","")&amp;IF(E1507="","Novo gerente; ","")))</f>
      </c>
      <c r="K1507" s="6">
        <f>IF(COUNTA(A1507:F1507)=0,"",IF(AND(LEFT(H1507,4)&lt;&gt;"ERRO",I1507="OK",J1507="OK"),"OK","REVISAR"))</f>
      </c>
    </row>
    <row r="1508">
      <c r="A1508" s="5"/>
      <c r="B1508" s="4"/>
      <c r="C1508" s="4"/>
      <c r="D1508" s="4"/>
      <c r="E1508" s="5"/>
      <c r="F1508" s="4"/>
      <c r="G1508" s="6">
        <f>IF(A1508="","",SUBSTITUTE(SUBSTITUTE(SUBSTITUTE(SUBSTITUTE(SUBSTITUTE(SUBSTITUTE(SUBSTITUTE(TRIM(A1508),".",""),"/",""),"-","")," ",""),"(",""),")",""),"+",""))</f>
      </c>
      <c r="H1508" s="6">
        <f>IF(G1508="","",IF(LEN(G1508)&lt;&gt;14,"ERRO: "&amp;LEN(G1508)&amp;" dígitos",IF(NOT(ISNUMBER(VALUE(G1508))),"ERRO: não numérico",IF(AND(VALUE(MID(G1508,13,1))=IF(MOD(SUMPRODUCT(--MID(G1508,{1,2,3,4,5,6,7,8,9,10,11,12},1),{5,4,3,2,9,8,7,6,5,4,3,2}),11)&lt;2,0,11-MOD(SUMPRODUCT(--MID(G1508,{1,2,3,4,5,6,7,8,9,10,11,12},1),{5,4,3,2,9,8,7,6,5,4,3,2}),11)),VALUE(MID(G1508,14,1))=IF(MOD(SUMPRODUCT(--MID(G1508,{1,2,3,4,5,6,7,8,9,10,11,12,13},1),{6,5,4,3,2,9,8,7,6,5,4,3,2}),11)&lt;2,0,11-MOD(SUMPRODUCT(--MID(G1508,{1,2,3,4,5,6,7,8,9,10,11,12,13},1),{6,5,4,3,2,9,8,7,6,5,4,3,2}),11))),"OK","AVISO: dígito verificador (conferir na org)"))))</f>
      </c>
      <c r="I1508" s="6">
        <f>IF(G1508="","",IF(COUNTIF($G$2:$G$2001,G1508)&gt;1,"DUPLICADO","OK"))</f>
      </c>
      <c r="J1508" s="6">
        <f>IF(COUNTA(A1508:F1508)=0,"",IF(AND(A1508&lt;&gt;"",E1508&lt;&gt;""),"OK","ERRO: faltam "&amp;IF(A1508="","CNPJ; ","")&amp;IF(E1508="","Novo gerente; ","")))</f>
      </c>
      <c r="K1508" s="6">
        <f>IF(COUNTA(A1508:F1508)=0,"",IF(AND(LEFT(H1508,4)&lt;&gt;"ERRO",I1508="OK",J1508="OK"),"OK","REVISAR"))</f>
      </c>
    </row>
    <row r="1509">
      <c r="A1509" s="5"/>
      <c r="B1509" s="4"/>
      <c r="C1509" s="4"/>
      <c r="D1509" s="4"/>
      <c r="E1509" s="5"/>
      <c r="F1509" s="4"/>
      <c r="G1509" s="6">
        <f>IF(A1509="","",SUBSTITUTE(SUBSTITUTE(SUBSTITUTE(SUBSTITUTE(SUBSTITUTE(SUBSTITUTE(SUBSTITUTE(TRIM(A1509),".",""),"/",""),"-","")," ",""),"(",""),")",""),"+",""))</f>
      </c>
      <c r="H1509" s="6">
        <f>IF(G1509="","",IF(LEN(G1509)&lt;&gt;14,"ERRO: "&amp;LEN(G1509)&amp;" dígitos",IF(NOT(ISNUMBER(VALUE(G1509))),"ERRO: não numérico",IF(AND(VALUE(MID(G1509,13,1))=IF(MOD(SUMPRODUCT(--MID(G1509,{1,2,3,4,5,6,7,8,9,10,11,12},1),{5,4,3,2,9,8,7,6,5,4,3,2}),11)&lt;2,0,11-MOD(SUMPRODUCT(--MID(G1509,{1,2,3,4,5,6,7,8,9,10,11,12},1),{5,4,3,2,9,8,7,6,5,4,3,2}),11)),VALUE(MID(G1509,14,1))=IF(MOD(SUMPRODUCT(--MID(G1509,{1,2,3,4,5,6,7,8,9,10,11,12,13},1),{6,5,4,3,2,9,8,7,6,5,4,3,2}),11)&lt;2,0,11-MOD(SUMPRODUCT(--MID(G1509,{1,2,3,4,5,6,7,8,9,10,11,12,13},1),{6,5,4,3,2,9,8,7,6,5,4,3,2}),11))),"OK","AVISO: dígito verificador (conferir na org)"))))</f>
      </c>
      <c r="I1509" s="6">
        <f>IF(G1509="","",IF(COUNTIF($G$2:$G$2001,G1509)&gt;1,"DUPLICADO","OK"))</f>
      </c>
      <c r="J1509" s="6">
        <f>IF(COUNTA(A1509:F1509)=0,"",IF(AND(A1509&lt;&gt;"",E1509&lt;&gt;""),"OK","ERRO: faltam "&amp;IF(A1509="","CNPJ; ","")&amp;IF(E1509="","Novo gerente; ","")))</f>
      </c>
      <c r="K1509" s="6">
        <f>IF(COUNTA(A1509:F1509)=0,"",IF(AND(LEFT(H1509,4)&lt;&gt;"ERRO",I1509="OK",J1509="OK"),"OK","REVISAR"))</f>
      </c>
    </row>
    <row r="1510">
      <c r="A1510" s="5"/>
      <c r="B1510" s="4"/>
      <c r="C1510" s="4"/>
      <c r="D1510" s="4"/>
      <c r="E1510" s="5"/>
      <c r="F1510" s="4"/>
      <c r="G1510" s="6">
        <f>IF(A1510="","",SUBSTITUTE(SUBSTITUTE(SUBSTITUTE(SUBSTITUTE(SUBSTITUTE(SUBSTITUTE(SUBSTITUTE(TRIM(A1510),".",""),"/",""),"-","")," ",""),"(",""),")",""),"+",""))</f>
      </c>
      <c r="H1510" s="6">
        <f>IF(G1510="","",IF(LEN(G1510)&lt;&gt;14,"ERRO: "&amp;LEN(G1510)&amp;" dígitos",IF(NOT(ISNUMBER(VALUE(G1510))),"ERRO: não numérico",IF(AND(VALUE(MID(G1510,13,1))=IF(MOD(SUMPRODUCT(--MID(G1510,{1,2,3,4,5,6,7,8,9,10,11,12},1),{5,4,3,2,9,8,7,6,5,4,3,2}),11)&lt;2,0,11-MOD(SUMPRODUCT(--MID(G1510,{1,2,3,4,5,6,7,8,9,10,11,12},1),{5,4,3,2,9,8,7,6,5,4,3,2}),11)),VALUE(MID(G1510,14,1))=IF(MOD(SUMPRODUCT(--MID(G1510,{1,2,3,4,5,6,7,8,9,10,11,12,13},1),{6,5,4,3,2,9,8,7,6,5,4,3,2}),11)&lt;2,0,11-MOD(SUMPRODUCT(--MID(G1510,{1,2,3,4,5,6,7,8,9,10,11,12,13},1),{6,5,4,3,2,9,8,7,6,5,4,3,2}),11))),"OK","AVISO: dígito verificador (conferir na org)"))))</f>
      </c>
      <c r="I1510" s="6">
        <f>IF(G1510="","",IF(COUNTIF($G$2:$G$2001,G1510)&gt;1,"DUPLICADO","OK"))</f>
      </c>
      <c r="J1510" s="6">
        <f>IF(COUNTA(A1510:F1510)=0,"",IF(AND(A1510&lt;&gt;"",E1510&lt;&gt;""),"OK","ERRO: faltam "&amp;IF(A1510="","CNPJ; ","")&amp;IF(E1510="","Novo gerente; ","")))</f>
      </c>
      <c r="K1510" s="6">
        <f>IF(COUNTA(A1510:F1510)=0,"",IF(AND(LEFT(H1510,4)&lt;&gt;"ERRO",I1510="OK",J1510="OK"),"OK","REVISAR"))</f>
      </c>
    </row>
    <row r="1511">
      <c r="A1511" s="5"/>
      <c r="B1511" s="4"/>
      <c r="C1511" s="4"/>
      <c r="D1511" s="4"/>
      <c r="E1511" s="5"/>
      <c r="F1511" s="4"/>
      <c r="G1511" s="6">
        <f>IF(A1511="","",SUBSTITUTE(SUBSTITUTE(SUBSTITUTE(SUBSTITUTE(SUBSTITUTE(SUBSTITUTE(SUBSTITUTE(TRIM(A1511),".",""),"/",""),"-","")," ",""),"(",""),")",""),"+",""))</f>
      </c>
      <c r="H1511" s="6">
        <f>IF(G1511="","",IF(LEN(G1511)&lt;&gt;14,"ERRO: "&amp;LEN(G1511)&amp;" dígitos",IF(NOT(ISNUMBER(VALUE(G1511))),"ERRO: não numérico",IF(AND(VALUE(MID(G1511,13,1))=IF(MOD(SUMPRODUCT(--MID(G1511,{1,2,3,4,5,6,7,8,9,10,11,12},1),{5,4,3,2,9,8,7,6,5,4,3,2}),11)&lt;2,0,11-MOD(SUMPRODUCT(--MID(G1511,{1,2,3,4,5,6,7,8,9,10,11,12},1),{5,4,3,2,9,8,7,6,5,4,3,2}),11)),VALUE(MID(G1511,14,1))=IF(MOD(SUMPRODUCT(--MID(G1511,{1,2,3,4,5,6,7,8,9,10,11,12,13},1),{6,5,4,3,2,9,8,7,6,5,4,3,2}),11)&lt;2,0,11-MOD(SUMPRODUCT(--MID(G1511,{1,2,3,4,5,6,7,8,9,10,11,12,13},1),{6,5,4,3,2,9,8,7,6,5,4,3,2}),11))),"OK","AVISO: dígito verificador (conferir na org)"))))</f>
      </c>
      <c r="I1511" s="6">
        <f>IF(G1511="","",IF(COUNTIF($G$2:$G$2001,G1511)&gt;1,"DUPLICADO","OK"))</f>
      </c>
      <c r="J1511" s="6">
        <f>IF(COUNTA(A1511:F1511)=0,"",IF(AND(A1511&lt;&gt;"",E1511&lt;&gt;""),"OK","ERRO: faltam "&amp;IF(A1511="","CNPJ; ","")&amp;IF(E1511="","Novo gerente; ","")))</f>
      </c>
      <c r="K1511" s="6">
        <f>IF(COUNTA(A1511:F1511)=0,"",IF(AND(LEFT(H1511,4)&lt;&gt;"ERRO",I1511="OK",J1511="OK"),"OK","REVISAR"))</f>
      </c>
    </row>
    <row r="1512">
      <c r="A1512" s="5"/>
      <c r="B1512" s="4"/>
      <c r="C1512" s="4"/>
      <c r="D1512" s="4"/>
      <c r="E1512" s="5"/>
      <c r="F1512" s="4"/>
      <c r="G1512" s="6">
        <f>IF(A1512="","",SUBSTITUTE(SUBSTITUTE(SUBSTITUTE(SUBSTITUTE(SUBSTITUTE(SUBSTITUTE(SUBSTITUTE(TRIM(A1512),".",""),"/",""),"-","")," ",""),"(",""),")",""),"+",""))</f>
      </c>
      <c r="H1512" s="6">
        <f>IF(G1512="","",IF(LEN(G1512)&lt;&gt;14,"ERRO: "&amp;LEN(G1512)&amp;" dígitos",IF(NOT(ISNUMBER(VALUE(G1512))),"ERRO: não numérico",IF(AND(VALUE(MID(G1512,13,1))=IF(MOD(SUMPRODUCT(--MID(G1512,{1,2,3,4,5,6,7,8,9,10,11,12},1),{5,4,3,2,9,8,7,6,5,4,3,2}),11)&lt;2,0,11-MOD(SUMPRODUCT(--MID(G1512,{1,2,3,4,5,6,7,8,9,10,11,12},1),{5,4,3,2,9,8,7,6,5,4,3,2}),11)),VALUE(MID(G1512,14,1))=IF(MOD(SUMPRODUCT(--MID(G1512,{1,2,3,4,5,6,7,8,9,10,11,12,13},1),{6,5,4,3,2,9,8,7,6,5,4,3,2}),11)&lt;2,0,11-MOD(SUMPRODUCT(--MID(G1512,{1,2,3,4,5,6,7,8,9,10,11,12,13},1),{6,5,4,3,2,9,8,7,6,5,4,3,2}),11))),"OK","AVISO: dígito verificador (conferir na org)"))))</f>
      </c>
      <c r="I1512" s="6">
        <f>IF(G1512="","",IF(COUNTIF($G$2:$G$2001,G1512)&gt;1,"DUPLICADO","OK"))</f>
      </c>
      <c r="J1512" s="6">
        <f>IF(COUNTA(A1512:F1512)=0,"",IF(AND(A1512&lt;&gt;"",E1512&lt;&gt;""),"OK","ERRO: faltam "&amp;IF(A1512="","CNPJ; ","")&amp;IF(E1512="","Novo gerente; ","")))</f>
      </c>
      <c r="K1512" s="6">
        <f>IF(COUNTA(A1512:F1512)=0,"",IF(AND(LEFT(H1512,4)&lt;&gt;"ERRO",I1512="OK",J1512="OK"),"OK","REVISAR"))</f>
      </c>
    </row>
    <row r="1513">
      <c r="A1513" s="5"/>
      <c r="B1513" s="4"/>
      <c r="C1513" s="4"/>
      <c r="D1513" s="4"/>
      <c r="E1513" s="5"/>
      <c r="F1513" s="4"/>
      <c r="G1513" s="6">
        <f>IF(A1513="","",SUBSTITUTE(SUBSTITUTE(SUBSTITUTE(SUBSTITUTE(SUBSTITUTE(SUBSTITUTE(SUBSTITUTE(TRIM(A1513),".",""),"/",""),"-","")," ",""),"(",""),")",""),"+",""))</f>
      </c>
      <c r="H1513" s="6">
        <f>IF(G1513="","",IF(LEN(G1513)&lt;&gt;14,"ERRO: "&amp;LEN(G1513)&amp;" dígitos",IF(NOT(ISNUMBER(VALUE(G1513))),"ERRO: não numérico",IF(AND(VALUE(MID(G1513,13,1))=IF(MOD(SUMPRODUCT(--MID(G1513,{1,2,3,4,5,6,7,8,9,10,11,12},1),{5,4,3,2,9,8,7,6,5,4,3,2}),11)&lt;2,0,11-MOD(SUMPRODUCT(--MID(G1513,{1,2,3,4,5,6,7,8,9,10,11,12},1),{5,4,3,2,9,8,7,6,5,4,3,2}),11)),VALUE(MID(G1513,14,1))=IF(MOD(SUMPRODUCT(--MID(G1513,{1,2,3,4,5,6,7,8,9,10,11,12,13},1),{6,5,4,3,2,9,8,7,6,5,4,3,2}),11)&lt;2,0,11-MOD(SUMPRODUCT(--MID(G1513,{1,2,3,4,5,6,7,8,9,10,11,12,13},1),{6,5,4,3,2,9,8,7,6,5,4,3,2}),11))),"OK","AVISO: dígito verificador (conferir na org)"))))</f>
      </c>
      <c r="I1513" s="6">
        <f>IF(G1513="","",IF(COUNTIF($G$2:$G$2001,G1513)&gt;1,"DUPLICADO","OK"))</f>
      </c>
      <c r="J1513" s="6">
        <f>IF(COUNTA(A1513:F1513)=0,"",IF(AND(A1513&lt;&gt;"",E1513&lt;&gt;""),"OK","ERRO: faltam "&amp;IF(A1513="","CNPJ; ","")&amp;IF(E1513="","Novo gerente; ","")))</f>
      </c>
      <c r="K1513" s="6">
        <f>IF(COUNTA(A1513:F1513)=0,"",IF(AND(LEFT(H1513,4)&lt;&gt;"ERRO",I1513="OK",J1513="OK"),"OK","REVISAR"))</f>
      </c>
    </row>
    <row r="1514">
      <c r="A1514" s="5"/>
      <c r="B1514" s="4"/>
      <c r="C1514" s="4"/>
      <c r="D1514" s="4"/>
      <c r="E1514" s="5"/>
      <c r="F1514" s="4"/>
      <c r="G1514" s="6">
        <f>IF(A1514="","",SUBSTITUTE(SUBSTITUTE(SUBSTITUTE(SUBSTITUTE(SUBSTITUTE(SUBSTITUTE(SUBSTITUTE(TRIM(A1514),".",""),"/",""),"-","")," ",""),"(",""),")",""),"+",""))</f>
      </c>
      <c r="H1514" s="6">
        <f>IF(G1514="","",IF(LEN(G1514)&lt;&gt;14,"ERRO: "&amp;LEN(G1514)&amp;" dígitos",IF(NOT(ISNUMBER(VALUE(G1514))),"ERRO: não numérico",IF(AND(VALUE(MID(G1514,13,1))=IF(MOD(SUMPRODUCT(--MID(G1514,{1,2,3,4,5,6,7,8,9,10,11,12},1),{5,4,3,2,9,8,7,6,5,4,3,2}),11)&lt;2,0,11-MOD(SUMPRODUCT(--MID(G1514,{1,2,3,4,5,6,7,8,9,10,11,12},1),{5,4,3,2,9,8,7,6,5,4,3,2}),11)),VALUE(MID(G1514,14,1))=IF(MOD(SUMPRODUCT(--MID(G1514,{1,2,3,4,5,6,7,8,9,10,11,12,13},1),{6,5,4,3,2,9,8,7,6,5,4,3,2}),11)&lt;2,0,11-MOD(SUMPRODUCT(--MID(G1514,{1,2,3,4,5,6,7,8,9,10,11,12,13},1),{6,5,4,3,2,9,8,7,6,5,4,3,2}),11))),"OK","AVISO: dígito verificador (conferir na org)"))))</f>
      </c>
      <c r="I1514" s="6">
        <f>IF(G1514="","",IF(COUNTIF($G$2:$G$2001,G1514)&gt;1,"DUPLICADO","OK"))</f>
      </c>
      <c r="J1514" s="6">
        <f>IF(COUNTA(A1514:F1514)=0,"",IF(AND(A1514&lt;&gt;"",E1514&lt;&gt;""),"OK","ERRO: faltam "&amp;IF(A1514="","CNPJ; ","")&amp;IF(E1514="","Novo gerente; ","")))</f>
      </c>
      <c r="K1514" s="6">
        <f>IF(COUNTA(A1514:F1514)=0,"",IF(AND(LEFT(H1514,4)&lt;&gt;"ERRO",I1514="OK",J1514="OK"),"OK","REVISAR"))</f>
      </c>
    </row>
    <row r="1515">
      <c r="A1515" s="5"/>
      <c r="B1515" s="4"/>
      <c r="C1515" s="4"/>
      <c r="D1515" s="4"/>
      <c r="E1515" s="5"/>
      <c r="F1515" s="4"/>
      <c r="G1515" s="6">
        <f>IF(A1515="","",SUBSTITUTE(SUBSTITUTE(SUBSTITUTE(SUBSTITUTE(SUBSTITUTE(SUBSTITUTE(SUBSTITUTE(TRIM(A1515),".",""),"/",""),"-","")," ",""),"(",""),")",""),"+",""))</f>
      </c>
      <c r="H1515" s="6">
        <f>IF(G1515="","",IF(LEN(G1515)&lt;&gt;14,"ERRO: "&amp;LEN(G1515)&amp;" dígitos",IF(NOT(ISNUMBER(VALUE(G1515))),"ERRO: não numérico",IF(AND(VALUE(MID(G1515,13,1))=IF(MOD(SUMPRODUCT(--MID(G1515,{1,2,3,4,5,6,7,8,9,10,11,12},1),{5,4,3,2,9,8,7,6,5,4,3,2}),11)&lt;2,0,11-MOD(SUMPRODUCT(--MID(G1515,{1,2,3,4,5,6,7,8,9,10,11,12},1),{5,4,3,2,9,8,7,6,5,4,3,2}),11)),VALUE(MID(G1515,14,1))=IF(MOD(SUMPRODUCT(--MID(G1515,{1,2,3,4,5,6,7,8,9,10,11,12,13},1),{6,5,4,3,2,9,8,7,6,5,4,3,2}),11)&lt;2,0,11-MOD(SUMPRODUCT(--MID(G1515,{1,2,3,4,5,6,7,8,9,10,11,12,13},1),{6,5,4,3,2,9,8,7,6,5,4,3,2}),11))),"OK","AVISO: dígito verificador (conferir na org)"))))</f>
      </c>
      <c r="I1515" s="6">
        <f>IF(G1515="","",IF(COUNTIF($G$2:$G$2001,G1515)&gt;1,"DUPLICADO","OK"))</f>
      </c>
      <c r="J1515" s="6">
        <f>IF(COUNTA(A1515:F1515)=0,"",IF(AND(A1515&lt;&gt;"",E1515&lt;&gt;""),"OK","ERRO: faltam "&amp;IF(A1515="","CNPJ; ","")&amp;IF(E1515="","Novo gerente; ","")))</f>
      </c>
      <c r="K1515" s="6">
        <f>IF(COUNTA(A1515:F1515)=0,"",IF(AND(LEFT(H1515,4)&lt;&gt;"ERRO",I1515="OK",J1515="OK"),"OK","REVISAR"))</f>
      </c>
    </row>
    <row r="1516">
      <c r="A1516" s="5"/>
      <c r="B1516" s="4"/>
      <c r="C1516" s="4"/>
      <c r="D1516" s="4"/>
      <c r="E1516" s="5"/>
      <c r="F1516" s="4"/>
      <c r="G1516" s="6">
        <f>IF(A1516="","",SUBSTITUTE(SUBSTITUTE(SUBSTITUTE(SUBSTITUTE(SUBSTITUTE(SUBSTITUTE(SUBSTITUTE(TRIM(A1516),".",""),"/",""),"-","")," ",""),"(",""),")",""),"+",""))</f>
      </c>
      <c r="H1516" s="6">
        <f>IF(G1516="","",IF(LEN(G1516)&lt;&gt;14,"ERRO: "&amp;LEN(G1516)&amp;" dígitos",IF(NOT(ISNUMBER(VALUE(G1516))),"ERRO: não numérico",IF(AND(VALUE(MID(G1516,13,1))=IF(MOD(SUMPRODUCT(--MID(G1516,{1,2,3,4,5,6,7,8,9,10,11,12},1),{5,4,3,2,9,8,7,6,5,4,3,2}),11)&lt;2,0,11-MOD(SUMPRODUCT(--MID(G1516,{1,2,3,4,5,6,7,8,9,10,11,12},1),{5,4,3,2,9,8,7,6,5,4,3,2}),11)),VALUE(MID(G1516,14,1))=IF(MOD(SUMPRODUCT(--MID(G1516,{1,2,3,4,5,6,7,8,9,10,11,12,13},1),{6,5,4,3,2,9,8,7,6,5,4,3,2}),11)&lt;2,0,11-MOD(SUMPRODUCT(--MID(G1516,{1,2,3,4,5,6,7,8,9,10,11,12,13},1),{6,5,4,3,2,9,8,7,6,5,4,3,2}),11))),"OK","AVISO: dígito verificador (conferir na org)"))))</f>
      </c>
      <c r="I1516" s="6">
        <f>IF(G1516="","",IF(COUNTIF($G$2:$G$2001,G1516)&gt;1,"DUPLICADO","OK"))</f>
      </c>
      <c r="J1516" s="6">
        <f>IF(COUNTA(A1516:F1516)=0,"",IF(AND(A1516&lt;&gt;"",E1516&lt;&gt;""),"OK","ERRO: faltam "&amp;IF(A1516="","CNPJ; ","")&amp;IF(E1516="","Novo gerente; ","")))</f>
      </c>
      <c r="K1516" s="6">
        <f>IF(COUNTA(A1516:F1516)=0,"",IF(AND(LEFT(H1516,4)&lt;&gt;"ERRO",I1516="OK",J1516="OK"),"OK","REVISAR"))</f>
      </c>
    </row>
    <row r="1517">
      <c r="A1517" s="5"/>
      <c r="B1517" s="4"/>
      <c r="C1517" s="4"/>
      <c r="D1517" s="4"/>
      <c r="E1517" s="5"/>
      <c r="F1517" s="4"/>
      <c r="G1517" s="6">
        <f>IF(A1517="","",SUBSTITUTE(SUBSTITUTE(SUBSTITUTE(SUBSTITUTE(SUBSTITUTE(SUBSTITUTE(SUBSTITUTE(TRIM(A1517),".",""),"/",""),"-","")," ",""),"(",""),")",""),"+",""))</f>
      </c>
      <c r="H1517" s="6">
        <f>IF(G1517="","",IF(LEN(G1517)&lt;&gt;14,"ERRO: "&amp;LEN(G1517)&amp;" dígitos",IF(NOT(ISNUMBER(VALUE(G1517))),"ERRO: não numérico",IF(AND(VALUE(MID(G1517,13,1))=IF(MOD(SUMPRODUCT(--MID(G1517,{1,2,3,4,5,6,7,8,9,10,11,12},1),{5,4,3,2,9,8,7,6,5,4,3,2}),11)&lt;2,0,11-MOD(SUMPRODUCT(--MID(G1517,{1,2,3,4,5,6,7,8,9,10,11,12},1),{5,4,3,2,9,8,7,6,5,4,3,2}),11)),VALUE(MID(G1517,14,1))=IF(MOD(SUMPRODUCT(--MID(G1517,{1,2,3,4,5,6,7,8,9,10,11,12,13},1),{6,5,4,3,2,9,8,7,6,5,4,3,2}),11)&lt;2,0,11-MOD(SUMPRODUCT(--MID(G1517,{1,2,3,4,5,6,7,8,9,10,11,12,13},1),{6,5,4,3,2,9,8,7,6,5,4,3,2}),11))),"OK","AVISO: dígito verificador (conferir na org)"))))</f>
      </c>
      <c r="I1517" s="6">
        <f>IF(G1517="","",IF(COUNTIF($G$2:$G$2001,G1517)&gt;1,"DUPLICADO","OK"))</f>
      </c>
      <c r="J1517" s="6">
        <f>IF(COUNTA(A1517:F1517)=0,"",IF(AND(A1517&lt;&gt;"",E1517&lt;&gt;""),"OK","ERRO: faltam "&amp;IF(A1517="","CNPJ; ","")&amp;IF(E1517="","Novo gerente; ","")))</f>
      </c>
      <c r="K1517" s="6">
        <f>IF(COUNTA(A1517:F1517)=0,"",IF(AND(LEFT(H1517,4)&lt;&gt;"ERRO",I1517="OK",J1517="OK"),"OK","REVISAR"))</f>
      </c>
    </row>
    <row r="1518">
      <c r="A1518" s="5"/>
      <c r="B1518" s="4"/>
      <c r="C1518" s="4"/>
      <c r="D1518" s="4"/>
      <c r="E1518" s="5"/>
      <c r="F1518" s="4"/>
      <c r="G1518" s="6">
        <f>IF(A1518="","",SUBSTITUTE(SUBSTITUTE(SUBSTITUTE(SUBSTITUTE(SUBSTITUTE(SUBSTITUTE(SUBSTITUTE(TRIM(A1518),".",""),"/",""),"-","")," ",""),"(",""),")",""),"+",""))</f>
      </c>
      <c r="H1518" s="6">
        <f>IF(G1518="","",IF(LEN(G1518)&lt;&gt;14,"ERRO: "&amp;LEN(G1518)&amp;" dígitos",IF(NOT(ISNUMBER(VALUE(G1518))),"ERRO: não numérico",IF(AND(VALUE(MID(G1518,13,1))=IF(MOD(SUMPRODUCT(--MID(G1518,{1,2,3,4,5,6,7,8,9,10,11,12},1),{5,4,3,2,9,8,7,6,5,4,3,2}),11)&lt;2,0,11-MOD(SUMPRODUCT(--MID(G1518,{1,2,3,4,5,6,7,8,9,10,11,12},1),{5,4,3,2,9,8,7,6,5,4,3,2}),11)),VALUE(MID(G1518,14,1))=IF(MOD(SUMPRODUCT(--MID(G1518,{1,2,3,4,5,6,7,8,9,10,11,12,13},1),{6,5,4,3,2,9,8,7,6,5,4,3,2}),11)&lt;2,0,11-MOD(SUMPRODUCT(--MID(G1518,{1,2,3,4,5,6,7,8,9,10,11,12,13},1),{6,5,4,3,2,9,8,7,6,5,4,3,2}),11))),"OK","AVISO: dígito verificador (conferir na org)"))))</f>
      </c>
      <c r="I1518" s="6">
        <f>IF(G1518="","",IF(COUNTIF($G$2:$G$2001,G1518)&gt;1,"DUPLICADO","OK"))</f>
      </c>
      <c r="J1518" s="6">
        <f>IF(COUNTA(A1518:F1518)=0,"",IF(AND(A1518&lt;&gt;"",E1518&lt;&gt;""),"OK","ERRO: faltam "&amp;IF(A1518="","CNPJ; ","")&amp;IF(E1518="","Novo gerente; ","")))</f>
      </c>
      <c r="K1518" s="6">
        <f>IF(COUNTA(A1518:F1518)=0,"",IF(AND(LEFT(H1518,4)&lt;&gt;"ERRO",I1518="OK",J1518="OK"),"OK","REVISAR"))</f>
      </c>
    </row>
    <row r="1519">
      <c r="A1519" s="5"/>
      <c r="B1519" s="4"/>
      <c r="C1519" s="4"/>
      <c r="D1519" s="4"/>
      <c r="E1519" s="5"/>
      <c r="F1519" s="4"/>
      <c r="G1519" s="6">
        <f>IF(A1519="","",SUBSTITUTE(SUBSTITUTE(SUBSTITUTE(SUBSTITUTE(SUBSTITUTE(SUBSTITUTE(SUBSTITUTE(TRIM(A1519),".",""),"/",""),"-","")," ",""),"(",""),")",""),"+",""))</f>
      </c>
      <c r="H1519" s="6">
        <f>IF(G1519="","",IF(LEN(G1519)&lt;&gt;14,"ERRO: "&amp;LEN(G1519)&amp;" dígitos",IF(NOT(ISNUMBER(VALUE(G1519))),"ERRO: não numérico",IF(AND(VALUE(MID(G1519,13,1))=IF(MOD(SUMPRODUCT(--MID(G1519,{1,2,3,4,5,6,7,8,9,10,11,12},1),{5,4,3,2,9,8,7,6,5,4,3,2}),11)&lt;2,0,11-MOD(SUMPRODUCT(--MID(G1519,{1,2,3,4,5,6,7,8,9,10,11,12},1),{5,4,3,2,9,8,7,6,5,4,3,2}),11)),VALUE(MID(G1519,14,1))=IF(MOD(SUMPRODUCT(--MID(G1519,{1,2,3,4,5,6,7,8,9,10,11,12,13},1),{6,5,4,3,2,9,8,7,6,5,4,3,2}),11)&lt;2,0,11-MOD(SUMPRODUCT(--MID(G1519,{1,2,3,4,5,6,7,8,9,10,11,12,13},1),{6,5,4,3,2,9,8,7,6,5,4,3,2}),11))),"OK","AVISO: dígito verificador (conferir na org)"))))</f>
      </c>
      <c r="I1519" s="6">
        <f>IF(G1519="","",IF(COUNTIF($G$2:$G$2001,G1519)&gt;1,"DUPLICADO","OK"))</f>
      </c>
      <c r="J1519" s="6">
        <f>IF(COUNTA(A1519:F1519)=0,"",IF(AND(A1519&lt;&gt;"",E1519&lt;&gt;""),"OK","ERRO: faltam "&amp;IF(A1519="","CNPJ; ","")&amp;IF(E1519="","Novo gerente; ","")))</f>
      </c>
      <c r="K1519" s="6">
        <f>IF(COUNTA(A1519:F1519)=0,"",IF(AND(LEFT(H1519,4)&lt;&gt;"ERRO",I1519="OK",J1519="OK"),"OK","REVISAR"))</f>
      </c>
    </row>
    <row r="1520">
      <c r="A1520" s="5"/>
      <c r="B1520" s="4"/>
      <c r="C1520" s="4"/>
      <c r="D1520" s="4"/>
      <c r="E1520" s="5"/>
      <c r="F1520" s="4"/>
      <c r="G1520" s="6">
        <f>IF(A1520="","",SUBSTITUTE(SUBSTITUTE(SUBSTITUTE(SUBSTITUTE(SUBSTITUTE(SUBSTITUTE(SUBSTITUTE(TRIM(A1520),".",""),"/",""),"-","")," ",""),"(",""),")",""),"+",""))</f>
      </c>
      <c r="H1520" s="6">
        <f>IF(G1520="","",IF(LEN(G1520)&lt;&gt;14,"ERRO: "&amp;LEN(G1520)&amp;" dígitos",IF(NOT(ISNUMBER(VALUE(G1520))),"ERRO: não numérico",IF(AND(VALUE(MID(G1520,13,1))=IF(MOD(SUMPRODUCT(--MID(G1520,{1,2,3,4,5,6,7,8,9,10,11,12},1),{5,4,3,2,9,8,7,6,5,4,3,2}),11)&lt;2,0,11-MOD(SUMPRODUCT(--MID(G1520,{1,2,3,4,5,6,7,8,9,10,11,12},1),{5,4,3,2,9,8,7,6,5,4,3,2}),11)),VALUE(MID(G1520,14,1))=IF(MOD(SUMPRODUCT(--MID(G1520,{1,2,3,4,5,6,7,8,9,10,11,12,13},1),{6,5,4,3,2,9,8,7,6,5,4,3,2}),11)&lt;2,0,11-MOD(SUMPRODUCT(--MID(G1520,{1,2,3,4,5,6,7,8,9,10,11,12,13},1),{6,5,4,3,2,9,8,7,6,5,4,3,2}),11))),"OK","AVISO: dígito verificador (conferir na org)"))))</f>
      </c>
      <c r="I1520" s="6">
        <f>IF(G1520="","",IF(COUNTIF($G$2:$G$2001,G1520)&gt;1,"DUPLICADO","OK"))</f>
      </c>
      <c r="J1520" s="6">
        <f>IF(COUNTA(A1520:F1520)=0,"",IF(AND(A1520&lt;&gt;"",E1520&lt;&gt;""),"OK","ERRO: faltam "&amp;IF(A1520="","CNPJ; ","")&amp;IF(E1520="","Novo gerente; ","")))</f>
      </c>
      <c r="K1520" s="6">
        <f>IF(COUNTA(A1520:F1520)=0,"",IF(AND(LEFT(H1520,4)&lt;&gt;"ERRO",I1520="OK",J1520="OK"),"OK","REVISAR"))</f>
      </c>
    </row>
    <row r="1521">
      <c r="A1521" s="5"/>
      <c r="B1521" s="4"/>
      <c r="C1521" s="4"/>
      <c r="D1521" s="4"/>
      <c r="E1521" s="5"/>
      <c r="F1521" s="4"/>
      <c r="G1521" s="6">
        <f>IF(A1521="","",SUBSTITUTE(SUBSTITUTE(SUBSTITUTE(SUBSTITUTE(SUBSTITUTE(SUBSTITUTE(SUBSTITUTE(TRIM(A1521),".",""),"/",""),"-","")," ",""),"(",""),")",""),"+",""))</f>
      </c>
      <c r="H1521" s="6">
        <f>IF(G1521="","",IF(LEN(G1521)&lt;&gt;14,"ERRO: "&amp;LEN(G1521)&amp;" dígitos",IF(NOT(ISNUMBER(VALUE(G1521))),"ERRO: não numérico",IF(AND(VALUE(MID(G1521,13,1))=IF(MOD(SUMPRODUCT(--MID(G1521,{1,2,3,4,5,6,7,8,9,10,11,12},1),{5,4,3,2,9,8,7,6,5,4,3,2}),11)&lt;2,0,11-MOD(SUMPRODUCT(--MID(G1521,{1,2,3,4,5,6,7,8,9,10,11,12},1),{5,4,3,2,9,8,7,6,5,4,3,2}),11)),VALUE(MID(G1521,14,1))=IF(MOD(SUMPRODUCT(--MID(G1521,{1,2,3,4,5,6,7,8,9,10,11,12,13},1),{6,5,4,3,2,9,8,7,6,5,4,3,2}),11)&lt;2,0,11-MOD(SUMPRODUCT(--MID(G1521,{1,2,3,4,5,6,7,8,9,10,11,12,13},1),{6,5,4,3,2,9,8,7,6,5,4,3,2}),11))),"OK","AVISO: dígito verificador (conferir na org)"))))</f>
      </c>
      <c r="I1521" s="6">
        <f>IF(G1521="","",IF(COUNTIF($G$2:$G$2001,G1521)&gt;1,"DUPLICADO","OK"))</f>
      </c>
      <c r="J1521" s="6">
        <f>IF(COUNTA(A1521:F1521)=0,"",IF(AND(A1521&lt;&gt;"",E1521&lt;&gt;""),"OK","ERRO: faltam "&amp;IF(A1521="","CNPJ; ","")&amp;IF(E1521="","Novo gerente; ","")))</f>
      </c>
      <c r="K1521" s="6">
        <f>IF(COUNTA(A1521:F1521)=0,"",IF(AND(LEFT(H1521,4)&lt;&gt;"ERRO",I1521="OK",J1521="OK"),"OK","REVISAR"))</f>
      </c>
    </row>
    <row r="1522">
      <c r="A1522" s="5"/>
      <c r="B1522" s="4"/>
      <c r="C1522" s="4"/>
      <c r="D1522" s="4"/>
      <c r="E1522" s="5"/>
      <c r="F1522" s="4"/>
      <c r="G1522" s="6">
        <f>IF(A1522="","",SUBSTITUTE(SUBSTITUTE(SUBSTITUTE(SUBSTITUTE(SUBSTITUTE(SUBSTITUTE(SUBSTITUTE(TRIM(A1522),".",""),"/",""),"-","")," ",""),"(",""),")",""),"+",""))</f>
      </c>
      <c r="H1522" s="6">
        <f>IF(G1522="","",IF(LEN(G1522)&lt;&gt;14,"ERRO: "&amp;LEN(G1522)&amp;" dígitos",IF(NOT(ISNUMBER(VALUE(G1522))),"ERRO: não numérico",IF(AND(VALUE(MID(G1522,13,1))=IF(MOD(SUMPRODUCT(--MID(G1522,{1,2,3,4,5,6,7,8,9,10,11,12},1),{5,4,3,2,9,8,7,6,5,4,3,2}),11)&lt;2,0,11-MOD(SUMPRODUCT(--MID(G1522,{1,2,3,4,5,6,7,8,9,10,11,12},1),{5,4,3,2,9,8,7,6,5,4,3,2}),11)),VALUE(MID(G1522,14,1))=IF(MOD(SUMPRODUCT(--MID(G1522,{1,2,3,4,5,6,7,8,9,10,11,12,13},1),{6,5,4,3,2,9,8,7,6,5,4,3,2}),11)&lt;2,0,11-MOD(SUMPRODUCT(--MID(G1522,{1,2,3,4,5,6,7,8,9,10,11,12,13},1),{6,5,4,3,2,9,8,7,6,5,4,3,2}),11))),"OK","AVISO: dígito verificador (conferir na org)"))))</f>
      </c>
      <c r="I1522" s="6">
        <f>IF(G1522="","",IF(COUNTIF($G$2:$G$2001,G1522)&gt;1,"DUPLICADO","OK"))</f>
      </c>
      <c r="J1522" s="6">
        <f>IF(COUNTA(A1522:F1522)=0,"",IF(AND(A1522&lt;&gt;"",E1522&lt;&gt;""),"OK","ERRO: faltam "&amp;IF(A1522="","CNPJ; ","")&amp;IF(E1522="","Novo gerente; ","")))</f>
      </c>
      <c r="K1522" s="6">
        <f>IF(COUNTA(A1522:F1522)=0,"",IF(AND(LEFT(H1522,4)&lt;&gt;"ERRO",I1522="OK",J1522="OK"),"OK","REVISAR"))</f>
      </c>
    </row>
    <row r="1523">
      <c r="A1523" s="5"/>
      <c r="B1523" s="4"/>
      <c r="C1523" s="4"/>
      <c r="D1523" s="4"/>
      <c r="E1523" s="5"/>
      <c r="F1523" s="4"/>
      <c r="G1523" s="6">
        <f>IF(A1523="","",SUBSTITUTE(SUBSTITUTE(SUBSTITUTE(SUBSTITUTE(SUBSTITUTE(SUBSTITUTE(SUBSTITUTE(TRIM(A1523),".",""),"/",""),"-","")," ",""),"(",""),")",""),"+",""))</f>
      </c>
      <c r="H1523" s="6">
        <f>IF(G1523="","",IF(LEN(G1523)&lt;&gt;14,"ERRO: "&amp;LEN(G1523)&amp;" dígitos",IF(NOT(ISNUMBER(VALUE(G1523))),"ERRO: não numérico",IF(AND(VALUE(MID(G1523,13,1))=IF(MOD(SUMPRODUCT(--MID(G1523,{1,2,3,4,5,6,7,8,9,10,11,12},1),{5,4,3,2,9,8,7,6,5,4,3,2}),11)&lt;2,0,11-MOD(SUMPRODUCT(--MID(G1523,{1,2,3,4,5,6,7,8,9,10,11,12},1),{5,4,3,2,9,8,7,6,5,4,3,2}),11)),VALUE(MID(G1523,14,1))=IF(MOD(SUMPRODUCT(--MID(G1523,{1,2,3,4,5,6,7,8,9,10,11,12,13},1),{6,5,4,3,2,9,8,7,6,5,4,3,2}),11)&lt;2,0,11-MOD(SUMPRODUCT(--MID(G1523,{1,2,3,4,5,6,7,8,9,10,11,12,13},1),{6,5,4,3,2,9,8,7,6,5,4,3,2}),11))),"OK","AVISO: dígito verificador (conferir na org)"))))</f>
      </c>
      <c r="I1523" s="6">
        <f>IF(G1523="","",IF(COUNTIF($G$2:$G$2001,G1523)&gt;1,"DUPLICADO","OK"))</f>
      </c>
      <c r="J1523" s="6">
        <f>IF(COUNTA(A1523:F1523)=0,"",IF(AND(A1523&lt;&gt;"",E1523&lt;&gt;""),"OK","ERRO: faltam "&amp;IF(A1523="","CNPJ; ","")&amp;IF(E1523="","Novo gerente; ","")))</f>
      </c>
      <c r="K1523" s="6">
        <f>IF(COUNTA(A1523:F1523)=0,"",IF(AND(LEFT(H1523,4)&lt;&gt;"ERRO",I1523="OK",J1523="OK"),"OK","REVISAR"))</f>
      </c>
    </row>
    <row r="1524">
      <c r="A1524" s="5"/>
      <c r="B1524" s="4"/>
      <c r="C1524" s="4"/>
      <c r="D1524" s="4"/>
      <c r="E1524" s="5"/>
      <c r="F1524" s="4"/>
      <c r="G1524" s="6">
        <f>IF(A1524="","",SUBSTITUTE(SUBSTITUTE(SUBSTITUTE(SUBSTITUTE(SUBSTITUTE(SUBSTITUTE(SUBSTITUTE(TRIM(A1524),".",""),"/",""),"-","")," ",""),"(",""),")",""),"+",""))</f>
      </c>
      <c r="H1524" s="6">
        <f>IF(G1524="","",IF(LEN(G1524)&lt;&gt;14,"ERRO: "&amp;LEN(G1524)&amp;" dígitos",IF(NOT(ISNUMBER(VALUE(G1524))),"ERRO: não numérico",IF(AND(VALUE(MID(G1524,13,1))=IF(MOD(SUMPRODUCT(--MID(G1524,{1,2,3,4,5,6,7,8,9,10,11,12},1),{5,4,3,2,9,8,7,6,5,4,3,2}),11)&lt;2,0,11-MOD(SUMPRODUCT(--MID(G1524,{1,2,3,4,5,6,7,8,9,10,11,12},1),{5,4,3,2,9,8,7,6,5,4,3,2}),11)),VALUE(MID(G1524,14,1))=IF(MOD(SUMPRODUCT(--MID(G1524,{1,2,3,4,5,6,7,8,9,10,11,12,13},1),{6,5,4,3,2,9,8,7,6,5,4,3,2}),11)&lt;2,0,11-MOD(SUMPRODUCT(--MID(G1524,{1,2,3,4,5,6,7,8,9,10,11,12,13},1),{6,5,4,3,2,9,8,7,6,5,4,3,2}),11))),"OK","AVISO: dígito verificador (conferir na org)"))))</f>
      </c>
      <c r="I1524" s="6">
        <f>IF(G1524="","",IF(COUNTIF($G$2:$G$2001,G1524)&gt;1,"DUPLICADO","OK"))</f>
      </c>
      <c r="J1524" s="6">
        <f>IF(COUNTA(A1524:F1524)=0,"",IF(AND(A1524&lt;&gt;"",E1524&lt;&gt;""),"OK","ERRO: faltam "&amp;IF(A1524="","CNPJ; ","")&amp;IF(E1524="","Novo gerente; ","")))</f>
      </c>
      <c r="K1524" s="6">
        <f>IF(COUNTA(A1524:F1524)=0,"",IF(AND(LEFT(H1524,4)&lt;&gt;"ERRO",I1524="OK",J1524="OK"),"OK","REVISAR"))</f>
      </c>
    </row>
    <row r="1525">
      <c r="A1525" s="5"/>
      <c r="B1525" s="4"/>
      <c r="C1525" s="4"/>
      <c r="D1525" s="4"/>
      <c r="E1525" s="5"/>
      <c r="F1525" s="4"/>
      <c r="G1525" s="6">
        <f>IF(A1525="","",SUBSTITUTE(SUBSTITUTE(SUBSTITUTE(SUBSTITUTE(SUBSTITUTE(SUBSTITUTE(SUBSTITUTE(TRIM(A1525),".",""),"/",""),"-","")," ",""),"(",""),")",""),"+",""))</f>
      </c>
      <c r="H1525" s="6">
        <f>IF(G1525="","",IF(LEN(G1525)&lt;&gt;14,"ERRO: "&amp;LEN(G1525)&amp;" dígitos",IF(NOT(ISNUMBER(VALUE(G1525))),"ERRO: não numérico",IF(AND(VALUE(MID(G1525,13,1))=IF(MOD(SUMPRODUCT(--MID(G1525,{1,2,3,4,5,6,7,8,9,10,11,12},1),{5,4,3,2,9,8,7,6,5,4,3,2}),11)&lt;2,0,11-MOD(SUMPRODUCT(--MID(G1525,{1,2,3,4,5,6,7,8,9,10,11,12},1),{5,4,3,2,9,8,7,6,5,4,3,2}),11)),VALUE(MID(G1525,14,1))=IF(MOD(SUMPRODUCT(--MID(G1525,{1,2,3,4,5,6,7,8,9,10,11,12,13},1),{6,5,4,3,2,9,8,7,6,5,4,3,2}),11)&lt;2,0,11-MOD(SUMPRODUCT(--MID(G1525,{1,2,3,4,5,6,7,8,9,10,11,12,13},1),{6,5,4,3,2,9,8,7,6,5,4,3,2}),11))),"OK","AVISO: dígito verificador (conferir na org)"))))</f>
      </c>
      <c r="I1525" s="6">
        <f>IF(G1525="","",IF(COUNTIF($G$2:$G$2001,G1525)&gt;1,"DUPLICADO","OK"))</f>
      </c>
      <c r="J1525" s="6">
        <f>IF(COUNTA(A1525:F1525)=0,"",IF(AND(A1525&lt;&gt;"",E1525&lt;&gt;""),"OK","ERRO: faltam "&amp;IF(A1525="","CNPJ; ","")&amp;IF(E1525="","Novo gerente; ","")))</f>
      </c>
      <c r="K1525" s="6">
        <f>IF(COUNTA(A1525:F1525)=0,"",IF(AND(LEFT(H1525,4)&lt;&gt;"ERRO",I1525="OK",J1525="OK"),"OK","REVISAR"))</f>
      </c>
    </row>
    <row r="1526">
      <c r="A1526" s="5"/>
      <c r="B1526" s="4"/>
      <c r="C1526" s="4"/>
      <c r="D1526" s="4"/>
      <c r="E1526" s="5"/>
      <c r="F1526" s="4"/>
      <c r="G1526" s="6">
        <f>IF(A1526="","",SUBSTITUTE(SUBSTITUTE(SUBSTITUTE(SUBSTITUTE(SUBSTITUTE(SUBSTITUTE(SUBSTITUTE(TRIM(A1526),".",""),"/",""),"-","")," ",""),"(",""),")",""),"+",""))</f>
      </c>
      <c r="H1526" s="6">
        <f>IF(G1526="","",IF(LEN(G1526)&lt;&gt;14,"ERRO: "&amp;LEN(G1526)&amp;" dígitos",IF(NOT(ISNUMBER(VALUE(G1526))),"ERRO: não numérico",IF(AND(VALUE(MID(G1526,13,1))=IF(MOD(SUMPRODUCT(--MID(G1526,{1,2,3,4,5,6,7,8,9,10,11,12},1),{5,4,3,2,9,8,7,6,5,4,3,2}),11)&lt;2,0,11-MOD(SUMPRODUCT(--MID(G1526,{1,2,3,4,5,6,7,8,9,10,11,12},1),{5,4,3,2,9,8,7,6,5,4,3,2}),11)),VALUE(MID(G1526,14,1))=IF(MOD(SUMPRODUCT(--MID(G1526,{1,2,3,4,5,6,7,8,9,10,11,12,13},1),{6,5,4,3,2,9,8,7,6,5,4,3,2}),11)&lt;2,0,11-MOD(SUMPRODUCT(--MID(G1526,{1,2,3,4,5,6,7,8,9,10,11,12,13},1),{6,5,4,3,2,9,8,7,6,5,4,3,2}),11))),"OK","AVISO: dígito verificador (conferir na org)"))))</f>
      </c>
      <c r="I1526" s="6">
        <f>IF(G1526="","",IF(COUNTIF($G$2:$G$2001,G1526)&gt;1,"DUPLICADO","OK"))</f>
      </c>
      <c r="J1526" s="6">
        <f>IF(COUNTA(A1526:F1526)=0,"",IF(AND(A1526&lt;&gt;"",E1526&lt;&gt;""),"OK","ERRO: faltam "&amp;IF(A1526="","CNPJ; ","")&amp;IF(E1526="","Novo gerente; ","")))</f>
      </c>
      <c r="K1526" s="6">
        <f>IF(COUNTA(A1526:F1526)=0,"",IF(AND(LEFT(H1526,4)&lt;&gt;"ERRO",I1526="OK",J1526="OK"),"OK","REVISAR"))</f>
      </c>
    </row>
    <row r="1527">
      <c r="A1527" s="5"/>
      <c r="B1527" s="4"/>
      <c r="C1527" s="4"/>
      <c r="D1527" s="4"/>
      <c r="E1527" s="5"/>
      <c r="F1527" s="4"/>
      <c r="G1527" s="6">
        <f>IF(A1527="","",SUBSTITUTE(SUBSTITUTE(SUBSTITUTE(SUBSTITUTE(SUBSTITUTE(SUBSTITUTE(SUBSTITUTE(TRIM(A1527),".",""),"/",""),"-","")," ",""),"(",""),")",""),"+",""))</f>
      </c>
      <c r="H1527" s="6">
        <f>IF(G1527="","",IF(LEN(G1527)&lt;&gt;14,"ERRO: "&amp;LEN(G1527)&amp;" dígitos",IF(NOT(ISNUMBER(VALUE(G1527))),"ERRO: não numérico",IF(AND(VALUE(MID(G1527,13,1))=IF(MOD(SUMPRODUCT(--MID(G1527,{1,2,3,4,5,6,7,8,9,10,11,12},1),{5,4,3,2,9,8,7,6,5,4,3,2}),11)&lt;2,0,11-MOD(SUMPRODUCT(--MID(G1527,{1,2,3,4,5,6,7,8,9,10,11,12},1),{5,4,3,2,9,8,7,6,5,4,3,2}),11)),VALUE(MID(G1527,14,1))=IF(MOD(SUMPRODUCT(--MID(G1527,{1,2,3,4,5,6,7,8,9,10,11,12,13},1),{6,5,4,3,2,9,8,7,6,5,4,3,2}),11)&lt;2,0,11-MOD(SUMPRODUCT(--MID(G1527,{1,2,3,4,5,6,7,8,9,10,11,12,13},1),{6,5,4,3,2,9,8,7,6,5,4,3,2}),11))),"OK","AVISO: dígito verificador (conferir na org)"))))</f>
      </c>
      <c r="I1527" s="6">
        <f>IF(G1527="","",IF(COUNTIF($G$2:$G$2001,G1527)&gt;1,"DUPLICADO","OK"))</f>
      </c>
      <c r="J1527" s="6">
        <f>IF(COUNTA(A1527:F1527)=0,"",IF(AND(A1527&lt;&gt;"",E1527&lt;&gt;""),"OK","ERRO: faltam "&amp;IF(A1527="","CNPJ; ","")&amp;IF(E1527="","Novo gerente; ","")))</f>
      </c>
      <c r="K1527" s="6">
        <f>IF(COUNTA(A1527:F1527)=0,"",IF(AND(LEFT(H1527,4)&lt;&gt;"ERRO",I1527="OK",J1527="OK"),"OK","REVISAR"))</f>
      </c>
    </row>
    <row r="1528">
      <c r="A1528" s="5"/>
      <c r="B1528" s="4"/>
      <c r="C1528" s="4"/>
      <c r="D1528" s="4"/>
      <c r="E1528" s="5"/>
      <c r="F1528" s="4"/>
      <c r="G1528" s="6">
        <f>IF(A1528="","",SUBSTITUTE(SUBSTITUTE(SUBSTITUTE(SUBSTITUTE(SUBSTITUTE(SUBSTITUTE(SUBSTITUTE(TRIM(A1528),".",""),"/",""),"-","")," ",""),"(",""),")",""),"+",""))</f>
      </c>
      <c r="H1528" s="6">
        <f>IF(G1528="","",IF(LEN(G1528)&lt;&gt;14,"ERRO: "&amp;LEN(G1528)&amp;" dígitos",IF(NOT(ISNUMBER(VALUE(G1528))),"ERRO: não numérico",IF(AND(VALUE(MID(G1528,13,1))=IF(MOD(SUMPRODUCT(--MID(G1528,{1,2,3,4,5,6,7,8,9,10,11,12},1),{5,4,3,2,9,8,7,6,5,4,3,2}),11)&lt;2,0,11-MOD(SUMPRODUCT(--MID(G1528,{1,2,3,4,5,6,7,8,9,10,11,12},1),{5,4,3,2,9,8,7,6,5,4,3,2}),11)),VALUE(MID(G1528,14,1))=IF(MOD(SUMPRODUCT(--MID(G1528,{1,2,3,4,5,6,7,8,9,10,11,12,13},1),{6,5,4,3,2,9,8,7,6,5,4,3,2}),11)&lt;2,0,11-MOD(SUMPRODUCT(--MID(G1528,{1,2,3,4,5,6,7,8,9,10,11,12,13},1),{6,5,4,3,2,9,8,7,6,5,4,3,2}),11))),"OK","AVISO: dígito verificador (conferir na org)"))))</f>
      </c>
      <c r="I1528" s="6">
        <f>IF(G1528="","",IF(COUNTIF($G$2:$G$2001,G1528)&gt;1,"DUPLICADO","OK"))</f>
      </c>
      <c r="J1528" s="6">
        <f>IF(COUNTA(A1528:F1528)=0,"",IF(AND(A1528&lt;&gt;"",E1528&lt;&gt;""),"OK","ERRO: faltam "&amp;IF(A1528="","CNPJ; ","")&amp;IF(E1528="","Novo gerente; ","")))</f>
      </c>
      <c r="K1528" s="6">
        <f>IF(COUNTA(A1528:F1528)=0,"",IF(AND(LEFT(H1528,4)&lt;&gt;"ERRO",I1528="OK",J1528="OK"),"OK","REVISAR"))</f>
      </c>
    </row>
    <row r="1529">
      <c r="A1529" s="5"/>
      <c r="B1529" s="4"/>
      <c r="C1529" s="4"/>
      <c r="D1529" s="4"/>
      <c r="E1529" s="5"/>
      <c r="F1529" s="4"/>
      <c r="G1529" s="6">
        <f>IF(A1529="","",SUBSTITUTE(SUBSTITUTE(SUBSTITUTE(SUBSTITUTE(SUBSTITUTE(SUBSTITUTE(SUBSTITUTE(TRIM(A1529),".",""),"/",""),"-","")," ",""),"(",""),")",""),"+",""))</f>
      </c>
      <c r="H1529" s="6">
        <f>IF(G1529="","",IF(LEN(G1529)&lt;&gt;14,"ERRO: "&amp;LEN(G1529)&amp;" dígitos",IF(NOT(ISNUMBER(VALUE(G1529))),"ERRO: não numérico",IF(AND(VALUE(MID(G1529,13,1))=IF(MOD(SUMPRODUCT(--MID(G1529,{1,2,3,4,5,6,7,8,9,10,11,12},1),{5,4,3,2,9,8,7,6,5,4,3,2}),11)&lt;2,0,11-MOD(SUMPRODUCT(--MID(G1529,{1,2,3,4,5,6,7,8,9,10,11,12},1),{5,4,3,2,9,8,7,6,5,4,3,2}),11)),VALUE(MID(G1529,14,1))=IF(MOD(SUMPRODUCT(--MID(G1529,{1,2,3,4,5,6,7,8,9,10,11,12,13},1),{6,5,4,3,2,9,8,7,6,5,4,3,2}),11)&lt;2,0,11-MOD(SUMPRODUCT(--MID(G1529,{1,2,3,4,5,6,7,8,9,10,11,12,13},1),{6,5,4,3,2,9,8,7,6,5,4,3,2}),11))),"OK","AVISO: dígito verificador (conferir na org)"))))</f>
      </c>
      <c r="I1529" s="6">
        <f>IF(G1529="","",IF(COUNTIF($G$2:$G$2001,G1529)&gt;1,"DUPLICADO","OK"))</f>
      </c>
      <c r="J1529" s="6">
        <f>IF(COUNTA(A1529:F1529)=0,"",IF(AND(A1529&lt;&gt;"",E1529&lt;&gt;""),"OK","ERRO: faltam "&amp;IF(A1529="","CNPJ; ","")&amp;IF(E1529="","Novo gerente; ","")))</f>
      </c>
      <c r="K1529" s="6">
        <f>IF(COUNTA(A1529:F1529)=0,"",IF(AND(LEFT(H1529,4)&lt;&gt;"ERRO",I1529="OK",J1529="OK"),"OK","REVISAR"))</f>
      </c>
    </row>
    <row r="1530">
      <c r="A1530" s="5"/>
      <c r="B1530" s="4"/>
      <c r="C1530" s="4"/>
      <c r="D1530" s="4"/>
      <c r="E1530" s="5"/>
      <c r="F1530" s="4"/>
      <c r="G1530" s="6">
        <f>IF(A1530="","",SUBSTITUTE(SUBSTITUTE(SUBSTITUTE(SUBSTITUTE(SUBSTITUTE(SUBSTITUTE(SUBSTITUTE(TRIM(A1530),".",""),"/",""),"-","")," ",""),"(",""),")",""),"+",""))</f>
      </c>
      <c r="H1530" s="6">
        <f>IF(G1530="","",IF(LEN(G1530)&lt;&gt;14,"ERRO: "&amp;LEN(G1530)&amp;" dígitos",IF(NOT(ISNUMBER(VALUE(G1530))),"ERRO: não numérico",IF(AND(VALUE(MID(G1530,13,1))=IF(MOD(SUMPRODUCT(--MID(G1530,{1,2,3,4,5,6,7,8,9,10,11,12},1),{5,4,3,2,9,8,7,6,5,4,3,2}),11)&lt;2,0,11-MOD(SUMPRODUCT(--MID(G1530,{1,2,3,4,5,6,7,8,9,10,11,12},1),{5,4,3,2,9,8,7,6,5,4,3,2}),11)),VALUE(MID(G1530,14,1))=IF(MOD(SUMPRODUCT(--MID(G1530,{1,2,3,4,5,6,7,8,9,10,11,12,13},1),{6,5,4,3,2,9,8,7,6,5,4,3,2}),11)&lt;2,0,11-MOD(SUMPRODUCT(--MID(G1530,{1,2,3,4,5,6,7,8,9,10,11,12,13},1),{6,5,4,3,2,9,8,7,6,5,4,3,2}),11))),"OK","AVISO: dígito verificador (conferir na org)"))))</f>
      </c>
      <c r="I1530" s="6">
        <f>IF(G1530="","",IF(COUNTIF($G$2:$G$2001,G1530)&gt;1,"DUPLICADO","OK"))</f>
      </c>
      <c r="J1530" s="6">
        <f>IF(COUNTA(A1530:F1530)=0,"",IF(AND(A1530&lt;&gt;"",E1530&lt;&gt;""),"OK","ERRO: faltam "&amp;IF(A1530="","CNPJ; ","")&amp;IF(E1530="","Novo gerente; ","")))</f>
      </c>
      <c r="K1530" s="6">
        <f>IF(COUNTA(A1530:F1530)=0,"",IF(AND(LEFT(H1530,4)&lt;&gt;"ERRO",I1530="OK",J1530="OK"),"OK","REVISAR"))</f>
      </c>
    </row>
    <row r="1531">
      <c r="A1531" s="5"/>
      <c r="B1531" s="4"/>
      <c r="C1531" s="4"/>
      <c r="D1531" s="4"/>
      <c r="E1531" s="5"/>
      <c r="F1531" s="4"/>
      <c r="G1531" s="6">
        <f>IF(A1531="","",SUBSTITUTE(SUBSTITUTE(SUBSTITUTE(SUBSTITUTE(SUBSTITUTE(SUBSTITUTE(SUBSTITUTE(TRIM(A1531),".",""),"/",""),"-","")," ",""),"(",""),")",""),"+",""))</f>
      </c>
      <c r="H1531" s="6">
        <f>IF(G1531="","",IF(LEN(G1531)&lt;&gt;14,"ERRO: "&amp;LEN(G1531)&amp;" dígitos",IF(NOT(ISNUMBER(VALUE(G1531))),"ERRO: não numérico",IF(AND(VALUE(MID(G1531,13,1))=IF(MOD(SUMPRODUCT(--MID(G1531,{1,2,3,4,5,6,7,8,9,10,11,12},1),{5,4,3,2,9,8,7,6,5,4,3,2}),11)&lt;2,0,11-MOD(SUMPRODUCT(--MID(G1531,{1,2,3,4,5,6,7,8,9,10,11,12},1),{5,4,3,2,9,8,7,6,5,4,3,2}),11)),VALUE(MID(G1531,14,1))=IF(MOD(SUMPRODUCT(--MID(G1531,{1,2,3,4,5,6,7,8,9,10,11,12,13},1),{6,5,4,3,2,9,8,7,6,5,4,3,2}),11)&lt;2,0,11-MOD(SUMPRODUCT(--MID(G1531,{1,2,3,4,5,6,7,8,9,10,11,12,13},1),{6,5,4,3,2,9,8,7,6,5,4,3,2}),11))),"OK","AVISO: dígito verificador (conferir na org)"))))</f>
      </c>
      <c r="I1531" s="6">
        <f>IF(G1531="","",IF(COUNTIF($G$2:$G$2001,G1531)&gt;1,"DUPLICADO","OK"))</f>
      </c>
      <c r="J1531" s="6">
        <f>IF(COUNTA(A1531:F1531)=0,"",IF(AND(A1531&lt;&gt;"",E1531&lt;&gt;""),"OK","ERRO: faltam "&amp;IF(A1531="","CNPJ; ","")&amp;IF(E1531="","Novo gerente; ","")))</f>
      </c>
      <c r="K1531" s="6">
        <f>IF(COUNTA(A1531:F1531)=0,"",IF(AND(LEFT(H1531,4)&lt;&gt;"ERRO",I1531="OK",J1531="OK"),"OK","REVISAR"))</f>
      </c>
    </row>
    <row r="1532">
      <c r="A1532" s="5"/>
      <c r="B1532" s="4"/>
      <c r="C1532" s="4"/>
      <c r="D1532" s="4"/>
      <c r="E1532" s="5"/>
      <c r="F1532" s="4"/>
      <c r="G1532" s="6">
        <f>IF(A1532="","",SUBSTITUTE(SUBSTITUTE(SUBSTITUTE(SUBSTITUTE(SUBSTITUTE(SUBSTITUTE(SUBSTITUTE(TRIM(A1532),".",""),"/",""),"-","")," ",""),"(",""),")",""),"+",""))</f>
      </c>
      <c r="H1532" s="6">
        <f>IF(G1532="","",IF(LEN(G1532)&lt;&gt;14,"ERRO: "&amp;LEN(G1532)&amp;" dígitos",IF(NOT(ISNUMBER(VALUE(G1532))),"ERRO: não numérico",IF(AND(VALUE(MID(G1532,13,1))=IF(MOD(SUMPRODUCT(--MID(G1532,{1,2,3,4,5,6,7,8,9,10,11,12},1),{5,4,3,2,9,8,7,6,5,4,3,2}),11)&lt;2,0,11-MOD(SUMPRODUCT(--MID(G1532,{1,2,3,4,5,6,7,8,9,10,11,12},1),{5,4,3,2,9,8,7,6,5,4,3,2}),11)),VALUE(MID(G1532,14,1))=IF(MOD(SUMPRODUCT(--MID(G1532,{1,2,3,4,5,6,7,8,9,10,11,12,13},1),{6,5,4,3,2,9,8,7,6,5,4,3,2}),11)&lt;2,0,11-MOD(SUMPRODUCT(--MID(G1532,{1,2,3,4,5,6,7,8,9,10,11,12,13},1),{6,5,4,3,2,9,8,7,6,5,4,3,2}),11))),"OK","AVISO: dígito verificador (conferir na org)"))))</f>
      </c>
      <c r="I1532" s="6">
        <f>IF(G1532="","",IF(COUNTIF($G$2:$G$2001,G1532)&gt;1,"DUPLICADO","OK"))</f>
      </c>
      <c r="J1532" s="6">
        <f>IF(COUNTA(A1532:F1532)=0,"",IF(AND(A1532&lt;&gt;"",E1532&lt;&gt;""),"OK","ERRO: faltam "&amp;IF(A1532="","CNPJ; ","")&amp;IF(E1532="","Novo gerente; ","")))</f>
      </c>
      <c r="K1532" s="6">
        <f>IF(COUNTA(A1532:F1532)=0,"",IF(AND(LEFT(H1532,4)&lt;&gt;"ERRO",I1532="OK",J1532="OK"),"OK","REVISAR"))</f>
      </c>
    </row>
    <row r="1533">
      <c r="A1533" s="5"/>
      <c r="B1533" s="4"/>
      <c r="C1533" s="4"/>
      <c r="D1533" s="4"/>
      <c r="E1533" s="5"/>
      <c r="F1533" s="4"/>
      <c r="G1533" s="6">
        <f>IF(A1533="","",SUBSTITUTE(SUBSTITUTE(SUBSTITUTE(SUBSTITUTE(SUBSTITUTE(SUBSTITUTE(SUBSTITUTE(TRIM(A1533),".",""),"/",""),"-","")," ",""),"(",""),")",""),"+",""))</f>
      </c>
      <c r="H1533" s="6">
        <f>IF(G1533="","",IF(LEN(G1533)&lt;&gt;14,"ERRO: "&amp;LEN(G1533)&amp;" dígitos",IF(NOT(ISNUMBER(VALUE(G1533))),"ERRO: não numérico",IF(AND(VALUE(MID(G1533,13,1))=IF(MOD(SUMPRODUCT(--MID(G1533,{1,2,3,4,5,6,7,8,9,10,11,12},1),{5,4,3,2,9,8,7,6,5,4,3,2}),11)&lt;2,0,11-MOD(SUMPRODUCT(--MID(G1533,{1,2,3,4,5,6,7,8,9,10,11,12},1),{5,4,3,2,9,8,7,6,5,4,3,2}),11)),VALUE(MID(G1533,14,1))=IF(MOD(SUMPRODUCT(--MID(G1533,{1,2,3,4,5,6,7,8,9,10,11,12,13},1),{6,5,4,3,2,9,8,7,6,5,4,3,2}),11)&lt;2,0,11-MOD(SUMPRODUCT(--MID(G1533,{1,2,3,4,5,6,7,8,9,10,11,12,13},1),{6,5,4,3,2,9,8,7,6,5,4,3,2}),11))),"OK","AVISO: dígito verificador (conferir na org)"))))</f>
      </c>
      <c r="I1533" s="6">
        <f>IF(G1533="","",IF(COUNTIF($G$2:$G$2001,G1533)&gt;1,"DUPLICADO","OK"))</f>
      </c>
      <c r="J1533" s="6">
        <f>IF(COUNTA(A1533:F1533)=0,"",IF(AND(A1533&lt;&gt;"",E1533&lt;&gt;""),"OK","ERRO: faltam "&amp;IF(A1533="","CNPJ; ","")&amp;IF(E1533="","Novo gerente; ","")))</f>
      </c>
      <c r="K1533" s="6">
        <f>IF(COUNTA(A1533:F1533)=0,"",IF(AND(LEFT(H1533,4)&lt;&gt;"ERRO",I1533="OK",J1533="OK"),"OK","REVISAR"))</f>
      </c>
    </row>
    <row r="1534">
      <c r="A1534" s="5"/>
      <c r="B1534" s="4"/>
      <c r="C1534" s="4"/>
      <c r="D1534" s="4"/>
      <c r="E1534" s="5"/>
      <c r="F1534" s="4"/>
      <c r="G1534" s="6">
        <f>IF(A1534="","",SUBSTITUTE(SUBSTITUTE(SUBSTITUTE(SUBSTITUTE(SUBSTITUTE(SUBSTITUTE(SUBSTITUTE(TRIM(A1534),".",""),"/",""),"-","")," ",""),"(",""),")",""),"+",""))</f>
      </c>
      <c r="H1534" s="6">
        <f>IF(G1534="","",IF(LEN(G1534)&lt;&gt;14,"ERRO: "&amp;LEN(G1534)&amp;" dígitos",IF(NOT(ISNUMBER(VALUE(G1534))),"ERRO: não numérico",IF(AND(VALUE(MID(G1534,13,1))=IF(MOD(SUMPRODUCT(--MID(G1534,{1,2,3,4,5,6,7,8,9,10,11,12},1),{5,4,3,2,9,8,7,6,5,4,3,2}),11)&lt;2,0,11-MOD(SUMPRODUCT(--MID(G1534,{1,2,3,4,5,6,7,8,9,10,11,12},1),{5,4,3,2,9,8,7,6,5,4,3,2}),11)),VALUE(MID(G1534,14,1))=IF(MOD(SUMPRODUCT(--MID(G1534,{1,2,3,4,5,6,7,8,9,10,11,12,13},1),{6,5,4,3,2,9,8,7,6,5,4,3,2}),11)&lt;2,0,11-MOD(SUMPRODUCT(--MID(G1534,{1,2,3,4,5,6,7,8,9,10,11,12,13},1),{6,5,4,3,2,9,8,7,6,5,4,3,2}),11))),"OK","AVISO: dígito verificador (conferir na org)"))))</f>
      </c>
      <c r="I1534" s="6">
        <f>IF(G1534="","",IF(COUNTIF($G$2:$G$2001,G1534)&gt;1,"DUPLICADO","OK"))</f>
      </c>
      <c r="J1534" s="6">
        <f>IF(COUNTA(A1534:F1534)=0,"",IF(AND(A1534&lt;&gt;"",E1534&lt;&gt;""),"OK","ERRO: faltam "&amp;IF(A1534="","CNPJ; ","")&amp;IF(E1534="","Novo gerente; ","")))</f>
      </c>
      <c r="K1534" s="6">
        <f>IF(COUNTA(A1534:F1534)=0,"",IF(AND(LEFT(H1534,4)&lt;&gt;"ERRO",I1534="OK",J1534="OK"),"OK","REVISAR"))</f>
      </c>
    </row>
    <row r="1535">
      <c r="A1535" s="5"/>
      <c r="B1535" s="4"/>
      <c r="C1535" s="4"/>
      <c r="D1535" s="4"/>
      <c r="E1535" s="5"/>
      <c r="F1535" s="4"/>
      <c r="G1535" s="6">
        <f>IF(A1535="","",SUBSTITUTE(SUBSTITUTE(SUBSTITUTE(SUBSTITUTE(SUBSTITUTE(SUBSTITUTE(SUBSTITUTE(TRIM(A1535),".",""),"/",""),"-","")," ",""),"(",""),")",""),"+",""))</f>
      </c>
      <c r="H1535" s="6">
        <f>IF(G1535="","",IF(LEN(G1535)&lt;&gt;14,"ERRO: "&amp;LEN(G1535)&amp;" dígitos",IF(NOT(ISNUMBER(VALUE(G1535))),"ERRO: não numérico",IF(AND(VALUE(MID(G1535,13,1))=IF(MOD(SUMPRODUCT(--MID(G1535,{1,2,3,4,5,6,7,8,9,10,11,12},1),{5,4,3,2,9,8,7,6,5,4,3,2}),11)&lt;2,0,11-MOD(SUMPRODUCT(--MID(G1535,{1,2,3,4,5,6,7,8,9,10,11,12},1),{5,4,3,2,9,8,7,6,5,4,3,2}),11)),VALUE(MID(G1535,14,1))=IF(MOD(SUMPRODUCT(--MID(G1535,{1,2,3,4,5,6,7,8,9,10,11,12,13},1),{6,5,4,3,2,9,8,7,6,5,4,3,2}),11)&lt;2,0,11-MOD(SUMPRODUCT(--MID(G1535,{1,2,3,4,5,6,7,8,9,10,11,12,13},1),{6,5,4,3,2,9,8,7,6,5,4,3,2}),11))),"OK","AVISO: dígito verificador (conferir na org)"))))</f>
      </c>
      <c r="I1535" s="6">
        <f>IF(G1535="","",IF(COUNTIF($G$2:$G$2001,G1535)&gt;1,"DUPLICADO","OK"))</f>
      </c>
      <c r="J1535" s="6">
        <f>IF(COUNTA(A1535:F1535)=0,"",IF(AND(A1535&lt;&gt;"",E1535&lt;&gt;""),"OK","ERRO: faltam "&amp;IF(A1535="","CNPJ; ","")&amp;IF(E1535="","Novo gerente; ","")))</f>
      </c>
      <c r="K1535" s="6">
        <f>IF(COUNTA(A1535:F1535)=0,"",IF(AND(LEFT(H1535,4)&lt;&gt;"ERRO",I1535="OK",J1535="OK"),"OK","REVISAR"))</f>
      </c>
    </row>
    <row r="1536">
      <c r="A1536" s="5"/>
      <c r="B1536" s="4"/>
      <c r="C1536" s="4"/>
      <c r="D1536" s="4"/>
      <c r="E1536" s="5"/>
      <c r="F1536" s="4"/>
      <c r="G1536" s="6">
        <f>IF(A1536="","",SUBSTITUTE(SUBSTITUTE(SUBSTITUTE(SUBSTITUTE(SUBSTITUTE(SUBSTITUTE(SUBSTITUTE(TRIM(A1536),".",""),"/",""),"-","")," ",""),"(",""),")",""),"+",""))</f>
      </c>
      <c r="H1536" s="6">
        <f>IF(G1536="","",IF(LEN(G1536)&lt;&gt;14,"ERRO: "&amp;LEN(G1536)&amp;" dígitos",IF(NOT(ISNUMBER(VALUE(G1536))),"ERRO: não numérico",IF(AND(VALUE(MID(G1536,13,1))=IF(MOD(SUMPRODUCT(--MID(G1536,{1,2,3,4,5,6,7,8,9,10,11,12},1),{5,4,3,2,9,8,7,6,5,4,3,2}),11)&lt;2,0,11-MOD(SUMPRODUCT(--MID(G1536,{1,2,3,4,5,6,7,8,9,10,11,12},1),{5,4,3,2,9,8,7,6,5,4,3,2}),11)),VALUE(MID(G1536,14,1))=IF(MOD(SUMPRODUCT(--MID(G1536,{1,2,3,4,5,6,7,8,9,10,11,12,13},1),{6,5,4,3,2,9,8,7,6,5,4,3,2}),11)&lt;2,0,11-MOD(SUMPRODUCT(--MID(G1536,{1,2,3,4,5,6,7,8,9,10,11,12,13},1),{6,5,4,3,2,9,8,7,6,5,4,3,2}),11))),"OK","AVISO: dígito verificador (conferir na org)"))))</f>
      </c>
      <c r="I1536" s="6">
        <f>IF(G1536="","",IF(COUNTIF($G$2:$G$2001,G1536)&gt;1,"DUPLICADO","OK"))</f>
      </c>
      <c r="J1536" s="6">
        <f>IF(COUNTA(A1536:F1536)=0,"",IF(AND(A1536&lt;&gt;"",E1536&lt;&gt;""),"OK","ERRO: faltam "&amp;IF(A1536="","CNPJ; ","")&amp;IF(E1536="","Novo gerente; ","")))</f>
      </c>
      <c r="K1536" s="6">
        <f>IF(COUNTA(A1536:F1536)=0,"",IF(AND(LEFT(H1536,4)&lt;&gt;"ERRO",I1536="OK",J1536="OK"),"OK","REVISAR"))</f>
      </c>
    </row>
    <row r="1537">
      <c r="A1537" s="5"/>
      <c r="B1537" s="4"/>
      <c r="C1537" s="4"/>
      <c r="D1537" s="4"/>
      <c r="E1537" s="5"/>
      <c r="F1537" s="4"/>
      <c r="G1537" s="6">
        <f>IF(A1537="","",SUBSTITUTE(SUBSTITUTE(SUBSTITUTE(SUBSTITUTE(SUBSTITUTE(SUBSTITUTE(SUBSTITUTE(TRIM(A1537),".",""),"/",""),"-","")," ",""),"(",""),")",""),"+",""))</f>
      </c>
      <c r="H1537" s="6">
        <f>IF(G1537="","",IF(LEN(G1537)&lt;&gt;14,"ERRO: "&amp;LEN(G1537)&amp;" dígitos",IF(NOT(ISNUMBER(VALUE(G1537))),"ERRO: não numérico",IF(AND(VALUE(MID(G1537,13,1))=IF(MOD(SUMPRODUCT(--MID(G1537,{1,2,3,4,5,6,7,8,9,10,11,12},1),{5,4,3,2,9,8,7,6,5,4,3,2}),11)&lt;2,0,11-MOD(SUMPRODUCT(--MID(G1537,{1,2,3,4,5,6,7,8,9,10,11,12},1),{5,4,3,2,9,8,7,6,5,4,3,2}),11)),VALUE(MID(G1537,14,1))=IF(MOD(SUMPRODUCT(--MID(G1537,{1,2,3,4,5,6,7,8,9,10,11,12,13},1),{6,5,4,3,2,9,8,7,6,5,4,3,2}),11)&lt;2,0,11-MOD(SUMPRODUCT(--MID(G1537,{1,2,3,4,5,6,7,8,9,10,11,12,13},1),{6,5,4,3,2,9,8,7,6,5,4,3,2}),11))),"OK","AVISO: dígito verificador (conferir na org)"))))</f>
      </c>
      <c r="I1537" s="6">
        <f>IF(G1537="","",IF(COUNTIF($G$2:$G$2001,G1537)&gt;1,"DUPLICADO","OK"))</f>
      </c>
      <c r="J1537" s="6">
        <f>IF(COUNTA(A1537:F1537)=0,"",IF(AND(A1537&lt;&gt;"",E1537&lt;&gt;""),"OK","ERRO: faltam "&amp;IF(A1537="","CNPJ; ","")&amp;IF(E1537="","Novo gerente; ","")))</f>
      </c>
      <c r="K1537" s="6">
        <f>IF(COUNTA(A1537:F1537)=0,"",IF(AND(LEFT(H1537,4)&lt;&gt;"ERRO",I1537="OK",J1537="OK"),"OK","REVISAR"))</f>
      </c>
    </row>
    <row r="1538">
      <c r="A1538" s="5"/>
      <c r="B1538" s="4"/>
      <c r="C1538" s="4"/>
      <c r="D1538" s="4"/>
      <c r="E1538" s="5"/>
      <c r="F1538" s="4"/>
      <c r="G1538" s="6">
        <f>IF(A1538="","",SUBSTITUTE(SUBSTITUTE(SUBSTITUTE(SUBSTITUTE(SUBSTITUTE(SUBSTITUTE(SUBSTITUTE(TRIM(A1538),".",""),"/",""),"-","")," ",""),"(",""),")",""),"+",""))</f>
      </c>
      <c r="H1538" s="6">
        <f>IF(G1538="","",IF(LEN(G1538)&lt;&gt;14,"ERRO: "&amp;LEN(G1538)&amp;" dígitos",IF(NOT(ISNUMBER(VALUE(G1538))),"ERRO: não numérico",IF(AND(VALUE(MID(G1538,13,1))=IF(MOD(SUMPRODUCT(--MID(G1538,{1,2,3,4,5,6,7,8,9,10,11,12},1),{5,4,3,2,9,8,7,6,5,4,3,2}),11)&lt;2,0,11-MOD(SUMPRODUCT(--MID(G1538,{1,2,3,4,5,6,7,8,9,10,11,12},1),{5,4,3,2,9,8,7,6,5,4,3,2}),11)),VALUE(MID(G1538,14,1))=IF(MOD(SUMPRODUCT(--MID(G1538,{1,2,3,4,5,6,7,8,9,10,11,12,13},1),{6,5,4,3,2,9,8,7,6,5,4,3,2}),11)&lt;2,0,11-MOD(SUMPRODUCT(--MID(G1538,{1,2,3,4,5,6,7,8,9,10,11,12,13},1),{6,5,4,3,2,9,8,7,6,5,4,3,2}),11))),"OK","AVISO: dígito verificador (conferir na org)"))))</f>
      </c>
      <c r="I1538" s="6">
        <f>IF(G1538="","",IF(COUNTIF($G$2:$G$2001,G1538)&gt;1,"DUPLICADO","OK"))</f>
      </c>
      <c r="J1538" s="6">
        <f>IF(COUNTA(A1538:F1538)=0,"",IF(AND(A1538&lt;&gt;"",E1538&lt;&gt;""),"OK","ERRO: faltam "&amp;IF(A1538="","CNPJ; ","")&amp;IF(E1538="","Novo gerente; ","")))</f>
      </c>
      <c r="K1538" s="6">
        <f>IF(COUNTA(A1538:F1538)=0,"",IF(AND(LEFT(H1538,4)&lt;&gt;"ERRO",I1538="OK",J1538="OK"),"OK","REVISAR"))</f>
      </c>
    </row>
    <row r="1539">
      <c r="A1539" s="5"/>
      <c r="B1539" s="4"/>
      <c r="C1539" s="4"/>
      <c r="D1539" s="4"/>
      <c r="E1539" s="5"/>
      <c r="F1539" s="4"/>
      <c r="G1539" s="6">
        <f>IF(A1539="","",SUBSTITUTE(SUBSTITUTE(SUBSTITUTE(SUBSTITUTE(SUBSTITUTE(SUBSTITUTE(SUBSTITUTE(TRIM(A1539),".",""),"/",""),"-","")," ",""),"(",""),")",""),"+",""))</f>
      </c>
      <c r="H1539" s="6">
        <f>IF(G1539="","",IF(LEN(G1539)&lt;&gt;14,"ERRO: "&amp;LEN(G1539)&amp;" dígitos",IF(NOT(ISNUMBER(VALUE(G1539))),"ERRO: não numérico",IF(AND(VALUE(MID(G1539,13,1))=IF(MOD(SUMPRODUCT(--MID(G1539,{1,2,3,4,5,6,7,8,9,10,11,12},1),{5,4,3,2,9,8,7,6,5,4,3,2}),11)&lt;2,0,11-MOD(SUMPRODUCT(--MID(G1539,{1,2,3,4,5,6,7,8,9,10,11,12},1),{5,4,3,2,9,8,7,6,5,4,3,2}),11)),VALUE(MID(G1539,14,1))=IF(MOD(SUMPRODUCT(--MID(G1539,{1,2,3,4,5,6,7,8,9,10,11,12,13},1),{6,5,4,3,2,9,8,7,6,5,4,3,2}),11)&lt;2,0,11-MOD(SUMPRODUCT(--MID(G1539,{1,2,3,4,5,6,7,8,9,10,11,12,13},1),{6,5,4,3,2,9,8,7,6,5,4,3,2}),11))),"OK","AVISO: dígito verificador (conferir na org)"))))</f>
      </c>
      <c r="I1539" s="6">
        <f>IF(G1539="","",IF(COUNTIF($G$2:$G$2001,G1539)&gt;1,"DUPLICADO","OK"))</f>
      </c>
      <c r="J1539" s="6">
        <f>IF(COUNTA(A1539:F1539)=0,"",IF(AND(A1539&lt;&gt;"",E1539&lt;&gt;""),"OK","ERRO: faltam "&amp;IF(A1539="","CNPJ; ","")&amp;IF(E1539="","Novo gerente; ","")))</f>
      </c>
      <c r="K1539" s="6">
        <f>IF(COUNTA(A1539:F1539)=0,"",IF(AND(LEFT(H1539,4)&lt;&gt;"ERRO",I1539="OK",J1539="OK"),"OK","REVISAR"))</f>
      </c>
    </row>
    <row r="1540">
      <c r="A1540" s="5"/>
      <c r="B1540" s="4"/>
      <c r="C1540" s="4"/>
      <c r="D1540" s="4"/>
      <c r="E1540" s="5"/>
      <c r="F1540" s="4"/>
      <c r="G1540" s="6">
        <f>IF(A1540="","",SUBSTITUTE(SUBSTITUTE(SUBSTITUTE(SUBSTITUTE(SUBSTITUTE(SUBSTITUTE(SUBSTITUTE(TRIM(A1540),".",""),"/",""),"-","")," ",""),"(",""),")",""),"+",""))</f>
      </c>
      <c r="H1540" s="6">
        <f>IF(G1540="","",IF(LEN(G1540)&lt;&gt;14,"ERRO: "&amp;LEN(G1540)&amp;" dígitos",IF(NOT(ISNUMBER(VALUE(G1540))),"ERRO: não numérico",IF(AND(VALUE(MID(G1540,13,1))=IF(MOD(SUMPRODUCT(--MID(G1540,{1,2,3,4,5,6,7,8,9,10,11,12},1),{5,4,3,2,9,8,7,6,5,4,3,2}),11)&lt;2,0,11-MOD(SUMPRODUCT(--MID(G1540,{1,2,3,4,5,6,7,8,9,10,11,12},1),{5,4,3,2,9,8,7,6,5,4,3,2}),11)),VALUE(MID(G1540,14,1))=IF(MOD(SUMPRODUCT(--MID(G1540,{1,2,3,4,5,6,7,8,9,10,11,12,13},1),{6,5,4,3,2,9,8,7,6,5,4,3,2}),11)&lt;2,0,11-MOD(SUMPRODUCT(--MID(G1540,{1,2,3,4,5,6,7,8,9,10,11,12,13},1),{6,5,4,3,2,9,8,7,6,5,4,3,2}),11))),"OK","AVISO: dígito verificador (conferir na org)"))))</f>
      </c>
      <c r="I1540" s="6">
        <f>IF(G1540="","",IF(COUNTIF($G$2:$G$2001,G1540)&gt;1,"DUPLICADO","OK"))</f>
      </c>
      <c r="J1540" s="6">
        <f>IF(COUNTA(A1540:F1540)=0,"",IF(AND(A1540&lt;&gt;"",E1540&lt;&gt;""),"OK","ERRO: faltam "&amp;IF(A1540="","CNPJ; ","")&amp;IF(E1540="","Novo gerente; ","")))</f>
      </c>
      <c r="K1540" s="6">
        <f>IF(COUNTA(A1540:F1540)=0,"",IF(AND(LEFT(H1540,4)&lt;&gt;"ERRO",I1540="OK",J1540="OK"),"OK","REVISAR"))</f>
      </c>
    </row>
    <row r="1541">
      <c r="A1541" s="5"/>
      <c r="B1541" s="4"/>
      <c r="C1541" s="4"/>
      <c r="D1541" s="4"/>
      <c r="E1541" s="5"/>
      <c r="F1541" s="4"/>
      <c r="G1541" s="6">
        <f>IF(A1541="","",SUBSTITUTE(SUBSTITUTE(SUBSTITUTE(SUBSTITUTE(SUBSTITUTE(SUBSTITUTE(SUBSTITUTE(TRIM(A1541),".",""),"/",""),"-","")," ",""),"(",""),")",""),"+",""))</f>
      </c>
      <c r="H1541" s="6">
        <f>IF(G1541="","",IF(LEN(G1541)&lt;&gt;14,"ERRO: "&amp;LEN(G1541)&amp;" dígitos",IF(NOT(ISNUMBER(VALUE(G1541))),"ERRO: não numérico",IF(AND(VALUE(MID(G1541,13,1))=IF(MOD(SUMPRODUCT(--MID(G1541,{1,2,3,4,5,6,7,8,9,10,11,12},1),{5,4,3,2,9,8,7,6,5,4,3,2}),11)&lt;2,0,11-MOD(SUMPRODUCT(--MID(G1541,{1,2,3,4,5,6,7,8,9,10,11,12},1),{5,4,3,2,9,8,7,6,5,4,3,2}),11)),VALUE(MID(G1541,14,1))=IF(MOD(SUMPRODUCT(--MID(G1541,{1,2,3,4,5,6,7,8,9,10,11,12,13},1),{6,5,4,3,2,9,8,7,6,5,4,3,2}),11)&lt;2,0,11-MOD(SUMPRODUCT(--MID(G1541,{1,2,3,4,5,6,7,8,9,10,11,12,13},1),{6,5,4,3,2,9,8,7,6,5,4,3,2}),11))),"OK","AVISO: dígito verificador (conferir na org)"))))</f>
      </c>
      <c r="I1541" s="6">
        <f>IF(G1541="","",IF(COUNTIF($G$2:$G$2001,G1541)&gt;1,"DUPLICADO","OK"))</f>
      </c>
      <c r="J1541" s="6">
        <f>IF(COUNTA(A1541:F1541)=0,"",IF(AND(A1541&lt;&gt;"",E1541&lt;&gt;""),"OK","ERRO: faltam "&amp;IF(A1541="","CNPJ; ","")&amp;IF(E1541="","Novo gerente; ","")))</f>
      </c>
      <c r="K1541" s="6">
        <f>IF(COUNTA(A1541:F1541)=0,"",IF(AND(LEFT(H1541,4)&lt;&gt;"ERRO",I1541="OK",J1541="OK"),"OK","REVISAR"))</f>
      </c>
    </row>
    <row r="1542">
      <c r="A1542" s="5"/>
      <c r="B1542" s="4"/>
      <c r="C1542" s="4"/>
      <c r="D1542" s="4"/>
      <c r="E1542" s="5"/>
      <c r="F1542" s="4"/>
      <c r="G1542" s="6">
        <f>IF(A1542="","",SUBSTITUTE(SUBSTITUTE(SUBSTITUTE(SUBSTITUTE(SUBSTITUTE(SUBSTITUTE(SUBSTITUTE(TRIM(A1542),".",""),"/",""),"-","")," ",""),"(",""),")",""),"+",""))</f>
      </c>
      <c r="H1542" s="6">
        <f>IF(G1542="","",IF(LEN(G1542)&lt;&gt;14,"ERRO: "&amp;LEN(G1542)&amp;" dígitos",IF(NOT(ISNUMBER(VALUE(G1542))),"ERRO: não numérico",IF(AND(VALUE(MID(G1542,13,1))=IF(MOD(SUMPRODUCT(--MID(G1542,{1,2,3,4,5,6,7,8,9,10,11,12},1),{5,4,3,2,9,8,7,6,5,4,3,2}),11)&lt;2,0,11-MOD(SUMPRODUCT(--MID(G1542,{1,2,3,4,5,6,7,8,9,10,11,12},1),{5,4,3,2,9,8,7,6,5,4,3,2}),11)),VALUE(MID(G1542,14,1))=IF(MOD(SUMPRODUCT(--MID(G1542,{1,2,3,4,5,6,7,8,9,10,11,12,13},1),{6,5,4,3,2,9,8,7,6,5,4,3,2}),11)&lt;2,0,11-MOD(SUMPRODUCT(--MID(G1542,{1,2,3,4,5,6,7,8,9,10,11,12,13},1),{6,5,4,3,2,9,8,7,6,5,4,3,2}),11))),"OK","AVISO: dígito verificador (conferir na org)"))))</f>
      </c>
      <c r="I1542" s="6">
        <f>IF(G1542="","",IF(COUNTIF($G$2:$G$2001,G1542)&gt;1,"DUPLICADO","OK"))</f>
      </c>
      <c r="J1542" s="6">
        <f>IF(COUNTA(A1542:F1542)=0,"",IF(AND(A1542&lt;&gt;"",E1542&lt;&gt;""),"OK","ERRO: faltam "&amp;IF(A1542="","CNPJ; ","")&amp;IF(E1542="","Novo gerente; ","")))</f>
      </c>
      <c r="K1542" s="6">
        <f>IF(COUNTA(A1542:F1542)=0,"",IF(AND(LEFT(H1542,4)&lt;&gt;"ERRO",I1542="OK",J1542="OK"),"OK","REVISAR"))</f>
      </c>
    </row>
    <row r="1543">
      <c r="A1543" s="5"/>
      <c r="B1543" s="4"/>
      <c r="C1543" s="4"/>
      <c r="D1543" s="4"/>
      <c r="E1543" s="5"/>
      <c r="F1543" s="4"/>
      <c r="G1543" s="6">
        <f>IF(A1543="","",SUBSTITUTE(SUBSTITUTE(SUBSTITUTE(SUBSTITUTE(SUBSTITUTE(SUBSTITUTE(SUBSTITUTE(TRIM(A1543),".",""),"/",""),"-","")," ",""),"(",""),")",""),"+",""))</f>
      </c>
      <c r="H1543" s="6">
        <f>IF(G1543="","",IF(LEN(G1543)&lt;&gt;14,"ERRO: "&amp;LEN(G1543)&amp;" dígitos",IF(NOT(ISNUMBER(VALUE(G1543))),"ERRO: não numérico",IF(AND(VALUE(MID(G1543,13,1))=IF(MOD(SUMPRODUCT(--MID(G1543,{1,2,3,4,5,6,7,8,9,10,11,12},1),{5,4,3,2,9,8,7,6,5,4,3,2}),11)&lt;2,0,11-MOD(SUMPRODUCT(--MID(G1543,{1,2,3,4,5,6,7,8,9,10,11,12},1),{5,4,3,2,9,8,7,6,5,4,3,2}),11)),VALUE(MID(G1543,14,1))=IF(MOD(SUMPRODUCT(--MID(G1543,{1,2,3,4,5,6,7,8,9,10,11,12,13},1),{6,5,4,3,2,9,8,7,6,5,4,3,2}),11)&lt;2,0,11-MOD(SUMPRODUCT(--MID(G1543,{1,2,3,4,5,6,7,8,9,10,11,12,13},1),{6,5,4,3,2,9,8,7,6,5,4,3,2}),11))),"OK","AVISO: dígito verificador (conferir na org)"))))</f>
      </c>
      <c r="I1543" s="6">
        <f>IF(G1543="","",IF(COUNTIF($G$2:$G$2001,G1543)&gt;1,"DUPLICADO","OK"))</f>
      </c>
      <c r="J1543" s="6">
        <f>IF(COUNTA(A1543:F1543)=0,"",IF(AND(A1543&lt;&gt;"",E1543&lt;&gt;""),"OK","ERRO: faltam "&amp;IF(A1543="","CNPJ; ","")&amp;IF(E1543="","Novo gerente; ","")))</f>
      </c>
      <c r="K1543" s="6">
        <f>IF(COUNTA(A1543:F1543)=0,"",IF(AND(LEFT(H1543,4)&lt;&gt;"ERRO",I1543="OK",J1543="OK"),"OK","REVISAR"))</f>
      </c>
    </row>
    <row r="1544">
      <c r="A1544" s="5"/>
      <c r="B1544" s="4"/>
      <c r="C1544" s="4"/>
      <c r="D1544" s="4"/>
      <c r="E1544" s="5"/>
      <c r="F1544" s="4"/>
      <c r="G1544" s="6">
        <f>IF(A1544="","",SUBSTITUTE(SUBSTITUTE(SUBSTITUTE(SUBSTITUTE(SUBSTITUTE(SUBSTITUTE(SUBSTITUTE(TRIM(A1544),".",""),"/",""),"-","")," ",""),"(",""),")",""),"+",""))</f>
      </c>
      <c r="H1544" s="6">
        <f>IF(G1544="","",IF(LEN(G1544)&lt;&gt;14,"ERRO: "&amp;LEN(G1544)&amp;" dígitos",IF(NOT(ISNUMBER(VALUE(G1544))),"ERRO: não numérico",IF(AND(VALUE(MID(G1544,13,1))=IF(MOD(SUMPRODUCT(--MID(G1544,{1,2,3,4,5,6,7,8,9,10,11,12},1),{5,4,3,2,9,8,7,6,5,4,3,2}),11)&lt;2,0,11-MOD(SUMPRODUCT(--MID(G1544,{1,2,3,4,5,6,7,8,9,10,11,12},1),{5,4,3,2,9,8,7,6,5,4,3,2}),11)),VALUE(MID(G1544,14,1))=IF(MOD(SUMPRODUCT(--MID(G1544,{1,2,3,4,5,6,7,8,9,10,11,12,13},1),{6,5,4,3,2,9,8,7,6,5,4,3,2}),11)&lt;2,0,11-MOD(SUMPRODUCT(--MID(G1544,{1,2,3,4,5,6,7,8,9,10,11,12,13},1),{6,5,4,3,2,9,8,7,6,5,4,3,2}),11))),"OK","AVISO: dígito verificador (conferir na org)"))))</f>
      </c>
      <c r="I1544" s="6">
        <f>IF(G1544="","",IF(COUNTIF($G$2:$G$2001,G1544)&gt;1,"DUPLICADO","OK"))</f>
      </c>
      <c r="J1544" s="6">
        <f>IF(COUNTA(A1544:F1544)=0,"",IF(AND(A1544&lt;&gt;"",E1544&lt;&gt;""),"OK","ERRO: faltam "&amp;IF(A1544="","CNPJ; ","")&amp;IF(E1544="","Novo gerente; ","")))</f>
      </c>
      <c r="K1544" s="6">
        <f>IF(COUNTA(A1544:F1544)=0,"",IF(AND(LEFT(H1544,4)&lt;&gt;"ERRO",I1544="OK",J1544="OK"),"OK","REVISAR"))</f>
      </c>
    </row>
    <row r="1545">
      <c r="A1545" s="5"/>
      <c r="B1545" s="4"/>
      <c r="C1545" s="4"/>
      <c r="D1545" s="4"/>
      <c r="E1545" s="5"/>
      <c r="F1545" s="4"/>
      <c r="G1545" s="6">
        <f>IF(A1545="","",SUBSTITUTE(SUBSTITUTE(SUBSTITUTE(SUBSTITUTE(SUBSTITUTE(SUBSTITUTE(SUBSTITUTE(TRIM(A1545),".",""),"/",""),"-","")," ",""),"(",""),")",""),"+",""))</f>
      </c>
      <c r="H1545" s="6">
        <f>IF(G1545="","",IF(LEN(G1545)&lt;&gt;14,"ERRO: "&amp;LEN(G1545)&amp;" dígitos",IF(NOT(ISNUMBER(VALUE(G1545))),"ERRO: não numérico",IF(AND(VALUE(MID(G1545,13,1))=IF(MOD(SUMPRODUCT(--MID(G1545,{1,2,3,4,5,6,7,8,9,10,11,12},1),{5,4,3,2,9,8,7,6,5,4,3,2}),11)&lt;2,0,11-MOD(SUMPRODUCT(--MID(G1545,{1,2,3,4,5,6,7,8,9,10,11,12},1),{5,4,3,2,9,8,7,6,5,4,3,2}),11)),VALUE(MID(G1545,14,1))=IF(MOD(SUMPRODUCT(--MID(G1545,{1,2,3,4,5,6,7,8,9,10,11,12,13},1),{6,5,4,3,2,9,8,7,6,5,4,3,2}),11)&lt;2,0,11-MOD(SUMPRODUCT(--MID(G1545,{1,2,3,4,5,6,7,8,9,10,11,12,13},1),{6,5,4,3,2,9,8,7,6,5,4,3,2}),11))),"OK","AVISO: dígito verificador (conferir na org)"))))</f>
      </c>
      <c r="I1545" s="6">
        <f>IF(G1545="","",IF(COUNTIF($G$2:$G$2001,G1545)&gt;1,"DUPLICADO","OK"))</f>
      </c>
      <c r="J1545" s="6">
        <f>IF(COUNTA(A1545:F1545)=0,"",IF(AND(A1545&lt;&gt;"",E1545&lt;&gt;""),"OK","ERRO: faltam "&amp;IF(A1545="","CNPJ; ","")&amp;IF(E1545="","Novo gerente; ","")))</f>
      </c>
      <c r="K1545" s="6">
        <f>IF(COUNTA(A1545:F1545)=0,"",IF(AND(LEFT(H1545,4)&lt;&gt;"ERRO",I1545="OK",J1545="OK"),"OK","REVISAR"))</f>
      </c>
    </row>
    <row r="1546">
      <c r="A1546" s="5"/>
      <c r="B1546" s="4"/>
      <c r="C1546" s="4"/>
      <c r="D1546" s="4"/>
      <c r="E1546" s="5"/>
      <c r="F1546" s="4"/>
      <c r="G1546" s="6">
        <f>IF(A1546="","",SUBSTITUTE(SUBSTITUTE(SUBSTITUTE(SUBSTITUTE(SUBSTITUTE(SUBSTITUTE(SUBSTITUTE(TRIM(A1546),".",""),"/",""),"-","")," ",""),"(",""),")",""),"+",""))</f>
      </c>
      <c r="H1546" s="6">
        <f>IF(G1546="","",IF(LEN(G1546)&lt;&gt;14,"ERRO: "&amp;LEN(G1546)&amp;" dígitos",IF(NOT(ISNUMBER(VALUE(G1546))),"ERRO: não numérico",IF(AND(VALUE(MID(G1546,13,1))=IF(MOD(SUMPRODUCT(--MID(G1546,{1,2,3,4,5,6,7,8,9,10,11,12},1),{5,4,3,2,9,8,7,6,5,4,3,2}),11)&lt;2,0,11-MOD(SUMPRODUCT(--MID(G1546,{1,2,3,4,5,6,7,8,9,10,11,12},1),{5,4,3,2,9,8,7,6,5,4,3,2}),11)),VALUE(MID(G1546,14,1))=IF(MOD(SUMPRODUCT(--MID(G1546,{1,2,3,4,5,6,7,8,9,10,11,12,13},1),{6,5,4,3,2,9,8,7,6,5,4,3,2}),11)&lt;2,0,11-MOD(SUMPRODUCT(--MID(G1546,{1,2,3,4,5,6,7,8,9,10,11,12,13},1),{6,5,4,3,2,9,8,7,6,5,4,3,2}),11))),"OK","AVISO: dígito verificador (conferir na org)"))))</f>
      </c>
      <c r="I1546" s="6">
        <f>IF(G1546="","",IF(COUNTIF($G$2:$G$2001,G1546)&gt;1,"DUPLICADO","OK"))</f>
      </c>
      <c r="J1546" s="6">
        <f>IF(COUNTA(A1546:F1546)=0,"",IF(AND(A1546&lt;&gt;"",E1546&lt;&gt;""),"OK","ERRO: faltam "&amp;IF(A1546="","CNPJ; ","")&amp;IF(E1546="","Novo gerente; ","")))</f>
      </c>
      <c r="K1546" s="6">
        <f>IF(COUNTA(A1546:F1546)=0,"",IF(AND(LEFT(H1546,4)&lt;&gt;"ERRO",I1546="OK",J1546="OK"),"OK","REVISAR"))</f>
      </c>
    </row>
    <row r="1547">
      <c r="A1547" s="5"/>
      <c r="B1547" s="4"/>
      <c r="C1547" s="4"/>
      <c r="D1547" s="4"/>
      <c r="E1547" s="5"/>
      <c r="F1547" s="4"/>
      <c r="G1547" s="6">
        <f>IF(A1547="","",SUBSTITUTE(SUBSTITUTE(SUBSTITUTE(SUBSTITUTE(SUBSTITUTE(SUBSTITUTE(SUBSTITUTE(TRIM(A1547),".",""),"/",""),"-","")," ",""),"(",""),")",""),"+",""))</f>
      </c>
      <c r="H1547" s="6">
        <f>IF(G1547="","",IF(LEN(G1547)&lt;&gt;14,"ERRO: "&amp;LEN(G1547)&amp;" dígitos",IF(NOT(ISNUMBER(VALUE(G1547))),"ERRO: não numérico",IF(AND(VALUE(MID(G1547,13,1))=IF(MOD(SUMPRODUCT(--MID(G1547,{1,2,3,4,5,6,7,8,9,10,11,12},1),{5,4,3,2,9,8,7,6,5,4,3,2}),11)&lt;2,0,11-MOD(SUMPRODUCT(--MID(G1547,{1,2,3,4,5,6,7,8,9,10,11,12},1),{5,4,3,2,9,8,7,6,5,4,3,2}),11)),VALUE(MID(G1547,14,1))=IF(MOD(SUMPRODUCT(--MID(G1547,{1,2,3,4,5,6,7,8,9,10,11,12,13},1),{6,5,4,3,2,9,8,7,6,5,4,3,2}),11)&lt;2,0,11-MOD(SUMPRODUCT(--MID(G1547,{1,2,3,4,5,6,7,8,9,10,11,12,13},1),{6,5,4,3,2,9,8,7,6,5,4,3,2}),11))),"OK","AVISO: dígito verificador (conferir na org)"))))</f>
      </c>
      <c r="I1547" s="6">
        <f>IF(G1547="","",IF(COUNTIF($G$2:$G$2001,G1547)&gt;1,"DUPLICADO","OK"))</f>
      </c>
      <c r="J1547" s="6">
        <f>IF(COUNTA(A1547:F1547)=0,"",IF(AND(A1547&lt;&gt;"",E1547&lt;&gt;""),"OK","ERRO: faltam "&amp;IF(A1547="","CNPJ; ","")&amp;IF(E1547="","Novo gerente; ","")))</f>
      </c>
      <c r="K1547" s="6">
        <f>IF(COUNTA(A1547:F1547)=0,"",IF(AND(LEFT(H1547,4)&lt;&gt;"ERRO",I1547="OK",J1547="OK"),"OK","REVISAR"))</f>
      </c>
    </row>
    <row r="1548">
      <c r="A1548" s="5"/>
      <c r="B1548" s="4"/>
      <c r="C1548" s="4"/>
      <c r="D1548" s="4"/>
      <c r="E1548" s="5"/>
      <c r="F1548" s="4"/>
      <c r="G1548" s="6">
        <f>IF(A1548="","",SUBSTITUTE(SUBSTITUTE(SUBSTITUTE(SUBSTITUTE(SUBSTITUTE(SUBSTITUTE(SUBSTITUTE(TRIM(A1548),".",""),"/",""),"-","")," ",""),"(",""),")",""),"+",""))</f>
      </c>
      <c r="H1548" s="6">
        <f>IF(G1548="","",IF(LEN(G1548)&lt;&gt;14,"ERRO: "&amp;LEN(G1548)&amp;" dígitos",IF(NOT(ISNUMBER(VALUE(G1548))),"ERRO: não numérico",IF(AND(VALUE(MID(G1548,13,1))=IF(MOD(SUMPRODUCT(--MID(G1548,{1,2,3,4,5,6,7,8,9,10,11,12},1),{5,4,3,2,9,8,7,6,5,4,3,2}),11)&lt;2,0,11-MOD(SUMPRODUCT(--MID(G1548,{1,2,3,4,5,6,7,8,9,10,11,12},1),{5,4,3,2,9,8,7,6,5,4,3,2}),11)),VALUE(MID(G1548,14,1))=IF(MOD(SUMPRODUCT(--MID(G1548,{1,2,3,4,5,6,7,8,9,10,11,12,13},1),{6,5,4,3,2,9,8,7,6,5,4,3,2}),11)&lt;2,0,11-MOD(SUMPRODUCT(--MID(G1548,{1,2,3,4,5,6,7,8,9,10,11,12,13},1),{6,5,4,3,2,9,8,7,6,5,4,3,2}),11))),"OK","AVISO: dígito verificador (conferir na org)"))))</f>
      </c>
      <c r="I1548" s="6">
        <f>IF(G1548="","",IF(COUNTIF($G$2:$G$2001,G1548)&gt;1,"DUPLICADO","OK"))</f>
      </c>
      <c r="J1548" s="6">
        <f>IF(COUNTA(A1548:F1548)=0,"",IF(AND(A1548&lt;&gt;"",E1548&lt;&gt;""),"OK","ERRO: faltam "&amp;IF(A1548="","CNPJ; ","")&amp;IF(E1548="","Novo gerente; ","")))</f>
      </c>
      <c r="K1548" s="6">
        <f>IF(COUNTA(A1548:F1548)=0,"",IF(AND(LEFT(H1548,4)&lt;&gt;"ERRO",I1548="OK",J1548="OK"),"OK","REVISAR"))</f>
      </c>
    </row>
    <row r="1549">
      <c r="A1549" s="5"/>
      <c r="B1549" s="4"/>
      <c r="C1549" s="4"/>
      <c r="D1549" s="4"/>
      <c r="E1549" s="5"/>
      <c r="F1549" s="4"/>
      <c r="G1549" s="6">
        <f>IF(A1549="","",SUBSTITUTE(SUBSTITUTE(SUBSTITUTE(SUBSTITUTE(SUBSTITUTE(SUBSTITUTE(SUBSTITUTE(TRIM(A1549),".",""),"/",""),"-","")," ",""),"(",""),")",""),"+",""))</f>
      </c>
      <c r="H1549" s="6">
        <f>IF(G1549="","",IF(LEN(G1549)&lt;&gt;14,"ERRO: "&amp;LEN(G1549)&amp;" dígitos",IF(NOT(ISNUMBER(VALUE(G1549))),"ERRO: não numérico",IF(AND(VALUE(MID(G1549,13,1))=IF(MOD(SUMPRODUCT(--MID(G1549,{1,2,3,4,5,6,7,8,9,10,11,12},1),{5,4,3,2,9,8,7,6,5,4,3,2}),11)&lt;2,0,11-MOD(SUMPRODUCT(--MID(G1549,{1,2,3,4,5,6,7,8,9,10,11,12},1),{5,4,3,2,9,8,7,6,5,4,3,2}),11)),VALUE(MID(G1549,14,1))=IF(MOD(SUMPRODUCT(--MID(G1549,{1,2,3,4,5,6,7,8,9,10,11,12,13},1),{6,5,4,3,2,9,8,7,6,5,4,3,2}),11)&lt;2,0,11-MOD(SUMPRODUCT(--MID(G1549,{1,2,3,4,5,6,7,8,9,10,11,12,13},1),{6,5,4,3,2,9,8,7,6,5,4,3,2}),11))),"OK","AVISO: dígito verificador (conferir na org)"))))</f>
      </c>
      <c r="I1549" s="6">
        <f>IF(G1549="","",IF(COUNTIF($G$2:$G$2001,G1549)&gt;1,"DUPLICADO","OK"))</f>
      </c>
      <c r="J1549" s="6">
        <f>IF(COUNTA(A1549:F1549)=0,"",IF(AND(A1549&lt;&gt;"",E1549&lt;&gt;""),"OK","ERRO: faltam "&amp;IF(A1549="","CNPJ; ","")&amp;IF(E1549="","Novo gerente; ","")))</f>
      </c>
      <c r="K1549" s="6">
        <f>IF(COUNTA(A1549:F1549)=0,"",IF(AND(LEFT(H1549,4)&lt;&gt;"ERRO",I1549="OK",J1549="OK"),"OK","REVISAR"))</f>
      </c>
    </row>
    <row r="1550">
      <c r="A1550" s="5"/>
      <c r="B1550" s="4"/>
      <c r="C1550" s="4"/>
      <c r="D1550" s="4"/>
      <c r="E1550" s="5"/>
      <c r="F1550" s="4"/>
      <c r="G1550" s="6">
        <f>IF(A1550="","",SUBSTITUTE(SUBSTITUTE(SUBSTITUTE(SUBSTITUTE(SUBSTITUTE(SUBSTITUTE(SUBSTITUTE(TRIM(A1550),".",""),"/",""),"-","")," ",""),"(",""),")",""),"+",""))</f>
      </c>
      <c r="H1550" s="6">
        <f>IF(G1550="","",IF(LEN(G1550)&lt;&gt;14,"ERRO: "&amp;LEN(G1550)&amp;" dígitos",IF(NOT(ISNUMBER(VALUE(G1550))),"ERRO: não numérico",IF(AND(VALUE(MID(G1550,13,1))=IF(MOD(SUMPRODUCT(--MID(G1550,{1,2,3,4,5,6,7,8,9,10,11,12},1),{5,4,3,2,9,8,7,6,5,4,3,2}),11)&lt;2,0,11-MOD(SUMPRODUCT(--MID(G1550,{1,2,3,4,5,6,7,8,9,10,11,12},1),{5,4,3,2,9,8,7,6,5,4,3,2}),11)),VALUE(MID(G1550,14,1))=IF(MOD(SUMPRODUCT(--MID(G1550,{1,2,3,4,5,6,7,8,9,10,11,12,13},1),{6,5,4,3,2,9,8,7,6,5,4,3,2}),11)&lt;2,0,11-MOD(SUMPRODUCT(--MID(G1550,{1,2,3,4,5,6,7,8,9,10,11,12,13},1),{6,5,4,3,2,9,8,7,6,5,4,3,2}),11))),"OK","AVISO: dígito verificador (conferir na org)"))))</f>
      </c>
      <c r="I1550" s="6">
        <f>IF(G1550="","",IF(COUNTIF($G$2:$G$2001,G1550)&gt;1,"DUPLICADO","OK"))</f>
      </c>
      <c r="J1550" s="6">
        <f>IF(COUNTA(A1550:F1550)=0,"",IF(AND(A1550&lt;&gt;"",E1550&lt;&gt;""),"OK","ERRO: faltam "&amp;IF(A1550="","CNPJ; ","")&amp;IF(E1550="","Novo gerente; ","")))</f>
      </c>
      <c r="K1550" s="6">
        <f>IF(COUNTA(A1550:F1550)=0,"",IF(AND(LEFT(H1550,4)&lt;&gt;"ERRO",I1550="OK",J1550="OK"),"OK","REVISAR"))</f>
      </c>
    </row>
    <row r="1551">
      <c r="A1551" s="5"/>
      <c r="B1551" s="4"/>
      <c r="C1551" s="4"/>
      <c r="D1551" s="4"/>
      <c r="E1551" s="5"/>
      <c r="F1551" s="4"/>
      <c r="G1551" s="6">
        <f>IF(A1551="","",SUBSTITUTE(SUBSTITUTE(SUBSTITUTE(SUBSTITUTE(SUBSTITUTE(SUBSTITUTE(SUBSTITUTE(TRIM(A1551),".",""),"/",""),"-","")," ",""),"(",""),")",""),"+",""))</f>
      </c>
      <c r="H1551" s="6">
        <f>IF(G1551="","",IF(LEN(G1551)&lt;&gt;14,"ERRO: "&amp;LEN(G1551)&amp;" dígitos",IF(NOT(ISNUMBER(VALUE(G1551))),"ERRO: não numérico",IF(AND(VALUE(MID(G1551,13,1))=IF(MOD(SUMPRODUCT(--MID(G1551,{1,2,3,4,5,6,7,8,9,10,11,12},1),{5,4,3,2,9,8,7,6,5,4,3,2}),11)&lt;2,0,11-MOD(SUMPRODUCT(--MID(G1551,{1,2,3,4,5,6,7,8,9,10,11,12},1),{5,4,3,2,9,8,7,6,5,4,3,2}),11)),VALUE(MID(G1551,14,1))=IF(MOD(SUMPRODUCT(--MID(G1551,{1,2,3,4,5,6,7,8,9,10,11,12,13},1),{6,5,4,3,2,9,8,7,6,5,4,3,2}),11)&lt;2,0,11-MOD(SUMPRODUCT(--MID(G1551,{1,2,3,4,5,6,7,8,9,10,11,12,13},1),{6,5,4,3,2,9,8,7,6,5,4,3,2}),11))),"OK","AVISO: dígito verificador (conferir na org)"))))</f>
      </c>
      <c r="I1551" s="6">
        <f>IF(G1551="","",IF(COUNTIF($G$2:$G$2001,G1551)&gt;1,"DUPLICADO","OK"))</f>
      </c>
      <c r="J1551" s="6">
        <f>IF(COUNTA(A1551:F1551)=0,"",IF(AND(A1551&lt;&gt;"",E1551&lt;&gt;""),"OK","ERRO: faltam "&amp;IF(A1551="","CNPJ; ","")&amp;IF(E1551="","Novo gerente; ","")))</f>
      </c>
      <c r="K1551" s="6">
        <f>IF(COUNTA(A1551:F1551)=0,"",IF(AND(LEFT(H1551,4)&lt;&gt;"ERRO",I1551="OK",J1551="OK"),"OK","REVISAR"))</f>
      </c>
    </row>
    <row r="1552">
      <c r="A1552" s="5"/>
      <c r="B1552" s="4"/>
      <c r="C1552" s="4"/>
      <c r="D1552" s="4"/>
      <c r="E1552" s="5"/>
      <c r="F1552" s="4"/>
      <c r="G1552" s="6">
        <f>IF(A1552="","",SUBSTITUTE(SUBSTITUTE(SUBSTITUTE(SUBSTITUTE(SUBSTITUTE(SUBSTITUTE(SUBSTITUTE(TRIM(A1552),".",""),"/",""),"-","")," ",""),"(",""),")",""),"+",""))</f>
      </c>
      <c r="H1552" s="6">
        <f>IF(G1552="","",IF(LEN(G1552)&lt;&gt;14,"ERRO: "&amp;LEN(G1552)&amp;" dígitos",IF(NOT(ISNUMBER(VALUE(G1552))),"ERRO: não numérico",IF(AND(VALUE(MID(G1552,13,1))=IF(MOD(SUMPRODUCT(--MID(G1552,{1,2,3,4,5,6,7,8,9,10,11,12},1),{5,4,3,2,9,8,7,6,5,4,3,2}),11)&lt;2,0,11-MOD(SUMPRODUCT(--MID(G1552,{1,2,3,4,5,6,7,8,9,10,11,12},1),{5,4,3,2,9,8,7,6,5,4,3,2}),11)),VALUE(MID(G1552,14,1))=IF(MOD(SUMPRODUCT(--MID(G1552,{1,2,3,4,5,6,7,8,9,10,11,12,13},1),{6,5,4,3,2,9,8,7,6,5,4,3,2}),11)&lt;2,0,11-MOD(SUMPRODUCT(--MID(G1552,{1,2,3,4,5,6,7,8,9,10,11,12,13},1),{6,5,4,3,2,9,8,7,6,5,4,3,2}),11))),"OK","AVISO: dígito verificador (conferir na org)"))))</f>
      </c>
      <c r="I1552" s="6">
        <f>IF(G1552="","",IF(COUNTIF($G$2:$G$2001,G1552)&gt;1,"DUPLICADO","OK"))</f>
      </c>
      <c r="J1552" s="6">
        <f>IF(COUNTA(A1552:F1552)=0,"",IF(AND(A1552&lt;&gt;"",E1552&lt;&gt;""),"OK","ERRO: faltam "&amp;IF(A1552="","CNPJ; ","")&amp;IF(E1552="","Novo gerente; ","")))</f>
      </c>
      <c r="K1552" s="6">
        <f>IF(COUNTA(A1552:F1552)=0,"",IF(AND(LEFT(H1552,4)&lt;&gt;"ERRO",I1552="OK",J1552="OK"),"OK","REVISAR"))</f>
      </c>
    </row>
    <row r="1553">
      <c r="A1553" s="5"/>
      <c r="B1553" s="4"/>
      <c r="C1553" s="4"/>
      <c r="D1553" s="4"/>
      <c r="E1553" s="5"/>
      <c r="F1553" s="4"/>
      <c r="G1553" s="6">
        <f>IF(A1553="","",SUBSTITUTE(SUBSTITUTE(SUBSTITUTE(SUBSTITUTE(SUBSTITUTE(SUBSTITUTE(SUBSTITUTE(TRIM(A1553),".",""),"/",""),"-","")," ",""),"(",""),")",""),"+",""))</f>
      </c>
      <c r="H1553" s="6">
        <f>IF(G1553="","",IF(LEN(G1553)&lt;&gt;14,"ERRO: "&amp;LEN(G1553)&amp;" dígitos",IF(NOT(ISNUMBER(VALUE(G1553))),"ERRO: não numérico",IF(AND(VALUE(MID(G1553,13,1))=IF(MOD(SUMPRODUCT(--MID(G1553,{1,2,3,4,5,6,7,8,9,10,11,12},1),{5,4,3,2,9,8,7,6,5,4,3,2}),11)&lt;2,0,11-MOD(SUMPRODUCT(--MID(G1553,{1,2,3,4,5,6,7,8,9,10,11,12},1),{5,4,3,2,9,8,7,6,5,4,3,2}),11)),VALUE(MID(G1553,14,1))=IF(MOD(SUMPRODUCT(--MID(G1553,{1,2,3,4,5,6,7,8,9,10,11,12,13},1),{6,5,4,3,2,9,8,7,6,5,4,3,2}),11)&lt;2,0,11-MOD(SUMPRODUCT(--MID(G1553,{1,2,3,4,5,6,7,8,9,10,11,12,13},1),{6,5,4,3,2,9,8,7,6,5,4,3,2}),11))),"OK","AVISO: dígito verificador (conferir na org)"))))</f>
      </c>
      <c r="I1553" s="6">
        <f>IF(G1553="","",IF(COUNTIF($G$2:$G$2001,G1553)&gt;1,"DUPLICADO","OK"))</f>
      </c>
      <c r="J1553" s="6">
        <f>IF(COUNTA(A1553:F1553)=0,"",IF(AND(A1553&lt;&gt;"",E1553&lt;&gt;""),"OK","ERRO: faltam "&amp;IF(A1553="","CNPJ; ","")&amp;IF(E1553="","Novo gerente; ","")))</f>
      </c>
      <c r="K1553" s="6">
        <f>IF(COUNTA(A1553:F1553)=0,"",IF(AND(LEFT(H1553,4)&lt;&gt;"ERRO",I1553="OK",J1553="OK"),"OK","REVISAR"))</f>
      </c>
    </row>
    <row r="1554">
      <c r="A1554" s="5"/>
      <c r="B1554" s="4"/>
      <c r="C1554" s="4"/>
      <c r="D1554" s="4"/>
      <c r="E1554" s="5"/>
      <c r="F1554" s="4"/>
      <c r="G1554" s="6">
        <f>IF(A1554="","",SUBSTITUTE(SUBSTITUTE(SUBSTITUTE(SUBSTITUTE(SUBSTITUTE(SUBSTITUTE(SUBSTITUTE(TRIM(A1554),".",""),"/",""),"-","")," ",""),"(",""),")",""),"+",""))</f>
      </c>
      <c r="H1554" s="6">
        <f>IF(G1554="","",IF(LEN(G1554)&lt;&gt;14,"ERRO: "&amp;LEN(G1554)&amp;" dígitos",IF(NOT(ISNUMBER(VALUE(G1554))),"ERRO: não numérico",IF(AND(VALUE(MID(G1554,13,1))=IF(MOD(SUMPRODUCT(--MID(G1554,{1,2,3,4,5,6,7,8,9,10,11,12},1),{5,4,3,2,9,8,7,6,5,4,3,2}),11)&lt;2,0,11-MOD(SUMPRODUCT(--MID(G1554,{1,2,3,4,5,6,7,8,9,10,11,12},1),{5,4,3,2,9,8,7,6,5,4,3,2}),11)),VALUE(MID(G1554,14,1))=IF(MOD(SUMPRODUCT(--MID(G1554,{1,2,3,4,5,6,7,8,9,10,11,12,13},1),{6,5,4,3,2,9,8,7,6,5,4,3,2}),11)&lt;2,0,11-MOD(SUMPRODUCT(--MID(G1554,{1,2,3,4,5,6,7,8,9,10,11,12,13},1),{6,5,4,3,2,9,8,7,6,5,4,3,2}),11))),"OK","AVISO: dígito verificador (conferir na org)"))))</f>
      </c>
      <c r="I1554" s="6">
        <f>IF(G1554="","",IF(COUNTIF($G$2:$G$2001,G1554)&gt;1,"DUPLICADO","OK"))</f>
      </c>
      <c r="J1554" s="6">
        <f>IF(COUNTA(A1554:F1554)=0,"",IF(AND(A1554&lt;&gt;"",E1554&lt;&gt;""),"OK","ERRO: faltam "&amp;IF(A1554="","CNPJ; ","")&amp;IF(E1554="","Novo gerente; ","")))</f>
      </c>
      <c r="K1554" s="6">
        <f>IF(COUNTA(A1554:F1554)=0,"",IF(AND(LEFT(H1554,4)&lt;&gt;"ERRO",I1554="OK",J1554="OK"),"OK","REVISAR"))</f>
      </c>
    </row>
    <row r="1555">
      <c r="A1555" s="5"/>
      <c r="B1555" s="4"/>
      <c r="C1555" s="4"/>
      <c r="D1555" s="4"/>
      <c r="E1555" s="5"/>
      <c r="F1555" s="4"/>
      <c r="G1555" s="6">
        <f>IF(A1555="","",SUBSTITUTE(SUBSTITUTE(SUBSTITUTE(SUBSTITUTE(SUBSTITUTE(SUBSTITUTE(SUBSTITUTE(TRIM(A1555),".",""),"/",""),"-","")," ",""),"(",""),")",""),"+",""))</f>
      </c>
      <c r="H1555" s="6">
        <f>IF(G1555="","",IF(LEN(G1555)&lt;&gt;14,"ERRO: "&amp;LEN(G1555)&amp;" dígitos",IF(NOT(ISNUMBER(VALUE(G1555))),"ERRO: não numérico",IF(AND(VALUE(MID(G1555,13,1))=IF(MOD(SUMPRODUCT(--MID(G1555,{1,2,3,4,5,6,7,8,9,10,11,12},1),{5,4,3,2,9,8,7,6,5,4,3,2}),11)&lt;2,0,11-MOD(SUMPRODUCT(--MID(G1555,{1,2,3,4,5,6,7,8,9,10,11,12},1),{5,4,3,2,9,8,7,6,5,4,3,2}),11)),VALUE(MID(G1555,14,1))=IF(MOD(SUMPRODUCT(--MID(G1555,{1,2,3,4,5,6,7,8,9,10,11,12,13},1),{6,5,4,3,2,9,8,7,6,5,4,3,2}),11)&lt;2,0,11-MOD(SUMPRODUCT(--MID(G1555,{1,2,3,4,5,6,7,8,9,10,11,12,13},1),{6,5,4,3,2,9,8,7,6,5,4,3,2}),11))),"OK","AVISO: dígito verificador (conferir na org)"))))</f>
      </c>
      <c r="I1555" s="6">
        <f>IF(G1555="","",IF(COUNTIF($G$2:$G$2001,G1555)&gt;1,"DUPLICADO","OK"))</f>
      </c>
      <c r="J1555" s="6">
        <f>IF(COUNTA(A1555:F1555)=0,"",IF(AND(A1555&lt;&gt;"",E1555&lt;&gt;""),"OK","ERRO: faltam "&amp;IF(A1555="","CNPJ; ","")&amp;IF(E1555="","Novo gerente; ","")))</f>
      </c>
      <c r="K1555" s="6">
        <f>IF(COUNTA(A1555:F1555)=0,"",IF(AND(LEFT(H1555,4)&lt;&gt;"ERRO",I1555="OK",J1555="OK"),"OK","REVISAR"))</f>
      </c>
    </row>
    <row r="1556">
      <c r="A1556" s="5"/>
      <c r="B1556" s="4"/>
      <c r="C1556" s="4"/>
      <c r="D1556" s="4"/>
      <c r="E1556" s="5"/>
      <c r="F1556" s="4"/>
      <c r="G1556" s="6">
        <f>IF(A1556="","",SUBSTITUTE(SUBSTITUTE(SUBSTITUTE(SUBSTITUTE(SUBSTITUTE(SUBSTITUTE(SUBSTITUTE(TRIM(A1556),".",""),"/",""),"-","")," ",""),"(",""),")",""),"+",""))</f>
      </c>
      <c r="H1556" s="6">
        <f>IF(G1556="","",IF(LEN(G1556)&lt;&gt;14,"ERRO: "&amp;LEN(G1556)&amp;" dígitos",IF(NOT(ISNUMBER(VALUE(G1556))),"ERRO: não numérico",IF(AND(VALUE(MID(G1556,13,1))=IF(MOD(SUMPRODUCT(--MID(G1556,{1,2,3,4,5,6,7,8,9,10,11,12},1),{5,4,3,2,9,8,7,6,5,4,3,2}),11)&lt;2,0,11-MOD(SUMPRODUCT(--MID(G1556,{1,2,3,4,5,6,7,8,9,10,11,12},1),{5,4,3,2,9,8,7,6,5,4,3,2}),11)),VALUE(MID(G1556,14,1))=IF(MOD(SUMPRODUCT(--MID(G1556,{1,2,3,4,5,6,7,8,9,10,11,12,13},1),{6,5,4,3,2,9,8,7,6,5,4,3,2}),11)&lt;2,0,11-MOD(SUMPRODUCT(--MID(G1556,{1,2,3,4,5,6,7,8,9,10,11,12,13},1),{6,5,4,3,2,9,8,7,6,5,4,3,2}),11))),"OK","AVISO: dígito verificador (conferir na org)"))))</f>
      </c>
      <c r="I1556" s="6">
        <f>IF(G1556="","",IF(COUNTIF($G$2:$G$2001,G1556)&gt;1,"DUPLICADO","OK"))</f>
      </c>
      <c r="J1556" s="6">
        <f>IF(COUNTA(A1556:F1556)=0,"",IF(AND(A1556&lt;&gt;"",E1556&lt;&gt;""),"OK","ERRO: faltam "&amp;IF(A1556="","CNPJ; ","")&amp;IF(E1556="","Novo gerente; ","")))</f>
      </c>
      <c r="K1556" s="6">
        <f>IF(COUNTA(A1556:F1556)=0,"",IF(AND(LEFT(H1556,4)&lt;&gt;"ERRO",I1556="OK",J1556="OK"),"OK","REVISAR"))</f>
      </c>
    </row>
    <row r="1557">
      <c r="A1557" s="5"/>
      <c r="B1557" s="4"/>
      <c r="C1557" s="4"/>
      <c r="D1557" s="4"/>
      <c r="E1557" s="5"/>
      <c r="F1557" s="4"/>
      <c r="G1557" s="6">
        <f>IF(A1557="","",SUBSTITUTE(SUBSTITUTE(SUBSTITUTE(SUBSTITUTE(SUBSTITUTE(SUBSTITUTE(SUBSTITUTE(TRIM(A1557),".",""),"/",""),"-","")," ",""),"(",""),")",""),"+",""))</f>
      </c>
      <c r="H1557" s="6">
        <f>IF(G1557="","",IF(LEN(G1557)&lt;&gt;14,"ERRO: "&amp;LEN(G1557)&amp;" dígitos",IF(NOT(ISNUMBER(VALUE(G1557))),"ERRO: não numérico",IF(AND(VALUE(MID(G1557,13,1))=IF(MOD(SUMPRODUCT(--MID(G1557,{1,2,3,4,5,6,7,8,9,10,11,12},1),{5,4,3,2,9,8,7,6,5,4,3,2}),11)&lt;2,0,11-MOD(SUMPRODUCT(--MID(G1557,{1,2,3,4,5,6,7,8,9,10,11,12},1),{5,4,3,2,9,8,7,6,5,4,3,2}),11)),VALUE(MID(G1557,14,1))=IF(MOD(SUMPRODUCT(--MID(G1557,{1,2,3,4,5,6,7,8,9,10,11,12,13},1),{6,5,4,3,2,9,8,7,6,5,4,3,2}),11)&lt;2,0,11-MOD(SUMPRODUCT(--MID(G1557,{1,2,3,4,5,6,7,8,9,10,11,12,13},1),{6,5,4,3,2,9,8,7,6,5,4,3,2}),11))),"OK","AVISO: dígito verificador (conferir na org)"))))</f>
      </c>
      <c r="I1557" s="6">
        <f>IF(G1557="","",IF(COUNTIF($G$2:$G$2001,G1557)&gt;1,"DUPLICADO","OK"))</f>
      </c>
      <c r="J1557" s="6">
        <f>IF(COUNTA(A1557:F1557)=0,"",IF(AND(A1557&lt;&gt;"",E1557&lt;&gt;""),"OK","ERRO: faltam "&amp;IF(A1557="","CNPJ; ","")&amp;IF(E1557="","Novo gerente; ","")))</f>
      </c>
      <c r="K1557" s="6">
        <f>IF(COUNTA(A1557:F1557)=0,"",IF(AND(LEFT(H1557,4)&lt;&gt;"ERRO",I1557="OK",J1557="OK"),"OK","REVISAR"))</f>
      </c>
    </row>
    <row r="1558">
      <c r="A1558" s="5"/>
      <c r="B1558" s="4"/>
      <c r="C1558" s="4"/>
      <c r="D1558" s="4"/>
      <c r="E1558" s="5"/>
      <c r="F1558" s="4"/>
      <c r="G1558" s="6">
        <f>IF(A1558="","",SUBSTITUTE(SUBSTITUTE(SUBSTITUTE(SUBSTITUTE(SUBSTITUTE(SUBSTITUTE(SUBSTITUTE(TRIM(A1558),".",""),"/",""),"-","")," ",""),"(",""),")",""),"+",""))</f>
      </c>
      <c r="H1558" s="6">
        <f>IF(G1558="","",IF(LEN(G1558)&lt;&gt;14,"ERRO: "&amp;LEN(G1558)&amp;" dígitos",IF(NOT(ISNUMBER(VALUE(G1558))),"ERRO: não numérico",IF(AND(VALUE(MID(G1558,13,1))=IF(MOD(SUMPRODUCT(--MID(G1558,{1,2,3,4,5,6,7,8,9,10,11,12},1),{5,4,3,2,9,8,7,6,5,4,3,2}),11)&lt;2,0,11-MOD(SUMPRODUCT(--MID(G1558,{1,2,3,4,5,6,7,8,9,10,11,12},1),{5,4,3,2,9,8,7,6,5,4,3,2}),11)),VALUE(MID(G1558,14,1))=IF(MOD(SUMPRODUCT(--MID(G1558,{1,2,3,4,5,6,7,8,9,10,11,12,13},1),{6,5,4,3,2,9,8,7,6,5,4,3,2}),11)&lt;2,0,11-MOD(SUMPRODUCT(--MID(G1558,{1,2,3,4,5,6,7,8,9,10,11,12,13},1),{6,5,4,3,2,9,8,7,6,5,4,3,2}),11))),"OK","AVISO: dígito verificador (conferir na org)"))))</f>
      </c>
      <c r="I1558" s="6">
        <f>IF(G1558="","",IF(COUNTIF($G$2:$G$2001,G1558)&gt;1,"DUPLICADO","OK"))</f>
      </c>
      <c r="J1558" s="6">
        <f>IF(COUNTA(A1558:F1558)=0,"",IF(AND(A1558&lt;&gt;"",E1558&lt;&gt;""),"OK","ERRO: faltam "&amp;IF(A1558="","CNPJ; ","")&amp;IF(E1558="","Novo gerente; ","")))</f>
      </c>
      <c r="K1558" s="6">
        <f>IF(COUNTA(A1558:F1558)=0,"",IF(AND(LEFT(H1558,4)&lt;&gt;"ERRO",I1558="OK",J1558="OK"),"OK","REVISAR"))</f>
      </c>
    </row>
    <row r="1559">
      <c r="A1559" s="5"/>
      <c r="B1559" s="4"/>
      <c r="C1559" s="4"/>
      <c r="D1559" s="4"/>
      <c r="E1559" s="5"/>
      <c r="F1559" s="4"/>
      <c r="G1559" s="6">
        <f>IF(A1559="","",SUBSTITUTE(SUBSTITUTE(SUBSTITUTE(SUBSTITUTE(SUBSTITUTE(SUBSTITUTE(SUBSTITUTE(TRIM(A1559),".",""),"/",""),"-","")," ",""),"(",""),")",""),"+",""))</f>
      </c>
      <c r="H1559" s="6">
        <f>IF(G1559="","",IF(LEN(G1559)&lt;&gt;14,"ERRO: "&amp;LEN(G1559)&amp;" dígitos",IF(NOT(ISNUMBER(VALUE(G1559))),"ERRO: não numérico",IF(AND(VALUE(MID(G1559,13,1))=IF(MOD(SUMPRODUCT(--MID(G1559,{1,2,3,4,5,6,7,8,9,10,11,12},1),{5,4,3,2,9,8,7,6,5,4,3,2}),11)&lt;2,0,11-MOD(SUMPRODUCT(--MID(G1559,{1,2,3,4,5,6,7,8,9,10,11,12},1),{5,4,3,2,9,8,7,6,5,4,3,2}),11)),VALUE(MID(G1559,14,1))=IF(MOD(SUMPRODUCT(--MID(G1559,{1,2,3,4,5,6,7,8,9,10,11,12,13},1),{6,5,4,3,2,9,8,7,6,5,4,3,2}),11)&lt;2,0,11-MOD(SUMPRODUCT(--MID(G1559,{1,2,3,4,5,6,7,8,9,10,11,12,13},1),{6,5,4,3,2,9,8,7,6,5,4,3,2}),11))),"OK","AVISO: dígito verificador (conferir na org)"))))</f>
      </c>
      <c r="I1559" s="6">
        <f>IF(G1559="","",IF(COUNTIF($G$2:$G$2001,G1559)&gt;1,"DUPLICADO","OK"))</f>
      </c>
      <c r="J1559" s="6">
        <f>IF(COUNTA(A1559:F1559)=0,"",IF(AND(A1559&lt;&gt;"",E1559&lt;&gt;""),"OK","ERRO: faltam "&amp;IF(A1559="","CNPJ; ","")&amp;IF(E1559="","Novo gerente; ","")))</f>
      </c>
      <c r="K1559" s="6">
        <f>IF(COUNTA(A1559:F1559)=0,"",IF(AND(LEFT(H1559,4)&lt;&gt;"ERRO",I1559="OK",J1559="OK"),"OK","REVISAR"))</f>
      </c>
    </row>
    <row r="1560">
      <c r="A1560" s="5"/>
      <c r="B1560" s="4"/>
      <c r="C1560" s="4"/>
      <c r="D1560" s="4"/>
      <c r="E1560" s="5"/>
      <c r="F1560" s="4"/>
      <c r="G1560" s="6">
        <f>IF(A1560="","",SUBSTITUTE(SUBSTITUTE(SUBSTITUTE(SUBSTITUTE(SUBSTITUTE(SUBSTITUTE(SUBSTITUTE(TRIM(A1560),".",""),"/",""),"-","")," ",""),"(",""),")",""),"+",""))</f>
      </c>
      <c r="H1560" s="6">
        <f>IF(G1560="","",IF(LEN(G1560)&lt;&gt;14,"ERRO: "&amp;LEN(G1560)&amp;" dígitos",IF(NOT(ISNUMBER(VALUE(G1560))),"ERRO: não numérico",IF(AND(VALUE(MID(G1560,13,1))=IF(MOD(SUMPRODUCT(--MID(G1560,{1,2,3,4,5,6,7,8,9,10,11,12},1),{5,4,3,2,9,8,7,6,5,4,3,2}),11)&lt;2,0,11-MOD(SUMPRODUCT(--MID(G1560,{1,2,3,4,5,6,7,8,9,10,11,12},1),{5,4,3,2,9,8,7,6,5,4,3,2}),11)),VALUE(MID(G1560,14,1))=IF(MOD(SUMPRODUCT(--MID(G1560,{1,2,3,4,5,6,7,8,9,10,11,12,13},1),{6,5,4,3,2,9,8,7,6,5,4,3,2}),11)&lt;2,0,11-MOD(SUMPRODUCT(--MID(G1560,{1,2,3,4,5,6,7,8,9,10,11,12,13},1),{6,5,4,3,2,9,8,7,6,5,4,3,2}),11))),"OK","AVISO: dígito verificador (conferir na org)"))))</f>
      </c>
      <c r="I1560" s="6">
        <f>IF(G1560="","",IF(COUNTIF($G$2:$G$2001,G1560)&gt;1,"DUPLICADO","OK"))</f>
      </c>
      <c r="J1560" s="6">
        <f>IF(COUNTA(A1560:F1560)=0,"",IF(AND(A1560&lt;&gt;"",E1560&lt;&gt;""),"OK","ERRO: faltam "&amp;IF(A1560="","CNPJ; ","")&amp;IF(E1560="","Novo gerente; ","")))</f>
      </c>
      <c r="K1560" s="6">
        <f>IF(COUNTA(A1560:F1560)=0,"",IF(AND(LEFT(H1560,4)&lt;&gt;"ERRO",I1560="OK",J1560="OK"),"OK","REVISAR"))</f>
      </c>
    </row>
    <row r="1561">
      <c r="A1561" s="5"/>
      <c r="B1561" s="4"/>
      <c r="C1561" s="4"/>
      <c r="D1561" s="4"/>
      <c r="E1561" s="5"/>
      <c r="F1561" s="4"/>
      <c r="G1561" s="6">
        <f>IF(A1561="","",SUBSTITUTE(SUBSTITUTE(SUBSTITUTE(SUBSTITUTE(SUBSTITUTE(SUBSTITUTE(SUBSTITUTE(TRIM(A1561),".",""),"/",""),"-","")," ",""),"(",""),")",""),"+",""))</f>
      </c>
      <c r="H1561" s="6">
        <f>IF(G1561="","",IF(LEN(G1561)&lt;&gt;14,"ERRO: "&amp;LEN(G1561)&amp;" dígitos",IF(NOT(ISNUMBER(VALUE(G1561))),"ERRO: não numérico",IF(AND(VALUE(MID(G1561,13,1))=IF(MOD(SUMPRODUCT(--MID(G1561,{1,2,3,4,5,6,7,8,9,10,11,12},1),{5,4,3,2,9,8,7,6,5,4,3,2}),11)&lt;2,0,11-MOD(SUMPRODUCT(--MID(G1561,{1,2,3,4,5,6,7,8,9,10,11,12},1),{5,4,3,2,9,8,7,6,5,4,3,2}),11)),VALUE(MID(G1561,14,1))=IF(MOD(SUMPRODUCT(--MID(G1561,{1,2,3,4,5,6,7,8,9,10,11,12,13},1),{6,5,4,3,2,9,8,7,6,5,4,3,2}),11)&lt;2,0,11-MOD(SUMPRODUCT(--MID(G1561,{1,2,3,4,5,6,7,8,9,10,11,12,13},1),{6,5,4,3,2,9,8,7,6,5,4,3,2}),11))),"OK","AVISO: dígito verificador (conferir na org)"))))</f>
      </c>
      <c r="I1561" s="6">
        <f>IF(G1561="","",IF(COUNTIF($G$2:$G$2001,G1561)&gt;1,"DUPLICADO","OK"))</f>
      </c>
      <c r="J1561" s="6">
        <f>IF(COUNTA(A1561:F1561)=0,"",IF(AND(A1561&lt;&gt;"",E1561&lt;&gt;""),"OK","ERRO: faltam "&amp;IF(A1561="","CNPJ; ","")&amp;IF(E1561="","Novo gerente; ","")))</f>
      </c>
      <c r="K1561" s="6">
        <f>IF(COUNTA(A1561:F1561)=0,"",IF(AND(LEFT(H1561,4)&lt;&gt;"ERRO",I1561="OK",J1561="OK"),"OK","REVISAR"))</f>
      </c>
    </row>
    <row r="1562">
      <c r="A1562" s="5"/>
      <c r="B1562" s="4"/>
      <c r="C1562" s="4"/>
      <c r="D1562" s="4"/>
      <c r="E1562" s="5"/>
      <c r="F1562" s="4"/>
      <c r="G1562" s="6">
        <f>IF(A1562="","",SUBSTITUTE(SUBSTITUTE(SUBSTITUTE(SUBSTITUTE(SUBSTITUTE(SUBSTITUTE(SUBSTITUTE(TRIM(A1562),".",""),"/",""),"-","")," ",""),"(",""),")",""),"+",""))</f>
      </c>
      <c r="H1562" s="6">
        <f>IF(G1562="","",IF(LEN(G1562)&lt;&gt;14,"ERRO: "&amp;LEN(G1562)&amp;" dígitos",IF(NOT(ISNUMBER(VALUE(G1562))),"ERRO: não numérico",IF(AND(VALUE(MID(G1562,13,1))=IF(MOD(SUMPRODUCT(--MID(G1562,{1,2,3,4,5,6,7,8,9,10,11,12},1),{5,4,3,2,9,8,7,6,5,4,3,2}),11)&lt;2,0,11-MOD(SUMPRODUCT(--MID(G1562,{1,2,3,4,5,6,7,8,9,10,11,12},1),{5,4,3,2,9,8,7,6,5,4,3,2}),11)),VALUE(MID(G1562,14,1))=IF(MOD(SUMPRODUCT(--MID(G1562,{1,2,3,4,5,6,7,8,9,10,11,12,13},1),{6,5,4,3,2,9,8,7,6,5,4,3,2}),11)&lt;2,0,11-MOD(SUMPRODUCT(--MID(G1562,{1,2,3,4,5,6,7,8,9,10,11,12,13},1),{6,5,4,3,2,9,8,7,6,5,4,3,2}),11))),"OK","AVISO: dígito verificador (conferir na org)"))))</f>
      </c>
      <c r="I1562" s="6">
        <f>IF(G1562="","",IF(COUNTIF($G$2:$G$2001,G1562)&gt;1,"DUPLICADO","OK"))</f>
      </c>
      <c r="J1562" s="6">
        <f>IF(COUNTA(A1562:F1562)=0,"",IF(AND(A1562&lt;&gt;"",E1562&lt;&gt;""),"OK","ERRO: faltam "&amp;IF(A1562="","CNPJ; ","")&amp;IF(E1562="","Novo gerente; ","")))</f>
      </c>
      <c r="K1562" s="6">
        <f>IF(COUNTA(A1562:F1562)=0,"",IF(AND(LEFT(H1562,4)&lt;&gt;"ERRO",I1562="OK",J1562="OK"),"OK","REVISAR"))</f>
      </c>
    </row>
    <row r="1563">
      <c r="A1563" s="5"/>
      <c r="B1563" s="4"/>
      <c r="C1563" s="4"/>
      <c r="D1563" s="4"/>
      <c r="E1563" s="5"/>
      <c r="F1563" s="4"/>
      <c r="G1563" s="6">
        <f>IF(A1563="","",SUBSTITUTE(SUBSTITUTE(SUBSTITUTE(SUBSTITUTE(SUBSTITUTE(SUBSTITUTE(SUBSTITUTE(TRIM(A1563),".",""),"/",""),"-","")," ",""),"(",""),")",""),"+",""))</f>
      </c>
      <c r="H1563" s="6">
        <f>IF(G1563="","",IF(LEN(G1563)&lt;&gt;14,"ERRO: "&amp;LEN(G1563)&amp;" dígitos",IF(NOT(ISNUMBER(VALUE(G1563))),"ERRO: não numérico",IF(AND(VALUE(MID(G1563,13,1))=IF(MOD(SUMPRODUCT(--MID(G1563,{1,2,3,4,5,6,7,8,9,10,11,12},1),{5,4,3,2,9,8,7,6,5,4,3,2}),11)&lt;2,0,11-MOD(SUMPRODUCT(--MID(G1563,{1,2,3,4,5,6,7,8,9,10,11,12},1),{5,4,3,2,9,8,7,6,5,4,3,2}),11)),VALUE(MID(G1563,14,1))=IF(MOD(SUMPRODUCT(--MID(G1563,{1,2,3,4,5,6,7,8,9,10,11,12,13},1),{6,5,4,3,2,9,8,7,6,5,4,3,2}),11)&lt;2,0,11-MOD(SUMPRODUCT(--MID(G1563,{1,2,3,4,5,6,7,8,9,10,11,12,13},1),{6,5,4,3,2,9,8,7,6,5,4,3,2}),11))),"OK","AVISO: dígito verificador (conferir na org)"))))</f>
      </c>
      <c r="I1563" s="6">
        <f>IF(G1563="","",IF(COUNTIF($G$2:$G$2001,G1563)&gt;1,"DUPLICADO","OK"))</f>
      </c>
      <c r="J1563" s="6">
        <f>IF(COUNTA(A1563:F1563)=0,"",IF(AND(A1563&lt;&gt;"",E1563&lt;&gt;""),"OK","ERRO: faltam "&amp;IF(A1563="","CNPJ; ","")&amp;IF(E1563="","Novo gerente; ","")))</f>
      </c>
      <c r="K1563" s="6">
        <f>IF(COUNTA(A1563:F1563)=0,"",IF(AND(LEFT(H1563,4)&lt;&gt;"ERRO",I1563="OK",J1563="OK"),"OK","REVISAR"))</f>
      </c>
    </row>
    <row r="1564">
      <c r="A1564" s="5"/>
      <c r="B1564" s="4"/>
      <c r="C1564" s="4"/>
      <c r="D1564" s="4"/>
      <c r="E1564" s="5"/>
      <c r="F1564" s="4"/>
      <c r="G1564" s="6">
        <f>IF(A1564="","",SUBSTITUTE(SUBSTITUTE(SUBSTITUTE(SUBSTITUTE(SUBSTITUTE(SUBSTITUTE(SUBSTITUTE(TRIM(A1564),".",""),"/",""),"-","")," ",""),"(",""),")",""),"+",""))</f>
      </c>
      <c r="H1564" s="6">
        <f>IF(G1564="","",IF(LEN(G1564)&lt;&gt;14,"ERRO: "&amp;LEN(G1564)&amp;" dígitos",IF(NOT(ISNUMBER(VALUE(G1564))),"ERRO: não numérico",IF(AND(VALUE(MID(G1564,13,1))=IF(MOD(SUMPRODUCT(--MID(G1564,{1,2,3,4,5,6,7,8,9,10,11,12},1),{5,4,3,2,9,8,7,6,5,4,3,2}),11)&lt;2,0,11-MOD(SUMPRODUCT(--MID(G1564,{1,2,3,4,5,6,7,8,9,10,11,12},1),{5,4,3,2,9,8,7,6,5,4,3,2}),11)),VALUE(MID(G1564,14,1))=IF(MOD(SUMPRODUCT(--MID(G1564,{1,2,3,4,5,6,7,8,9,10,11,12,13},1),{6,5,4,3,2,9,8,7,6,5,4,3,2}),11)&lt;2,0,11-MOD(SUMPRODUCT(--MID(G1564,{1,2,3,4,5,6,7,8,9,10,11,12,13},1),{6,5,4,3,2,9,8,7,6,5,4,3,2}),11))),"OK","AVISO: dígito verificador (conferir na org)"))))</f>
      </c>
      <c r="I1564" s="6">
        <f>IF(G1564="","",IF(COUNTIF($G$2:$G$2001,G1564)&gt;1,"DUPLICADO","OK"))</f>
      </c>
      <c r="J1564" s="6">
        <f>IF(COUNTA(A1564:F1564)=0,"",IF(AND(A1564&lt;&gt;"",E1564&lt;&gt;""),"OK","ERRO: faltam "&amp;IF(A1564="","CNPJ; ","")&amp;IF(E1564="","Novo gerente; ","")))</f>
      </c>
      <c r="K1564" s="6">
        <f>IF(COUNTA(A1564:F1564)=0,"",IF(AND(LEFT(H1564,4)&lt;&gt;"ERRO",I1564="OK",J1564="OK"),"OK","REVISAR"))</f>
      </c>
    </row>
    <row r="1565">
      <c r="A1565" s="5"/>
      <c r="B1565" s="4"/>
      <c r="C1565" s="4"/>
      <c r="D1565" s="4"/>
      <c r="E1565" s="5"/>
      <c r="F1565" s="4"/>
      <c r="G1565" s="6">
        <f>IF(A1565="","",SUBSTITUTE(SUBSTITUTE(SUBSTITUTE(SUBSTITUTE(SUBSTITUTE(SUBSTITUTE(SUBSTITUTE(TRIM(A1565),".",""),"/",""),"-","")," ",""),"(",""),")",""),"+",""))</f>
      </c>
      <c r="H1565" s="6">
        <f>IF(G1565="","",IF(LEN(G1565)&lt;&gt;14,"ERRO: "&amp;LEN(G1565)&amp;" dígitos",IF(NOT(ISNUMBER(VALUE(G1565))),"ERRO: não numérico",IF(AND(VALUE(MID(G1565,13,1))=IF(MOD(SUMPRODUCT(--MID(G1565,{1,2,3,4,5,6,7,8,9,10,11,12},1),{5,4,3,2,9,8,7,6,5,4,3,2}),11)&lt;2,0,11-MOD(SUMPRODUCT(--MID(G1565,{1,2,3,4,5,6,7,8,9,10,11,12},1),{5,4,3,2,9,8,7,6,5,4,3,2}),11)),VALUE(MID(G1565,14,1))=IF(MOD(SUMPRODUCT(--MID(G1565,{1,2,3,4,5,6,7,8,9,10,11,12,13},1),{6,5,4,3,2,9,8,7,6,5,4,3,2}),11)&lt;2,0,11-MOD(SUMPRODUCT(--MID(G1565,{1,2,3,4,5,6,7,8,9,10,11,12,13},1),{6,5,4,3,2,9,8,7,6,5,4,3,2}),11))),"OK","AVISO: dígito verificador (conferir na org)"))))</f>
      </c>
      <c r="I1565" s="6">
        <f>IF(G1565="","",IF(COUNTIF($G$2:$G$2001,G1565)&gt;1,"DUPLICADO","OK"))</f>
      </c>
      <c r="J1565" s="6">
        <f>IF(COUNTA(A1565:F1565)=0,"",IF(AND(A1565&lt;&gt;"",E1565&lt;&gt;""),"OK","ERRO: faltam "&amp;IF(A1565="","CNPJ; ","")&amp;IF(E1565="","Novo gerente; ","")))</f>
      </c>
      <c r="K1565" s="6">
        <f>IF(COUNTA(A1565:F1565)=0,"",IF(AND(LEFT(H1565,4)&lt;&gt;"ERRO",I1565="OK",J1565="OK"),"OK","REVISAR"))</f>
      </c>
    </row>
    <row r="1566">
      <c r="A1566" s="5"/>
      <c r="B1566" s="4"/>
      <c r="C1566" s="4"/>
      <c r="D1566" s="4"/>
      <c r="E1566" s="5"/>
      <c r="F1566" s="4"/>
      <c r="G1566" s="6">
        <f>IF(A1566="","",SUBSTITUTE(SUBSTITUTE(SUBSTITUTE(SUBSTITUTE(SUBSTITUTE(SUBSTITUTE(SUBSTITUTE(TRIM(A1566),".",""),"/",""),"-","")," ",""),"(",""),")",""),"+",""))</f>
      </c>
      <c r="H1566" s="6">
        <f>IF(G1566="","",IF(LEN(G1566)&lt;&gt;14,"ERRO: "&amp;LEN(G1566)&amp;" dígitos",IF(NOT(ISNUMBER(VALUE(G1566))),"ERRO: não numérico",IF(AND(VALUE(MID(G1566,13,1))=IF(MOD(SUMPRODUCT(--MID(G1566,{1,2,3,4,5,6,7,8,9,10,11,12},1),{5,4,3,2,9,8,7,6,5,4,3,2}),11)&lt;2,0,11-MOD(SUMPRODUCT(--MID(G1566,{1,2,3,4,5,6,7,8,9,10,11,12},1),{5,4,3,2,9,8,7,6,5,4,3,2}),11)),VALUE(MID(G1566,14,1))=IF(MOD(SUMPRODUCT(--MID(G1566,{1,2,3,4,5,6,7,8,9,10,11,12,13},1),{6,5,4,3,2,9,8,7,6,5,4,3,2}),11)&lt;2,0,11-MOD(SUMPRODUCT(--MID(G1566,{1,2,3,4,5,6,7,8,9,10,11,12,13},1),{6,5,4,3,2,9,8,7,6,5,4,3,2}),11))),"OK","AVISO: dígito verificador (conferir na org)"))))</f>
      </c>
      <c r="I1566" s="6">
        <f>IF(G1566="","",IF(COUNTIF($G$2:$G$2001,G1566)&gt;1,"DUPLICADO","OK"))</f>
      </c>
      <c r="J1566" s="6">
        <f>IF(COUNTA(A1566:F1566)=0,"",IF(AND(A1566&lt;&gt;"",E1566&lt;&gt;""),"OK","ERRO: faltam "&amp;IF(A1566="","CNPJ; ","")&amp;IF(E1566="","Novo gerente; ","")))</f>
      </c>
      <c r="K1566" s="6">
        <f>IF(COUNTA(A1566:F1566)=0,"",IF(AND(LEFT(H1566,4)&lt;&gt;"ERRO",I1566="OK",J1566="OK"),"OK","REVISAR"))</f>
      </c>
    </row>
    <row r="1567">
      <c r="A1567" s="5"/>
      <c r="B1567" s="4"/>
      <c r="C1567" s="4"/>
      <c r="D1567" s="4"/>
      <c r="E1567" s="5"/>
      <c r="F1567" s="4"/>
      <c r="G1567" s="6">
        <f>IF(A1567="","",SUBSTITUTE(SUBSTITUTE(SUBSTITUTE(SUBSTITUTE(SUBSTITUTE(SUBSTITUTE(SUBSTITUTE(TRIM(A1567),".",""),"/",""),"-","")," ",""),"(",""),")",""),"+",""))</f>
      </c>
      <c r="H1567" s="6">
        <f>IF(G1567="","",IF(LEN(G1567)&lt;&gt;14,"ERRO: "&amp;LEN(G1567)&amp;" dígitos",IF(NOT(ISNUMBER(VALUE(G1567))),"ERRO: não numérico",IF(AND(VALUE(MID(G1567,13,1))=IF(MOD(SUMPRODUCT(--MID(G1567,{1,2,3,4,5,6,7,8,9,10,11,12},1),{5,4,3,2,9,8,7,6,5,4,3,2}),11)&lt;2,0,11-MOD(SUMPRODUCT(--MID(G1567,{1,2,3,4,5,6,7,8,9,10,11,12},1),{5,4,3,2,9,8,7,6,5,4,3,2}),11)),VALUE(MID(G1567,14,1))=IF(MOD(SUMPRODUCT(--MID(G1567,{1,2,3,4,5,6,7,8,9,10,11,12,13},1),{6,5,4,3,2,9,8,7,6,5,4,3,2}),11)&lt;2,0,11-MOD(SUMPRODUCT(--MID(G1567,{1,2,3,4,5,6,7,8,9,10,11,12,13},1),{6,5,4,3,2,9,8,7,6,5,4,3,2}),11))),"OK","AVISO: dígito verificador (conferir na org)"))))</f>
      </c>
      <c r="I1567" s="6">
        <f>IF(G1567="","",IF(COUNTIF($G$2:$G$2001,G1567)&gt;1,"DUPLICADO","OK"))</f>
      </c>
      <c r="J1567" s="6">
        <f>IF(COUNTA(A1567:F1567)=0,"",IF(AND(A1567&lt;&gt;"",E1567&lt;&gt;""),"OK","ERRO: faltam "&amp;IF(A1567="","CNPJ; ","")&amp;IF(E1567="","Novo gerente; ","")))</f>
      </c>
      <c r="K1567" s="6">
        <f>IF(COUNTA(A1567:F1567)=0,"",IF(AND(LEFT(H1567,4)&lt;&gt;"ERRO",I1567="OK",J1567="OK"),"OK","REVISAR"))</f>
      </c>
    </row>
    <row r="1568">
      <c r="A1568" s="5"/>
      <c r="B1568" s="4"/>
      <c r="C1568" s="4"/>
      <c r="D1568" s="4"/>
      <c r="E1568" s="5"/>
      <c r="F1568" s="4"/>
      <c r="G1568" s="6">
        <f>IF(A1568="","",SUBSTITUTE(SUBSTITUTE(SUBSTITUTE(SUBSTITUTE(SUBSTITUTE(SUBSTITUTE(SUBSTITUTE(TRIM(A1568),".",""),"/",""),"-","")," ",""),"(",""),")",""),"+",""))</f>
      </c>
      <c r="H1568" s="6">
        <f>IF(G1568="","",IF(LEN(G1568)&lt;&gt;14,"ERRO: "&amp;LEN(G1568)&amp;" dígitos",IF(NOT(ISNUMBER(VALUE(G1568))),"ERRO: não numérico",IF(AND(VALUE(MID(G1568,13,1))=IF(MOD(SUMPRODUCT(--MID(G1568,{1,2,3,4,5,6,7,8,9,10,11,12},1),{5,4,3,2,9,8,7,6,5,4,3,2}),11)&lt;2,0,11-MOD(SUMPRODUCT(--MID(G1568,{1,2,3,4,5,6,7,8,9,10,11,12},1),{5,4,3,2,9,8,7,6,5,4,3,2}),11)),VALUE(MID(G1568,14,1))=IF(MOD(SUMPRODUCT(--MID(G1568,{1,2,3,4,5,6,7,8,9,10,11,12,13},1),{6,5,4,3,2,9,8,7,6,5,4,3,2}),11)&lt;2,0,11-MOD(SUMPRODUCT(--MID(G1568,{1,2,3,4,5,6,7,8,9,10,11,12,13},1),{6,5,4,3,2,9,8,7,6,5,4,3,2}),11))),"OK","AVISO: dígito verificador (conferir na org)"))))</f>
      </c>
      <c r="I1568" s="6">
        <f>IF(G1568="","",IF(COUNTIF($G$2:$G$2001,G1568)&gt;1,"DUPLICADO","OK"))</f>
      </c>
      <c r="J1568" s="6">
        <f>IF(COUNTA(A1568:F1568)=0,"",IF(AND(A1568&lt;&gt;"",E1568&lt;&gt;""),"OK","ERRO: faltam "&amp;IF(A1568="","CNPJ; ","")&amp;IF(E1568="","Novo gerente; ","")))</f>
      </c>
      <c r="K1568" s="6">
        <f>IF(COUNTA(A1568:F1568)=0,"",IF(AND(LEFT(H1568,4)&lt;&gt;"ERRO",I1568="OK",J1568="OK"),"OK","REVISAR"))</f>
      </c>
    </row>
    <row r="1569">
      <c r="A1569" s="5"/>
      <c r="B1569" s="4"/>
      <c r="C1569" s="4"/>
      <c r="D1569" s="4"/>
      <c r="E1569" s="5"/>
      <c r="F1569" s="4"/>
      <c r="G1569" s="6">
        <f>IF(A1569="","",SUBSTITUTE(SUBSTITUTE(SUBSTITUTE(SUBSTITUTE(SUBSTITUTE(SUBSTITUTE(SUBSTITUTE(TRIM(A1569),".",""),"/",""),"-","")," ",""),"(",""),")",""),"+",""))</f>
      </c>
      <c r="H1569" s="6">
        <f>IF(G1569="","",IF(LEN(G1569)&lt;&gt;14,"ERRO: "&amp;LEN(G1569)&amp;" dígitos",IF(NOT(ISNUMBER(VALUE(G1569))),"ERRO: não numérico",IF(AND(VALUE(MID(G1569,13,1))=IF(MOD(SUMPRODUCT(--MID(G1569,{1,2,3,4,5,6,7,8,9,10,11,12},1),{5,4,3,2,9,8,7,6,5,4,3,2}),11)&lt;2,0,11-MOD(SUMPRODUCT(--MID(G1569,{1,2,3,4,5,6,7,8,9,10,11,12},1),{5,4,3,2,9,8,7,6,5,4,3,2}),11)),VALUE(MID(G1569,14,1))=IF(MOD(SUMPRODUCT(--MID(G1569,{1,2,3,4,5,6,7,8,9,10,11,12,13},1),{6,5,4,3,2,9,8,7,6,5,4,3,2}),11)&lt;2,0,11-MOD(SUMPRODUCT(--MID(G1569,{1,2,3,4,5,6,7,8,9,10,11,12,13},1),{6,5,4,3,2,9,8,7,6,5,4,3,2}),11))),"OK","AVISO: dígito verificador (conferir na org)"))))</f>
      </c>
      <c r="I1569" s="6">
        <f>IF(G1569="","",IF(COUNTIF($G$2:$G$2001,G1569)&gt;1,"DUPLICADO","OK"))</f>
      </c>
      <c r="J1569" s="6">
        <f>IF(COUNTA(A1569:F1569)=0,"",IF(AND(A1569&lt;&gt;"",E1569&lt;&gt;""),"OK","ERRO: faltam "&amp;IF(A1569="","CNPJ; ","")&amp;IF(E1569="","Novo gerente; ","")))</f>
      </c>
      <c r="K1569" s="6">
        <f>IF(COUNTA(A1569:F1569)=0,"",IF(AND(LEFT(H1569,4)&lt;&gt;"ERRO",I1569="OK",J1569="OK"),"OK","REVISAR"))</f>
      </c>
    </row>
    <row r="1570">
      <c r="A1570" s="5"/>
      <c r="B1570" s="4"/>
      <c r="C1570" s="4"/>
      <c r="D1570" s="4"/>
      <c r="E1570" s="5"/>
      <c r="F1570" s="4"/>
      <c r="G1570" s="6">
        <f>IF(A1570="","",SUBSTITUTE(SUBSTITUTE(SUBSTITUTE(SUBSTITUTE(SUBSTITUTE(SUBSTITUTE(SUBSTITUTE(TRIM(A1570),".",""),"/",""),"-","")," ",""),"(",""),")",""),"+",""))</f>
      </c>
      <c r="H1570" s="6">
        <f>IF(G1570="","",IF(LEN(G1570)&lt;&gt;14,"ERRO: "&amp;LEN(G1570)&amp;" dígitos",IF(NOT(ISNUMBER(VALUE(G1570))),"ERRO: não numérico",IF(AND(VALUE(MID(G1570,13,1))=IF(MOD(SUMPRODUCT(--MID(G1570,{1,2,3,4,5,6,7,8,9,10,11,12},1),{5,4,3,2,9,8,7,6,5,4,3,2}),11)&lt;2,0,11-MOD(SUMPRODUCT(--MID(G1570,{1,2,3,4,5,6,7,8,9,10,11,12},1),{5,4,3,2,9,8,7,6,5,4,3,2}),11)),VALUE(MID(G1570,14,1))=IF(MOD(SUMPRODUCT(--MID(G1570,{1,2,3,4,5,6,7,8,9,10,11,12,13},1),{6,5,4,3,2,9,8,7,6,5,4,3,2}),11)&lt;2,0,11-MOD(SUMPRODUCT(--MID(G1570,{1,2,3,4,5,6,7,8,9,10,11,12,13},1),{6,5,4,3,2,9,8,7,6,5,4,3,2}),11))),"OK","AVISO: dígito verificador (conferir na org)"))))</f>
      </c>
      <c r="I1570" s="6">
        <f>IF(G1570="","",IF(COUNTIF($G$2:$G$2001,G1570)&gt;1,"DUPLICADO","OK"))</f>
      </c>
      <c r="J1570" s="6">
        <f>IF(COUNTA(A1570:F1570)=0,"",IF(AND(A1570&lt;&gt;"",E1570&lt;&gt;""),"OK","ERRO: faltam "&amp;IF(A1570="","CNPJ; ","")&amp;IF(E1570="","Novo gerente; ","")))</f>
      </c>
      <c r="K1570" s="6">
        <f>IF(COUNTA(A1570:F1570)=0,"",IF(AND(LEFT(H1570,4)&lt;&gt;"ERRO",I1570="OK",J1570="OK"),"OK","REVISAR"))</f>
      </c>
    </row>
    <row r="1571">
      <c r="A1571" s="5"/>
      <c r="B1571" s="4"/>
      <c r="C1571" s="4"/>
      <c r="D1571" s="4"/>
      <c r="E1571" s="5"/>
      <c r="F1571" s="4"/>
      <c r="G1571" s="6">
        <f>IF(A1571="","",SUBSTITUTE(SUBSTITUTE(SUBSTITUTE(SUBSTITUTE(SUBSTITUTE(SUBSTITUTE(SUBSTITUTE(TRIM(A1571),".",""),"/",""),"-","")," ",""),"(",""),")",""),"+",""))</f>
      </c>
      <c r="H1571" s="6">
        <f>IF(G1571="","",IF(LEN(G1571)&lt;&gt;14,"ERRO: "&amp;LEN(G1571)&amp;" dígitos",IF(NOT(ISNUMBER(VALUE(G1571))),"ERRO: não numérico",IF(AND(VALUE(MID(G1571,13,1))=IF(MOD(SUMPRODUCT(--MID(G1571,{1,2,3,4,5,6,7,8,9,10,11,12},1),{5,4,3,2,9,8,7,6,5,4,3,2}),11)&lt;2,0,11-MOD(SUMPRODUCT(--MID(G1571,{1,2,3,4,5,6,7,8,9,10,11,12},1),{5,4,3,2,9,8,7,6,5,4,3,2}),11)),VALUE(MID(G1571,14,1))=IF(MOD(SUMPRODUCT(--MID(G1571,{1,2,3,4,5,6,7,8,9,10,11,12,13},1),{6,5,4,3,2,9,8,7,6,5,4,3,2}),11)&lt;2,0,11-MOD(SUMPRODUCT(--MID(G1571,{1,2,3,4,5,6,7,8,9,10,11,12,13},1),{6,5,4,3,2,9,8,7,6,5,4,3,2}),11))),"OK","AVISO: dígito verificador (conferir na org)"))))</f>
      </c>
      <c r="I1571" s="6">
        <f>IF(G1571="","",IF(COUNTIF($G$2:$G$2001,G1571)&gt;1,"DUPLICADO","OK"))</f>
      </c>
      <c r="J1571" s="6">
        <f>IF(COUNTA(A1571:F1571)=0,"",IF(AND(A1571&lt;&gt;"",E1571&lt;&gt;""),"OK","ERRO: faltam "&amp;IF(A1571="","CNPJ; ","")&amp;IF(E1571="","Novo gerente; ","")))</f>
      </c>
      <c r="K1571" s="6">
        <f>IF(COUNTA(A1571:F1571)=0,"",IF(AND(LEFT(H1571,4)&lt;&gt;"ERRO",I1571="OK",J1571="OK"),"OK","REVISAR"))</f>
      </c>
    </row>
    <row r="1572">
      <c r="A1572" s="5"/>
      <c r="B1572" s="4"/>
      <c r="C1572" s="4"/>
      <c r="D1572" s="4"/>
      <c r="E1572" s="5"/>
      <c r="F1572" s="4"/>
      <c r="G1572" s="6">
        <f>IF(A1572="","",SUBSTITUTE(SUBSTITUTE(SUBSTITUTE(SUBSTITUTE(SUBSTITUTE(SUBSTITUTE(SUBSTITUTE(TRIM(A1572),".",""),"/",""),"-","")," ",""),"(",""),")",""),"+",""))</f>
      </c>
      <c r="H1572" s="6">
        <f>IF(G1572="","",IF(LEN(G1572)&lt;&gt;14,"ERRO: "&amp;LEN(G1572)&amp;" dígitos",IF(NOT(ISNUMBER(VALUE(G1572))),"ERRO: não numérico",IF(AND(VALUE(MID(G1572,13,1))=IF(MOD(SUMPRODUCT(--MID(G1572,{1,2,3,4,5,6,7,8,9,10,11,12},1),{5,4,3,2,9,8,7,6,5,4,3,2}),11)&lt;2,0,11-MOD(SUMPRODUCT(--MID(G1572,{1,2,3,4,5,6,7,8,9,10,11,12},1),{5,4,3,2,9,8,7,6,5,4,3,2}),11)),VALUE(MID(G1572,14,1))=IF(MOD(SUMPRODUCT(--MID(G1572,{1,2,3,4,5,6,7,8,9,10,11,12,13},1),{6,5,4,3,2,9,8,7,6,5,4,3,2}),11)&lt;2,0,11-MOD(SUMPRODUCT(--MID(G1572,{1,2,3,4,5,6,7,8,9,10,11,12,13},1),{6,5,4,3,2,9,8,7,6,5,4,3,2}),11))),"OK","AVISO: dígito verificador (conferir na org)"))))</f>
      </c>
      <c r="I1572" s="6">
        <f>IF(G1572="","",IF(COUNTIF($G$2:$G$2001,G1572)&gt;1,"DUPLICADO","OK"))</f>
      </c>
      <c r="J1572" s="6">
        <f>IF(COUNTA(A1572:F1572)=0,"",IF(AND(A1572&lt;&gt;"",E1572&lt;&gt;""),"OK","ERRO: faltam "&amp;IF(A1572="","CNPJ; ","")&amp;IF(E1572="","Novo gerente; ","")))</f>
      </c>
      <c r="K1572" s="6">
        <f>IF(COUNTA(A1572:F1572)=0,"",IF(AND(LEFT(H1572,4)&lt;&gt;"ERRO",I1572="OK",J1572="OK"),"OK","REVISAR"))</f>
      </c>
    </row>
    <row r="1573">
      <c r="A1573" s="5"/>
      <c r="B1573" s="4"/>
      <c r="C1573" s="4"/>
      <c r="D1573" s="4"/>
      <c r="E1573" s="5"/>
      <c r="F1573" s="4"/>
      <c r="G1573" s="6">
        <f>IF(A1573="","",SUBSTITUTE(SUBSTITUTE(SUBSTITUTE(SUBSTITUTE(SUBSTITUTE(SUBSTITUTE(SUBSTITUTE(TRIM(A1573),".",""),"/",""),"-","")," ",""),"(",""),")",""),"+",""))</f>
      </c>
      <c r="H1573" s="6">
        <f>IF(G1573="","",IF(LEN(G1573)&lt;&gt;14,"ERRO: "&amp;LEN(G1573)&amp;" dígitos",IF(NOT(ISNUMBER(VALUE(G1573))),"ERRO: não numérico",IF(AND(VALUE(MID(G1573,13,1))=IF(MOD(SUMPRODUCT(--MID(G1573,{1,2,3,4,5,6,7,8,9,10,11,12},1),{5,4,3,2,9,8,7,6,5,4,3,2}),11)&lt;2,0,11-MOD(SUMPRODUCT(--MID(G1573,{1,2,3,4,5,6,7,8,9,10,11,12},1),{5,4,3,2,9,8,7,6,5,4,3,2}),11)),VALUE(MID(G1573,14,1))=IF(MOD(SUMPRODUCT(--MID(G1573,{1,2,3,4,5,6,7,8,9,10,11,12,13},1),{6,5,4,3,2,9,8,7,6,5,4,3,2}),11)&lt;2,0,11-MOD(SUMPRODUCT(--MID(G1573,{1,2,3,4,5,6,7,8,9,10,11,12,13},1),{6,5,4,3,2,9,8,7,6,5,4,3,2}),11))),"OK","AVISO: dígito verificador (conferir na org)"))))</f>
      </c>
      <c r="I1573" s="6">
        <f>IF(G1573="","",IF(COUNTIF($G$2:$G$2001,G1573)&gt;1,"DUPLICADO","OK"))</f>
      </c>
      <c r="J1573" s="6">
        <f>IF(COUNTA(A1573:F1573)=0,"",IF(AND(A1573&lt;&gt;"",E1573&lt;&gt;""),"OK","ERRO: faltam "&amp;IF(A1573="","CNPJ; ","")&amp;IF(E1573="","Novo gerente; ","")))</f>
      </c>
      <c r="K1573" s="6">
        <f>IF(COUNTA(A1573:F1573)=0,"",IF(AND(LEFT(H1573,4)&lt;&gt;"ERRO",I1573="OK",J1573="OK"),"OK","REVISAR"))</f>
      </c>
    </row>
    <row r="1574">
      <c r="A1574" s="5"/>
      <c r="B1574" s="4"/>
      <c r="C1574" s="4"/>
      <c r="D1574" s="4"/>
      <c r="E1574" s="5"/>
      <c r="F1574" s="4"/>
      <c r="G1574" s="6">
        <f>IF(A1574="","",SUBSTITUTE(SUBSTITUTE(SUBSTITUTE(SUBSTITUTE(SUBSTITUTE(SUBSTITUTE(SUBSTITUTE(TRIM(A1574),".",""),"/",""),"-","")," ",""),"(",""),")",""),"+",""))</f>
      </c>
      <c r="H1574" s="6">
        <f>IF(G1574="","",IF(LEN(G1574)&lt;&gt;14,"ERRO: "&amp;LEN(G1574)&amp;" dígitos",IF(NOT(ISNUMBER(VALUE(G1574))),"ERRO: não numérico",IF(AND(VALUE(MID(G1574,13,1))=IF(MOD(SUMPRODUCT(--MID(G1574,{1,2,3,4,5,6,7,8,9,10,11,12},1),{5,4,3,2,9,8,7,6,5,4,3,2}),11)&lt;2,0,11-MOD(SUMPRODUCT(--MID(G1574,{1,2,3,4,5,6,7,8,9,10,11,12},1),{5,4,3,2,9,8,7,6,5,4,3,2}),11)),VALUE(MID(G1574,14,1))=IF(MOD(SUMPRODUCT(--MID(G1574,{1,2,3,4,5,6,7,8,9,10,11,12,13},1),{6,5,4,3,2,9,8,7,6,5,4,3,2}),11)&lt;2,0,11-MOD(SUMPRODUCT(--MID(G1574,{1,2,3,4,5,6,7,8,9,10,11,12,13},1),{6,5,4,3,2,9,8,7,6,5,4,3,2}),11))),"OK","AVISO: dígito verificador (conferir na org)"))))</f>
      </c>
      <c r="I1574" s="6">
        <f>IF(G1574="","",IF(COUNTIF($G$2:$G$2001,G1574)&gt;1,"DUPLICADO","OK"))</f>
      </c>
      <c r="J1574" s="6">
        <f>IF(COUNTA(A1574:F1574)=0,"",IF(AND(A1574&lt;&gt;"",E1574&lt;&gt;""),"OK","ERRO: faltam "&amp;IF(A1574="","CNPJ; ","")&amp;IF(E1574="","Novo gerente; ","")))</f>
      </c>
      <c r="K1574" s="6">
        <f>IF(COUNTA(A1574:F1574)=0,"",IF(AND(LEFT(H1574,4)&lt;&gt;"ERRO",I1574="OK",J1574="OK"),"OK","REVISAR"))</f>
      </c>
    </row>
    <row r="1575">
      <c r="A1575" s="5"/>
      <c r="B1575" s="4"/>
      <c r="C1575" s="4"/>
      <c r="D1575" s="4"/>
      <c r="E1575" s="5"/>
      <c r="F1575" s="4"/>
      <c r="G1575" s="6">
        <f>IF(A1575="","",SUBSTITUTE(SUBSTITUTE(SUBSTITUTE(SUBSTITUTE(SUBSTITUTE(SUBSTITUTE(SUBSTITUTE(TRIM(A1575),".",""),"/",""),"-","")," ",""),"(",""),")",""),"+",""))</f>
      </c>
      <c r="H1575" s="6">
        <f>IF(G1575="","",IF(LEN(G1575)&lt;&gt;14,"ERRO: "&amp;LEN(G1575)&amp;" dígitos",IF(NOT(ISNUMBER(VALUE(G1575))),"ERRO: não numérico",IF(AND(VALUE(MID(G1575,13,1))=IF(MOD(SUMPRODUCT(--MID(G1575,{1,2,3,4,5,6,7,8,9,10,11,12},1),{5,4,3,2,9,8,7,6,5,4,3,2}),11)&lt;2,0,11-MOD(SUMPRODUCT(--MID(G1575,{1,2,3,4,5,6,7,8,9,10,11,12},1),{5,4,3,2,9,8,7,6,5,4,3,2}),11)),VALUE(MID(G1575,14,1))=IF(MOD(SUMPRODUCT(--MID(G1575,{1,2,3,4,5,6,7,8,9,10,11,12,13},1),{6,5,4,3,2,9,8,7,6,5,4,3,2}),11)&lt;2,0,11-MOD(SUMPRODUCT(--MID(G1575,{1,2,3,4,5,6,7,8,9,10,11,12,13},1),{6,5,4,3,2,9,8,7,6,5,4,3,2}),11))),"OK","AVISO: dígito verificador (conferir na org)"))))</f>
      </c>
      <c r="I1575" s="6">
        <f>IF(G1575="","",IF(COUNTIF($G$2:$G$2001,G1575)&gt;1,"DUPLICADO","OK"))</f>
      </c>
      <c r="J1575" s="6">
        <f>IF(COUNTA(A1575:F1575)=0,"",IF(AND(A1575&lt;&gt;"",E1575&lt;&gt;""),"OK","ERRO: faltam "&amp;IF(A1575="","CNPJ; ","")&amp;IF(E1575="","Novo gerente; ","")))</f>
      </c>
      <c r="K1575" s="6">
        <f>IF(COUNTA(A1575:F1575)=0,"",IF(AND(LEFT(H1575,4)&lt;&gt;"ERRO",I1575="OK",J1575="OK"),"OK","REVISAR"))</f>
      </c>
    </row>
    <row r="1576">
      <c r="A1576" s="5"/>
      <c r="B1576" s="4"/>
      <c r="C1576" s="4"/>
      <c r="D1576" s="4"/>
      <c r="E1576" s="5"/>
      <c r="F1576" s="4"/>
      <c r="G1576" s="6">
        <f>IF(A1576="","",SUBSTITUTE(SUBSTITUTE(SUBSTITUTE(SUBSTITUTE(SUBSTITUTE(SUBSTITUTE(SUBSTITUTE(TRIM(A1576),".",""),"/",""),"-","")," ",""),"(",""),")",""),"+",""))</f>
      </c>
      <c r="H1576" s="6">
        <f>IF(G1576="","",IF(LEN(G1576)&lt;&gt;14,"ERRO: "&amp;LEN(G1576)&amp;" dígitos",IF(NOT(ISNUMBER(VALUE(G1576))),"ERRO: não numérico",IF(AND(VALUE(MID(G1576,13,1))=IF(MOD(SUMPRODUCT(--MID(G1576,{1,2,3,4,5,6,7,8,9,10,11,12},1),{5,4,3,2,9,8,7,6,5,4,3,2}),11)&lt;2,0,11-MOD(SUMPRODUCT(--MID(G1576,{1,2,3,4,5,6,7,8,9,10,11,12},1),{5,4,3,2,9,8,7,6,5,4,3,2}),11)),VALUE(MID(G1576,14,1))=IF(MOD(SUMPRODUCT(--MID(G1576,{1,2,3,4,5,6,7,8,9,10,11,12,13},1),{6,5,4,3,2,9,8,7,6,5,4,3,2}),11)&lt;2,0,11-MOD(SUMPRODUCT(--MID(G1576,{1,2,3,4,5,6,7,8,9,10,11,12,13},1),{6,5,4,3,2,9,8,7,6,5,4,3,2}),11))),"OK","AVISO: dígito verificador (conferir na org)"))))</f>
      </c>
      <c r="I1576" s="6">
        <f>IF(G1576="","",IF(COUNTIF($G$2:$G$2001,G1576)&gt;1,"DUPLICADO","OK"))</f>
      </c>
      <c r="J1576" s="6">
        <f>IF(COUNTA(A1576:F1576)=0,"",IF(AND(A1576&lt;&gt;"",E1576&lt;&gt;""),"OK","ERRO: faltam "&amp;IF(A1576="","CNPJ; ","")&amp;IF(E1576="","Novo gerente; ","")))</f>
      </c>
      <c r="K1576" s="6">
        <f>IF(COUNTA(A1576:F1576)=0,"",IF(AND(LEFT(H1576,4)&lt;&gt;"ERRO",I1576="OK",J1576="OK"),"OK","REVISAR"))</f>
      </c>
    </row>
    <row r="1577">
      <c r="A1577" s="5"/>
      <c r="B1577" s="4"/>
      <c r="C1577" s="4"/>
      <c r="D1577" s="4"/>
      <c r="E1577" s="5"/>
      <c r="F1577" s="4"/>
      <c r="G1577" s="6">
        <f>IF(A1577="","",SUBSTITUTE(SUBSTITUTE(SUBSTITUTE(SUBSTITUTE(SUBSTITUTE(SUBSTITUTE(SUBSTITUTE(TRIM(A1577),".",""),"/",""),"-","")," ",""),"(",""),")",""),"+",""))</f>
      </c>
      <c r="H1577" s="6">
        <f>IF(G1577="","",IF(LEN(G1577)&lt;&gt;14,"ERRO: "&amp;LEN(G1577)&amp;" dígitos",IF(NOT(ISNUMBER(VALUE(G1577))),"ERRO: não numérico",IF(AND(VALUE(MID(G1577,13,1))=IF(MOD(SUMPRODUCT(--MID(G1577,{1,2,3,4,5,6,7,8,9,10,11,12},1),{5,4,3,2,9,8,7,6,5,4,3,2}),11)&lt;2,0,11-MOD(SUMPRODUCT(--MID(G1577,{1,2,3,4,5,6,7,8,9,10,11,12},1),{5,4,3,2,9,8,7,6,5,4,3,2}),11)),VALUE(MID(G1577,14,1))=IF(MOD(SUMPRODUCT(--MID(G1577,{1,2,3,4,5,6,7,8,9,10,11,12,13},1),{6,5,4,3,2,9,8,7,6,5,4,3,2}),11)&lt;2,0,11-MOD(SUMPRODUCT(--MID(G1577,{1,2,3,4,5,6,7,8,9,10,11,12,13},1),{6,5,4,3,2,9,8,7,6,5,4,3,2}),11))),"OK","AVISO: dígito verificador (conferir na org)"))))</f>
      </c>
      <c r="I1577" s="6">
        <f>IF(G1577="","",IF(COUNTIF($G$2:$G$2001,G1577)&gt;1,"DUPLICADO","OK"))</f>
      </c>
      <c r="J1577" s="6">
        <f>IF(COUNTA(A1577:F1577)=0,"",IF(AND(A1577&lt;&gt;"",E1577&lt;&gt;""),"OK","ERRO: faltam "&amp;IF(A1577="","CNPJ; ","")&amp;IF(E1577="","Novo gerente; ","")))</f>
      </c>
      <c r="K1577" s="6">
        <f>IF(COUNTA(A1577:F1577)=0,"",IF(AND(LEFT(H1577,4)&lt;&gt;"ERRO",I1577="OK",J1577="OK"),"OK","REVISAR"))</f>
      </c>
    </row>
    <row r="1578">
      <c r="A1578" s="5"/>
      <c r="B1578" s="4"/>
      <c r="C1578" s="4"/>
      <c r="D1578" s="4"/>
      <c r="E1578" s="5"/>
      <c r="F1578" s="4"/>
      <c r="G1578" s="6">
        <f>IF(A1578="","",SUBSTITUTE(SUBSTITUTE(SUBSTITUTE(SUBSTITUTE(SUBSTITUTE(SUBSTITUTE(SUBSTITUTE(TRIM(A1578),".",""),"/",""),"-","")," ",""),"(",""),")",""),"+",""))</f>
      </c>
      <c r="H1578" s="6">
        <f>IF(G1578="","",IF(LEN(G1578)&lt;&gt;14,"ERRO: "&amp;LEN(G1578)&amp;" dígitos",IF(NOT(ISNUMBER(VALUE(G1578))),"ERRO: não numérico",IF(AND(VALUE(MID(G1578,13,1))=IF(MOD(SUMPRODUCT(--MID(G1578,{1,2,3,4,5,6,7,8,9,10,11,12},1),{5,4,3,2,9,8,7,6,5,4,3,2}),11)&lt;2,0,11-MOD(SUMPRODUCT(--MID(G1578,{1,2,3,4,5,6,7,8,9,10,11,12},1),{5,4,3,2,9,8,7,6,5,4,3,2}),11)),VALUE(MID(G1578,14,1))=IF(MOD(SUMPRODUCT(--MID(G1578,{1,2,3,4,5,6,7,8,9,10,11,12,13},1),{6,5,4,3,2,9,8,7,6,5,4,3,2}),11)&lt;2,0,11-MOD(SUMPRODUCT(--MID(G1578,{1,2,3,4,5,6,7,8,9,10,11,12,13},1),{6,5,4,3,2,9,8,7,6,5,4,3,2}),11))),"OK","AVISO: dígito verificador (conferir na org)"))))</f>
      </c>
      <c r="I1578" s="6">
        <f>IF(G1578="","",IF(COUNTIF($G$2:$G$2001,G1578)&gt;1,"DUPLICADO","OK"))</f>
      </c>
      <c r="J1578" s="6">
        <f>IF(COUNTA(A1578:F1578)=0,"",IF(AND(A1578&lt;&gt;"",E1578&lt;&gt;""),"OK","ERRO: faltam "&amp;IF(A1578="","CNPJ; ","")&amp;IF(E1578="","Novo gerente; ","")))</f>
      </c>
      <c r="K1578" s="6">
        <f>IF(COUNTA(A1578:F1578)=0,"",IF(AND(LEFT(H1578,4)&lt;&gt;"ERRO",I1578="OK",J1578="OK"),"OK","REVISAR"))</f>
      </c>
    </row>
    <row r="1579">
      <c r="A1579" s="5"/>
      <c r="B1579" s="4"/>
      <c r="C1579" s="4"/>
      <c r="D1579" s="4"/>
      <c r="E1579" s="5"/>
      <c r="F1579" s="4"/>
      <c r="G1579" s="6">
        <f>IF(A1579="","",SUBSTITUTE(SUBSTITUTE(SUBSTITUTE(SUBSTITUTE(SUBSTITUTE(SUBSTITUTE(SUBSTITUTE(TRIM(A1579),".",""),"/",""),"-","")," ",""),"(",""),")",""),"+",""))</f>
      </c>
      <c r="H1579" s="6">
        <f>IF(G1579="","",IF(LEN(G1579)&lt;&gt;14,"ERRO: "&amp;LEN(G1579)&amp;" dígitos",IF(NOT(ISNUMBER(VALUE(G1579))),"ERRO: não numérico",IF(AND(VALUE(MID(G1579,13,1))=IF(MOD(SUMPRODUCT(--MID(G1579,{1,2,3,4,5,6,7,8,9,10,11,12},1),{5,4,3,2,9,8,7,6,5,4,3,2}),11)&lt;2,0,11-MOD(SUMPRODUCT(--MID(G1579,{1,2,3,4,5,6,7,8,9,10,11,12},1),{5,4,3,2,9,8,7,6,5,4,3,2}),11)),VALUE(MID(G1579,14,1))=IF(MOD(SUMPRODUCT(--MID(G1579,{1,2,3,4,5,6,7,8,9,10,11,12,13},1),{6,5,4,3,2,9,8,7,6,5,4,3,2}),11)&lt;2,0,11-MOD(SUMPRODUCT(--MID(G1579,{1,2,3,4,5,6,7,8,9,10,11,12,13},1),{6,5,4,3,2,9,8,7,6,5,4,3,2}),11))),"OK","AVISO: dígito verificador (conferir na org)"))))</f>
      </c>
      <c r="I1579" s="6">
        <f>IF(G1579="","",IF(COUNTIF($G$2:$G$2001,G1579)&gt;1,"DUPLICADO","OK"))</f>
      </c>
      <c r="J1579" s="6">
        <f>IF(COUNTA(A1579:F1579)=0,"",IF(AND(A1579&lt;&gt;"",E1579&lt;&gt;""),"OK","ERRO: faltam "&amp;IF(A1579="","CNPJ; ","")&amp;IF(E1579="","Novo gerente; ","")))</f>
      </c>
      <c r="K1579" s="6">
        <f>IF(COUNTA(A1579:F1579)=0,"",IF(AND(LEFT(H1579,4)&lt;&gt;"ERRO",I1579="OK",J1579="OK"),"OK","REVISAR"))</f>
      </c>
    </row>
    <row r="1580">
      <c r="A1580" s="5"/>
      <c r="B1580" s="4"/>
      <c r="C1580" s="4"/>
      <c r="D1580" s="4"/>
      <c r="E1580" s="5"/>
      <c r="F1580" s="4"/>
      <c r="G1580" s="6">
        <f>IF(A1580="","",SUBSTITUTE(SUBSTITUTE(SUBSTITUTE(SUBSTITUTE(SUBSTITUTE(SUBSTITUTE(SUBSTITUTE(TRIM(A1580),".",""),"/",""),"-","")," ",""),"(",""),")",""),"+",""))</f>
      </c>
      <c r="H1580" s="6">
        <f>IF(G1580="","",IF(LEN(G1580)&lt;&gt;14,"ERRO: "&amp;LEN(G1580)&amp;" dígitos",IF(NOT(ISNUMBER(VALUE(G1580))),"ERRO: não numérico",IF(AND(VALUE(MID(G1580,13,1))=IF(MOD(SUMPRODUCT(--MID(G1580,{1,2,3,4,5,6,7,8,9,10,11,12},1),{5,4,3,2,9,8,7,6,5,4,3,2}),11)&lt;2,0,11-MOD(SUMPRODUCT(--MID(G1580,{1,2,3,4,5,6,7,8,9,10,11,12},1),{5,4,3,2,9,8,7,6,5,4,3,2}),11)),VALUE(MID(G1580,14,1))=IF(MOD(SUMPRODUCT(--MID(G1580,{1,2,3,4,5,6,7,8,9,10,11,12,13},1),{6,5,4,3,2,9,8,7,6,5,4,3,2}),11)&lt;2,0,11-MOD(SUMPRODUCT(--MID(G1580,{1,2,3,4,5,6,7,8,9,10,11,12,13},1),{6,5,4,3,2,9,8,7,6,5,4,3,2}),11))),"OK","AVISO: dígito verificador (conferir na org)"))))</f>
      </c>
      <c r="I1580" s="6">
        <f>IF(G1580="","",IF(COUNTIF($G$2:$G$2001,G1580)&gt;1,"DUPLICADO","OK"))</f>
      </c>
      <c r="J1580" s="6">
        <f>IF(COUNTA(A1580:F1580)=0,"",IF(AND(A1580&lt;&gt;"",E1580&lt;&gt;""),"OK","ERRO: faltam "&amp;IF(A1580="","CNPJ; ","")&amp;IF(E1580="","Novo gerente; ","")))</f>
      </c>
      <c r="K1580" s="6">
        <f>IF(COUNTA(A1580:F1580)=0,"",IF(AND(LEFT(H1580,4)&lt;&gt;"ERRO",I1580="OK",J1580="OK"),"OK","REVISAR"))</f>
      </c>
    </row>
    <row r="1581">
      <c r="A1581" s="5"/>
      <c r="B1581" s="4"/>
      <c r="C1581" s="4"/>
      <c r="D1581" s="4"/>
      <c r="E1581" s="5"/>
      <c r="F1581" s="4"/>
      <c r="G1581" s="6">
        <f>IF(A1581="","",SUBSTITUTE(SUBSTITUTE(SUBSTITUTE(SUBSTITUTE(SUBSTITUTE(SUBSTITUTE(SUBSTITUTE(TRIM(A1581),".",""),"/",""),"-","")," ",""),"(",""),")",""),"+",""))</f>
      </c>
      <c r="H1581" s="6">
        <f>IF(G1581="","",IF(LEN(G1581)&lt;&gt;14,"ERRO: "&amp;LEN(G1581)&amp;" dígitos",IF(NOT(ISNUMBER(VALUE(G1581))),"ERRO: não numérico",IF(AND(VALUE(MID(G1581,13,1))=IF(MOD(SUMPRODUCT(--MID(G1581,{1,2,3,4,5,6,7,8,9,10,11,12},1),{5,4,3,2,9,8,7,6,5,4,3,2}),11)&lt;2,0,11-MOD(SUMPRODUCT(--MID(G1581,{1,2,3,4,5,6,7,8,9,10,11,12},1),{5,4,3,2,9,8,7,6,5,4,3,2}),11)),VALUE(MID(G1581,14,1))=IF(MOD(SUMPRODUCT(--MID(G1581,{1,2,3,4,5,6,7,8,9,10,11,12,13},1),{6,5,4,3,2,9,8,7,6,5,4,3,2}),11)&lt;2,0,11-MOD(SUMPRODUCT(--MID(G1581,{1,2,3,4,5,6,7,8,9,10,11,12,13},1),{6,5,4,3,2,9,8,7,6,5,4,3,2}),11))),"OK","AVISO: dígito verificador (conferir na org)"))))</f>
      </c>
      <c r="I1581" s="6">
        <f>IF(G1581="","",IF(COUNTIF($G$2:$G$2001,G1581)&gt;1,"DUPLICADO","OK"))</f>
      </c>
      <c r="J1581" s="6">
        <f>IF(COUNTA(A1581:F1581)=0,"",IF(AND(A1581&lt;&gt;"",E1581&lt;&gt;""),"OK","ERRO: faltam "&amp;IF(A1581="","CNPJ; ","")&amp;IF(E1581="","Novo gerente; ","")))</f>
      </c>
      <c r="K1581" s="6">
        <f>IF(COUNTA(A1581:F1581)=0,"",IF(AND(LEFT(H1581,4)&lt;&gt;"ERRO",I1581="OK",J1581="OK"),"OK","REVISAR"))</f>
      </c>
    </row>
    <row r="1582">
      <c r="A1582" s="5"/>
      <c r="B1582" s="4"/>
      <c r="C1582" s="4"/>
      <c r="D1582" s="4"/>
      <c r="E1582" s="5"/>
      <c r="F1582" s="4"/>
      <c r="G1582" s="6">
        <f>IF(A1582="","",SUBSTITUTE(SUBSTITUTE(SUBSTITUTE(SUBSTITUTE(SUBSTITUTE(SUBSTITUTE(SUBSTITUTE(TRIM(A1582),".",""),"/",""),"-","")," ",""),"(",""),")",""),"+",""))</f>
      </c>
      <c r="H1582" s="6">
        <f>IF(G1582="","",IF(LEN(G1582)&lt;&gt;14,"ERRO: "&amp;LEN(G1582)&amp;" dígitos",IF(NOT(ISNUMBER(VALUE(G1582))),"ERRO: não numérico",IF(AND(VALUE(MID(G1582,13,1))=IF(MOD(SUMPRODUCT(--MID(G1582,{1,2,3,4,5,6,7,8,9,10,11,12},1),{5,4,3,2,9,8,7,6,5,4,3,2}),11)&lt;2,0,11-MOD(SUMPRODUCT(--MID(G1582,{1,2,3,4,5,6,7,8,9,10,11,12},1),{5,4,3,2,9,8,7,6,5,4,3,2}),11)),VALUE(MID(G1582,14,1))=IF(MOD(SUMPRODUCT(--MID(G1582,{1,2,3,4,5,6,7,8,9,10,11,12,13},1),{6,5,4,3,2,9,8,7,6,5,4,3,2}),11)&lt;2,0,11-MOD(SUMPRODUCT(--MID(G1582,{1,2,3,4,5,6,7,8,9,10,11,12,13},1),{6,5,4,3,2,9,8,7,6,5,4,3,2}),11))),"OK","AVISO: dígito verificador (conferir na org)"))))</f>
      </c>
      <c r="I1582" s="6">
        <f>IF(G1582="","",IF(COUNTIF($G$2:$G$2001,G1582)&gt;1,"DUPLICADO","OK"))</f>
      </c>
      <c r="J1582" s="6">
        <f>IF(COUNTA(A1582:F1582)=0,"",IF(AND(A1582&lt;&gt;"",E1582&lt;&gt;""),"OK","ERRO: faltam "&amp;IF(A1582="","CNPJ; ","")&amp;IF(E1582="","Novo gerente; ","")))</f>
      </c>
      <c r="K1582" s="6">
        <f>IF(COUNTA(A1582:F1582)=0,"",IF(AND(LEFT(H1582,4)&lt;&gt;"ERRO",I1582="OK",J1582="OK"),"OK","REVISAR"))</f>
      </c>
    </row>
    <row r="1583">
      <c r="A1583" s="5"/>
      <c r="B1583" s="4"/>
      <c r="C1583" s="4"/>
      <c r="D1583" s="4"/>
      <c r="E1583" s="5"/>
      <c r="F1583" s="4"/>
      <c r="G1583" s="6">
        <f>IF(A1583="","",SUBSTITUTE(SUBSTITUTE(SUBSTITUTE(SUBSTITUTE(SUBSTITUTE(SUBSTITUTE(SUBSTITUTE(TRIM(A1583),".",""),"/",""),"-","")," ",""),"(",""),")",""),"+",""))</f>
      </c>
      <c r="H1583" s="6">
        <f>IF(G1583="","",IF(LEN(G1583)&lt;&gt;14,"ERRO: "&amp;LEN(G1583)&amp;" dígitos",IF(NOT(ISNUMBER(VALUE(G1583))),"ERRO: não numérico",IF(AND(VALUE(MID(G1583,13,1))=IF(MOD(SUMPRODUCT(--MID(G1583,{1,2,3,4,5,6,7,8,9,10,11,12},1),{5,4,3,2,9,8,7,6,5,4,3,2}),11)&lt;2,0,11-MOD(SUMPRODUCT(--MID(G1583,{1,2,3,4,5,6,7,8,9,10,11,12},1),{5,4,3,2,9,8,7,6,5,4,3,2}),11)),VALUE(MID(G1583,14,1))=IF(MOD(SUMPRODUCT(--MID(G1583,{1,2,3,4,5,6,7,8,9,10,11,12,13},1),{6,5,4,3,2,9,8,7,6,5,4,3,2}),11)&lt;2,0,11-MOD(SUMPRODUCT(--MID(G1583,{1,2,3,4,5,6,7,8,9,10,11,12,13},1),{6,5,4,3,2,9,8,7,6,5,4,3,2}),11))),"OK","AVISO: dígito verificador (conferir na org)"))))</f>
      </c>
      <c r="I1583" s="6">
        <f>IF(G1583="","",IF(COUNTIF($G$2:$G$2001,G1583)&gt;1,"DUPLICADO","OK"))</f>
      </c>
      <c r="J1583" s="6">
        <f>IF(COUNTA(A1583:F1583)=0,"",IF(AND(A1583&lt;&gt;"",E1583&lt;&gt;""),"OK","ERRO: faltam "&amp;IF(A1583="","CNPJ; ","")&amp;IF(E1583="","Novo gerente; ","")))</f>
      </c>
      <c r="K1583" s="6">
        <f>IF(COUNTA(A1583:F1583)=0,"",IF(AND(LEFT(H1583,4)&lt;&gt;"ERRO",I1583="OK",J1583="OK"),"OK","REVISAR"))</f>
      </c>
    </row>
    <row r="1584">
      <c r="A1584" s="5"/>
      <c r="B1584" s="4"/>
      <c r="C1584" s="4"/>
      <c r="D1584" s="4"/>
      <c r="E1584" s="5"/>
      <c r="F1584" s="4"/>
      <c r="G1584" s="6">
        <f>IF(A1584="","",SUBSTITUTE(SUBSTITUTE(SUBSTITUTE(SUBSTITUTE(SUBSTITUTE(SUBSTITUTE(SUBSTITUTE(TRIM(A1584),".",""),"/",""),"-","")," ",""),"(",""),")",""),"+",""))</f>
      </c>
      <c r="H1584" s="6">
        <f>IF(G1584="","",IF(LEN(G1584)&lt;&gt;14,"ERRO: "&amp;LEN(G1584)&amp;" dígitos",IF(NOT(ISNUMBER(VALUE(G1584))),"ERRO: não numérico",IF(AND(VALUE(MID(G1584,13,1))=IF(MOD(SUMPRODUCT(--MID(G1584,{1,2,3,4,5,6,7,8,9,10,11,12},1),{5,4,3,2,9,8,7,6,5,4,3,2}),11)&lt;2,0,11-MOD(SUMPRODUCT(--MID(G1584,{1,2,3,4,5,6,7,8,9,10,11,12},1),{5,4,3,2,9,8,7,6,5,4,3,2}),11)),VALUE(MID(G1584,14,1))=IF(MOD(SUMPRODUCT(--MID(G1584,{1,2,3,4,5,6,7,8,9,10,11,12,13},1),{6,5,4,3,2,9,8,7,6,5,4,3,2}),11)&lt;2,0,11-MOD(SUMPRODUCT(--MID(G1584,{1,2,3,4,5,6,7,8,9,10,11,12,13},1),{6,5,4,3,2,9,8,7,6,5,4,3,2}),11))),"OK","AVISO: dígito verificador (conferir na org)"))))</f>
      </c>
      <c r="I1584" s="6">
        <f>IF(G1584="","",IF(COUNTIF($G$2:$G$2001,G1584)&gt;1,"DUPLICADO","OK"))</f>
      </c>
      <c r="J1584" s="6">
        <f>IF(COUNTA(A1584:F1584)=0,"",IF(AND(A1584&lt;&gt;"",E1584&lt;&gt;""),"OK","ERRO: faltam "&amp;IF(A1584="","CNPJ; ","")&amp;IF(E1584="","Novo gerente; ","")))</f>
      </c>
      <c r="K1584" s="6">
        <f>IF(COUNTA(A1584:F1584)=0,"",IF(AND(LEFT(H1584,4)&lt;&gt;"ERRO",I1584="OK",J1584="OK"),"OK","REVISAR"))</f>
      </c>
    </row>
    <row r="1585">
      <c r="A1585" s="5"/>
      <c r="B1585" s="4"/>
      <c r="C1585" s="4"/>
      <c r="D1585" s="4"/>
      <c r="E1585" s="5"/>
      <c r="F1585" s="4"/>
      <c r="G1585" s="6">
        <f>IF(A1585="","",SUBSTITUTE(SUBSTITUTE(SUBSTITUTE(SUBSTITUTE(SUBSTITUTE(SUBSTITUTE(SUBSTITUTE(TRIM(A1585),".",""),"/",""),"-","")," ",""),"(",""),")",""),"+",""))</f>
      </c>
      <c r="H1585" s="6">
        <f>IF(G1585="","",IF(LEN(G1585)&lt;&gt;14,"ERRO: "&amp;LEN(G1585)&amp;" dígitos",IF(NOT(ISNUMBER(VALUE(G1585))),"ERRO: não numérico",IF(AND(VALUE(MID(G1585,13,1))=IF(MOD(SUMPRODUCT(--MID(G1585,{1,2,3,4,5,6,7,8,9,10,11,12},1),{5,4,3,2,9,8,7,6,5,4,3,2}),11)&lt;2,0,11-MOD(SUMPRODUCT(--MID(G1585,{1,2,3,4,5,6,7,8,9,10,11,12},1),{5,4,3,2,9,8,7,6,5,4,3,2}),11)),VALUE(MID(G1585,14,1))=IF(MOD(SUMPRODUCT(--MID(G1585,{1,2,3,4,5,6,7,8,9,10,11,12,13},1),{6,5,4,3,2,9,8,7,6,5,4,3,2}),11)&lt;2,0,11-MOD(SUMPRODUCT(--MID(G1585,{1,2,3,4,5,6,7,8,9,10,11,12,13},1),{6,5,4,3,2,9,8,7,6,5,4,3,2}),11))),"OK","AVISO: dígito verificador (conferir na org)"))))</f>
      </c>
      <c r="I1585" s="6">
        <f>IF(G1585="","",IF(COUNTIF($G$2:$G$2001,G1585)&gt;1,"DUPLICADO","OK"))</f>
      </c>
      <c r="J1585" s="6">
        <f>IF(COUNTA(A1585:F1585)=0,"",IF(AND(A1585&lt;&gt;"",E1585&lt;&gt;""),"OK","ERRO: faltam "&amp;IF(A1585="","CNPJ; ","")&amp;IF(E1585="","Novo gerente; ","")))</f>
      </c>
      <c r="K1585" s="6">
        <f>IF(COUNTA(A1585:F1585)=0,"",IF(AND(LEFT(H1585,4)&lt;&gt;"ERRO",I1585="OK",J1585="OK"),"OK","REVISAR"))</f>
      </c>
    </row>
    <row r="1586">
      <c r="A1586" s="5"/>
      <c r="B1586" s="4"/>
      <c r="C1586" s="4"/>
      <c r="D1586" s="4"/>
      <c r="E1586" s="5"/>
      <c r="F1586" s="4"/>
      <c r="G1586" s="6">
        <f>IF(A1586="","",SUBSTITUTE(SUBSTITUTE(SUBSTITUTE(SUBSTITUTE(SUBSTITUTE(SUBSTITUTE(SUBSTITUTE(TRIM(A1586),".",""),"/",""),"-","")," ",""),"(",""),")",""),"+",""))</f>
      </c>
      <c r="H1586" s="6">
        <f>IF(G1586="","",IF(LEN(G1586)&lt;&gt;14,"ERRO: "&amp;LEN(G1586)&amp;" dígitos",IF(NOT(ISNUMBER(VALUE(G1586))),"ERRO: não numérico",IF(AND(VALUE(MID(G1586,13,1))=IF(MOD(SUMPRODUCT(--MID(G1586,{1,2,3,4,5,6,7,8,9,10,11,12},1),{5,4,3,2,9,8,7,6,5,4,3,2}),11)&lt;2,0,11-MOD(SUMPRODUCT(--MID(G1586,{1,2,3,4,5,6,7,8,9,10,11,12},1),{5,4,3,2,9,8,7,6,5,4,3,2}),11)),VALUE(MID(G1586,14,1))=IF(MOD(SUMPRODUCT(--MID(G1586,{1,2,3,4,5,6,7,8,9,10,11,12,13},1),{6,5,4,3,2,9,8,7,6,5,4,3,2}),11)&lt;2,0,11-MOD(SUMPRODUCT(--MID(G1586,{1,2,3,4,5,6,7,8,9,10,11,12,13},1),{6,5,4,3,2,9,8,7,6,5,4,3,2}),11))),"OK","AVISO: dígito verificador (conferir na org)"))))</f>
      </c>
      <c r="I1586" s="6">
        <f>IF(G1586="","",IF(COUNTIF($G$2:$G$2001,G1586)&gt;1,"DUPLICADO","OK"))</f>
      </c>
      <c r="J1586" s="6">
        <f>IF(COUNTA(A1586:F1586)=0,"",IF(AND(A1586&lt;&gt;"",E1586&lt;&gt;""),"OK","ERRO: faltam "&amp;IF(A1586="","CNPJ; ","")&amp;IF(E1586="","Novo gerente; ","")))</f>
      </c>
      <c r="K1586" s="6">
        <f>IF(COUNTA(A1586:F1586)=0,"",IF(AND(LEFT(H1586,4)&lt;&gt;"ERRO",I1586="OK",J1586="OK"),"OK","REVISAR"))</f>
      </c>
    </row>
    <row r="1587">
      <c r="A1587" s="5"/>
      <c r="B1587" s="4"/>
      <c r="C1587" s="4"/>
      <c r="D1587" s="4"/>
      <c r="E1587" s="5"/>
      <c r="F1587" s="4"/>
      <c r="G1587" s="6">
        <f>IF(A1587="","",SUBSTITUTE(SUBSTITUTE(SUBSTITUTE(SUBSTITUTE(SUBSTITUTE(SUBSTITUTE(SUBSTITUTE(TRIM(A1587),".",""),"/",""),"-","")," ",""),"(",""),")",""),"+",""))</f>
      </c>
      <c r="H1587" s="6">
        <f>IF(G1587="","",IF(LEN(G1587)&lt;&gt;14,"ERRO: "&amp;LEN(G1587)&amp;" dígitos",IF(NOT(ISNUMBER(VALUE(G1587))),"ERRO: não numérico",IF(AND(VALUE(MID(G1587,13,1))=IF(MOD(SUMPRODUCT(--MID(G1587,{1,2,3,4,5,6,7,8,9,10,11,12},1),{5,4,3,2,9,8,7,6,5,4,3,2}),11)&lt;2,0,11-MOD(SUMPRODUCT(--MID(G1587,{1,2,3,4,5,6,7,8,9,10,11,12},1),{5,4,3,2,9,8,7,6,5,4,3,2}),11)),VALUE(MID(G1587,14,1))=IF(MOD(SUMPRODUCT(--MID(G1587,{1,2,3,4,5,6,7,8,9,10,11,12,13},1),{6,5,4,3,2,9,8,7,6,5,4,3,2}),11)&lt;2,0,11-MOD(SUMPRODUCT(--MID(G1587,{1,2,3,4,5,6,7,8,9,10,11,12,13},1),{6,5,4,3,2,9,8,7,6,5,4,3,2}),11))),"OK","AVISO: dígito verificador (conferir na org)"))))</f>
      </c>
      <c r="I1587" s="6">
        <f>IF(G1587="","",IF(COUNTIF($G$2:$G$2001,G1587)&gt;1,"DUPLICADO","OK"))</f>
      </c>
      <c r="J1587" s="6">
        <f>IF(COUNTA(A1587:F1587)=0,"",IF(AND(A1587&lt;&gt;"",E1587&lt;&gt;""),"OK","ERRO: faltam "&amp;IF(A1587="","CNPJ; ","")&amp;IF(E1587="","Novo gerente; ","")))</f>
      </c>
      <c r="K1587" s="6">
        <f>IF(COUNTA(A1587:F1587)=0,"",IF(AND(LEFT(H1587,4)&lt;&gt;"ERRO",I1587="OK",J1587="OK"),"OK","REVISAR"))</f>
      </c>
    </row>
    <row r="1588">
      <c r="A1588" s="5"/>
      <c r="B1588" s="4"/>
      <c r="C1588" s="4"/>
      <c r="D1588" s="4"/>
      <c r="E1588" s="5"/>
      <c r="F1588" s="4"/>
      <c r="G1588" s="6">
        <f>IF(A1588="","",SUBSTITUTE(SUBSTITUTE(SUBSTITUTE(SUBSTITUTE(SUBSTITUTE(SUBSTITUTE(SUBSTITUTE(TRIM(A1588),".",""),"/",""),"-","")," ",""),"(",""),")",""),"+",""))</f>
      </c>
      <c r="H1588" s="6">
        <f>IF(G1588="","",IF(LEN(G1588)&lt;&gt;14,"ERRO: "&amp;LEN(G1588)&amp;" dígitos",IF(NOT(ISNUMBER(VALUE(G1588))),"ERRO: não numérico",IF(AND(VALUE(MID(G1588,13,1))=IF(MOD(SUMPRODUCT(--MID(G1588,{1,2,3,4,5,6,7,8,9,10,11,12},1),{5,4,3,2,9,8,7,6,5,4,3,2}),11)&lt;2,0,11-MOD(SUMPRODUCT(--MID(G1588,{1,2,3,4,5,6,7,8,9,10,11,12},1),{5,4,3,2,9,8,7,6,5,4,3,2}),11)),VALUE(MID(G1588,14,1))=IF(MOD(SUMPRODUCT(--MID(G1588,{1,2,3,4,5,6,7,8,9,10,11,12,13},1),{6,5,4,3,2,9,8,7,6,5,4,3,2}),11)&lt;2,0,11-MOD(SUMPRODUCT(--MID(G1588,{1,2,3,4,5,6,7,8,9,10,11,12,13},1),{6,5,4,3,2,9,8,7,6,5,4,3,2}),11))),"OK","AVISO: dígito verificador (conferir na org)"))))</f>
      </c>
      <c r="I1588" s="6">
        <f>IF(G1588="","",IF(COUNTIF($G$2:$G$2001,G1588)&gt;1,"DUPLICADO","OK"))</f>
      </c>
      <c r="J1588" s="6">
        <f>IF(COUNTA(A1588:F1588)=0,"",IF(AND(A1588&lt;&gt;"",E1588&lt;&gt;""),"OK","ERRO: faltam "&amp;IF(A1588="","CNPJ; ","")&amp;IF(E1588="","Novo gerente; ","")))</f>
      </c>
      <c r="K1588" s="6">
        <f>IF(COUNTA(A1588:F1588)=0,"",IF(AND(LEFT(H1588,4)&lt;&gt;"ERRO",I1588="OK",J1588="OK"),"OK","REVISAR"))</f>
      </c>
    </row>
    <row r="1589">
      <c r="A1589" s="5"/>
      <c r="B1589" s="4"/>
      <c r="C1589" s="4"/>
      <c r="D1589" s="4"/>
      <c r="E1589" s="5"/>
      <c r="F1589" s="4"/>
      <c r="G1589" s="6">
        <f>IF(A1589="","",SUBSTITUTE(SUBSTITUTE(SUBSTITUTE(SUBSTITUTE(SUBSTITUTE(SUBSTITUTE(SUBSTITUTE(TRIM(A1589),".",""),"/",""),"-","")," ",""),"(",""),")",""),"+",""))</f>
      </c>
      <c r="H1589" s="6">
        <f>IF(G1589="","",IF(LEN(G1589)&lt;&gt;14,"ERRO: "&amp;LEN(G1589)&amp;" dígitos",IF(NOT(ISNUMBER(VALUE(G1589))),"ERRO: não numérico",IF(AND(VALUE(MID(G1589,13,1))=IF(MOD(SUMPRODUCT(--MID(G1589,{1,2,3,4,5,6,7,8,9,10,11,12},1),{5,4,3,2,9,8,7,6,5,4,3,2}),11)&lt;2,0,11-MOD(SUMPRODUCT(--MID(G1589,{1,2,3,4,5,6,7,8,9,10,11,12},1),{5,4,3,2,9,8,7,6,5,4,3,2}),11)),VALUE(MID(G1589,14,1))=IF(MOD(SUMPRODUCT(--MID(G1589,{1,2,3,4,5,6,7,8,9,10,11,12,13},1),{6,5,4,3,2,9,8,7,6,5,4,3,2}),11)&lt;2,0,11-MOD(SUMPRODUCT(--MID(G1589,{1,2,3,4,5,6,7,8,9,10,11,12,13},1),{6,5,4,3,2,9,8,7,6,5,4,3,2}),11))),"OK","AVISO: dígito verificador (conferir na org)"))))</f>
      </c>
      <c r="I1589" s="6">
        <f>IF(G1589="","",IF(COUNTIF($G$2:$G$2001,G1589)&gt;1,"DUPLICADO","OK"))</f>
      </c>
      <c r="J1589" s="6">
        <f>IF(COUNTA(A1589:F1589)=0,"",IF(AND(A1589&lt;&gt;"",E1589&lt;&gt;""),"OK","ERRO: faltam "&amp;IF(A1589="","CNPJ; ","")&amp;IF(E1589="","Novo gerente; ","")))</f>
      </c>
      <c r="K1589" s="6">
        <f>IF(COUNTA(A1589:F1589)=0,"",IF(AND(LEFT(H1589,4)&lt;&gt;"ERRO",I1589="OK",J1589="OK"),"OK","REVISAR"))</f>
      </c>
    </row>
    <row r="1590">
      <c r="A1590" s="5"/>
      <c r="B1590" s="4"/>
      <c r="C1590" s="4"/>
      <c r="D1590" s="4"/>
      <c r="E1590" s="5"/>
      <c r="F1590" s="4"/>
      <c r="G1590" s="6">
        <f>IF(A1590="","",SUBSTITUTE(SUBSTITUTE(SUBSTITUTE(SUBSTITUTE(SUBSTITUTE(SUBSTITUTE(SUBSTITUTE(TRIM(A1590),".",""),"/",""),"-","")," ",""),"(",""),")",""),"+",""))</f>
      </c>
      <c r="H1590" s="6">
        <f>IF(G1590="","",IF(LEN(G1590)&lt;&gt;14,"ERRO: "&amp;LEN(G1590)&amp;" dígitos",IF(NOT(ISNUMBER(VALUE(G1590))),"ERRO: não numérico",IF(AND(VALUE(MID(G1590,13,1))=IF(MOD(SUMPRODUCT(--MID(G1590,{1,2,3,4,5,6,7,8,9,10,11,12},1),{5,4,3,2,9,8,7,6,5,4,3,2}),11)&lt;2,0,11-MOD(SUMPRODUCT(--MID(G1590,{1,2,3,4,5,6,7,8,9,10,11,12},1),{5,4,3,2,9,8,7,6,5,4,3,2}),11)),VALUE(MID(G1590,14,1))=IF(MOD(SUMPRODUCT(--MID(G1590,{1,2,3,4,5,6,7,8,9,10,11,12,13},1),{6,5,4,3,2,9,8,7,6,5,4,3,2}),11)&lt;2,0,11-MOD(SUMPRODUCT(--MID(G1590,{1,2,3,4,5,6,7,8,9,10,11,12,13},1),{6,5,4,3,2,9,8,7,6,5,4,3,2}),11))),"OK","AVISO: dígito verificador (conferir na org)"))))</f>
      </c>
      <c r="I1590" s="6">
        <f>IF(G1590="","",IF(COUNTIF($G$2:$G$2001,G1590)&gt;1,"DUPLICADO","OK"))</f>
      </c>
      <c r="J1590" s="6">
        <f>IF(COUNTA(A1590:F1590)=0,"",IF(AND(A1590&lt;&gt;"",E1590&lt;&gt;""),"OK","ERRO: faltam "&amp;IF(A1590="","CNPJ; ","")&amp;IF(E1590="","Novo gerente; ","")))</f>
      </c>
      <c r="K1590" s="6">
        <f>IF(COUNTA(A1590:F1590)=0,"",IF(AND(LEFT(H1590,4)&lt;&gt;"ERRO",I1590="OK",J1590="OK"),"OK","REVISAR"))</f>
      </c>
    </row>
    <row r="1591">
      <c r="A1591" s="5"/>
      <c r="B1591" s="4"/>
      <c r="C1591" s="4"/>
      <c r="D1591" s="4"/>
      <c r="E1591" s="5"/>
      <c r="F1591" s="4"/>
      <c r="G1591" s="6">
        <f>IF(A1591="","",SUBSTITUTE(SUBSTITUTE(SUBSTITUTE(SUBSTITUTE(SUBSTITUTE(SUBSTITUTE(SUBSTITUTE(TRIM(A1591),".",""),"/",""),"-","")," ",""),"(",""),")",""),"+",""))</f>
      </c>
      <c r="H1591" s="6">
        <f>IF(G1591="","",IF(LEN(G1591)&lt;&gt;14,"ERRO: "&amp;LEN(G1591)&amp;" dígitos",IF(NOT(ISNUMBER(VALUE(G1591))),"ERRO: não numérico",IF(AND(VALUE(MID(G1591,13,1))=IF(MOD(SUMPRODUCT(--MID(G1591,{1,2,3,4,5,6,7,8,9,10,11,12},1),{5,4,3,2,9,8,7,6,5,4,3,2}),11)&lt;2,0,11-MOD(SUMPRODUCT(--MID(G1591,{1,2,3,4,5,6,7,8,9,10,11,12},1),{5,4,3,2,9,8,7,6,5,4,3,2}),11)),VALUE(MID(G1591,14,1))=IF(MOD(SUMPRODUCT(--MID(G1591,{1,2,3,4,5,6,7,8,9,10,11,12,13},1),{6,5,4,3,2,9,8,7,6,5,4,3,2}),11)&lt;2,0,11-MOD(SUMPRODUCT(--MID(G1591,{1,2,3,4,5,6,7,8,9,10,11,12,13},1),{6,5,4,3,2,9,8,7,6,5,4,3,2}),11))),"OK","AVISO: dígito verificador (conferir na org)"))))</f>
      </c>
      <c r="I1591" s="6">
        <f>IF(G1591="","",IF(COUNTIF($G$2:$G$2001,G1591)&gt;1,"DUPLICADO","OK"))</f>
      </c>
      <c r="J1591" s="6">
        <f>IF(COUNTA(A1591:F1591)=0,"",IF(AND(A1591&lt;&gt;"",E1591&lt;&gt;""),"OK","ERRO: faltam "&amp;IF(A1591="","CNPJ; ","")&amp;IF(E1591="","Novo gerente; ","")))</f>
      </c>
      <c r="K1591" s="6">
        <f>IF(COUNTA(A1591:F1591)=0,"",IF(AND(LEFT(H1591,4)&lt;&gt;"ERRO",I1591="OK",J1591="OK"),"OK","REVISAR"))</f>
      </c>
    </row>
    <row r="1592">
      <c r="A1592" s="5"/>
      <c r="B1592" s="4"/>
      <c r="C1592" s="4"/>
      <c r="D1592" s="4"/>
      <c r="E1592" s="5"/>
      <c r="F1592" s="4"/>
      <c r="G1592" s="6">
        <f>IF(A1592="","",SUBSTITUTE(SUBSTITUTE(SUBSTITUTE(SUBSTITUTE(SUBSTITUTE(SUBSTITUTE(SUBSTITUTE(TRIM(A1592),".",""),"/",""),"-","")," ",""),"(",""),")",""),"+",""))</f>
      </c>
      <c r="H1592" s="6">
        <f>IF(G1592="","",IF(LEN(G1592)&lt;&gt;14,"ERRO: "&amp;LEN(G1592)&amp;" dígitos",IF(NOT(ISNUMBER(VALUE(G1592))),"ERRO: não numérico",IF(AND(VALUE(MID(G1592,13,1))=IF(MOD(SUMPRODUCT(--MID(G1592,{1,2,3,4,5,6,7,8,9,10,11,12},1),{5,4,3,2,9,8,7,6,5,4,3,2}),11)&lt;2,0,11-MOD(SUMPRODUCT(--MID(G1592,{1,2,3,4,5,6,7,8,9,10,11,12},1),{5,4,3,2,9,8,7,6,5,4,3,2}),11)),VALUE(MID(G1592,14,1))=IF(MOD(SUMPRODUCT(--MID(G1592,{1,2,3,4,5,6,7,8,9,10,11,12,13},1),{6,5,4,3,2,9,8,7,6,5,4,3,2}),11)&lt;2,0,11-MOD(SUMPRODUCT(--MID(G1592,{1,2,3,4,5,6,7,8,9,10,11,12,13},1),{6,5,4,3,2,9,8,7,6,5,4,3,2}),11))),"OK","AVISO: dígito verificador (conferir na org)"))))</f>
      </c>
      <c r="I1592" s="6">
        <f>IF(G1592="","",IF(COUNTIF($G$2:$G$2001,G1592)&gt;1,"DUPLICADO","OK"))</f>
      </c>
      <c r="J1592" s="6">
        <f>IF(COUNTA(A1592:F1592)=0,"",IF(AND(A1592&lt;&gt;"",E1592&lt;&gt;""),"OK","ERRO: faltam "&amp;IF(A1592="","CNPJ; ","")&amp;IF(E1592="","Novo gerente; ","")))</f>
      </c>
      <c r="K1592" s="6">
        <f>IF(COUNTA(A1592:F1592)=0,"",IF(AND(LEFT(H1592,4)&lt;&gt;"ERRO",I1592="OK",J1592="OK"),"OK","REVISAR"))</f>
      </c>
    </row>
    <row r="1593">
      <c r="A1593" s="5"/>
      <c r="B1593" s="4"/>
      <c r="C1593" s="4"/>
      <c r="D1593" s="4"/>
      <c r="E1593" s="5"/>
      <c r="F1593" s="4"/>
      <c r="G1593" s="6">
        <f>IF(A1593="","",SUBSTITUTE(SUBSTITUTE(SUBSTITUTE(SUBSTITUTE(SUBSTITUTE(SUBSTITUTE(SUBSTITUTE(TRIM(A1593),".",""),"/",""),"-","")," ",""),"(",""),")",""),"+",""))</f>
      </c>
      <c r="H1593" s="6">
        <f>IF(G1593="","",IF(LEN(G1593)&lt;&gt;14,"ERRO: "&amp;LEN(G1593)&amp;" dígitos",IF(NOT(ISNUMBER(VALUE(G1593))),"ERRO: não numérico",IF(AND(VALUE(MID(G1593,13,1))=IF(MOD(SUMPRODUCT(--MID(G1593,{1,2,3,4,5,6,7,8,9,10,11,12},1),{5,4,3,2,9,8,7,6,5,4,3,2}),11)&lt;2,0,11-MOD(SUMPRODUCT(--MID(G1593,{1,2,3,4,5,6,7,8,9,10,11,12},1),{5,4,3,2,9,8,7,6,5,4,3,2}),11)),VALUE(MID(G1593,14,1))=IF(MOD(SUMPRODUCT(--MID(G1593,{1,2,3,4,5,6,7,8,9,10,11,12,13},1),{6,5,4,3,2,9,8,7,6,5,4,3,2}),11)&lt;2,0,11-MOD(SUMPRODUCT(--MID(G1593,{1,2,3,4,5,6,7,8,9,10,11,12,13},1),{6,5,4,3,2,9,8,7,6,5,4,3,2}),11))),"OK","AVISO: dígito verificador (conferir na org)"))))</f>
      </c>
      <c r="I1593" s="6">
        <f>IF(G1593="","",IF(COUNTIF($G$2:$G$2001,G1593)&gt;1,"DUPLICADO","OK"))</f>
      </c>
      <c r="J1593" s="6">
        <f>IF(COUNTA(A1593:F1593)=0,"",IF(AND(A1593&lt;&gt;"",E1593&lt;&gt;""),"OK","ERRO: faltam "&amp;IF(A1593="","CNPJ; ","")&amp;IF(E1593="","Novo gerente; ","")))</f>
      </c>
      <c r="K1593" s="6">
        <f>IF(COUNTA(A1593:F1593)=0,"",IF(AND(LEFT(H1593,4)&lt;&gt;"ERRO",I1593="OK",J1593="OK"),"OK","REVISAR"))</f>
      </c>
    </row>
    <row r="1594">
      <c r="A1594" s="5"/>
      <c r="B1594" s="4"/>
      <c r="C1594" s="4"/>
      <c r="D1594" s="4"/>
      <c r="E1594" s="5"/>
      <c r="F1594" s="4"/>
      <c r="G1594" s="6">
        <f>IF(A1594="","",SUBSTITUTE(SUBSTITUTE(SUBSTITUTE(SUBSTITUTE(SUBSTITUTE(SUBSTITUTE(SUBSTITUTE(TRIM(A1594),".",""),"/",""),"-","")," ",""),"(",""),")",""),"+",""))</f>
      </c>
      <c r="H1594" s="6">
        <f>IF(G1594="","",IF(LEN(G1594)&lt;&gt;14,"ERRO: "&amp;LEN(G1594)&amp;" dígitos",IF(NOT(ISNUMBER(VALUE(G1594))),"ERRO: não numérico",IF(AND(VALUE(MID(G1594,13,1))=IF(MOD(SUMPRODUCT(--MID(G1594,{1,2,3,4,5,6,7,8,9,10,11,12},1),{5,4,3,2,9,8,7,6,5,4,3,2}),11)&lt;2,0,11-MOD(SUMPRODUCT(--MID(G1594,{1,2,3,4,5,6,7,8,9,10,11,12},1),{5,4,3,2,9,8,7,6,5,4,3,2}),11)),VALUE(MID(G1594,14,1))=IF(MOD(SUMPRODUCT(--MID(G1594,{1,2,3,4,5,6,7,8,9,10,11,12,13},1),{6,5,4,3,2,9,8,7,6,5,4,3,2}),11)&lt;2,0,11-MOD(SUMPRODUCT(--MID(G1594,{1,2,3,4,5,6,7,8,9,10,11,12,13},1),{6,5,4,3,2,9,8,7,6,5,4,3,2}),11))),"OK","AVISO: dígito verificador (conferir na org)"))))</f>
      </c>
      <c r="I1594" s="6">
        <f>IF(G1594="","",IF(COUNTIF($G$2:$G$2001,G1594)&gt;1,"DUPLICADO","OK"))</f>
      </c>
      <c r="J1594" s="6">
        <f>IF(COUNTA(A1594:F1594)=0,"",IF(AND(A1594&lt;&gt;"",E1594&lt;&gt;""),"OK","ERRO: faltam "&amp;IF(A1594="","CNPJ; ","")&amp;IF(E1594="","Novo gerente; ","")))</f>
      </c>
      <c r="K1594" s="6">
        <f>IF(COUNTA(A1594:F1594)=0,"",IF(AND(LEFT(H1594,4)&lt;&gt;"ERRO",I1594="OK",J1594="OK"),"OK","REVISAR"))</f>
      </c>
    </row>
    <row r="1595">
      <c r="A1595" s="5"/>
      <c r="B1595" s="4"/>
      <c r="C1595" s="4"/>
      <c r="D1595" s="4"/>
      <c r="E1595" s="5"/>
      <c r="F1595" s="4"/>
      <c r="G1595" s="6">
        <f>IF(A1595="","",SUBSTITUTE(SUBSTITUTE(SUBSTITUTE(SUBSTITUTE(SUBSTITUTE(SUBSTITUTE(SUBSTITUTE(TRIM(A1595),".",""),"/",""),"-","")," ",""),"(",""),")",""),"+",""))</f>
      </c>
      <c r="H1595" s="6">
        <f>IF(G1595="","",IF(LEN(G1595)&lt;&gt;14,"ERRO: "&amp;LEN(G1595)&amp;" dígitos",IF(NOT(ISNUMBER(VALUE(G1595))),"ERRO: não numérico",IF(AND(VALUE(MID(G1595,13,1))=IF(MOD(SUMPRODUCT(--MID(G1595,{1,2,3,4,5,6,7,8,9,10,11,12},1),{5,4,3,2,9,8,7,6,5,4,3,2}),11)&lt;2,0,11-MOD(SUMPRODUCT(--MID(G1595,{1,2,3,4,5,6,7,8,9,10,11,12},1),{5,4,3,2,9,8,7,6,5,4,3,2}),11)),VALUE(MID(G1595,14,1))=IF(MOD(SUMPRODUCT(--MID(G1595,{1,2,3,4,5,6,7,8,9,10,11,12,13},1),{6,5,4,3,2,9,8,7,6,5,4,3,2}),11)&lt;2,0,11-MOD(SUMPRODUCT(--MID(G1595,{1,2,3,4,5,6,7,8,9,10,11,12,13},1),{6,5,4,3,2,9,8,7,6,5,4,3,2}),11))),"OK","AVISO: dígito verificador (conferir na org)"))))</f>
      </c>
      <c r="I1595" s="6">
        <f>IF(G1595="","",IF(COUNTIF($G$2:$G$2001,G1595)&gt;1,"DUPLICADO","OK"))</f>
      </c>
      <c r="J1595" s="6">
        <f>IF(COUNTA(A1595:F1595)=0,"",IF(AND(A1595&lt;&gt;"",E1595&lt;&gt;""),"OK","ERRO: faltam "&amp;IF(A1595="","CNPJ; ","")&amp;IF(E1595="","Novo gerente; ","")))</f>
      </c>
      <c r="K1595" s="6">
        <f>IF(COUNTA(A1595:F1595)=0,"",IF(AND(LEFT(H1595,4)&lt;&gt;"ERRO",I1595="OK",J1595="OK"),"OK","REVISAR"))</f>
      </c>
    </row>
    <row r="1596">
      <c r="A1596" s="5"/>
      <c r="B1596" s="4"/>
      <c r="C1596" s="4"/>
      <c r="D1596" s="4"/>
      <c r="E1596" s="5"/>
      <c r="F1596" s="4"/>
      <c r="G1596" s="6">
        <f>IF(A1596="","",SUBSTITUTE(SUBSTITUTE(SUBSTITUTE(SUBSTITUTE(SUBSTITUTE(SUBSTITUTE(SUBSTITUTE(TRIM(A1596),".",""),"/",""),"-","")," ",""),"(",""),")",""),"+",""))</f>
      </c>
      <c r="H1596" s="6">
        <f>IF(G1596="","",IF(LEN(G1596)&lt;&gt;14,"ERRO: "&amp;LEN(G1596)&amp;" dígitos",IF(NOT(ISNUMBER(VALUE(G1596))),"ERRO: não numérico",IF(AND(VALUE(MID(G1596,13,1))=IF(MOD(SUMPRODUCT(--MID(G1596,{1,2,3,4,5,6,7,8,9,10,11,12},1),{5,4,3,2,9,8,7,6,5,4,3,2}),11)&lt;2,0,11-MOD(SUMPRODUCT(--MID(G1596,{1,2,3,4,5,6,7,8,9,10,11,12},1),{5,4,3,2,9,8,7,6,5,4,3,2}),11)),VALUE(MID(G1596,14,1))=IF(MOD(SUMPRODUCT(--MID(G1596,{1,2,3,4,5,6,7,8,9,10,11,12,13},1),{6,5,4,3,2,9,8,7,6,5,4,3,2}),11)&lt;2,0,11-MOD(SUMPRODUCT(--MID(G1596,{1,2,3,4,5,6,7,8,9,10,11,12,13},1),{6,5,4,3,2,9,8,7,6,5,4,3,2}),11))),"OK","AVISO: dígito verificador (conferir na org)"))))</f>
      </c>
      <c r="I1596" s="6">
        <f>IF(G1596="","",IF(COUNTIF($G$2:$G$2001,G1596)&gt;1,"DUPLICADO","OK"))</f>
      </c>
      <c r="J1596" s="6">
        <f>IF(COUNTA(A1596:F1596)=0,"",IF(AND(A1596&lt;&gt;"",E1596&lt;&gt;""),"OK","ERRO: faltam "&amp;IF(A1596="","CNPJ; ","")&amp;IF(E1596="","Novo gerente; ","")))</f>
      </c>
      <c r="K1596" s="6">
        <f>IF(COUNTA(A1596:F1596)=0,"",IF(AND(LEFT(H1596,4)&lt;&gt;"ERRO",I1596="OK",J1596="OK"),"OK","REVISAR"))</f>
      </c>
    </row>
    <row r="1597">
      <c r="A1597" s="5"/>
      <c r="B1597" s="4"/>
      <c r="C1597" s="4"/>
      <c r="D1597" s="4"/>
      <c r="E1597" s="5"/>
      <c r="F1597" s="4"/>
      <c r="G1597" s="6">
        <f>IF(A1597="","",SUBSTITUTE(SUBSTITUTE(SUBSTITUTE(SUBSTITUTE(SUBSTITUTE(SUBSTITUTE(SUBSTITUTE(TRIM(A1597),".",""),"/",""),"-","")," ",""),"(",""),")",""),"+",""))</f>
      </c>
      <c r="H1597" s="6">
        <f>IF(G1597="","",IF(LEN(G1597)&lt;&gt;14,"ERRO: "&amp;LEN(G1597)&amp;" dígitos",IF(NOT(ISNUMBER(VALUE(G1597))),"ERRO: não numérico",IF(AND(VALUE(MID(G1597,13,1))=IF(MOD(SUMPRODUCT(--MID(G1597,{1,2,3,4,5,6,7,8,9,10,11,12},1),{5,4,3,2,9,8,7,6,5,4,3,2}),11)&lt;2,0,11-MOD(SUMPRODUCT(--MID(G1597,{1,2,3,4,5,6,7,8,9,10,11,12},1),{5,4,3,2,9,8,7,6,5,4,3,2}),11)),VALUE(MID(G1597,14,1))=IF(MOD(SUMPRODUCT(--MID(G1597,{1,2,3,4,5,6,7,8,9,10,11,12,13},1),{6,5,4,3,2,9,8,7,6,5,4,3,2}),11)&lt;2,0,11-MOD(SUMPRODUCT(--MID(G1597,{1,2,3,4,5,6,7,8,9,10,11,12,13},1),{6,5,4,3,2,9,8,7,6,5,4,3,2}),11))),"OK","AVISO: dígito verificador (conferir na org)"))))</f>
      </c>
      <c r="I1597" s="6">
        <f>IF(G1597="","",IF(COUNTIF($G$2:$G$2001,G1597)&gt;1,"DUPLICADO","OK"))</f>
      </c>
      <c r="J1597" s="6">
        <f>IF(COUNTA(A1597:F1597)=0,"",IF(AND(A1597&lt;&gt;"",E1597&lt;&gt;""),"OK","ERRO: faltam "&amp;IF(A1597="","CNPJ; ","")&amp;IF(E1597="","Novo gerente; ","")))</f>
      </c>
      <c r="K1597" s="6">
        <f>IF(COUNTA(A1597:F1597)=0,"",IF(AND(LEFT(H1597,4)&lt;&gt;"ERRO",I1597="OK",J1597="OK"),"OK","REVISAR"))</f>
      </c>
    </row>
    <row r="1598">
      <c r="A1598" s="5"/>
      <c r="B1598" s="4"/>
      <c r="C1598" s="4"/>
      <c r="D1598" s="4"/>
      <c r="E1598" s="5"/>
      <c r="F1598" s="4"/>
      <c r="G1598" s="6">
        <f>IF(A1598="","",SUBSTITUTE(SUBSTITUTE(SUBSTITUTE(SUBSTITUTE(SUBSTITUTE(SUBSTITUTE(SUBSTITUTE(TRIM(A1598),".",""),"/",""),"-","")," ",""),"(",""),")",""),"+",""))</f>
      </c>
      <c r="H1598" s="6">
        <f>IF(G1598="","",IF(LEN(G1598)&lt;&gt;14,"ERRO: "&amp;LEN(G1598)&amp;" dígitos",IF(NOT(ISNUMBER(VALUE(G1598))),"ERRO: não numérico",IF(AND(VALUE(MID(G1598,13,1))=IF(MOD(SUMPRODUCT(--MID(G1598,{1,2,3,4,5,6,7,8,9,10,11,12},1),{5,4,3,2,9,8,7,6,5,4,3,2}),11)&lt;2,0,11-MOD(SUMPRODUCT(--MID(G1598,{1,2,3,4,5,6,7,8,9,10,11,12},1),{5,4,3,2,9,8,7,6,5,4,3,2}),11)),VALUE(MID(G1598,14,1))=IF(MOD(SUMPRODUCT(--MID(G1598,{1,2,3,4,5,6,7,8,9,10,11,12,13},1),{6,5,4,3,2,9,8,7,6,5,4,3,2}),11)&lt;2,0,11-MOD(SUMPRODUCT(--MID(G1598,{1,2,3,4,5,6,7,8,9,10,11,12,13},1),{6,5,4,3,2,9,8,7,6,5,4,3,2}),11))),"OK","AVISO: dígito verificador (conferir na org)"))))</f>
      </c>
      <c r="I1598" s="6">
        <f>IF(G1598="","",IF(COUNTIF($G$2:$G$2001,G1598)&gt;1,"DUPLICADO","OK"))</f>
      </c>
      <c r="J1598" s="6">
        <f>IF(COUNTA(A1598:F1598)=0,"",IF(AND(A1598&lt;&gt;"",E1598&lt;&gt;""),"OK","ERRO: faltam "&amp;IF(A1598="","CNPJ; ","")&amp;IF(E1598="","Novo gerente; ","")))</f>
      </c>
      <c r="K1598" s="6">
        <f>IF(COUNTA(A1598:F1598)=0,"",IF(AND(LEFT(H1598,4)&lt;&gt;"ERRO",I1598="OK",J1598="OK"),"OK","REVISAR"))</f>
      </c>
    </row>
    <row r="1599">
      <c r="A1599" s="5"/>
      <c r="B1599" s="4"/>
      <c r="C1599" s="4"/>
      <c r="D1599" s="4"/>
      <c r="E1599" s="5"/>
      <c r="F1599" s="4"/>
      <c r="G1599" s="6">
        <f>IF(A1599="","",SUBSTITUTE(SUBSTITUTE(SUBSTITUTE(SUBSTITUTE(SUBSTITUTE(SUBSTITUTE(SUBSTITUTE(TRIM(A1599),".",""),"/",""),"-","")," ",""),"(",""),")",""),"+",""))</f>
      </c>
      <c r="H1599" s="6">
        <f>IF(G1599="","",IF(LEN(G1599)&lt;&gt;14,"ERRO: "&amp;LEN(G1599)&amp;" dígitos",IF(NOT(ISNUMBER(VALUE(G1599))),"ERRO: não numérico",IF(AND(VALUE(MID(G1599,13,1))=IF(MOD(SUMPRODUCT(--MID(G1599,{1,2,3,4,5,6,7,8,9,10,11,12},1),{5,4,3,2,9,8,7,6,5,4,3,2}),11)&lt;2,0,11-MOD(SUMPRODUCT(--MID(G1599,{1,2,3,4,5,6,7,8,9,10,11,12},1),{5,4,3,2,9,8,7,6,5,4,3,2}),11)),VALUE(MID(G1599,14,1))=IF(MOD(SUMPRODUCT(--MID(G1599,{1,2,3,4,5,6,7,8,9,10,11,12,13},1),{6,5,4,3,2,9,8,7,6,5,4,3,2}),11)&lt;2,0,11-MOD(SUMPRODUCT(--MID(G1599,{1,2,3,4,5,6,7,8,9,10,11,12,13},1),{6,5,4,3,2,9,8,7,6,5,4,3,2}),11))),"OK","AVISO: dígito verificador (conferir na org)"))))</f>
      </c>
      <c r="I1599" s="6">
        <f>IF(G1599="","",IF(COUNTIF($G$2:$G$2001,G1599)&gt;1,"DUPLICADO","OK"))</f>
      </c>
      <c r="J1599" s="6">
        <f>IF(COUNTA(A1599:F1599)=0,"",IF(AND(A1599&lt;&gt;"",E1599&lt;&gt;""),"OK","ERRO: faltam "&amp;IF(A1599="","CNPJ; ","")&amp;IF(E1599="","Novo gerente; ","")))</f>
      </c>
      <c r="K1599" s="6">
        <f>IF(COUNTA(A1599:F1599)=0,"",IF(AND(LEFT(H1599,4)&lt;&gt;"ERRO",I1599="OK",J1599="OK"),"OK","REVISAR"))</f>
      </c>
    </row>
    <row r="1600">
      <c r="A1600" s="5"/>
      <c r="B1600" s="4"/>
      <c r="C1600" s="4"/>
      <c r="D1600" s="4"/>
      <c r="E1600" s="5"/>
      <c r="F1600" s="4"/>
      <c r="G1600" s="6">
        <f>IF(A1600="","",SUBSTITUTE(SUBSTITUTE(SUBSTITUTE(SUBSTITUTE(SUBSTITUTE(SUBSTITUTE(SUBSTITUTE(TRIM(A1600),".",""),"/",""),"-","")," ",""),"(",""),")",""),"+",""))</f>
      </c>
      <c r="H1600" s="6">
        <f>IF(G1600="","",IF(LEN(G1600)&lt;&gt;14,"ERRO: "&amp;LEN(G1600)&amp;" dígitos",IF(NOT(ISNUMBER(VALUE(G1600))),"ERRO: não numérico",IF(AND(VALUE(MID(G1600,13,1))=IF(MOD(SUMPRODUCT(--MID(G1600,{1,2,3,4,5,6,7,8,9,10,11,12},1),{5,4,3,2,9,8,7,6,5,4,3,2}),11)&lt;2,0,11-MOD(SUMPRODUCT(--MID(G1600,{1,2,3,4,5,6,7,8,9,10,11,12},1),{5,4,3,2,9,8,7,6,5,4,3,2}),11)),VALUE(MID(G1600,14,1))=IF(MOD(SUMPRODUCT(--MID(G1600,{1,2,3,4,5,6,7,8,9,10,11,12,13},1),{6,5,4,3,2,9,8,7,6,5,4,3,2}),11)&lt;2,0,11-MOD(SUMPRODUCT(--MID(G1600,{1,2,3,4,5,6,7,8,9,10,11,12,13},1),{6,5,4,3,2,9,8,7,6,5,4,3,2}),11))),"OK","AVISO: dígito verificador (conferir na org)"))))</f>
      </c>
      <c r="I1600" s="6">
        <f>IF(G1600="","",IF(COUNTIF($G$2:$G$2001,G1600)&gt;1,"DUPLICADO","OK"))</f>
      </c>
      <c r="J1600" s="6">
        <f>IF(COUNTA(A1600:F1600)=0,"",IF(AND(A1600&lt;&gt;"",E1600&lt;&gt;""),"OK","ERRO: faltam "&amp;IF(A1600="","CNPJ; ","")&amp;IF(E1600="","Novo gerente; ","")))</f>
      </c>
      <c r="K1600" s="6">
        <f>IF(COUNTA(A1600:F1600)=0,"",IF(AND(LEFT(H1600,4)&lt;&gt;"ERRO",I1600="OK",J1600="OK"),"OK","REVISAR"))</f>
      </c>
    </row>
    <row r="1601">
      <c r="A1601" s="5"/>
      <c r="B1601" s="4"/>
      <c r="C1601" s="4"/>
      <c r="D1601" s="4"/>
      <c r="E1601" s="5"/>
      <c r="F1601" s="4"/>
      <c r="G1601" s="6">
        <f>IF(A1601="","",SUBSTITUTE(SUBSTITUTE(SUBSTITUTE(SUBSTITUTE(SUBSTITUTE(SUBSTITUTE(SUBSTITUTE(TRIM(A1601),".",""),"/",""),"-","")," ",""),"(",""),")",""),"+",""))</f>
      </c>
      <c r="H1601" s="6">
        <f>IF(G1601="","",IF(LEN(G1601)&lt;&gt;14,"ERRO: "&amp;LEN(G1601)&amp;" dígitos",IF(NOT(ISNUMBER(VALUE(G1601))),"ERRO: não numérico",IF(AND(VALUE(MID(G1601,13,1))=IF(MOD(SUMPRODUCT(--MID(G1601,{1,2,3,4,5,6,7,8,9,10,11,12},1),{5,4,3,2,9,8,7,6,5,4,3,2}),11)&lt;2,0,11-MOD(SUMPRODUCT(--MID(G1601,{1,2,3,4,5,6,7,8,9,10,11,12},1),{5,4,3,2,9,8,7,6,5,4,3,2}),11)),VALUE(MID(G1601,14,1))=IF(MOD(SUMPRODUCT(--MID(G1601,{1,2,3,4,5,6,7,8,9,10,11,12,13},1),{6,5,4,3,2,9,8,7,6,5,4,3,2}),11)&lt;2,0,11-MOD(SUMPRODUCT(--MID(G1601,{1,2,3,4,5,6,7,8,9,10,11,12,13},1),{6,5,4,3,2,9,8,7,6,5,4,3,2}),11))),"OK","AVISO: dígito verificador (conferir na org)"))))</f>
      </c>
      <c r="I1601" s="6">
        <f>IF(G1601="","",IF(COUNTIF($G$2:$G$2001,G1601)&gt;1,"DUPLICADO","OK"))</f>
      </c>
      <c r="J1601" s="6">
        <f>IF(COUNTA(A1601:F1601)=0,"",IF(AND(A1601&lt;&gt;"",E1601&lt;&gt;""),"OK","ERRO: faltam "&amp;IF(A1601="","CNPJ; ","")&amp;IF(E1601="","Novo gerente; ","")))</f>
      </c>
      <c r="K1601" s="6">
        <f>IF(COUNTA(A1601:F1601)=0,"",IF(AND(LEFT(H1601,4)&lt;&gt;"ERRO",I1601="OK",J1601="OK"),"OK","REVISAR"))</f>
      </c>
    </row>
    <row r="1602">
      <c r="A1602" s="5"/>
      <c r="B1602" s="4"/>
      <c r="C1602" s="4"/>
      <c r="D1602" s="4"/>
      <c r="E1602" s="5"/>
      <c r="F1602" s="4"/>
      <c r="G1602" s="6">
        <f>IF(A1602="","",SUBSTITUTE(SUBSTITUTE(SUBSTITUTE(SUBSTITUTE(SUBSTITUTE(SUBSTITUTE(SUBSTITUTE(TRIM(A1602),".",""),"/",""),"-","")," ",""),"(",""),")",""),"+",""))</f>
      </c>
      <c r="H1602" s="6">
        <f>IF(G1602="","",IF(LEN(G1602)&lt;&gt;14,"ERRO: "&amp;LEN(G1602)&amp;" dígitos",IF(NOT(ISNUMBER(VALUE(G1602))),"ERRO: não numérico",IF(AND(VALUE(MID(G1602,13,1))=IF(MOD(SUMPRODUCT(--MID(G1602,{1,2,3,4,5,6,7,8,9,10,11,12},1),{5,4,3,2,9,8,7,6,5,4,3,2}),11)&lt;2,0,11-MOD(SUMPRODUCT(--MID(G1602,{1,2,3,4,5,6,7,8,9,10,11,12},1),{5,4,3,2,9,8,7,6,5,4,3,2}),11)),VALUE(MID(G1602,14,1))=IF(MOD(SUMPRODUCT(--MID(G1602,{1,2,3,4,5,6,7,8,9,10,11,12,13},1),{6,5,4,3,2,9,8,7,6,5,4,3,2}),11)&lt;2,0,11-MOD(SUMPRODUCT(--MID(G1602,{1,2,3,4,5,6,7,8,9,10,11,12,13},1),{6,5,4,3,2,9,8,7,6,5,4,3,2}),11))),"OK","AVISO: dígito verificador (conferir na org)"))))</f>
      </c>
      <c r="I1602" s="6">
        <f>IF(G1602="","",IF(COUNTIF($G$2:$G$2001,G1602)&gt;1,"DUPLICADO","OK"))</f>
      </c>
      <c r="J1602" s="6">
        <f>IF(COUNTA(A1602:F1602)=0,"",IF(AND(A1602&lt;&gt;"",E1602&lt;&gt;""),"OK","ERRO: faltam "&amp;IF(A1602="","CNPJ; ","")&amp;IF(E1602="","Novo gerente; ","")))</f>
      </c>
      <c r="K1602" s="6">
        <f>IF(COUNTA(A1602:F1602)=0,"",IF(AND(LEFT(H1602,4)&lt;&gt;"ERRO",I1602="OK",J1602="OK"),"OK","REVISAR"))</f>
      </c>
    </row>
    <row r="1603">
      <c r="A1603" s="5"/>
      <c r="B1603" s="4"/>
      <c r="C1603" s="4"/>
      <c r="D1603" s="4"/>
      <c r="E1603" s="5"/>
      <c r="F1603" s="4"/>
      <c r="G1603" s="6">
        <f>IF(A1603="","",SUBSTITUTE(SUBSTITUTE(SUBSTITUTE(SUBSTITUTE(SUBSTITUTE(SUBSTITUTE(SUBSTITUTE(TRIM(A1603),".",""),"/",""),"-","")," ",""),"(",""),")",""),"+",""))</f>
      </c>
      <c r="H1603" s="6">
        <f>IF(G1603="","",IF(LEN(G1603)&lt;&gt;14,"ERRO: "&amp;LEN(G1603)&amp;" dígitos",IF(NOT(ISNUMBER(VALUE(G1603))),"ERRO: não numérico",IF(AND(VALUE(MID(G1603,13,1))=IF(MOD(SUMPRODUCT(--MID(G1603,{1,2,3,4,5,6,7,8,9,10,11,12},1),{5,4,3,2,9,8,7,6,5,4,3,2}),11)&lt;2,0,11-MOD(SUMPRODUCT(--MID(G1603,{1,2,3,4,5,6,7,8,9,10,11,12},1),{5,4,3,2,9,8,7,6,5,4,3,2}),11)),VALUE(MID(G1603,14,1))=IF(MOD(SUMPRODUCT(--MID(G1603,{1,2,3,4,5,6,7,8,9,10,11,12,13},1),{6,5,4,3,2,9,8,7,6,5,4,3,2}),11)&lt;2,0,11-MOD(SUMPRODUCT(--MID(G1603,{1,2,3,4,5,6,7,8,9,10,11,12,13},1),{6,5,4,3,2,9,8,7,6,5,4,3,2}),11))),"OK","AVISO: dígito verificador (conferir na org)"))))</f>
      </c>
      <c r="I1603" s="6">
        <f>IF(G1603="","",IF(COUNTIF($G$2:$G$2001,G1603)&gt;1,"DUPLICADO","OK"))</f>
      </c>
      <c r="J1603" s="6">
        <f>IF(COUNTA(A1603:F1603)=0,"",IF(AND(A1603&lt;&gt;"",E1603&lt;&gt;""),"OK","ERRO: faltam "&amp;IF(A1603="","CNPJ; ","")&amp;IF(E1603="","Novo gerente; ","")))</f>
      </c>
      <c r="K1603" s="6">
        <f>IF(COUNTA(A1603:F1603)=0,"",IF(AND(LEFT(H1603,4)&lt;&gt;"ERRO",I1603="OK",J1603="OK"),"OK","REVISAR"))</f>
      </c>
    </row>
    <row r="1604">
      <c r="A1604" s="5"/>
      <c r="B1604" s="4"/>
      <c r="C1604" s="4"/>
      <c r="D1604" s="4"/>
      <c r="E1604" s="5"/>
      <c r="F1604" s="4"/>
      <c r="G1604" s="6">
        <f>IF(A1604="","",SUBSTITUTE(SUBSTITUTE(SUBSTITUTE(SUBSTITUTE(SUBSTITUTE(SUBSTITUTE(SUBSTITUTE(TRIM(A1604),".",""),"/",""),"-","")," ",""),"(",""),")",""),"+",""))</f>
      </c>
      <c r="H1604" s="6">
        <f>IF(G1604="","",IF(LEN(G1604)&lt;&gt;14,"ERRO: "&amp;LEN(G1604)&amp;" dígitos",IF(NOT(ISNUMBER(VALUE(G1604))),"ERRO: não numérico",IF(AND(VALUE(MID(G1604,13,1))=IF(MOD(SUMPRODUCT(--MID(G1604,{1,2,3,4,5,6,7,8,9,10,11,12},1),{5,4,3,2,9,8,7,6,5,4,3,2}),11)&lt;2,0,11-MOD(SUMPRODUCT(--MID(G1604,{1,2,3,4,5,6,7,8,9,10,11,12},1),{5,4,3,2,9,8,7,6,5,4,3,2}),11)),VALUE(MID(G1604,14,1))=IF(MOD(SUMPRODUCT(--MID(G1604,{1,2,3,4,5,6,7,8,9,10,11,12,13},1),{6,5,4,3,2,9,8,7,6,5,4,3,2}),11)&lt;2,0,11-MOD(SUMPRODUCT(--MID(G1604,{1,2,3,4,5,6,7,8,9,10,11,12,13},1),{6,5,4,3,2,9,8,7,6,5,4,3,2}),11))),"OK","AVISO: dígito verificador (conferir na org)"))))</f>
      </c>
      <c r="I1604" s="6">
        <f>IF(G1604="","",IF(COUNTIF($G$2:$G$2001,G1604)&gt;1,"DUPLICADO","OK"))</f>
      </c>
      <c r="J1604" s="6">
        <f>IF(COUNTA(A1604:F1604)=0,"",IF(AND(A1604&lt;&gt;"",E1604&lt;&gt;""),"OK","ERRO: faltam "&amp;IF(A1604="","CNPJ; ","")&amp;IF(E1604="","Novo gerente; ","")))</f>
      </c>
      <c r="K1604" s="6">
        <f>IF(COUNTA(A1604:F1604)=0,"",IF(AND(LEFT(H1604,4)&lt;&gt;"ERRO",I1604="OK",J1604="OK"),"OK","REVISAR"))</f>
      </c>
    </row>
    <row r="1605">
      <c r="A1605" s="5"/>
      <c r="B1605" s="4"/>
      <c r="C1605" s="4"/>
      <c r="D1605" s="4"/>
      <c r="E1605" s="5"/>
      <c r="F1605" s="4"/>
      <c r="G1605" s="6">
        <f>IF(A1605="","",SUBSTITUTE(SUBSTITUTE(SUBSTITUTE(SUBSTITUTE(SUBSTITUTE(SUBSTITUTE(SUBSTITUTE(TRIM(A1605),".",""),"/",""),"-","")," ",""),"(",""),")",""),"+",""))</f>
      </c>
      <c r="H1605" s="6">
        <f>IF(G1605="","",IF(LEN(G1605)&lt;&gt;14,"ERRO: "&amp;LEN(G1605)&amp;" dígitos",IF(NOT(ISNUMBER(VALUE(G1605))),"ERRO: não numérico",IF(AND(VALUE(MID(G1605,13,1))=IF(MOD(SUMPRODUCT(--MID(G1605,{1,2,3,4,5,6,7,8,9,10,11,12},1),{5,4,3,2,9,8,7,6,5,4,3,2}),11)&lt;2,0,11-MOD(SUMPRODUCT(--MID(G1605,{1,2,3,4,5,6,7,8,9,10,11,12},1),{5,4,3,2,9,8,7,6,5,4,3,2}),11)),VALUE(MID(G1605,14,1))=IF(MOD(SUMPRODUCT(--MID(G1605,{1,2,3,4,5,6,7,8,9,10,11,12,13},1),{6,5,4,3,2,9,8,7,6,5,4,3,2}),11)&lt;2,0,11-MOD(SUMPRODUCT(--MID(G1605,{1,2,3,4,5,6,7,8,9,10,11,12,13},1),{6,5,4,3,2,9,8,7,6,5,4,3,2}),11))),"OK","AVISO: dígito verificador (conferir na org)"))))</f>
      </c>
      <c r="I1605" s="6">
        <f>IF(G1605="","",IF(COUNTIF($G$2:$G$2001,G1605)&gt;1,"DUPLICADO","OK"))</f>
      </c>
      <c r="J1605" s="6">
        <f>IF(COUNTA(A1605:F1605)=0,"",IF(AND(A1605&lt;&gt;"",E1605&lt;&gt;""),"OK","ERRO: faltam "&amp;IF(A1605="","CNPJ; ","")&amp;IF(E1605="","Novo gerente; ","")))</f>
      </c>
      <c r="K1605" s="6">
        <f>IF(COUNTA(A1605:F1605)=0,"",IF(AND(LEFT(H1605,4)&lt;&gt;"ERRO",I1605="OK",J1605="OK"),"OK","REVISAR"))</f>
      </c>
    </row>
    <row r="1606">
      <c r="A1606" s="5"/>
      <c r="B1606" s="4"/>
      <c r="C1606" s="4"/>
      <c r="D1606" s="4"/>
      <c r="E1606" s="5"/>
      <c r="F1606" s="4"/>
      <c r="G1606" s="6">
        <f>IF(A1606="","",SUBSTITUTE(SUBSTITUTE(SUBSTITUTE(SUBSTITUTE(SUBSTITUTE(SUBSTITUTE(SUBSTITUTE(TRIM(A1606),".",""),"/",""),"-","")," ",""),"(",""),")",""),"+",""))</f>
      </c>
      <c r="H1606" s="6">
        <f>IF(G1606="","",IF(LEN(G1606)&lt;&gt;14,"ERRO: "&amp;LEN(G1606)&amp;" dígitos",IF(NOT(ISNUMBER(VALUE(G1606))),"ERRO: não numérico",IF(AND(VALUE(MID(G1606,13,1))=IF(MOD(SUMPRODUCT(--MID(G1606,{1,2,3,4,5,6,7,8,9,10,11,12},1),{5,4,3,2,9,8,7,6,5,4,3,2}),11)&lt;2,0,11-MOD(SUMPRODUCT(--MID(G1606,{1,2,3,4,5,6,7,8,9,10,11,12},1),{5,4,3,2,9,8,7,6,5,4,3,2}),11)),VALUE(MID(G1606,14,1))=IF(MOD(SUMPRODUCT(--MID(G1606,{1,2,3,4,5,6,7,8,9,10,11,12,13},1),{6,5,4,3,2,9,8,7,6,5,4,3,2}),11)&lt;2,0,11-MOD(SUMPRODUCT(--MID(G1606,{1,2,3,4,5,6,7,8,9,10,11,12,13},1),{6,5,4,3,2,9,8,7,6,5,4,3,2}),11))),"OK","AVISO: dígito verificador (conferir na org)"))))</f>
      </c>
      <c r="I1606" s="6">
        <f>IF(G1606="","",IF(COUNTIF($G$2:$G$2001,G1606)&gt;1,"DUPLICADO","OK"))</f>
      </c>
      <c r="J1606" s="6">
        <f>IF(COUNTA(A1606:F1606)=0,"",IF(AND(A1606&lt;&gt;"",E1606&lt;&gt;""),"OK","ERRO: faltam "&amp;IF(A1606="","CNPJ; ","")&amp;IF(E1606="","Novo gerente; ","")))</f>
      </c>
      <c r="K1606" s="6">
        <f>IF(COUNTA(A1606:F1606)=0,"",IF(AND(LEFT(H1606,4)&lt;&gt;"ERRO",I1606="OK",J1606="OK"),"OK","REVISAR"))</f>
      </c>
    </row>
    <row r="1607">
      <c r="A1607" s="5"/>
      <c r="B1607" s="4"/>
      <c r="C1607" s="4"/>
      <c r="D1607" s="4"/>
      <c r="E1607" s="5"/>
      <c r="F1607" s="4"/>
      <c r="G1607" s="6">
        <f>IF(A1607="","",SUBSTITUTE(SUBSTITUTE(SUBSTITUTE(SUBSTITUTE(SUBSTITUTE(SUBSTITUTE(SUBSTITUTE(TRIM(A1607),".",""),"/",""),"-","")," ",""),"(",""),")",""),"+",""))</f>
      </c>
      <c r="H1607" s="6">
        <f>IF(G1607="","",IF(LEN(G1607)&lt;&gt;14,"ERRO: "&amp;LEN(G1607)&amp;" dígitos",IF(NOT(ISNUMBER(VALUE(G1607))),"ERRO: não numérico",IF(AND(VALUE(MID(G1607,13,1))=IF(MOD(SUMPRODUCT(--MID(G1607,{1,2,3,4,5,6,7,8,9,10,11,12},1),{5,4,3,2,9,8,7,6,5,4,3,2}),11)&lt;2,0,11-MOD(SUMPRODUCT(--MID(G1607,{1,2,3,4,5,6,7,8,9,10,11,12},1),{5,4,3,2,9,8,7,6,5,4,3,2}),11)),VALUE(MID(G1607,14,1))=IF(MOD(SUMPRODUCT(--MID(G1607,{1,2,3,4,5,6,7,8,9,10,11,12,13},1),{6,5,4,3,2,9,8,7,6,5,4,3,2}),11)&lt;2,0,11-MOD(SUMPRODUCT(--MID(G1607,{1,2,3,4,5,6,7,8,9,10,11,12,13},1),{6,5,4,3,2,9,8,7,6,5,4,3,2}),11))),"OK","AVISO: dígito verificador (conferir na org)"))))</f>
      </c>
      <c r="I1607" s="6">
        <f>IF(G1607="","",IF(COUNTIF($G$2:$G$2001,G1607)&gt;1,"DUPLICADO","OK"))</f>
      </c>
      <c r="J1607" s="6">
        <f>IF(COUNTA(A1607:F1607)=0,"",IF(AND(A1607&lt;&gt;"",E1607&lt;&gt;""),"OK","ERRO: faltam "&amp;IF(A1607="","CNPJ; ","")&amp;IF(E1607="","Novo gerente; ","")))</f>
      </c>
      <c r="K1607" s="6">
        <f>IF(COUNTA(A1607:F1607)=0,"",IF(AND(LEFT(H1607,4)&lt;&gt;"ERRO",I1607="OK",J1607="OK"),"OK","REVISAR"))</f>
      </c>
    </row>
    <row r="1608">
      <c r="A1608" s="5"/>
      <c r="B1608" s="4"/>
      <c r="C1608" s="4"/>
      <c r="D1608" s="4"/>
      <c r="E1608" s="5"/>
      <c r="F1608" s="4"/>
      <c r="G1608" s="6">
        <f>IF(A1608="","",SUBSTITUTE(SUBSTITUTE(SUBSTITUTE(SUBSTITUTE(SUBSTITUTE(SUBSTITUTE(SUBSTITUTE(TRIM(A1608),".",""),"/",""),"-","")," ",""),"(",""),")",""),"+",""))</f>
      </c>
      <c r="H1608" s="6">
        <f>IF(G1608="","",IF(LEN(G1608)&lt;&gt;14,"ERRO: "&amp;LEN(G1608)&amp;" dígitos",IF(NOT(ISNUMBER(VALUE(G1608))),"ERRO: não numérico",IF(AND(VALUE(MID(G1608,13,1))=IF(MOD(SUMPRODUCT(--MID(G1608,{1,2,3,4,5,6,7,8,9,10,11,12},1),{5,4,3,2,9,8,7,6,5,4,3,2}),11)&lt;2,0,11-MOD(SUMPRODUCT(--MID(G1608,{1,2,3,4,5,6,7,8,9,10,11,12},1),{5,4,3,2,9,8,7,6,5,4,3,2}),11)),VALUE(MID(G1608,14,1))=IF(MOD(SUMPRODUCT(--MID(G1608,{1,2,3,4,5,6,7,8,9,10,11,12,13},1),{6,5,4,3,2,9,8,7,6,5,4,3,2}),11)&lt;2,0,11-MOD(SUMPRODUCT(--MID(G1608,{1,2,3,4,5,6,7,8,9,10,11,12,13},1),{6,5,4,3,2,9,8,7,6,5,4,3,2}),11))),"OK","AVISO: dígito verificador (conferir na org)"))))</f>
      </c>
      <c r="I1608" s="6">
        <f>IF(G1608="","",IF(COUNTIF($G$2:$G$2001,G1608)&gt;1,"DUPLICADO","OK"))</f>
      </c>
      <c r="J1608" s="6">
        <f>IF(COUNTA(A1608:F1608)=0,"",IF(AND(A1608&lt;&gt;"",E1608&lt;&gt;""),"OK","ERRO: faltam "&amp;IF(A1608="","CNPJ; ","")&amp;IF(E1608="","Novo gerente; ","")))</f>
      </c>
      <c r="K1608" s="6">
        <f>IF(COUNTA(A1608:F1608)=0,"",IF(AND(LEFT(H1608,4)&lt;&gt;"ERRO",I1608="OK",J1608="OK"),"OK","REVISAR"))</f>
      </c>
    </row>
    <row r="1609">
      <c r="A1609" s="5"/>
      <c r="B1609" s="4"/>
      <c r="C1609" s="4"/>
      <c r="D1609" s="4"/>
      <c r="E1609" s="5"/>
      <c r="F1609" s="4"/>
      <c r="G1609" s="6">
        <f>IF(A1609="","",SUBSTITUTE(SUBSTITUTE(SUBSTITUTE(SUBSTITUTE(SUBSTITUTE(SUBSTITUTE(SUBSTITUTE(TRIM(A1609),".",""),"/",""),"-","")," ",""),"(",""),")",""),"+",""))</f>
      </c>
      <c r="H1609" s="6">
        <f>IF(G1609="","",IF(LEN(G1609)&lt;&gt;14,"ERRO: "&amp;LEN(G1609)&amp;" dígitos",IF(NOT(ISNUMBER(VALUE(G1609))),"ERRO: não numérico",IF(AND(VALUE(MID(G1609,13,1))=IF(MOD(SUMPRODUCT(--MID(G1609,{1,2,3,4,5,6,7,8,9,10,11,12},1),{5,4,3,2,9,8,7,6,5,4,3,2}),11)&lt;2,0,11-MOD(SUMPRODUCT(--MID(G1609,{1,2,3,4,5,6,7,8,9,10,11,12},1),{5,4,3,2,9,8,7,6,5,4,3,2}),11)),VALUE(MID(G1609,14,1))=IF(MOD(SUMPRODUCT(--MID(G1609,{1,2,3,4,5,6,7,8,9,10,11,12,13},1),{6,5,4,3,2,9,8,7,6,5,4,3,2}),11)&lt;2,0,11-MOD(SUMPRODUCT(--MID(G1609,{1,2,3,4,5,6,7,8,9,10,11,12,13},1),{6,5,4,3,2,9,8,7,6,5,4,3,2}),11))),"OK","AVISO: dígito verificador (conferir na org)"))))</f>
      </c>
      <c r="I1609" s="6">
        <f>IF(G1609="","",IF(COUNTIF($G$2:$G$2001,G1609)&gt;1,"DUPLICADO","OK"))</f>
      </c>
      <c r="J1609" s="6">
        <f>IF(COUNTA(A1609:F1609)=0,"",IF(AND(A1609&lt;&gt;"",E1609&lt;&gt;""),"OK","ERRO: faltam "&amp;IF(A1609="","CNPJ; ","")&amp;IF(E1609="","Novo gerente; ","")))</f>
      </c>
      <c r="K1609" s="6">
        <f>IF(COUNTA(A1609:F1609)=0,"",IF(AND(LEFT(H1609,4)&lt;&gt;"ERRO",I1609="OK",J1609="OK"),"OK","REVISAR"))</f>
      </c>
    </row>
    <row r="1610">
      <c r="A1610" s="5"/>
      <c r="B1610" s="4"/>
      <c r="C1610" s="4"/>
      <c r="D1610" s="4"/>
      <c r="E1610" s="5"/>
      <c r="F1610" s="4"/>
      <c r="G1610" s="6">
        <f>IF(A1610="","",SUBSTITUTE(SUBSTITUTE(SUBSTITUTE(SUBSTITUTE(SUBSTITUTE(SUBSTITUTE(SUBSTITUTE(TRIM(A1610),".",""),"/",""),"-","")," ",""),"(",""),")",""),"+",""))</f>
      </c>
      <c r="H1610" s="6">
        <f>IF(G1610="","",IF(LEN(G1610)&lt;&gt;14,"ERRO: "&amp;LEN(G1610)&amp;" dígitos",IF(NOT(ISNUMBER(VALUE(G1610))),"ERRO: não numérico",IF(AND(VALUE(MID(G1610,13,1))=IF(MOD(SUMPRODUCT(--MID(G1610,{1,2,3,4,5,6,7,8,9,10,11,12},1),{5,4,3,2,9,8,7,6,5,4,3,2}),11)&lt;2,0,11-MOD(SUMPRODUCT(--MID(G1610,{1,2,3,4,5,6,7,8,9,10,11,12},1),{5,4,3,2,9,8,7,6,5,4,3,2}),11)),VALUE(MID(G1610,14,1))=IF(MOD(SUMPRODUCT(--MID(G1610,{1,2,3,4,5,6,7,8,9,10,11,12,13},1),{6,5,4,3,2,9,8,7,6,5,4,3,2}),11)&lt;2,0,11-MOD(SUMPRODUCT(--MID(G1610,{1,2,3,4,5,6,7,8,9,10,11,12,13},1),{6,5,4,3,2,9,8,7,6,5,4,3,2}),11))),"OK","AVISO: dígito verificador (conferir na org)"))))</f>
      </c>
      <c r="I1610" s="6">
        <f>IF(G1610="","",IF(COUNTIF($G$2:$G$2001,G1610)&gt;1,"DUPLICADO","OK"))</f>
      </c>
      <c r="J1610" s="6">
        <f>IF(COUNTA(A1610:F1610)=0,"",IF(AND(A1610&lt;&gt;"",E1610&lt;&gt;""),"OK","ERRO: faltam "&amp;IF(A1610="","CNPJ; ","")&amp;IF(E1610="","Novo gerente; ","")))</f>
      </c>
      <c r="K1610" s="6">
        <f>IF(COUNTA(A1610:F1610)=0,"",IF(AND(LEFT(H1610,4)&lt;&gt;"ERRO",I1610="OK",J1610="OK"),"OK","REVISAR"))</f>
      </c>
    </row>
    <row r="1611">
      <c r="A1611" s="5"/>
      <c r="B1611" s="4"/>
      <c r="C1611" s="4"/>
      <c r="D1611" s="4"/>
      <c r="E1611" s="5"/>
      <c r="F1611" s="4"/>
      <c r="G1611" s="6">
        <f>IF(A1611="","",SUBSTITUTE(SUBSTITUTE(SUBSTITUTE(SUBSTITUTE(SUBSTITUTE(SUBSTITUTE(SUBSTITUTE(TRIM(A1611),".",""),"/",""),"-","")," ",""),"(",""),")",""),"+",""))</f>
      </c>
      <c r="H1611" s="6">
        <f>IF(G1611="","",IF(LEN(G1611)&lt;&gt;14,"ERRO: "&amp;LEN(G1611)&amp;" dígitos",IF(NOT(ISNUMBER(VALUE(G1611))),"ERRO: não numérico",IF(AND(VALUE(MID(G1611,13,1))=IF(MOD(SUMPRODUCT(--MID(G1611,{1,2,3,4,5,6,7,8,9,10,11,12},1),{5,4,3,2,9,8,7,6,5,4,3,2}),11)&lt;2,0,11-MOD(SUMPRODUCT(--MID(G1611,{1,2,3,4,5,6,7,8,9,10,11,12},1),{5,4,3,2,9,8,7,6,5,4,3,2}),11)),VALUE(MID(G1611,14,1))=IF(MOD(SUMPRODUCT(--MID(G1611,{1,2,3,4,5,6,7,8,9,10,11,12,13},1),{6,5,4,3,2,9,8,7,6,5,4,3,2}),11)&lt;2,0,11-MOD(SUMPRODUCT(--MID(G1611,{1,2,3,4,5,6,7,8,9,10,11,12,13},1),{6,5,4,3,2,9,8,7,6,5,4,3,2}),11))),"OK","AVISO: dígito verificador (conferir na org)"))))</f>
      </c>
      <c r="I1611" s="6">
        <f>IF(G1611="","",IF(COUNTIF($G$2:$G$2001,G1611)&gt;1,"DUPLICADO","OK"))</f>
      </c>
      <c r="J1611" s="6">
        <f>IF(COUNTA(A1611:F1611)=0,"",IF(AND(A1611&lt;&gt;"",E1611&lt;&gt;""),"OK","ERRO: faltam "&amp;IF(A1611="","CNPJ; ","")&amp;IF(E1611="","Novo gerente; ","")))</f>
      </c>
      <c r="K1611" s="6">
        <f>IF(COUNTA(A1611:F1611)=0,"",IF(AND(LEFT(H1611,4)&lt;&gt;"ERRO",I1611="OK",J1611="OK"),"OK","REVISAR"))</f>
      </c>
    </row>
    <row r="1612">
      <c r="A1612" s="5"/>
      <c r="B1612" s="4"/>
      <c r="C1612" s="4"/>
      <c r="D1612" s="4"/>
      <c r="E1612" s="5"/>
      <c r="F1612" s="4"/>
      <c r="G1612" s="6">
        <f>IF(A1612="","",SUBSTITUTE(SUBSTITUTE(SUBSTITUTE(SUBSTITUTE(SUBSTITUTE(SUBSTITUTE(SUBSTITUTE(TRIM(A1612),".",""),"/",""),"-","")," ",""),"(",""),")",""),"+",""))</f>
      </c>
      <c r="H1612" s="6">
        <f>IF(G1612="","",IF(LEN(G1612)&lt;&gt;14,"ERRO: "&amp;LEN(G1612)&amp;" dígitos",IF(NOT(ISNUMBER(VALUE(G1612))),"ERRO: não numérico",IF(AND(VALUE(MID(G1612,13,1))=IF(MOD(SUMPRODUCT(--MID(G1612,{1,2,3,4,5,6,7,8,9,10,11,12},1),{5,4,3,2,9,8,7,6,5,4,3,2}),11)&lt;2,0,11-MOD(SUMPRODUCT(--MID(G1612,{1,2,3,4,5,6,7,8,9,10,11,12},1),{5,4,3,2,9,8,7,6,5,4,3,2}),11)),VALUE(MID(G1612,14,1))=IF(MOD(SUMPRODUCT(--MID(G1612,{1,2,3,4,5,6,7,8,9,10,11,12,13},1),{6,5,4,3,2,9,8,7,6,5,4,3,2}),11)&lt;2,0,11-MOD(SUMPRODUCT(--MID(G1612,{1,2,3,4,5,6,7,8,9,10,11,12,13},1),{6,5,4,3,2,9,8,7,6,5,4,3,2}),11))),"OK","AVISO: dígito verificador (conferir na org)"))))</f>
      </c>
      <c r="I1612" s="6">
        <f>IF(G1612="","",IF(COUNTIF($G$2:$G$2001,G1612)&gt;1,"DUPLICADO","OK"))</f>
      </c>
      <c r="J1612" s="6">
        <f>IF(COUNTA(A1612:F1612)=0,"",IF(AND(A1612&lt;&gt;"",E1612&lt;&gt;""),"OK","ERRO: faltam "&amp;IF(A1612="","CNPJ; ","")&amp;IF(E1612="","Novo gerente; ","")))</f>
      </c>
      <c r="K1612" s="6">
        <f>IF(COUNTA(A1612:F1612)=0,"",IF(AND(LEFT(H1612,4)&lt;&gt;"ERRO",I1612="OK",J1612="OK"),"OK","REVISAR"))</f>
      </c>
    </row>
    <row r="1613">
      <c r="A1613" s="5"/>
      <c r="B1613" s="4"/>
      <c r="C1613" s="4"/>
      <c r="D1613" s="4"/>
      <c r="E1613" s="5"/>
      <c r="F1613" s="4"/>
      <c r="G1613" s="6">
        <f>IF(A1613="","",SUBSTITUTE(SUBSTITUTE(SUBSTITUTE(SUBSTITUTE(SUBSTITUTE(SUBSTITUTE(SUBSTITUTE(TRIM(A1613),".",""),"/",""),"-","")," ",""),"(",""),")",""),"+",""))</f>
      </c>
      <c r="H1613" s="6">
        <f>IF(G1613="","",IF(LEN(G1613)&lt;&gt;14,"ERRO: "&amp;LEN(G1613)&amp;" dígitos",IF(NOT(ISNUMBER(VALUE(G1613))),"ERRO: não numérico",IF(AND(VALUE(MID(G1613,13,1))=IF(MOD(SUMPRODUCT(--MID(G1613,{1,2,3,4,5,6,7,8,9,10,11,12},1),{5,4,3,2,9,8,7,6,5,4,3,2}),11)&lt;2,0,11-MOD(SUMPRODUCT(--MID(G1613,{1,2,3,4,5,6,7,8,9,10,11,12},1),{5,4,3,2,9,8,7,6,5,4,3,2}),11)),VALUE(MID(G1613,14,1))=IF(MOD(SUMPRODUCT(--MID(G1613,{1,2,3,4,5,6,7,8,9,10,11,12,13},1),{6,5,4,3,2,9,8,7,6,5,4,3,2}),11)&lt;2,0,11-MOD(SUMPRODUCT(--MID(G1613,{1,2,3,4,5,6,7,8,9,10,11,12,13},1),{6,5,4,3,2,9,8,7,6,5,4,3,2}),11))),"OK","AVISO: dígito verificador (conferir na org)"))))</f>
      </c>
      <c r="I1613" s="6">
        <f>IF(G1613="","",IF(COUNTIF($G$2:$G$2001,G1613)&gt;1,"DUPLICADO","OK"))</f>
      </c>
      <c r="J1613" s="6">
        <f>IF(COUNTA(A1613:F1613)=0,"",IF(AND(A1613&lt;&gt;"",E1613&lt;&gt;""),"OK","ERRO: faltam "&amp;IF(A1613="","CNPJ; ","")&amp;IF(E1613="","Novo gerente; ","")))</f>
      </c>
      <c r="K1613" s="6">
        <f>IF(COUNTA(A1613:F1613)=0,"",IF(AND(LEFT(H1613,4)&lt;&gt;"ERRO",I1613="OK",J1613="OK"),"OK","REVISAR"))</f>
      </c>
    </row>
    <row r="1614">
      <c r="A1614" s="5"/>
      <c r="B1614" s="4"/>
      <c r="C1614" s="4"/>
      <c r="D1614" s="4"/>
      <c r="E1614" s="5"/>
      <c r="F1614" s="4"/>
      <c r="G1614" s="6">
        <f>IF(A1614="","",SUBSTITUTE(SUBSTITUTE(SUBSTITUTE(SUBSTITUTE(SUBSTITUTE(SUBSTITUTE(SUBSTITUTE(TRIM(A1614),".",""),"/",""),"-","")," ",""),"(",""),")",""),"+",""))</f>
      </c>
      <c r="H1614" s="6">
        <f>IF(G1614="","",IF(LEN(G1614)&lt;&gt;14,"ERRO: "&amp;LEN(G1614)&amp;" dígitos",IF(NOT(ISNUMBER(VALUE(G1614))),"ERRO: não numérico",IF(AND(VALUE(MID(G1614,13,1))=IF(MOD(SUMPRODUCT(--MID(G1614,{1,2,3,4,5,6,7,8,9,10,11,12},1),{5,4,3,2,9,8,7,6,5,4,3,2}),11)&lt;2,0,11-MOD(SUMPRODUCT(--MID(G1614,{1,2,3,4,5,6,7,8,9,10,11,12},1),{5,4,3,2,9,8,7,6,5,4,3,2}),11)),VALUE(MID(G1614,14,1))=IF(MOD(SUMPRODUCT(--MID(G1614,{1,2,3,4,5,6,7,8,9,10,11,12,13},1),{6,5,4,3,2,9,8,7,6,5,4,3,2}),11)&lt;2,0,11-MOD(SUMPRODUCT(--MID(G1614,{1,2,3,4,5,6,7,8,9,10,11,12,13},1),{6,5,4,3,2,9,8,7,6,5,4,3,2}),11))),"OK","AVISO: dígito verificador (conferir na org)"))))</f>
      </c>
      <c r="I1614" s="6">
        <f>IF(G1614="","",IF(COUNTIF($G$2:$G$2001,G1614)&gt;1,"DUPLICADO","OK"))</f>
      </c>
      <c r="J1614" s="6">
        <f>IF(COUNTA(A1614:F1614)=0,"",IF(AND(A1614&lt;&gt;"",E1614&lt;&gt;""),"OK","ERRO: faltam "&amp;IF(A1614="","CNPJ; ","")&amp;IF(E1614="","Novo gerente; ","")))</f>
      </c>
      <c r="K1614" s="6">
        <f>IF(COUNTA(A1614:F1614)=0,"",IF(AND(LEFT(H1614,4)&lt;&gt;"ERRO",I1614="OK",J1614="OK"),"OK","REVISAR"))</f>
      </c>
    </row>
    <row r="1615">
      <c r="A1615" s="5"/>
      <c r="B1615" s="4"/>
      <c r="C1615" s="4"/>
      <c r="D1615" s="4"/>
      <c r="E1615" s="5"/>
      <c r="F1615" s="4"/>
      <c r="G1615" s="6">
        <f>IF(A1615="","",SUBSTITUTE(SUBSTITUTE(SUBSTITUTE(SUBSTITUTE(SUBSTITUTE(SUBSTITUTE(SUBSTITUTE(TRIM(A1615),".",""),"/",""),"-","")," ",""),"(",""),")",""),"+",""))</f>
      </c>
      <c r="H1615" s="6">
        <f>IF(G1615="","",IF(LEN(G1615)&lt;&gt;14,"ERRO: "&amp;LEN(G1615)&amp;" dígitos",IF(NOT(ISNUMBER(VALUE(G1615))),"ERRO: não numérico",IF(AND(VALUE(MID(G1615,13,1))=IF(MOD(SUMPRODUCT(--MID(G1615,{1,2,3,4,5,6,7,8,9,10,11,12},1),{5,4,3,2,9,8,7,6,5,4,3,2}),11)&lt;2,0,11-MOD(SUMPRODUCT(--MID(G1615,{1,2,3,4,5,6,7,8,9,10,11,12},1),{5,4,3,2,9,8,7,6,5,4,3,2}),11)),VALUE(MID(G1615,14,1))=IF(MOD(SUMPRODUCT(--MID(G1615,{1,2,3,4,5,6,7,8,9,10,11,12,13},1),{6,5,4,3,2,9,8,7,6,5,4,3,2}),11)&lt;2,0,11-MOD(SUMPRODUCT(--MID(G1615,{1,2,3,4,5,6,7,8,9,10,11,12,13},1),{6,5,4,3,2,9,8,7,6,5,4,3,2}),11))),"OK","AVISO: dígito verificador (conferir na org)"))))</f>
      </c>
      <c r="I1615" s="6">
        <f>IF(G1615="","",IF(COUNTIF($G$2:$G$2001,G1615)&gt;1,"DUPLICADO","OK"))</f>
      </c>
      <c r="J1615" s="6">
        <f>IF(COUNTA(A1615:F1615)=0,"",IF(AND(A1615&lt;&gt;"",E1615&lt;&gt;""),"OK","ERRO: faltam "&amp;IF(A1615="","CNPJ; ","")&amp;IF(E1615="","Novo gerente; ","")))</f>
      </c>
      <c r="K1615" s="6">
        <f>IF(COUNTA(A1615:F1615)=0,"",IF(AND(LEFT(H1615,4)&lt;&gt;"ERRO",I1615="OK",J1615="OK"),"OK","REVISAR"))</f>
      </c>
    </row>
    <row r="1616">
      <c r="A1616" s="5"/>
      <c r="B1616" s="4"/>
      <c r="C1616" s="4"/>
      <c r="D1616" s="4"/>
      <c r="E1616" s="5"/>
      <c r="F1616" s="4"/>
      <c r="G1616" s="6">
        <f>IF(A1616="","",SUBSTITUTE(SUBSTITUTE(SUBSTITUTE(SUBSTITUTE(SUBSTITUTE(SUBSTITUTE(SUBSTITUTE(TRIM(A1616),".",""),"/",""),"-","")," ",""),"(",""),")",""),"+",""))</f>
      </c>
      <c r="H1616" s="6">
        <f>IF(G1616="","",IF(LEN(G1616)&lt;&gt;14,"ERRO: "&amp;LEN(G1616)&amp;" dígitos",IF(NOT(ISNUMBER(VALUE(G1616))),"ERRO: não numérico",IF(AND(VALUE(MID(G1616,13,1))=IF(MOD(SUMPRODUCT(--MID(G1616,{1,2,3,4,5,6,7,8,9,10,11,12},1),{5,4,3,2,9,8,7,6,5,4,3,2}),11)&lt;2,0,11-MOD(SUMPRODUCT(--MID(G1616,{1,2,3,4,5,6,7,8,9,10,11,12},1),{5,4,3,2,9,8,7,6,5,4,3,2}),11)),VALUE(MID(G1616,14,1))=IF(MOD(SUMPRODUCT(--MID(G1616,{1,2,3,4,5,6,7,8,9,10,11,12,13},1),{6,5,4,3,2,9,8,7,6,5,4,3,2}),11)&lt;2,0,11-MOD(SUMPRODUCT(--MID(G1616,{1,2,3,4,5,6,7,8,9,10,11,12,13},1),{6,5,4,3,2,9,8,7,6,5,4,3,2}),11))),"OK","AVISO: dígito verificador (conferir na org)"))))</f>
      </c>
      <c r="I1616" s="6">
        <f>IF(G1616="","",IF(COUNTIF($G$2:$G$2001,G1616)&gt;1,"DUPLICADO","OK"))</f>
      </c>
      <c r="J1616" s="6">
        <f>IF(COUNTA(A1616:F1616)=0,"",IF(AND(A1616&lt;&gt;"",E1616&lt;&gt;""),"OK","ERRO: faltam "&amp;IF(A1616="","CNPJ; ","")&amp;IF(E1616="","Novo gerente; ","")))</f>
      </c>
      <c r="K1616" s="6">
        <f>IF(COUNTA(A1616:F1616)=0,"",IF(AND(LEFT(H1616,4)&lt;&gt;"ERRO",I1616="OK",J1616="OK"),"OK","REVISAR"))</f>
      </c>
    </row>
    <row r="1617">
      <c r="A1617" s="5"/>
      <c r="B1617" s="4"/>
      <c r="C1617" s="4"/>
      <c r="D1617" s="4"/>
      <c r="E1617" s="5"/>
      <c r="F1617" s="4"/>
      <c r="G1617" s="6">
        <f>IF(A1617="","",SUBSTITUTE(SUBSTITUTE(SUBSTITUTE(SUBSTITUTE(SUBSTITUTE(SUBSTITUTE(SUBSTITUTE(TRIM(A1617),".",""),"/",""),"-","")," ",""),"(",""),")",""),"+",""))</f>
      </c>
      <c r="H1617" s="6">
        <f>IF(G1617="","",IF(LEN(G1617)&lt;&gt;14,"ERRO: "&amp;LEN(G1617)&amp;" dígitos",IF(NOT(ISNUMBER(VALUE(G1617))),"ERRO: não numérico",IF(AND(VALUE(MID(G1617,13,1))=IF(MOD(SUMPRODUCT(--MID(G1617,{1,2,3,4,5,6,7,8,9,10,11,12},1),{5,4,3,2,9,8,7,6,5,4,3,2}),11)&lt;2,0,11-MOD(SUMPRODUCT(--MID(G1617,{1,2,3,4,5,6,7,8,9,10,11,12},1),{5,4,3,2,9,8,7,6,5,4,3,2}),11)),VALUE(MID(G1617,14,1))=IF(MOD(SUMPRODUCT(--MID(G1617,{1,2,3,4,5,6,7,8,9,10,11,12,13},1),{6,5,4,3,2,9,8,7,6,5,4,3,2}),11)&lt;2,0,11-MOD(SUMPRODUCT(--MID(G1617,{1,2,3,4,5,6,7,8,9,10,11,12,13},1),{6,5,4,3,2,9,8,7,6,5,4,3,2}),11))),"OK","AVISO: dígito verificador (conferir na org)"))))</f>
      </c>
      <c r="I1617" s="6">
        <f>IF(G1617="","",IF(COUNTIF($G$2:$G$2001,G1617)&gt;1,"DUPLICADO","OK"))</f>
      </c>
      <c r="J1617" s="6">
        <f>IF(COUNTA(A1617:F1617)=0,"",IF(AND(A1617&lt;&gt;"",E1617&lt;&gt;""),"OK","ERRO: faltam "&amp;IF(A1617="","CNPJ; ","")&amp;IF(E1617="","Novo gerente; ","")))</f>
      </c>
      <c r="K1617" s="6">
        <f>IF(COUNTA(A1617:F1617)=0,"",IF(AND(LEFT(H1617,4)&lt;&gt;"ERRO",I1617="OK",J1617="OK"),"OK","REVISAR"))</f>
      </c>
    </row>
    <row r="1618">
      <c r="A1618" s="5"/>
      <c r="B1618" s="4"/>
      <c r="C1618" s="4"/>
      <c r="D1618" s="4"/>
      <c r="E1618" s="5"/>
      <c r="F1618" s="4"/>
      <c r="G1618" s="6">
        <f>IF(A1618="","",SUBSTITUTE(SUBSTITUTE(SUBSTITUTE(SUBSTITUTE(SUBSTITUTE(SUBSTITUTE(SUBSTITUTE(TRIM(A1618),".",""),"/",""),"-","")," ",""),"(",""),")",""),"+",""))</f>
      </c>
      <c r="H1618" s="6">
        <f>IF(G1618="","",IF(LEN(G1618)&lt;&gt;14,"ERRO: "&amp;LEN(G1618)&amp;" dígitos",IF(NOT(ISNUMBER(VALUE(G1618))),"ERRO: não numérico",IF(AND(VALUE(MID(G1618,13,1))=IF(MOD(SUMPRODUCT(--MID(G1618,{1,2,3,4,5,6,7,8,9,10,11,12},1),{5,4,3,2,9,8,7,6,5,4,3,2}),11)&lt;2,0,11-MOD(SUMPRODUCT(--MID(G1618,{1,2,3,4,5,6,7,8,9,10,11,12},1),{5,4,3,2,9,8,7,6,5,4,3,2}),11)),VALUE(MID(G1618,14,1))=IF(MOD(SUMPRODUCT(--MID(G1618,{1,2,3,4,5,6,7,8,9,10,11,12,13},1),{6,5,4,3,2,9,8,7,6,5,4,3,2}),11)&lt;2,0,11-MOD(SUMPRODUCT(--MID(G1618,{1,2,3,4,5,6,7,8,9,10,11,12,13},1),{6,5,4,3,2,9,8,7,6,5,4,3,2}),11))),"OK","AVISO: dígito verificador (conferir na org)"))))</f>
      </c>
      <c r="I1618" s="6">
        <f>IF(G1618="","",IF(COUNTIF($G$2:$G$2001,G1618)&gt;1,"DUPLICADO","OK"))</f>
      </c>
      <c r="J1618" s="6">
        <f>IF(COUNTA(A1618:F1618)=0,"",IF(AND(A1618&lt;&gt;"",E1618&lt;&gt;""),"OK","ERRO: faltam "&amp;IF(A1618="","CNPJ; ","")&amp;IF(E1618="","Novo gerente; ","")))</f>
      </c>
      <c r="K1618" s="6">
        <f>IF(COUNTA(A1618:F1618)=0,"",IF(AND(LEFT(H1618,4)&lt;&gt;"ERRO",I1618="OK",J1618="OK"),"OK","REVISAR"))</f>
      </c>
    </row>
    <row r="1619">
      <c r="A1619" s="5"/>
      <c r="B1619" s="4"/>
      <c r="C1619" s="4"/>
      <c r="D1619" s="4"/>
      <c r="E1619" s="5"/>
      <c r="F1619" s="4"/>
      <c r="G1619" s="6">
        <f>IF(A1619="","",SUBSTITUTE(SUBSTITUTE(SUBSTITUTE(SUBSTITUTE(SUBSTITUTE(SUBSTITUTE(SUBSTITUTE(TRIM(A1619),".",""),"/",""),"-","")," ",""),"(",""),")",""),"+",""))</f>
      </c>
      <c r="H1619" s="6">
        <f>IF(G1619="","",IF(LEN(G1619)&lt;&gt;14,"ERRO: "&amp;LEN(G1619)&amp;" dígitos",IF(NOT(ISNUMBER(VALUE(G1619))),"ERRO: não numérico",IF(AND(VALUE(MID(G1619,13,1))=IF(MOD(SUMPRODUCT(--MID(G1619,{1,2,3,4,5,6,7,8,9,10,11,12},1),{5,4,3,2,9,8,7,6,5,4,3,2}),11)&lt;2,0,11-MOD(SUMPRODUCT(--MID(G1619,{1,2,3,4,5,6,7,8,9,10,11,12},1),{5,4,3,2,9,8,7,6,5,4,3,2}),11)),VALUE(MID(G1619,14,1))=IF(MOD(SUMPRODUCT(--MID(G1619,{1,2,3,4,5,6,7,8,9,10,11,12,13},1),{6,5,4,3,2,9,8,7,6,5,4,3,2}),11)&lt;2,0,11-MOD(SUMPRODUCT(--MID(G1619,{1,2,3,4,5,6,7,8,9,10,11,12,13},1),{6,5,4,3,2,9,8,7,6,5,4,3,2}),11))),"OK","AVISO: dígito verificador (conferir na org)"))))</f>
      </c>
      <c r="I1619" s="6">
        <f>IF(G1619="","",IF(COUNTIF($G$2:$G$2001,G1619)&gt;1,"DUPLICADO","OK"))</f>
      </c>
      <c r="J1619" s="6">
        <f>IF(COUNTA(A1619:F1619)=0,"",IF(AND(A1619&lt;&gt;"",E1619&lt;&gt;""),"OK","ERRO: faltam "&amp;IF(A1619="","CNPJ; ","")&amp;IF(E1619="","Novo gerente; ","")))</f>
      </c>
      <c r="K1619" s="6">
        <f>IF(COUNTA(A1619:F1619)=0,"",IF(AND(LEFT(H1619,4)&lt;&gt;"ERRO",I1619="OK",J1619="OK"),"OK","REVISAR"))</f>
      </c>
    </row>
    <row r="1620">
      <c r="A1620" s="5"/>
      <c r="B1620" s="4"/>
      <c r="C1620" s="4"/>
      <c r="D1620" s="4"/>
      <c r="E1620" s="5"/>
      <c r="F1620" s="4"/>
      <c r="G1620" s="6">
        <f>IF(A1620="","",SUBSTITUTE(SUBSTITUTE(SUBSTITUTE(SUBSTITUTE(SUBSTITUTE(SUBSTITUTE(SUBSTITUTE(TRIM(A1620),".",""),"/",""),"-","")," ",""),"(",""),")",""),"+",""))</f>
      </c>
      <c r="H1620" s="6">
        <f>IF(G1620="","",IF(LEN(G1620)&lt;&gt;14,"ERRO: "&amp;LEN(G1620)&amp;" dígitos",IF(NOT(ISNUMBER(VALUE(G1620))),"ERRO: não numérico",IF(AND(VALUE(MID(G1620,13,1))=IF(MOD(SUMPRODUCT(--MID(G1620,{1,2,3,4,5,6,7,8,9,10,11,12},1),{5,4,3,2,9,8,7,6,5,4,3,2}),11)&lt;2,0,11-MOD(SUMPRODUCT(--MID(G1620,{1,2,3,4,5,6,7,8,9,10,11,12},1),{5,4,3,2,9,8,7,6,5,4,3,2}),11)),VALUE(MID(G1620,14,1))=IF(MOD(SUMPRODUCT(--MID(G1620,{1,2,3,4,5,6,7,8,9,10,11,12,13},1),{6,5,4,3,2,9,8,7,6,5,4,3,2}),11)&lt;2,0,11-MOD(SUMPRODUCT(--MID(G1620,{1,2,3,4,5,6,7,8,9,10,11,12,13},1),{6,5,4,3,2,9,8,7,6,5,4,3,2}),11))),"OK","AVISO: dígito verificador (conferir na org)"))))</f>
      </c>
      <c r="I1620" s="6">
        <f>IF(G1620="","",IF(COUNTIF($G$2:$G$2001,G1620)&gt;1,"DUPLICADO","OK"))</f>
      </c>
      <c r="J1620" s="6">
        <f>IF(COUNTA(A1620:F1620)=0,"",IF(AND(A1620&lt;&gt;"",E1620&lt;&gt;""),"OK","ERRO: faltam "&amp;IF(A1620="","CNPJ; ","")&amp;IF(E1620="","Novo gerente; ","")))</f>
      </c>
      <c r="K1620" s="6">
        <f>IF(COUNTA(A1620:F1620)=0,"",IF(AND(LEFT(H1620,4)&lt;&gt;"ERRO",I1620="OK",J1620="OK"),"OK","REVISAR"))</f>
      </c>
    </row>
    <row r="1621">
      <c r="A1621" s="5"/>
      <c r="B1621" s="4"/>
      <c r="C1621" s="4"/>
      <c r="D1621" s="4"/>
      <c r="E1621" s="5"/>
      <c r="F1621" s="4"/>
      <c r="G1621" s="6">
        <f>IF(A1621="","",SUBSTITUTE(SUBSTITUTE(SUBSTITUTE(SUBSTITUTE(SUBSTITUTE(SUBSTITUTE(SUBSTITUTE(TRIM(A1621),".",""),"/",""),"-","")," ",""),"(",""),")",""),"+",""))</f>
      </c>
      <c r="H1621" s="6">
        <f>IF(G1621="","",IF(LEN(G1621)&lt;&gt;14,"ERRO: "&amp;LEN(G1621)&amp;" dígitos",IF(NOT(ISNUMBER(VALUE(G1621))),"ERRO: não numérico",IF(AND(VALUE(MID(G1621,13,1))=IF(MOD(SUMPRODUCT(--MID(G1621,{1,2,3,4,5,6,7,8,9,10,11,12},1),{5,4,3,2,9,8,7,6,5,4,3,2}),11)&lt;2,0,11-MOD(SUMPRODUCT(--MID(G1621,{1,2,3,4,5,6,7,8,9,10,11,12},1),{5,4,3,2,9,8,7,6,5,4,3,2}),11)),VALUE(MID(G1621,14,1))=IF(MOD(SUMPRODUCT(--MID(G1621,{1,2,3,4,5,6,7,8,9,10,11,12,13},1),{6,5,4,3,2,9,8,7,6,5,4,3,2}),11)&lt;2,0,11-MOD(SUMPRODUCT(--MID(G1621,{1,2,3,4,5,6,7,8,9,10,11,12,13},1),{6,5,4,3,2,9,8,7,6,5,4,3,2}),11))),"OK","AVISO: dígito verificador (conferir na org)"))))</f>
      </c>
      <c r="I1621" s="6">
        <f>IF(G1621="","",IF(COUNTIF($G$2:$G$2001,G1621)&gt;1,"DUPLICADO","OK"))</f>
      </c>
      <c r="J1621" s="6">
        <f>IF(COUNTA(A1621:F1621)=0,"",IF(AND(A1621&lt;&gt;"",E1621&lt;&gt;""),"OK","ERRO: faltam "&amp;IF(A1621="","CNPJ; ","")&amp;IF(E1621="","Novo gerente; ","")))</f>
      </c>
      <c r="K1621" s="6">
        <f>IF(COUNTA(A1621:F1621)=0,"",IF(AND(LEFT(H1621,4)&lt;&gt;"ERRO",I1621="OK",J1621="OK"),"OK","REVISAR"))</f>
      </c>
    </row>
    <row r="1622">
      <c r="A1622" s="5"/>
      <c r="B1622" s="4"/>
      <c r="C1622" s="4"/>
      <c r="D1622" s="4"/>
      <c r="E1622" s="5"/>
      <c r="F1622" s="4"/>
      <c r="G1622" s="6">
        <f>IF(A1622="","",SUBSTITUTE(SUBSTITUTE(SUBSTITUTE(SUBSTITUTE(SUBSTITUTE(SUBSTITUTE(SUBSTITUTE(TRIM(A1622),".",""),"/",""),"-","")," ",""),"(",""),")",""),"+",""))</f>
      </c>
      <c r="H1622" s="6">
        <f>IF(G1622="","",IF(LEN(G1622)&lt;&gt;14,"ERRO: "&amp;LEN(G1622)&amp;" dígitos",IF(NOT(ISNUMBER(VALUE(G1622))),"ERRO: não numérico",IF(AND(VALUE(MID(G1622,13,1))=IF(MOD(SUMPRODUCT(--MID(G1622,{1,2,3,4,5,6,7,8,9,10,11,12},1),{5,4,3,2,9,8,7,6,5,4,3,2}),11)&lt;2,0,11-MOD(SUMPRODUCT(--MID(G1622,{1,2,3,4,5,6,7,8,9,10,11,12},1),{5,4,3,2,9,8,7,6,5,4,3,2}),11)),VALUE(MID(G1622,14,1))=IF(MOD(SUMPRODUCT(--MID(G1622,{1,2,3,4,5,6,7,8,9,10,11,12,13},1),{6,5,4,3,2,9,8,7,6,5,4,3,2}),11)&lt;2,0,11-MOD(SUMPRODUCT(--MID(G1622,{1,2,3,4,5,6,7,8,9,10,11,12,13},1),{6,5,4,3,2,9,8,7,6,5,4,3,2}),11))),"OK","AVISO: dígito verificador (conferir na org)"))))</f>
      </c>
      <c r="I1622" s="6">
        <f>IF(G1622="","",IF(COUNTIF($G$2:$G$2001,G1622)&gt;1,"DUPLICADO","OK"))</f>
      </c>
      <c r="J1622" s="6">
        <f>IF(COUNTA(A1622:F1622)=0,"",IF(AND(A1622&lt;&gt;"",E1622&lt;&gt;""),"OK","ERRO: faltam "&amp;IF(A1622="","CNPJ; ","")&amp;IF(E1622="","Novo gerente; ","")))</f>
      </c>
      <c r="K1622" s="6">
        <f>IF(COUNTA(A1622:F1622)=0,"",IF(AND(LEFT(H1622,4)&lt;&gt;"ERRO",I1622="OK",J1622="OK"),"OK","REVISAR"))</f>
      </c>
    </row>
    <row r="1623">
      <c r="A1623" s="5"/>
      <c r="B1623" s="4"/>
      <c r="C1623" s="4"/>
      <c r="D1623" s="4"/>
      <c r="E1623" s="5"/>
      <c r="F1623" s="4"/>
      <c r="G1623" s="6">
        <f>IF(A1623="","",SUBSTITUTE(SUBSTITUTE(SUBSTITUTE(SUBSTITUTE(SUBSTITUTE(SUBSTITUTE(SUBSTITUTE(TRIM(A1623),".",""),"/",""),"-","")," ",""),"(",""),")",""),"+",""))</f>
      </c>
      <c r="H1623" s="6">
        <f>IF(G1623="","",IF(LEN(G1623)&lt;&gt;14,"ERRO: "&amp;LEN(G1623)&amp;" dígitos",IF(NOT(ISNUMBER(VALUE(G1623))),"ERRO: não numérico",IF(AND(VALUE(MID(G1623,13,1))=IF(MOD(SUMPRODUCT(--MID(G1623,{1,2,3,4,5,6,7,8,9,10,11,12},1),{5,4,3,2,9,8,7,6,5,4,3,2}),11)&lt;2,0,11-MOD(SUMPRODUCT(--MID(G1623,{1,2,3,4,5,6,7,8,9,10,11,12},1),{5,4,3,2,9,8,7,6,5,4,3,2}),11)),VALUE(MID(G1623,14,1))=IF(MOD(SUMPRODUCT(--MID(G1623,{1,2,3,4,5,6,7,8,9,10,11,12,13},1),{6,5,4,3,2,9,8,7,6,5,4,3,2}),11)&lt;2,0,11-MOD(SUMPRODUCT(--MID(G1623,{1,2,3,4,5,6,7,8,9,10,11,12,13},1),{6,5,4,3,2,9,8,7,6,5,4,3,2}),11))),"OK","AVISO: dígito verificador (conferir na org)"))))</f>
      </c>
      <c r="I1623" s="6">
        <f>IF(G1623="","",IF(COUNTIF($G$2:$G$2001,G1623)&gt;1,"DUPLICADO","OK"))</f>
      </c>
      <c r="J1623" s="6">
        <f>IF(COUNTA(A1623:F1623)=0,"",IF(AND(A1623&lt;&gt;"",E1623&lt;&gt;""),"OK","ERRO: faltam "&amp;IF(A1623="","CNPJ; ","")&amp;IF(E1623="","Novo gerente; ","")))</f>
      </c>
      <c r="K1623" s="6">
        <f>IF(COUNTA(A1623:F1623)=0,"",IF(AND(LEFT(H1623,4)&lt;&gt;"ERRO",I1623="OK",J1623="OK"),"OK","REVISAR"))</f>
      </c>
    </row>
    <row r="1624">
      <c r="A1624" s="5"/>
      <c r="B1624" s="4"/>
      <c r="C1624" s="4"/>
      <c r="D1624" s="4"/>
      <c r="E1624" s="5"/>
      <c r="F1624" s="4"/>
      <c r="G1624" s="6">
        <f>IF(A1624="","",SUBSTITUTE(SUBSTITUTE(SUBSTITUTE(SUBSTITUTE(SUBSTITUTE(SUBSTITUTE(SUBSTITUTE(TRIM(A1624),".",""),"/",""),"-","")," ",""),"(",""),")",""),"+",""))</f>
      </c>
      <c r="H1624" s="6">
        <f>IF(G1624="","",IF(LEN(G1624)&lt;&gt;14,"ERRO: "&amp;LEN(G1624)&amp;" dígitos",IF(NOT(ISNUMBER(VALUE(G1624))),"ERRO: não numérico",IF(AND(VALUE(MID(G1624,13,1))=IF(MOD(SUMPRODUCT(--MID(G1624,{1,2,3,4,5,6,7,8,9,10,11,12},1),{5,4,3,2,9,8,7,6,5,4,3,2}),11)&lt;2,0,11-MOD(SUMPRODUCT(--MID(G1624,{1,2,3,4,5,6,7,8,9,10,11,12},1),{5,4,3,2,9,8,7,6,5,4,3,2}),11)),VALUE(MID(G1624,14,1))=IF(MOD(SUMPRODUCT(--MID(G1624,{1,2,3,4,5,6,7,8,9,10,11,12,13},1),{6,5,4,3,2,9,8,7,6,5,4,3,2}),11)&lt;2,0,11-MOD(SUMPRODUCT(--MID(G1624,{1,2,3,4,5,6,7,8,9,10,11,12,13},1),{6,5,4,3,2,9,8,7,6,5,4,3,2}),11))),"OK","AVISO: dígito verificador (conferir na org)"))))</f>
      </c>
      <c r="I1624" s="6">
        <f>IF(G1624="","",IF(COUNTIF($G$2:$G$2001,G1624)&gt;1,"DUPLICADO","OK"))</f>
      </c>
      <c r="J1624" s="6">
        <f>IF(COUNTA(A1624:F1624)=0,"",IF(AND(A1624&lt;&gt;"",E1624&lt;&gt;""),"OK","ERRO: faltam "&amp;IF(A1624="","CNPJ; ","")&amp;IF(E1624="","Novo gerente; ","")))</f>
      </c>
      <c r="K1624" s="6">
        <f>IF(COUNTA(A1624:F1624)=0,"",IF(AND(LEFT(H1624,4)&lt;&gt;"ERRO",I1624="OK",J1624="OK"),"OK","REVISAR"))</f>
      </c>
    </row>
    <row r="1625">
      <c r="A1625" s="5"/>
      <c r="B1625" s="4"/>
      <c r="C1625" s="4"/>
      <c r="D1625" s="4"/>
      <c r="E1625" s="5"/>
      <c r="F1625" s="4"/>
      <c r="G1625" s="6">
        <f>IF(A1625="","",SUBSTITUTE(SUBSTITUTE(SUBSTITUTE(SUBSTITUTE(SUBSTITUTE(SUBSTITUTE(SUBSTITUTE(TRIM(A1625),".",""),"/",""),"-","")," ",""),"(",""),")",""),"+",""))</f>
      </c>
      <c r="H1625" s="6">
        <f>IF(G1625="","",IF(LEN(G1625)&lt;&gt;14,"ERRO: "&amp;LEN(G1625)&amp;" dígitos",IF(NOT(ISNUMBER(VALUE(G1625))),"ERRO: não numérico",IF(AND(VALUE(MID(G1625,13,1))=IF(MOD(SUMPRODUCT(--MID(G1625,{1,2,3,4,5,6,7,8,9,10,11,12},1),{5,4,3,2,9,8,7,6,5,4,3,2}),11)&lt;2,0,11-MOD(SUMPRODUCT(--MID(G1625,{1,2,3,4,5,6,7,8,9,10,11,12},1),{5,4,3,2,9,8,7,6,5,4,3,2}),11)),VALUE(MID(G1625,14,1))=IF(MOD(SUMPRODUCT(--MID(G1625,{1,2,3,4,5,6,7,8,9,10,11,12,13},1),{6,5,4,3,2,9,8,7,6,5,4,3,2}),11)&lt;2,0,11-MOD(SUMPRODUCT(--MID(G1625,{1,2,3,4,5,6,7,8,9,10,11,12,13},1),{6,5,4,3,2,9,8,7,6,5,4,3,2}),11))),"OK","AVISO: dígito verificador (conferir na org)"))))</f>
      </c>
      <c r="I1625" s="6">
        <f>IF(G1625="","",IF(COUNTIF($G$2:$G$2001,G1625)&gt;1,"DUPLICADO","OK"))</f>
      </c>
      <c r="J1625" s="6">
        <f>IF(COUNTA(A1625:F1625)=0,"",IF(AND(A1625&lt;&gt;"",E1625&lt;&gt;""),"OK","ERRO: faltam "&amp;IF(A1625="","CNPJ; ","")&amp;IF(E1625="","Novo gerente; ","")))</f>
      </c>
      <c r="K1625" s="6">
        <f>IF(COUNTA(A1625:F1625)=0,"",IF(AND(LEFT(H1625,4)&lt;&gt;"ERRO",I1625="OK",J1625="OK"),"OK","REVISAR"))</f>
      </c>
    </row>
    <row r="1626">
      <c r="A1626" s="5"/>
      <c r="B1626" s="4"/>
      <c r="C1626" s="4"/>
      <c r="D1626" s="4"/>
      <c r="E1626" s="5"/>
      <c r="F1626" s="4"/>
      <c r="G1626" s="6">
        <f>IF(A1626="","",SUBSTITUTE(SUBSTITUTE(SUBSTITUTE(SUBSTITUTE(SUBSTITUTE(SUBSTITUTE(SUBSTITUTE(TRIM(A1626),".",""),"/",""),"-","")," ",""),"(",""),")",""),"+",""))</f>
      </c>
      <c r="H1626" s="6">
        <f>IF(G1626="","",IF(LEN(G1626)&lt;&gt;14,"ERRO: "&amp;LEN(G1626)&amp;" dígitos",IF(NOT(ISNUMBER(VALUE(G1626))),"ERRO: não numérico",IF(AND(VALUE(MID(G1626,13,1))=IF(MOD(SUMPRODUCT(--MID(G1626,{1,2,3,4,5,6,7,8,9,10,11,12},1),{5,4,3,2,9,8,7,6,5,4,3,2}),11)&lt;2,0,11-MOD(SUMPRODUCT(--MID(G1626,{1,2,3,4,5,6,7,8,9,10,11,12},1),{5,4,3,2,9,8,7,6,5,4,3,2}),11)),VALUE(MID(G1626,14,1))=IF(MOD(SUMPRODUCT(--MID(G1626,{1,2,3,4,5,6,7,8,9,10,11,12,13},1),{6,5,4,3,2,9,8,7,6,5,4,3,2}),11)&lt;2,0,11-MOD(SUMPRODUCT(--MID(G1626,{1,2,3,4,5,6,7,8,9,10,11,12,13},1),{6,5,4,3,2,9,8,7,6,5,4,3,2}),11))),"OK","AVISO: dígito verificador (conferir na org)"))))</f>
      </c>
      <c r="I1626" s="6">
        <f>IF(G1626="","",IF(COUNTIF($G$2:$G$2001,G1626)&gt;1,"DUPLICADO","OK"))</f>
      </c>
      <c r="J1626" s="6">
        <f>IF(COUNTA(A1626:F1626)=0,"",IF(AND(A1626&lt;&gt;"",E1626&lt;&gt;""),"OK","ERRO: faltam "&amp;IF(A1626="","CNPJ; ","")&amp;IF(E1626="","Novo gerente; ","")))</f>
      </c>
      <c r="K1626" s="6">
        <f>IF(COUNTA(A1626:F1626)=0,"",IF(AND(LEFT(H1626,4)&lt;&gt;"ERRO",I1626="OK",J1626="OK"),"OK","REVISAR"))</f>
      </c>
    </row>
    <row r="1627">
      <c r="A1627" s="5"/>
      <c r="B1627" s="4"/>
      <c r="C1627" s="4"/>
      <c r="D1627" s="4"/>
      <c r="E1627" s="5"/>
      <c r="F1627" s="4"/>
      <c r="G1627" s="6">
        <f>IF(A1627="","",SUBSTITUTE(SUBSTITUTE(SUBSTITUTE(SUBSTITUTE(SUBSTITUTE(SUBSTITUTE(SUBSTITUTE(TRIM(A1627),".",""),"/",""),"-","")," ",""),"(",""),")",""),"+",""))</f>
      </c>
      <c r="H1627" s="6">
        <f>IF(G1627="","",IF(LEN(G1627)&lt;&gt;14,"ERRO: "&amp;LEN(G1627)&amp;" dígitos",IF(NOT(ISNUMBER(VALUE(G1627))),"ERRO: não numérico",IF(AND(VALUE(MID(G1627,13,1))=IF(MOD(SUMPRODUCT(--MID(G1627,{1,2,3,4,5,6,7,8,9,10,11,12},1),{5,4,3,2,9,8,7,6,5,4,3,2}),11)&lt;2,0,11-MOD(SUMPRODUCT(--MID(G1627,{1,2,3,4,5,6,7,8,9,10,11,12},1),{5,4,3,2,9,8,7,6,5,4,3,2}),11)),VALUE(MID(G1627,14,1))=IF(MOD(SUMPRODUCT(--MID(G1627,{1,2,3,4,5,6,7,8,9,10,11,12,13},1),{6,5,4,3,2,9,8,7,6,5,4,3,2}),11)&lt;2,0,11-MOD(SUMPRODUCT(--MID(G1627,{1,2,3,4,5,6,7,8,9,10,11,12,13},1),{6,5,4,3,2,9,8,7,6,5,4,3,2}),11))),"OK","AVISO: dígito verificador (conferir na org)"))))</f>
      </c>
      <c r="I1627" s="6">
        <f>IF(G1627="","",IF(COUNTIF($G$2:$G$2001,G1627)&gt;1,"DUPLICADO","OK"))</f>
      </c>
      <c r="J1627" s="6">
        <f>IF(COUNTA(A1627:F1627)=0,"",IF(AND(A1627&lt;&gt;"",E1627&lt;&gt;""),"OK","ERRO: faltam "&amp;IF(A1627="","CNPJ; ","")&amp;IF(E1627="","Novo gerente; ","")))</f>
      </c>
      <c r="K1627" s="6">
        <f>IF(COUNTA(A1627:F1627)=0,"",IF(AND(LEFT(H1627,4)&lt;&gt;"ERRO",I1627="OK",J1627="OK"),"OK","REVISAR"))</f>
      </c>
    </row>
    <row r="1628">
      <c r="A1628" s="5"/>
      <c r="B1628" s="4"/>
      <c r="C1628" s="4"/>
      <c r="D1628" s="4"/>
      <c r="E1628" s="5"/>
      <c r="F1628" s="4"/>
      <c r="G1628" s="6">
        <f>IF(A1628="","",SUBSTITUTE(SUBSTITUTE(SUBSTITUTE(SUBSTITUTE(SUBSTITUTE(SUBSTITUTE(SUBSTITUTE(TRIM(A1628),".",""),"/",""),"-","")," ",""),"(",""),")",""),"+",""))</f>
      </c>
      <c r="H1628" s="6">
        <f>IF(G1628="","",IF(LEN(G1628)&lt;&gt;14,"ERRO: "&amp;LEN(G1628)&amp;" dígitos",IF(NOT(ISNUMBER(VALUE(G1628))),"ERRO: não numérico",IF(AND(VALUE(MID(G1628,13,1))=IF(MOD(SUMPRODUCT(--MID(G1628,{1,2,3,4,5,6,7,8,9,10,11,12},1),{5,4,3,2,9,8,7,6,5,4,3,2}),11)&lt;2,0,11-MOD(SUMPRODUCT(--MID(G1628,{1,2,3,4,5,6,7,8,9,10,11,12},1),{5,4,3,2,9,8,7,6,5,4,3,2}),11)),VALUE(MID(G1628,14,1))=IF(MOD(SUMPRODUCT(--MID(G1628,{1,2,3,4,5,6,7,8,9,10,11,12,13},1),{6,5,4,3,2,9,8,7,6,5,4,3,2}),11)&lt;2,0,11-MOD(SUMPRODUCT(--MID(G1628,{1,2,3,4,5,6,7,8,9,10,11,12,13},1),{6,5,4,3,2,9,8,7,6,5,4,3,2}),11))),"OK","AVISO: dígito verificador (conferir na org)"))))</f>
      </c>
      <c r="I1628" s="6">
        <f>IF(G1628="","",IF(COUNTIF($G$2:$G$2001,G1628)&gt;1,"DUPLICADO","OK"))</f>
      </c>
      <c r="J1628" s="6">
        <f>IF(COUNTA(A1628:F1628)=0,"",IF(AND(A1628&lt;&gt;"",E1628&lt;&gt;""),"OK","ERRO: faltam "&amp;IF(A1628="","CNPJ; ","")&amp;IF(E1628="","Novo gerente; ","")))</f>
      </c>
      <c r="K1628" s="6">
        <f>IF(COUNTA(A1628:F1628)=0,"",IF(AND(LEFT(H1628,4)&lt;&gt;"ERRO",I1628="OK",J1628="OK"),"OK","REVISAR"))</f>
      </c>
    </row>
    <row r="1629">
      <c r="A1629" s="5"/>
      <c r="B1629" s="4"/>
      <c r="C1629" s="4"/>
      <c r="D1629" s="4"/>
      <c r="E1629" s="5"/>
      <c r="F1629" s="4"/>
      <c r="G1629" s="6">
        <f>IF(A1629="","",SUBSTITUTE(SUBSTITUTE(SUBSTITUTE(SUBSTITUTE(SUBSTITUTE(SUBSTITUTE(SUBSTITUTE(TRIM(A1629),".",""),"/",""),"-","")," ",""),"(",""),")",""),"+",""))</f>
      </c>
      <c r="H1629" s="6">
        <f>IF(G1629="","",IF(LEN(G1629)&lt;&gt;14,"ERRO: "&amp;LEN(G1629)&amp;" dígitos",IF(NOT(ISNUMBER(VALUE(G1629))),"ERRO: não numérico",IF(AND(VALUE(MID(G1629,13,1))=IF(MOD(SUMPRODUCT(--MID(G1629,{1,2,3,4,5,6,7,8,9,10,11,12},1),{5,4,3,2,9,8,7,6,5,4,3,2}),11)&lt;2,0,11-MOD(SUMPRODUCT(--MID(G1629,{1,2,3,4,5,6,7,8,9,10,11,12},1),{5,4,3,2,9,8,7,6,5,4,3,2}),11)),VALUE(MID(G1629,14,1))=IF(MOD(SUMPRODUCT(--MID(G1629,{1,2,3,4,5,6,7,8,9,10,11,12,13},1),{6,5,4,3,2,9,8,7,6,5,4,3,2}),11)&lt;2,0,11-MOD(SUMPRODUCT(--MID(G1629,{1,2,3,4,5,6,7,8,9,10,11,12,13},1),{6,5,4,3,2,9,8,7,6,5,4,3,2}),11))),"OK","AVISO: dígito verificador (conferir na org)"))))</f>
      </c>
      <c r="I1629" s="6">
        <f>IF(G1629="","",IF(COUNTIF($G$2:$G$2001,G1629)&gt;1,"DUPLICADO","OK"))</f>
      </c>
      <c r="J1629" s="6">
        <f>IF(COUNTA(A1629:F1629)=0,"",IF(AND(A1629&lt;&gt;"",E1629&lt;&gt;""),"OK","ERRO: faltam "&amp;IF(A1629="","CNPJ; ","")&amp;IF(E1629="","Novo gerente; ","")))</f>
      </c>
      <c r="K1629" s="6">
        <f>IF(COUNTA(A1629:F1629)=0,"",IF(AND(LEFT(H1629,4)&lt;&gt;"ERRO",I1629="OK",J1629="OK"),"OK","REVISAR"))</f>
      </c>
    </row>
    <row r="1630">
      <c r="A1630" s="5"/>
      <c r="B1630" s="4"/>
      <c r="C1630" s="4"/>
      <c r="D1630" s="4"/>
      <c r="E1630" s="5"/>
      <c r="F1630" s="4"/>
      <c r="G1630" s="6">
        <f>IF(A1630="","",SUBSTITUTE(SUBSTITUTE(SUBSTITUTE(SUBSTITUTE(SUBSTITUTE(SUBSTITUTE(SUBSTITUTE(TRIM(A1630),".",""),"/",""),"-","")," ",""),"(",""),")",""),"+",""))</f>
      </c>
      <c r="H1630" s="6">
        <f>IF(G1630="","",IF(LEN(G1630)&lt;&gt;14,"ERRO: "&amp;LEN(G1630)&amp;" dígitos",IF(NOT(ISNUMBER(VALUE(G1630))),"ERRO: não numérico",IF(AND(VALUE(MID(G1630,13,1))=IF(MOD(SUMPRODUCT(--MID(G1630,{1,2,3,4,5,6,7,8,9,10,11,12},1),{5,4,3,2,9,8,7,6,5,4,3,2}),11)&lt;2,0,11-MOD(SUMPRODUCT(--MID(G1630,{1,2,3,4,5,6,7,8,9,10,11,12},1),{5,4,3,2,9,8,7,6,5,4,3,2}),11)),VALUE(MID(G1630,14,1))=IF(MOD(SUMPRODUCT(--MID(G1630,{1,2,3,4,5,6,7,8,9,10,11,12,13},1),{6,5,4,3,2,9,8,7,6,5,4,3,2}),11)&lt;2,0,11-MOD(SUMPRODUCT(--MID(G1630,{1,2,3,4,5,6,7,8,9,10,11,12,13},1),{6,5,4,3,2,9,8,7,6,5,4,3,2}),11))),"OK","AVISO: dígito verificador (conferir na org)"))))</f>
      </c>
      <c r="I1630" s="6">
        <f>IF(G1630="","",IF(COUNTIF($G$2:$G$2001,G1630)&gt;1,"DUPLICADO","OK"))</f>
      </c>
      <c r="J1630" s="6">
        <f>IF(COUNTA(A1630:F1630)=0,"",IF(AND(A1630&lt;&gt;"",E1630&lt;&gt;""),"OK","ERRO: faltam "&amp;IF(A1630="","CNPJ; ","")&amp;IF(E1630="","Novo gerente; ","")))</f>
      </c>
      <c r="K1630" s="6">
        <f>IF(COUNTA(A1630:F1630)=0,"",IF(AND(LEFT(H1630,4)&lt;&gt;"ERRO",I1630="OK",J1630="OK"),"OK","REVISAR"))</f>
      </c>
    </row>
    <row r="1631">
      <c r="A1631" s="5"/>
      <c r="B1631" s="4"/>
      <c r="C1631" s="4"/>
      <c r="D1631" s="4"/>
      <c r="E1631" s="5"/>
      <c r="F1631" s="4"/>
      <c r="G1631" s="6">
        <f>IF(A1631="","",SUBSTITUTE(SUBSTITUTE(SUBSTITUTE(SUBSTITUTE(SUBSTITUTE(SUBSTITUTE(SUBSTITUTE(TRIM(A1631),".",""),"/",""),"-","")," ",""),"(",""),")",""),"+",""))</f>
      </c>
      <c r="H1631" s="6">
        <f>IF(G1631="","",IF(LEN(G1631)&lt;&gt;14,"ERRO: "&amp;LEN(G1631)&amp;" dígitos",IF(NOT(ISNUMBER(VALUE(G1631))),"ERRO: não numérico",IF(AND(VALUE(MID(G1631,13,1))=IF(MOD(SUMPRODUCT(--MID(G1631,{1,2,3,4,5,6,7,8,9,10,11,12},1),{5,4,3,2,9,8,7,6,5,4,3,2}),11)&lt;2,0,11-MOD(SUMPRODUCT(--MID(G1631,{1,2,3,4,5,6,7,8,9,10,11,12},1),{5,4,3,2,9,8,7,6,5,4,3,2}),11)),VALUE(MID(G1631,14,1))=IF(MOD(SUMPRODUCT(--MID(G1631,{1,2,3,4,5,6,7,8,9,10,11,12,13},1),{6,5,4,3,2,9,8,7,6,5,4,3,2}),11)&lt;2,0,11-MOD(SUMPRODUCT(--MID(G1631,{1,2,3,4,5,6,7,8,9,10,11,12,13},1),{6,5,4,3,2,9,8,7,6,5,4,3,2}),11))),"OK","AVISO: dígito verificador (conferir na org)"))))</f>
      </c>
      <c r="I1631" s="6">
        <f>IF(G1631="","",IF(COUNTIF($G$2:$G$2001,G1631)&gt;1,"DUPLICADO","OK"))</f>
      </c>
      <c r="J1631" s="6">
        <f>IF(COUNTA(A1631:F1631)=0,"",IF(AND(A1631&lt;&gt;"",E1631&lt;&gt;""),"OK","ERRO: faltam "&amp;IF(A1631="","CNPJ; ","")&amp;IF(E1631="","Novo gerente; ","")))</f>
      </c>
      <c r="K1631" s="6">
        <f>IF(COUNTA(A1631:F1631)=0,"",IF(AND(LEFT(H1631,4)&lt;&gt;"ERRO",I1631="OK",J1631="OK"),"OK","REVISAR"))</f>
      </c>
    </row>
    <row r="1632">
      <c r="A1632" s="5"/>
      <c r="B1632" s="4"/>
      <c r="C1632" s="4"/>
      <c r="D1632" s="4"/>
      <c r="E1632" s="5"/>
      <c r="F1632" s="4"/>
      <c r="G1632" s="6">
        <f>IF(A1632="","",SUBSTITUTE(SUBSTITUTE(SUBSTITUTE(SUBSTITUTE(SUBSTITUTE(SUBSTITUTE(SUBSTITUTE(TRIM(A1632),".",""),"/",""),"-","")," ",""),"(",""),")",""),"+",""))</f>
      </c>
      <c r="H1632" s="6">
        <f>IF(G1632="","",IF(LEN(G1632)&lt;&gt;14,"ERRO: "&amp;LEN(G1632)&amp;" dígitos",IF(NOT(ISNUMBER(VALUE(G1632))),"ERRO: não numérico",IF(AND(VALUE(MID(G1632,13,1))=IF(MOD(SUMPRODUCT(--MID(G1632,{1,2,3,4,5,6,7,8,9,10,11,12},1),{5,4,3,2,9,8,7,6,5,4,3,2}),11)&lt;2,0,11-MOD(SUMPRODUCT(--MID(G1632,{1,2,3,4,5,6,7,8,9,10,11,12},1),{5,4,3,2,9,8,7,6,5,4,3,2}),11)),VALUE(MID(G1632,14,1))=IF(MOD(SUMPRODUCT(--MID(G1632,{1,2,3,4,5,6,7,8,9,10,11,12,13},1),{6,5,4,3,2,9,8,7,6,5,4,3,2}),11)&lt;2,0,11-MOD(SUMPRODUCT(--MID(G1632,{1,2,3,4,5,6,7,8,9,10,11,12,13},1),{6,5,4,3,2,9,8,7,6,5,4,3,2}),11))),"OK","AVISO: dígito verificador (conferir na org)"))))</f>
      </c>
      <c r="I1632" s="6">
        <f>IF(G1632="","",IF(COUNTIF($G$2:$G$2001,G1632)&gt;1,"DUPLICADO","OK"))</f>
      </c>
      <c r="J1632" s="6">
        <f>IF(COUNTA(A1632:F1632)=0,"",IF(AND(A1632&lt;&gt;"",E1632&lt;&gt;""),"OK","ERRO: faltam "&amp;IF(A1632="","CNPJ; ","")&amp;IF(E1632="","Novo gerente; ","")))</f>
      </c>
      <c r="K1632" s="6">
        <f>IF(COUNTA(A1632:F1632)=0,"",IF(AND(LEFT(H1632,4)&lt;&gt;"ERRO",I1632="OK",J1632="OK"),"OK","REVISAR"))</f>
      </c>
    </row>
    <row r="1633">
      <c r="A1633" s="5"/>
      <c r="B1633" s="4"/>
      <c r="C1633" s="4"/>
      <c r="D1633" s="4"/>
      <c r="E1633" s="5"/>
      <c r="F1633" s="4"/>
      <c r="G1633" s="6">
        <f>IF(A1633="","",SUBSTITUTE(SUBSTITUTE(SUBSTITUTE(SUBSTITUTE(SUBSTITUTE(SUBSTITUTE(SUBSTITUTE(TRIM(A1633),".",""),"/",""),"-","")," ",""),"(",""),")",""),"+",""))</f>
      </c>
      <c r="H1633" s="6">
        <f>IF(G1633="","",IF(LEN(G1633)&lt;&gt;14,"ERRO: "&amp;LEN(G1633)&amp;" dígitos",IF(NOT(ISNUMBER(VALUE(G1633))),"ERRO: não numérico",IF(AND(VALUE(MID(G1633,13,1))=IF(MOD(SUMPRODUCT(--MID(G1633,{1,2,3,4,5,6,7,8,9,10,11,12},1),{5,4,3,2,9,8,7,6,5,4,3,2}),11)&lt;2,0,11-MOD(SUMPRODUCT(--MID(G1633,{1,2,3,4,5,6,7,8,9,10,11,12},1),{5,4,3,2,9,8,7,6,5,4,3,2}),11)),VALUE(MID(G1633,14,1))=IF(MOD(SUMPRODUCT(--MID(G1633,{1,2,3,4,5,6,7,8,9,10,11,12,13},1),{6,5,4,3,2,9,8,7,6,5,4,3,2}),11)&lt;2,0,11-MOD(SUMPRODUCT(--MID(G1633,{1,2,3,4,5,6,7,8,9,10,11,12,13},1),{6,5,4,3,2,9,8,7,6,5,4,3,2}),11))),"OK","AVISO: dígito verificador (conferir na org)"))))</f>
      </c>
      <c r="I1633" s="6">
        <f>IF(G1633="","",IF(COUNTIF($G$2:$G$2001,G1633)&gt;1,"DUPLICADO","OK"))</f>
      </c>
      <c r="J1633" s="6">
        <f>IF(COUNTA(A1633:F1633)=0,"",IF(AND(A1633&lt;&gt;"",E1633&lt;&gt;""),"OK","ERRO: faltam "&amp;IF(A1633="","CNPJ; ","")&amp;IF(E1633="","Novo gerente; ","")))</f>
      </c>
      <c r="K1633" s="6">
        <f>IF(COUNTA(A1633:F1633)=0,"",IF(AND(LEFT(H1633,4)&lt;&gt;"ERRO",I1633="OK",J1633="OK"),"OK","REVISAR"))</f>
      </c>
    </row>
    <row r="1634">
      <c r="A1634" s="5"/>
      <c r="B1634" s="4"/>
      <c r="C1634" s="4"/>
      <c r="D1634" s="4"/>
      <c r="E1634" s="5"/>
      <c r="F1634" s="4"/>
      <c r="G1634" s="6">
        <f>IF(A1634="","",SUBSTITUTE(SUBSTITUTE(SUBSTITUTE(SUBSTITUTE(SUBSTITUTE(SUBSTITUTE(SUBSTITUTE(TRIM(A1634),".",""),"/",""),"-","")," ",""),"(",""),")",""),"+",""))</f>
      </c>
      <c r="H1634" s="6">
        <f>IF(G1634="","",IF(LEN(G1634)&lt;&gt;14,"ERRO: "&amp;LEN(G1634)&amp;" dígitos",IF(NOT(ISNUMBER(VALUE(G1634))),"ERRO: não numérico",IF(AND(VALUE(MID(G1634,13,1))=IF(MOD(SUMPRODUCT(--MID(G1634,{1,2,3,4,5,6,7,8,9,10,11,12},1),{5,4,3,2,9,8,7,6,5,4,3,2}),11)&lt;2,0,11-MOD(SUMPRODUCT(--MID(G1634,{1,2,3,4,5,6,7,8,9,10,11,12},1),{5,4,3,2,9,8,7,6,5,4,3,2}),11)),VALUE(MID(G1634,14,1))=IF(MOD(SUMPRODUCT(--MID(G1634,{1,2,3,4,5,6,7,8,9,10,11,12,13},1),{6,5,4,3,2,9,8,7,6,5,4,3,2}),11)&lt;2,0,11-MOD(SUMPRODUCT(--MID(G1634,{1,2,3,4,5,6,7,8,9,10,11,12,13},1),{6,5,4,3,2,9,8,7,6,5,4,3,2}),11))),"OK","AVISO: dígito verificador (conferir na org)"))))</f>
      </c>
      <c r="I1634" s="6">
        <f>IF(G1634="","",IF(COUNTIF($G$2:$G$2001,G1634)&gt;1,"DUPLICADO","OK"))</f>
      </c>
      <c r="J1634" s="6">
        <f>IF(COUNTA(A1634:F1634)=0,"",IF(AND(A1634&lt;&gt;"",E1634&lt;&gt;""),"OK","ERRO: faltam "&amp;IF(A1634="","CNPJ; ","")&amp;IF(E1634="","Novo gerente; ","")))</f>
      </c>
      <c r="K1634" s="6">
        <f>IF(COUNTA(A1634:F1634)=0,"",IF(AND(LEFT(H1634,4)&lt;&gt;"ERRO",I1634="OK",J1634="OK"),"OK","REVISAR"))</f>
      </c>
    </row>
    <row r="1635">
      <c r="A1635" s="5"/>
      <c r="B1635" s="4"/>
      <c r="C1635" s="4"/>
      <c r="D1635" s="4"/>
      <c r="E1635" s="5"/>
      <c r="F1635" s="4"/>
      <c r="G1635" s="6">
        <f>IF(A1635="","",SUBSTITUTE(SUBSTITUTE(SUBSTITUTE(SUBSTITUTE(SUBSTITUTE(SUBSTITUTE(SUBSTITUTE(TRIM(A1635),".",""),"/",""),"-","")," ",""),"(",""),")",""),"+",""))</f>
      </c>
      <c r="H1635" s="6">
        <f>IF(G1635="","",IF(LEN(G1635)&lt;&gt;14,"ERRO: "&amp;LEN(G1635)&amp;" dígitos",IF(NOT(ISNUMBER(VALUE(G1635))),"ERRO: não numérico",IF(AND(VALUE(MID(G1635,13,1))=IF(MOD(SUMPRODUCT(--MID(G1635,{1,2,3,4,5,6,7,8,9,10,11,12},1),{5,4,3,2,9,8,7,6,5,4,3,2}),11)&lt;2,0,11-MOD(SUMPRODUCT(--MID(G1635,{1,2,3,4,5,6,7,8,9,10,11,12},1),{5,4,3,2,9,8,7,6,5,4,3,2}),11)),VALUE(MID(G1635,14,1))=IF(MOD(SUMPRODUCT(--MID(G1635,{1,2,3,4,5,6,7,8,9,10,11,12,13},1),{6,5,4,3,2,9,8,7,6,5,4,3,2}),11)&lt;2,0,11-MOD(SUMPRODUCT(--MID(G1635,{1,2,3,4,5,6,7,8,9,10,11,12,13},1),{6,5,4,3,2,9,8,7,6,5,4,3,2}),11))),"OK","AVISO: dígito verificador (conferir na org)"))))</f>
      </c>
      <c r="I1635" s="6">
        <f>IF(G1635="","",IF(COUNTIF($G$2:$G$2001,G1635)&gt;1,"DUPLICADO","OK"))</f>
      </c>
      <c r="J1635" s="6">
        <f>IF(COUNTA(A1635:F1635)=0,"",IF(AND(A1635&lt;&gt;"",E1635&lt;&gt;""),"OK","ERRO: faltam "&amp;IF(A1635="","CNPJ; ","")&amp;IF(E1635="","Novo gerente; ","")))</f>
      </c>
      <c r="K1635" s="6">
        <f>IF(COUNTA(A1635:F1635)=0,"",IF(AND(LEFT(H1635,4)&lt;&gt;"ERRO",I1635="OK",J1635="OK"),"OK","REVISAR"))</f>
      </c>
    </row>
    <row r="1636">
      <c r="A1636" s="5"/>
      <c r="B1636" s="4"/>
      <c r="C1636" s="4"/>
      <c r="D1636" s="4"/>
      <c r="E1636" s="5"/>
      <c r="F1636" s="4"/>
      <c r="G1636" s="6">
        <f>IF(A1636="","",SUBSTITUTE(SUBSTITUTE(SUBSTITUTE(SUBSTITUTE(SUBSTITUTE(SUBSTITUTE(SUBSTITUTE(TRIM(A1636),".",""),"/",""),"-","")," ",""),"(",""),")",""),"+",""))</f>
      </c>
      <c r="H1636" s="6">
        <f>IF(G1636="","",IF(LEN(G1636)&lt;&gt;14,"ERRO: "&amp;LEN(G1636)&amp;" dígitos",IF(NOT(ISNUMBER(VALUE(G1636))),"ERRO: não numérico",IF(AND(VALUE(MID(G1636,13,1))=IF(MOD(SUMPRODUCT(--MID(G1636,{1,2,3,4,5,6,7,8,9,10,11,12},1),{5,4,3,2,9,8,7,6,5,4,3,2}),11)&lt;2,0,11-MOD(SUMPRODUCT(--MID(G1636,{1,2,3,4,5,6,7,8,9,10,11,12},1),{5,4,3,2,9,8,7,6,5,4,3,2}),11)),VALUE(MID(G1636,14,1))=IF(MOD(SUMPRODUCT(--MID(G1636,{1,2,3,4,5,6,7,8,9,10,11,12,13},1),{6,5,4,3,2,9,8,7,6,5,4,3,2}),11)&lt;2,0,11-MOD(SUMPRODUCT(--MID(G1636,{1,2,3,4,5,6,7,8,9,10,11,12,13},1),{6,5,4,3,2,9,8,7,6,5,4,3,2}),11))),"OK","AVISO: dígito verificador (conferir na org)"))))</f>
      </c>
      <c r="I1636" s="6">
        <f>IF(G1636="","",IF(COUNTIF($G$2:$G$2001,G1636)&gt;1,"DUPLICADO","OK"))</f>
      </c>
      <c r="J1636" s="6">
        <f>IF(COUNTA(A1636:F1636)=0,"",IF(AND(A1636&lt;&gt;"",E1636&lt;&gt;""),"OK","ERRO: faltam "&amp;IF(A1636="","CNPJ; ","")&amp;IF(E1636="","Novo gerente; ","")))</f>
      </c>
      <c r="K1636" s="6">
        <f>IF(COUNTA(A1636:F1636)=0,"",IF(AND(LEFT(H1636,4)&lt;&gt;"ERRO",I1636="OK",J1636="OK"),"OK","REVISAR"))</f>
      </c>
    </row>
    <row r="1637">
      <c r="A1637" s="5"/>
      <c r="B1637" s="4"/>
      <c r="C1637" s="4"/>
      <c r="D1637" s="4"/>
      <c r="E1637" s="5"/>
      <c r="F1637" s="4"/>
      <c r="G1637" s="6">
        <f>IF(A1637="","",SUBSTITUTE(SUBSTITUTE(SUBSTITUTE(SUBSTITUTE(SUBSTITUTE(SUBSTITUTE(SUBSTITUTE(TRIM(A1637),".",""),"/",""),"-","")," ",""),"(",""),")",""),"+",""))</f>
      </c>
      <c r="H1637" s="6">
        <f>IF(G1637="","",IF(LEN(G1637)&lt;&gt;14,"ERRO: "&amp;LEN(G1637)&amp;" dígitos",IF(NOT(ISNUMBER(VALUE(G1637))),"ERRO: não numérico",IF(AND(VALUE(MID(G1637,13,1))=IF(MOD(SUMPRODUCT(--MID(G1637,{1,2,3,4,5,6,7,8,9,10,11,12},1),{5,4,3,2,9,8,7,6,5,4,3,2}),11)&lt;2,0,11-MOD(SUMPRODUCT(--MID(G1637,{1,2,3,4,5,6,7,8,9,10,11,12},1),{5,4,3,2,9,8,7,6,5,4,3,2}),11)),VALUE(MID(G1637,14,1))=IF(MOD(SUMPRODUCT(--MID(G1637,{1,2,3,4,5,6,7,8,9,10,11,12,13},1),{6,5,4,3,2,9,8,7,6,5,4,3,2}),11)&lt;2,0,11-MOD(SUMPRODUCT(--MID(G1637,{1,2,3,4,5,6,7,8,9,10,11,12,13},1),{6,5,4,3,2,9,8,7,6,5,4,3,2}),11))),"OK","AVISO: dígito verificador (conferir na org)"))))</f>
      </c>
      <c r="I1637" s="6">
        <f>IF(G1637="","",IF(COUNTIF($G$2:$G$2001,G1637)&gt;1,"DUPLICADO","OK"))</f>
      </c>
      <c r="J1637" s="6">
        <f>IF(COUNTA(A1637:F1637)=0,"",IF(AND(A1637&lt;&gt;"",E1637&lt;&gt;""),"OK","ERRO: faltam "&amp;IF(A1637="","CNPJ; ","")&amp;IF(E1637="","Novo gerente; ","")))</f>
      </c>
      <c r="K1637" s="6">
        <f>IF(COUNTA(A1637:F1637)=0,"",IF(AND(LEFT(H1637,4)&lt;&gt;"ERRO",I1637="OK",J1637="OK"),"OK","REVISAR"))</f>
      </c>
    </row>
    <row r="1638">
      <c r="A1638" s="5"/>
      <c r="B1638" s="4"/>
      <c r="C1638" s="4"/>
      <c r="D1638" s="4"/>
      <c r="E1638" s="5"/>
      <c r="F1638" s="4"/>
      <c r="G1638" s="6">
        <f>IF(A1638="","",SUBSTITUTE(SUBSTITUTE(SUBSTITUTE(SUBSTITUTE(SUBSTITUTE(SUBSTITUTE(SUBSTITUTE(TRIM(A1638),".",""),"/",""),"-","")," ",""),"(",""),")",""),"+",""))</f>
      </c>
      <c r="H1638" s="6">
        <f>IF(G1638="","",IF(LEN(G1638)&lt;&gt;14,"ERRO: "&amp;LEN(G1638)&amp;" dígitos",IF(NOT(ISNUMBER(VALUE(G1638))),"ERRO: não numérico",IF(AND(VALUE(MID(G1638,13,1))=IF(MOD(SUMPRODUCT(--MID(G1638,{1,2,3,4,5,6,7,8,9,10,11,12},1),{5,4,3,2,9,8,7,6,5,4,3,2}),11)&lt;2,0,11-MOD(SUMPRODUCT(--MID(G1638,{1,2,3,4,5,6,7,8,9,10,11,12},1),{5,4,3,2,9,8,7,6,5,4,3,2}),11)),VALUE(MID(G1638,14,1))=IF(MOD(SUMPRODUCT(--MID(G1638,{1,2,3,4,5,6,7,8,9,10,11,12,13},1),{6,5,4,3,2,9,8,7,6,5,4,3,2}),11)&lt;2,0,11-MOD(SUMPRODUCT(--MID(G1638,{1,2,3,4,5,6,7,8,9,10,11,12,13},1),{6,5,4,3,2,9,8,7,6,5,4,3,2}),11))),"OK","AVISO: dígito verificador (conferir na org)"))))</f>
      </c>
      <c r="I1638" s="6">
        <f>IF(G1638="","",IF(COUNTIF($G$2:$G$2001,G1638)&gt;1,"DUPLICADO","OK"))</f>
      </c>
      <c r="J1638" s="6">
        <f>IF(COUNTA(A1638:F1638)=0,"",IF(AND(A1638&lt;&gt;"",E1638&lt;&gt;""),"OK","ERRO: faltam "&amp;IF(A1638="","CNPJ; ","")&amp;IF(E1638="","Novo gerente; ","")))</f>
      </c>
      <c r="K1638" s="6">
        <f>IF(COUNTA(A1638:F1638)=0,"",IF(AND(LEFT(H1638,4)&lt;&gt;"ERRO",I1638="OK",J1638="OK"),"OK","REVISAR"))</f>
      </c>
    </row>
    <row r="1639">
      <c r="A1639" s="5"/>
      <c r="B1639" s="4"/>
      <c r="C1639" s="4"/>
      <c r="D1639" s="4"/>
      <c r="E1639" s="5"/>
      <c r="F1639" s="4"/>
      <c r="G1639" s="6">
        <f>IF(A1639="","",SUBSTITUTE(SUBSTITUTE(SUBSTITUTE(SUBSTITUTE(SUBSTITUTE(SUBSTITUTE(SUBSTITUTE(TRIM(A1639),".",""),"/",""),"-","")," ",""),"(",""),")",""),"+",""))</f>
      </c>
      <c r="H1639" s="6">
        <f>IF(G1639="","",IF(LEN(G1639)&lt;&gt;14,"ERRO: "&amp;LEN(G1639)&amp;" dígitos",IF(NOT(ISNUMBER(VALUE(G1639))),"ERRO: não numérico",IF(AND(VALUE(MID(G1639,13,1))=IF(MOD(SUMPRODUCT(--MID(G1639,{1,2,3,4,5,6,7,8,9,10,11,12},1),{5,4,3,2,9,8,7,6,5,4,3,2}),11)&lt;2,0,11-MOD(SUMPRODUCT(--MID(G1639,{1,2,3,4,5,6,7,8,9,10,11,12},1),{5,4,3,2,9,8,7,6,5,4,3,2}),11)),VALUE(MID(G1639,14,1))=IF(MOD(SUMPRODUCT(--MID(G1639,{1,2,3,4,5,6,7,8,9,10,11,12,13},1),{6,5,4,3,2,9,8,7,6,5,4,3,2}),11)&lt;2,0,11-MOD(SUMPRODUCT(--MID(G1639,{1,2,3,4,5,6,7,8,9,10,11,12,13},1),{6,5,4,3,2,9,8,7,6,5,4,3,2}),11))),"OK","AVISO: dígito verificador (conferir na org)"))))</f>
      </c>
      <c r="I1639" s="6">
        <f>IF(G1639="","",IF(COUNTIF($G$2:$G$2001,G1639)&gt;1,"DUPLICADO","OK"))</f>
      </c>
      <c r="J1639" s="6">
        <f>IF(COUNTA(A1639:F1639)=0,"",IF(AND(A1639&lt;&gt;"",E1639&lt;&gt;""),"OK","ERRO: faltam "&amp;IF(A1639="","CNPJ; ","")&amp;IF(E1639="","Novo gerente; ","")))</f>
      </c>
      <c r="K1639" s="6">
        <f>IF(COUNTA(A1639:F1639)=0,"",IF(AND(LEFT(H1639,4)&lt;&gt;"ERRO",I1639="OK",J1639="OK"),"OK","REVISAR"))</f>
      </c>
    </row>
    <row r="1640">
      <c r="A1640" s="5"/>
      <c r="B1640" s="4"/>
      <c r="C1640" s="4"/>
      <c r="D1640" s="4"/>
      <c r="E1640" s="5"/>
      <c r="F1640" s="4"/>
      <c r="G1640" s="6">
        <f>IF(A1640="","",SUBSTITUTE(SUBSTITUTE(SUBSTITUTE(SUBSTITUTE(SUBSTITUTE(SUBSTITUTE(SUBSTITUTE(TRIM(A1640),".",""),"/",""),"-","")," ",""),"(",""),")",""),"+",""))</f>
      </c>
      <c r="H1640" s="6">
        <f>IF(G1640="","",IF(LEN(G1640)&lt;&gt;14,"ERRO: "&amp;LEN(G1640)&amp;" dígitos",IF(NOT(ISNUMBER(VALUE(G1640))),"ERRO: não numérico",IF(AND(VALUE(MID(G1640,13,1))=IF(MOD(SUMPRODUCT(--MID(G1640,{1,2,3,4,5,6,7,8,9,10,11,12},1),{5,4,3,2,9,8,7,6,5,4,3,2}),11)&lt;2,0,11-MOD(SUMPRODUCT(--MID(G1640,{1,2,3,4,5,6,7,8,9,10,11,12},1),{5,4,3,2,9,8,7,6,5,4,3,2}),11)),VALUE(MID(G1640,14,1))=IF(MOD(SUMPRODUCT(--MID(G1640,{1,2,3,4,5,6,7,8,9,10,11,12,13},1),{6,5,4,3,2,9,8,7,6,5,4,3,2}),11)&lt;2,0,11-MOD(SUMPRODUCT(--MID(G1640,{1,2,3,4,5,6,7,8,9,10,11,12,13},1),{6,5,4,3,2,9,8,7,6,5,4,3,2}),11))),"OK","AVISO: dígito verificador (conferir na org)"))))</f>
      </c>
      <c r="I1640" s="6">
        <f>IF(G1640="","",IF(COUNTIF($G$2:$G$2001,G1640)&gt;1,"DUPLICADO","OK"))</f>
      </c>
      <c r="J1640" s="6">
        <f>IF(COUNTA(A1640:F1640)=0,"",IF(AND(A1640&lt;&gt;"",E1640&lt;&gt;""),"OK","ERRO: faltam "&amp;IF(A1640="","CNPJ; ","")&amp;IF(E1640="","Novo gerente; ","")))</f>
      </c>
      <c r="K1640" s="6">
        <f>IF(COUNTA(A1640:F1640)=0,"",IF(AND(LEFT(H1640,4)&lt;&gt;"ERRO",I1640="OK",J1640="OK"),"OK","REVISAR"))</f>
      </c>
    </row>
    <row r="1641">
      <c r="A1641" s="5"/>
      <c r="B1641" s="4"/>
      <c r="C1641" s="4"/>
      <c r="D1641" s="4"/>
      <c r="E1641" s="5"/>
      <c r="F1641" s="4"/>
      <c r="G1641" s="6">
        <f>IF(A1641="","",SUBSTITUTE(SUBSTITUTE(SUBSTITUTE(SUBSTITUTE(SUBSTITUTE(SUBSTITUTE(SUBSTITUTE(TRIM(A1641),".",""),"/",""),"-","")," ",""),"(",""),")",""),"+",""))</f>
      </c>
      <c r="H1641" s="6">
        <f>IF(G1641="","",IF(LEN(G1641)&lt;&gt;14,"ERRO: "&amp;LEN(G1641)&amp;" dígitos",IF(NOT(ISNUMBER(VALUE(G1641))),"ERRO: não numérico",IF(AND(VALUE(MID(G1641,13,1))=IF(MOD(SUMPRODUCT(--MID(G1641,{1,2,3,4,5,6,7,8,9,10,11,12},1),{5,4,3,2,9,8,7,6,5,4,3,2}),11)&lt;2,0,11-MOD(SUMPRODUCT(--MID(G1641,{1,2,3,4,5,6,7,8,9,10,11,12},1),{5,4,3,2,9,8,7,6,5,4,3,2}),11)),VALUE(MID(G1641,14,1))=IF(MOD(SUMPRODUCT(--MID(G1641,{1,2,3,4,5,6,7,8,9,10,11,12,13},1),{6,5,4,3,2,9,8,7,6,5,4,3,2}),11)&lt;2,0,11-MOD(SUMPRODUCT(--MID(G1641,{1,2,3,4,5,6,7,8,9,10,11,12,13},1),{6,5,4,3,2,9,8,7,6,5,4,3,2}),11))),"OK","AVISO: dígito verificador (conferir na org)"))))</f>
      </c>
      <c r="I1641" s="6">
        <f>IF(G1641="","",IF(COUNTIF($G$2:$G$2001,G1641)&gt;1,"DUPLICADO","OK"))</f>
      </c>
      <c r="J1641" s="6">
        <f>IF(COUNTA(A1641:F1641)=0,"",IF(AND(A1641&lt;&gt;"",E1641&lt;&gt;""),"OK","ERRO: faltam "&amp;IF(A1641="","CNPJ; ","")&amp;IF(E1641="","Novo gerente; ","")))</f>
      </c>
      <c r="K1641" s="6">
        <f>IF(COUNTA(A1641:F1641)=0,"",IF(AND(LEFT(H1641,4)&lt;&gt;"ERRO",I1641="OK",J1641="OK"),"OK","REVISAR"))</f>
      </c>
    </row>
    <row r="1642">
      <c r="A1642" s="5"/>
      <c r="B1642" s="4"/>
      <c r="C1642" s="4"/>
      <c r="D1642" s="4"/>
      <c r="E1642" s="5"/>
      <c r="F1642" s="4"/>
      <c r="G1642" s="6">
        <f>IF(A1642="","",SUBSTITUTE(SUBSTITUTE(SUBSTITUTE(SUBSTITUTE(SUBSTITUTE(SUBSTITUTE(SUBSTITUTE(TRIM(A1642),".",""),"/",""),"-","")," ",""),"(",""),")",""),"+",""))</f>
      </c>
      <c r="H1642" s="6">
        <f>IF(G1642="","",IF(LEN(G1642)&lt;&gt;14,"ERRO: "&amp;LEN(G1642)&amp;" dígitos",IF(NOT(ISNUMBER(VALUE(G1642))),"ERRO: não numérico",IF(AND(VALUE(MID(G1642,13,1))=IF(MOD(SUMPRODUCT(--MID(G1642,{1,2,3,4,5,6,7,8,9,10,11,12},1),{5,4,3,2,9,8,7,6,5,4,3,2}),11)&lt;2,0,11-MOD(SUMPRODUCT(--MID(G1642,{1,2,3,4,5,6,7,8,9,10,11,12},1),{5,4,3,2,9,8,7,6,5,4,3,2}),11)),VALUE(MID(G1642,14,1))=IF(MOD(SUMPRODUCT(--MID(G1642,{1,2,3,4,5,6,7,8,9,10,11,12,13},1),{6,5,4,3,2,9,8,7,6,5,4,3,2}),11)&lt;2,0,11-MOD(SUMPRODUCT(--MID(G1642,{1,2,3,4,5,6,7,8,9,10,11,12,13},1),{6,5,4,3,2,9,8,7,6,5,4,3,2}),11))),"OK","AVISO: dígito verificador (conferir na org)"))))</f>
      </c>
      <c r="I1642" s="6">
        <f>IF(G1642="","",IF(COUNTIF($G$2:$G$2001,G1642)&gt;1,"DUPLICADO","OK"))</f>
      </c>
      <c r="J1642" s="6">
        <f>IF(COUNTA(A1642:F1642)=0,"",IF(AND(A1642&lt;&gt;"",E1642&lt;&gt;""),"OK","ERRO: faltam "&amp;IF(A1642="","CNPJ; ","")&amp;IF(E1642="","Novo gerente; ","")))</f>
      </c>
      <c r="K1642" s="6">
        <f>IF(COUNTA(A1642:F1642)=0,"",IF(AND(LEFT(H1642,4)&lt;&gt;"ERRO",I1642="OK",J1642="OK"),"OK","REVISAR"))</f>
      </c>
    </row>
    <row r="1643">
      <c r="A1643" s="5"/>
      <c r="B1643" s="4"/>
      <c r="C1643" s="4"/>
      <c r="D1643" s="4"/>
      <c r="E1643" s="5"/>
      <c r="F1643" s="4"/>
      <c r="G1643" s="6">
        <f>IF(A1643="","",SUBSTITUTE(SUBSTITUTE(SUBSTITUTE(SUBSTITUTE(SUBSTITUTE(SUBSTITUTE(SUBSTITUTE(TRIM(A1643),".",""),"/",""),"-","")," ",""),"(",""),")",""),"+",""))</f>
      </c>
      <c r="H1643" s="6">
        <f>IF(G1643="","",IF(LEN(G1643)&lt;&gt;14,"ERRO: "&amp;LEN(G1643)&amp;" dígitos",IF(NOT(ISNUMBER(VALUE(G1643))),"ERRO: não numérico",IF(AND(VALUE(MID(G1643,13,1))=IF(MOD(SUMPRODUCT(--MID(G1643,{1,2,3,4,5,6,7,8,9,10,11,12},1),{5,4,3,2,9,8,7,6,5,4,3,2}),11)&lt;2,0,11-MOD(SUMPRODUCT(--MID(G1643,{1,2,3,4,5,6,7,8,9,10,11,12},1),{5,4,3,2,9,8,7,6,5,4,3,2}),11)),VALUE(MID(G1643,14,1))=IF(MOD(SUMPRODUCT(--MID(G1643,{1,2,3,4,5,6,7,8,9,10,11,12,13},1),{6,5,4,3,2,9,8,7,6,5,4,3,2}),11)&lt;2,0,11-MOD(SUMPRODUCT(--MID(G1643,{1,2,3,4,5,6,7,8,9,10,11,12,13},1),{6,5,4,3,2,9,8,7,6,5,4,3,2}),11))),"OK","AVISO: dígito verificador (conferir na org)"))))</f>
      </c>
      <c r="I1643" s="6">
        <f>IF(G1643="","",IF(COUNTIF($G$2:$G$2001,G1643)&gt;1,"DUPLICADO","OK"))</f>
      </c>
      <c r="J1643" s="6">
        <f>IF(COUNTA(A1643:F1643)=0,"",IF(AND(A1643&lt;&gt;"",E1643&lt;&gt;""),"OK","ERRO: faltam "&amp;IF(A1643="","CNPJ; ","")&amp;IF(E1643="","Novo gerente; ","")))</f>
      </c>
      <c r="K1643" s="6">
        <f>IF(COUNTA(A1643:F1643)=0,"",IF(AND(LEFT(H1643,4)&lt;&gt;"ERRO",I1643="OK",J1643="OK"),"OK","REVISAR"))</f>
      </c>
    </row>
    <row r="1644">
      <c r="A1644" s="5"/>
      <c r="B1644" s="4"/>
      <c r="C1644" s="4"/>
      <c r="D1644" s="4"/>
      <c r="E1644" s="5"/>
      <c r="F1644" s="4"/>
      <c r="G1644" s="6">
        <f>IF(A1644="","",SUBSTITUTE(SUBSTITUTE(SUBSTITUTE(SUBSTITUTE(SUBSTITUTE(SUBSTITUTE(SUBSTITUTE(TRIM(A1644),".",""),"/",""),"-","")," ",""),"(",""),")",""),"+",""))</f>
      </c>
      <c r="H1644" s="6">
        <f>IF(G1644="","",IF(LEN(G1644)&lt;&gt;14,"ERRO: "&amp;LEN(G1644)&amp;" dígitos",IF(NOT(ISNUMBER(VALUE(G1644))),"ERRO: não numérico",IF(AND(VALUE(MID(G1644,13,1))=IF(MOD(SUMPRODUCT(--MID(G1644,{1,2,3,4,5,6,7,8,9,10,11,12},1),{5,4,3,2,9,8,7,6,5,4,3,2}),11)&lt;2,0,11-MOD(SUMPRODUCT(--MID(G1644,{1,2,3,4,5,6,7,8,9,10,11,12},1),{5,4,3,2,9,8,7,6,5,4,3,2}),11)),VALUE(MID(G1644,14,1))=IF(MOD(SUMPRODUCT(--MID(G1644,{1,2,3,4,5,6,7,8,9,10,11,12,13},1),{6,5,4,3,2,9,8,7,6,5,4,3,2}),11)&lt;2,0,11-MOD(SUMPRODUCT(--MID(G1644,{1,2,3,4,5,6,7,8,9,10,11,12,13},1),{6,5,4,3,2,9,8,7,6,5,4,3,2}),11))),"OK","AVISO: dígito verificador (conferir na org)"))))</f>
      </c>
      <c r="I1644" s="6">
        <f>IF(G1644="","",IF(COUNTIF($G$2:$G$2001,G1644)&gt;1,"DUPLICADO","OK"))</f>
      </c>
      <c r="J1644" s="6">
        <f>IF(COUNTA(A1644:F1644)=0,"",IF(AND(A1644&lt;&gt;"",E1644&lt;&gt;""),"OK","ERRO: faltam "&amp;IF(A1644="","CNPJ; ","")&amp;IF(E1644="","Novo gerente; ","")))</f>
      </c>
      <c r="K1644" s="6">
        <f>IF(COUNTA(A1644:F1644)=0,"",IF(AND(LEFT(H1644,4)&lt;&gt;"ERRO",I1644="OK",J1644="OK"),"OK","REVISAR"))</f>
      </c>
    </row>
    <row r="1645">
      <c r="A1645" s="5"/>
      <c r="B1645" s="4"/>
      <c r="C1645" s="4"/>
      <c r="D1645" s="4"/>
      <c r="E1645" s="5"/>
      <c r="F1645" s="4"/>
      <c r="G1645" s="6">
        <f>IF(A1645="","",SUBSTITUTE(SUBSTITUTE(SUBSTITUTE(SUBSTITUTE(SUBSTITUTE(SUBSTITUTE(SUBSTITUTE(TRIM(A1645),".",""),"/",""),"-","")," ",""),"(",""),")",""),"+",""))</f>
      </c>
      <c r="H1645" s="6">
        <f>IF(G1645="","",IF(LEN(G1645)&lt;&gt;14,"ERRO: "&amp;LEN(G1645)&amp;" dígitos",IF(NOT(ISNUMBER(VALUE(G1645))),"ERRO: não numérico",IF(AND(VALUE(MID(G1645,13,1))=IF(MOD(SUMPRODUCT(--MID(G1645,{1,2,3,4,5,6,7,8,9,10,11,12},1),{5,4,3,2,9,8,7,6,5,4,3,2}),11)&lt;2,0,11-MOD(SUMPRODUCT(--MID(G1645,{1,2,3,4,5,6,7,8,9,10,11,12},1),{5,4,3,2,9,8,7,6,5,4,3,2}),11)),VALUE(MID(G1645,14,1))=IF(MOD(SUMPRODUCT(--MID(G1645,{1,2,3,4,5,6,7,8,9,10,11,12,13},1),{6,5,4,3,2,9,8,7,6,5,4,3,2}),11)&lt;2,0,11-MOD(SUMPRODUCT(--MID(G1645,{1,2,3,4,5,6,7,8,9,10,11,12,13},1),{6,5,4,3,2,9,8,7,6,5,4,3,2}),11))),"OK","AVISO: dígito verificador (conferir na org)"))))</f>
      </c>
      <c r="I1645" s="6">
        <f>IF(G1645="","",IF(COUNTIF($G$2:$G$2001,G1645)&gt;1,"DUPLICADO","OK"))</f>
      </c>
      <c r="J1645" s="6">
        <f>IF(COUNTA(A1645:F1645)=0,"",IF(AND(A1645&lt;&gt;"",E1645&lt;&gt;""),"OK","ERRO: faltam "&amp;IF(A1645="","CNPJ; ","")&amp;IF(E1645="","Novo gerente; ","")))</f>
      </c>
      <c r="K1645" s="6">
        <f>IF(COUNTA(A1645:F1645)=0,"",IF(AND(LEFT(H1645,4)&lt;&gt;"ERRO",I1645="OK",J1645="OK"),"OK","REVISAR"))</f>
      </c>
    </row>
    <row r="1646">
      <c r="A1646" s="5"/>
      <c r="B1646" s="4"/>
      <c r="C1646" s="4"/>
      <c r="D1646" s="4"/>
      <c r="E1646" s="5"/>
      <c r="F1646" s="4"/>
      <c r="G1646" s="6">
        <f>IF(A1646="","",SUBSTITUTE(SUBSTITUTE(SUBSTITUTE(SUBSTITUTE(SUBSTITUTE(SUBSTITUTE(SUBSTITUTE(TRIM(A1646),".",""),"/",""),"-","")," ",""),"(",""),")",""),"+",""))</f>
      </c>
      <c r="H1646" s="6">
        <f>IF(G1646="","",IF(LEN(G1646)&lt;&gt;14,"ERRO: "&amp;LEN(G1646)&amp;" dígitos",IF(NOT(ISNUMBER(VALUE(G1646))),"ERRO: não numérico",IF(AND(VALUE(MID(G1646,13,1))=IF(MOD(SUMPRODUCT(--MID(G1646,{1,2,3,4,5,6,7,8,9,10,11,12},1),{5,4,3,2,9,8,7,6,5,4,3,2}),11)&lt;2,0,11-MOD(SUMPRODUCT(--MID(G1646,{1,2,3,4,5,6,7,8,9,10,11,12},1),{5,4,3,2,9,8,7,6,5,4,3,2}),11)),VALUE(MID(G1646,14,1))=IF(MOD(SUMPRODUCT(--MID(G1646,{1,2,3,4,5,6,7,8,9,10,11,12,13},1),{6,5,4,3,2,9,8,7,6,5,4,3,2}),11)&lt;2,0,11-MOD(SUMPRODUCT(--MID(G1646,{1,2,3,4,5,6,7,8,9,10,11,12,13},1),{6,5,4,3,2,9,8,7,6,5,4,3,2}),11))),"OK","AVISO: dígito verificador (conferir na org)"))))</f>
      </c>
      <c r="I1646" s="6">
        <f>IF(G1646="","",IF(COUNTIF($G$2:$G$2001,G1646)&gt;1,"DUPLICADO","OK"))</f>
      </c>
      <c r="J1646" s="6">
        <f>IF(COUNTA(A1646:F1646)=0,"",IF(AND(A1646&lt;&gt;"",E1646&lt;&gt;""),"OK","ERRO: faltam "&amp;IF(A1646="","CNPJ; ","")&amp;IF(E1646="","Novo gerente; ","")))</f>
      </c>
      <c r="K1646" s="6">
        <f>IF(COUNTA(A1646:F1646)=0,"",IF(AND(LEFT(H1646,4)&lt;&gt;"ERRO",I1646="OK",J1646="OK"),"OK","REVISAR"))</f>
      </c>
    </row>
    <row r="1647">
      <c r="A1647" s="5"/>
      <c r="B1647" s="4"/>
      <c r="C1647" s="4"/>
      <c r="D1647" s="4"/>
      <c r="E1647" s="5"/>
      <c r="F1647" s="4"/>
      <c r="G1647" s="6">
        <f>IF(A1647="","",SUBSTITUTE(SUBSTITUTE(SUBSTITUTE(SUBSTITUTE(SUBSTITUTE(SUBSTITUTE(SUBSTITUTE(TRIM(A1647),".",""),"/",""),"-","")," ",""),"(",""),")",""),"+",""))</f>
      </c>
      <c r="H1647" s="6">
        <f>IF(G1647="","",IF(LEN(G1647)&lt;&gt;14,"ERRO: "&amp;LEN(G1647)&amp;" dígitos",IF(NOT(ISNUMBER(VALUE(G1647))),"ERRO: não numérico",IF(AND(VALUE(MID(G1647,13,1))=IF(MOD(SUMPRODUCT(--MID(G1647,{1,2,3,4,5,6,7,8,9,10,11,12},1),{5,4,3,2,9,8,7,6,5,4,3,2}),11)&lt;2,0,11-MOD(SUMPRODUCT(--MID(G1647,{1,2,3,4,5,6,7,8,9,10,11,12},1),{5,4,3,2,9,8,7,6,5,4,3,2}),11)),VALUE(MID(G1647,14,1))=IF(MOD(SUMPRODUCT(--MID(G1647,{1,2,3,4,5,6,7,8,9,10,11,12,13},1),{6,5,4,3,2,9,8,7,6,5,4,3,2}),11)&lt;2,0,11-MOD(SUMPRODUCT(--MID(G1647,{1,2,3,4,5,6,7,8,9,10,11,12,13},1),{6,5,4,3,2,9,8,7,6,5,4,3,2}),11))),"OK","AVISO: dígito verificador (conferir na org)"))))</f>
      </c>
      <c r="I1647" s="6">
        <f>IF(G1647="","",IF(COUNTIF($G$2:$G$2001,G1647)&gt;1,"DUPLICADO","OK"))</f>
      </c>
      <c r="J1647" s="6">
        <f>IF(COUNTA(A1647:F1647)=0,"",IF(AND(A1647&lt;&gt;"",E1647&lt;&gt;""),"OK","ERRO: faltam "&amp;IF(A1647="","CNPJ; ","")&amp;IF(E1647="","Novo gerente; ","")))</f>
      </c>
      <c r="K1647" s="6">
        <f>IF(COUNTA(A1647:F1647)=0,"",IF(AND(LEFT(H1647,4)&lt;&gt;"ERRO",I1647="OK",J1647="OK"),"OK","REVISAR"))</f>
      </c>
    </row>
    <row r="1648">
      <c r="A1648" s="5"/>
      <c r="B1648" s="4"/>
      <c r="C1648" s="4"/>
      <c r="D1648" s="4"/>
      <c r="E1648" s="5"/>
      <c r="F1648" s="4"/>
      <c r="G1648" s="6">
        <f>IF(A1648="","",SUBSTITUTE(SUBSTITUTE(SUBSTITUTE(SUBSTITUTE(SUBSTITUTE(SUBSTITUTE(SUBSTITUTE(TRIM(A1648),".",""),"/",""),"-","")," ",""),"(",""),")",""),"+",""))</f>
      </c>
      <c r="H1648" s="6">
        <f>IF(G1648="","",IF(LEN(G1648)&lt;&gt;14,"ERRO: "&amp;LEN(G1648)&amp;" dígitos",IF(NOT(ISNUMBER(VALUE(G1648))),"ERRO: não numérico",IF(AND(VALUE(MID(G1648,13,1))=IF(MOD(SUMPRODUCT(--MID(G1648,{1,2,3,4,5,6,7,8,9,10,11,12},1),{5,4,3,2,9,8,7,6,5,4,3,2}),11)&lt;2,0,11-MOD(SUMPRODUCT(--MID(G1648,{1,2,3,4,5,6,7,8,9,10,11,12},1),{5,4,3,2,9,8,7,6,5,4,3,2}),11)),VALUE(MID(G1648,14,1))=IF(MOD(SUMPRODUCT(--MID(G1648,{1,2,3,4,5,6,7,8,9,10,11,12,13},1),{6,5,4,3,2,9,8,7,6,5,4,3,2}),11)&lt;2,0,11-MOD(SUMPRODUCT(--MID(G1648,{1,2,3,4,5,6,7,8,9,10,11,12,13},1),{6,5,4,3,2,9,8,7,6,5,4,3,2}),11))),"OK","AVISO: dígito verificador (conferir na org)"))))</f>
      </c>
      <c r="I1648" s="6">
        <f>IF(G1648="","",IF(COUNTIF($G$2:$G$2001,G1648)&gt;1,"DUPLICADO","OK"))</f>
      </c>
      <c r="J1648" s="6">
        <f>IF(COUNTA(A1648:F1648)=0,"",IF(AND(A1648&lt;&gt;"",E1648&lt;&gt;""),"OK","ERRO: faltam "&amp;IF(A1648="","CNPJ; ","")&amp;IF(E1648="","Novo gerente; ","")))</f>
      </c>
      <c r="K1648" s="6">
        <f>IF(COUNTA(A1648:F1648)=0,"",IF(AND(LEFT(H1648,4)&lt;&gt;"ERRO",I1648="OK",J1648="OK"),"OK","REVISAR"))</f>
      </c>
    </row>
    <row r="1649">
      <c r="A1649" s="5"/>
      <c r="B1649" s="4"/>
      <c r="C1649" s="4"/>
      <c r="D1649" s="4"/>
      <c r="E1649" s="5"/>
      <c r="F1649" s="4"/>
      <c r="G1649" s="6">
        <f>IF(A1649="","",SUBSTITUTE(SUBSTITUTE(SUBSTITUTE(SUBSTITUTE(SUBSTITUTE(SUBSTITUTE(SUBSTITUTE(TRIM(A1649),".",""),"/",""),"-","")," ",""),"(",""),")",""),"+",""))</f>
      </c>
      <c r="H1649" s="6">
        <f>IF(G1649="","",IF(LEN(G1649)&lt;&gt;14,"ERRO: "&amp;LEN(G1649)&amp;" dígitos",IF(NOT(ISNUMBER(VALUE(G1649))),"ERRO: não numérico",IF(AND(VALUE(MID(G1649,13,1))=IF(MOD(SUMPRODUCT(--MID(G1649,{1,2,3,4,5,6,7,8,9,10,11,12},1),{5,4,3,2,9,8,7,6,5,4,3,2}),11)&lt;2,0,11-MOD(SUMPRODUCT(--MID(G1649,{1,2,3,4,5,6,7,8,9,10,11,12},1),{5,4,3,2,9,8,7,6,5,4,3,2}),11)),VALUE(MID(G1649,14,1))=IF(MOD(SUMPRODUCT(--MID(G1649,{1,2,3,4,5,6,7,8,9,10,11,12,13},1),{6,5,4,3,2,9,8,7,6,5,4,3,2}),11)&lt;2,0,11-MOD(SUMPRODUCT(--MID(G1649,{1,2,3,4,5,6,7,8,9,10,11,12,13},1),{6,5,4,3,2,9,8,7,6,5,4,3,2}),11))),"OK","AVISO: dígito verificador (conferir na org)"))))</f>
      </c>
      <c r="I1649" s="6">
        <f>IF(G1649="","",IF(COUNTIF($G$2:$G$2001,G1649)&gt;1,"DUPLICADO","OK"))</f>
      </c>
      <c r="J1649" s="6">
        <f>IF(COUNTA(A1649:F1649)=0,"",IF(AND(A1649&lt;&gt;"",E1649&lt;&gt;""),"OK","ERRO: faltam "&amp;IF(A1649="","CNPJ; ","")&amp;IF(E1649="","Novo gerente; ","")))</f>
      </c>
      <c r="K1649" s="6">
        <f>IF(COUNTA(A1649:F1649)=0,"",IF(AND(LEFT(H1649,4)&lt;&gt;"ERRO",I1649="OK",J1649="OK"),"OK","REVISAR"))</f>
      </c>
    </row>
    <row r="1650">
      <c r="A1650" s="5"/>
      <c r="B1650" s="4"/>
      <c r="C1650" s="4"/>
      <c r="D1650" s="4"/>
      <c r="E1650" s="5"/>
      <c r="F1650" s="4"/>
      <c r="G1650" s="6">
        <f>IF(A1650="","",SUBSTITUTE(SUBSTITUTE(SUBSTITUTE(SUBSTITUTE(SUBSTITUTE(SUBSTITUTE(SUBSTITUTE(TRIM(A1650),".",""),"/",""),"-","")," ",""),"(",""),")",""),"+",""))</f>
      </c>
      <c r="H1650" s="6">
        <f>IF(G1650="","",IF(LEN(G1650)&lt;&gt;14,"ERRO: "&amp;LEN(G1650)&amp;" dígitos",IF(NOT(ISNUMBER(VALUE(G1650))),"ERRO: não numérico",IF(AND(VALUE(MID(G1650,13,1))=IF(MOD(SUMPRODUCT(--MID(G1650,{1,2,3,4,5,6,7,8,9,10,11,12},1),{5,4,3,2,9,8,7,6,5,4,3,2}),11)&lt;2,0,11-MOD(SUMPRODUCT(--MID(G1650,{1,2,3,4,5,6,7,8,9,10,11,12},1),{5,4,3,2,9,8,7,6,5,4,3,2}),11)),VALUE(MID(G1650,14,1))=IF(MOD(SUMPRODUCT(--MID(G1650,{1,2,3,4,5,6,7,8,9,10,11,12,13},1),{6,5,4,3,2,9,8,7,6,5,4,3,2}),11)&lt;2,0,11-MOD(SUMPRODUCT(--MID(G1650,{1,2,3,4,5,6,7,8,9,10,11,12,13},1),{6,5,4,3,2,9,8,7,6,5,4,3,2}),11))),"OK","AVISO: dígito verificador (conferir na org)"))))</f>
      </c>
      <c r="I1650" s="6">
        <f>IF(G1650="","",IF(COUNTIF($G$2:$G$2001,G1650)&gt;1,"DUPLICADO","OK"))</f>
      </c>
      <c r="J1650" s="6">
        <f>IF(COUNTA(A1650:F1650)=0,"",IF(AND(A1650&lt;&gt;"",E1650&lt;&gt;""),"OK","ERRO: faltam "&amp;IF(A1650="","CNPJ; ","")&amp;IF(E1650="","Novo gerente; ","")))</f>
      </c>
      <c r="K1650" s="6">
        <f>IF(COUNTA(A1650:F1650)=0,"",IF(AND(LEFT(H1650,4)&lt;&gt;"ERRO",I1650="OK",J1650="OK"),"OK","REVISAR"))</f>
      </c>
    </row>
    <row r="1651">
      <c r="A1651" s="5"/>
      <c r="B1651" s="4"/>
      <c r="C1651" s="4"/>
      <c r="D1651" s="4"/>
      <c r="E1651" s="5"/>
      <c r="F1651" s="4"/>
      <c r="G1651" s="6">
        <f>IF(A1651="","",SUBSTITUTE(SUBSTITUTE(SUBSTITUTE(SUBSTITUTE(SUBSTITUTE(SUBSTITUTE(SUBSTITUTE(TRIM(A1651),".",""),"/",""),"-","")," ",""),"(",""),")",""),"+",""))</f>
      </c>
      <c r="H1651" s="6">
        <f>IF(G1651="","",IF(LEN(G1651)&lt;&gt;14,"ERRO: "&amp;LEN(G1651)&amp;" dígitos",IF(NOT(ISNUMBER(VALUE(G1651))),"ERRO: não numérico",IF(AND(VALUE(MID(G1651,13,1))=IF(MOD(SUMPRODUCT(--MID(G1651,{1,2,3,4,5,6,7,8,9,10,11,12},1),{5,4,3,2,9,8,7,6,5,4,3,2}),11)&lt;2,0,11-MOD(SUMPRODUCT(--MID(G1651,{1,2,3,4,5,6,7,8,9,10,11,12},1),{5,4,3,2,9,8,7,6,5,4,3,2}),11)),VALUE(MID(G1651,14,1))=IF(MOD(SUMPRODUCT(--MID(G1651,{1,2,3,4,5,6,7,8,9,10,11,12,13},1),{6,5,4,3,2,9,8,7,6,5,4,3,2}),11)&lt;2,0,11-MOD(SUMPRODUCT(--MID(G1651,{1,2,3,4,5,6,7,8,9,10,11,12,13},1),{6,5,4,3,2,9,8,7,6,5,4,3,2}),11))),"OK","AVISO: dígito verificador (conferir na org)"))))</f>
      </c>
      <c r="I1651" s="6">
        <f>IF(G1651="","",IF(COUNTIF($G$2:$G$2001,G1651)&gt;1,"DUPLICADO","OK"))</f>
      </c>
      <c r="J1651" s="6">
        <f>IF(COUNTA(A1651:F1651)=0,"",IF(AND(A1651&lt;&gt;"",E1651&lt;&gt;""),"OK","ERRO: faltam "&amp;IF(A1651="","CNPJ; ","")&amp;IF(E1651="","Novo gerente; ","")))</f>
      </c>
      <c r="K1651" s="6">
        <f>IF(COUNTA(A1651:F1651)=0,"",IF(AND(LEFT(H1651,4)&lt;&gt;"ERRO",I1651="OK",J1651="OK"),"OK","REVISAR"))</f>
      </c>
    </row>
    <row r="1652">
      <c r="A1652" s="5"/>
      <c r="B1652" s="4"/>
      <c r="C1652" s="4"/>
      <c r="D1652" s="4"/>
      <c r="E1652" s="5"/>
      <c r="F1652" s="4"/>
      <c r="G1652" s="6">
        <f>IF(A1652="","",SUBSTITUTE(SUBSTITUTE(SUBSTITUTE(SUBSTITUTE(SUBSTITUTE(SUBSTITUTE(SUBSTITUTE(TRIM(A1652),".",""),"/",""),"-","")," ",""),"(",""),")",""),"+",""))</f>
      </c>
      <c r="H1652" s="6">
        <f>IF(G1652="","",IF(LEN(G1652)&lt;&gt;14,"ERRO: "&amp;LEN(G1652)&amp;" dígitos",IF(NOT(ISNUMBER(VALUE(G1652))),"ERRO: não numérico",IF(AND(VALUE(MID(G1652,13,1))=IF(MOD(SUMPRODUCT(--MID(G1652,{1,2,3,4,5,6,7,8,9,10,11,12},1),{5,4,3,2,9,8,7,6,5,4,3,2}),11)&lt;2,0,11-MOD(SUMPRODUCT(--MID(G1652,{1,2,3,4,5,6,7,8,9,10,11,12},1),{5,4,3,2,9,8,7,6,5,4,3,2}),11)),VALUE(MID(G1652,14,1))=IF(MOD(SUMPRODUCT(--MID(G1652,{1,2,3,4,5,6,7,8,9,10,11,12,13},1),{6,5,4,3,2,9,8,7,6,5,4,3,2}),11)&lt;2,0,11-MOD(SUMPRODUCT(--MID(G1652,{1,2,3,4,5,6,7,8,9,10,11,12,13},1),{6,5,4,3,2,9,8,7,6,5,4,3,2}),11))),"OK","AVISO: dígito verificador (conferir na org)"))))</f>
      </c>
      <c r="I1652" s="6">
        <f>IF(G1652="","",IF(COUNTIF($G$2:$G$2001,G1652)&gt;1,"DUPLICADO","OK"))</f>
      </c>
      <c r="J1652" s="6">
        <f>IF(COUNTA(A1652:F1652)=0,"",IF(AND(A1652&lt;&gt;"",E1652&lt;&gt;""),"OK","ERRO: faltam "&amp;IF(A1652="","CNPJ; ","")&amp;IF(E1652="","Novo gerente; ","")))</f>
      </c>
      <c r="K1652" s="6">
        <f>IF(COUNTA(A1652:F1652)=0,"",IF(AND(LEFT(H1652,4)&lt;&gt;"ERRO",I1652="OK",J1652="OK"),"OK","REVISAR"))</f>
      </c>
    </row>
    <row r="1653">
      <c r="A1653" s="5"/>
      <c r="B1653" s="4"/>
      <c r="C1653" s="4"/>
      <c r="D1653" s="4"/>
      <c r="E1653" s="5"/>
      <c r="F1653" s="4"/>
      <c r="G1653" s="6">
        <f>IF(A1653="","",SUBSTITUTE(SUBSTITUTE(SUBSTITUTE(SUBSTITUTE(SUBSTITUTE(SUBSTITUTE(SUBSTITUTE(TRIM(A1653),".",""),"/",""),"-","")," ",""),"(",""),")",""),"+",""))</f>
      </c>
      <c r="H1653" s="6">
        <f>IF(G1653="","",IF(LEN(G1653)&lt;&gt;14,"ERRO: "&amp;LEN(G1653)&amp;" dígitos",IF(NOT(ISNUMBER(VALUE(G1653))),"ERRO: não numérico",IF(AND(VALUE(MID(G1653,13,1))=IF(MOD(SUMPRODUCT(--MID(G1653,{1,2,3,4,5,6,7,8,9,10,11,12},1),{5,4,3,2,9,8,7,6,5,4,3,2}),11)&lt;2,0,11-MOD(SUMPRODUCT(--MID(G1653,{1,2,3,4,5,6,7,8,9,10,11,12},1),{5,4,3,2,9,8,7,6,5,4,3,2}),11)),VALUE(MID(G1653,14,1))=IF(MOD(SUMPRODUCT(--MID(G1653,{1,2,3,4,5,6,7,8,9,10,11,12,13},1),{6,5,4,3,2,9,8,7,6,5,4,3,2}),11)&lt;2,0,11-MOD(SUMPRODUCT(--MID(G1653,{1,2,3,4,5,6,7,8,9,10,11,12,13},1),{6,5,4,3,2,9,8,7,6,5,4,3,2}),11))),"OK","AVISO: dígito verificador (conferir na org)"))))</f>
      </c>
      <c r="I1653" s="6">
        <f>IF(G1653="","",IF(COUNTIF($G$2:$G$2001,G1653)&gt;1,"DUPLICADO","OK"))</f>
      </c>
      <c r="J1653" s="6">
        <f>IF(COUNTA(A1653:F1653)=0,"",IF(AND(A1653&lt;&gt;"",E1653&lt;&gt;""),"OK","ERRO: faltam "&amp;IF(A1653="","CNPJ; ","")&amp;IF(E1653="","Novo gerente; ","")))</f>
      </c>
      <c r="K1653" s="6">
        <f>IF(COUNTA(A1653:F1653)=0,"",IF(AND(LEFT(H1653,4)&lt;&gt;"ERRO",I1653="OK",J1653="OK"),"OK","REVISAR"))</f>
      </c>
    </row>
    <row r="1654">
      <c r="A1654" s="5"/>
      <c r="B1654" s="4"/>
      <c r="C1654" s="4"/>
      <c r="D1654" s="4"/>
      <c r="E1654" s="5"/>
      <c r="F1654" s="4"/>
      <c r="G1654" s="6">
        <f>IF(A1654="","",SUBSTITUTE(SUBSTITUTE(SUBSTITUTE(SUBSTITUTE(SUBSTITUTE(SUBSTITUTE(SUBSTITUTE(TRIM(A1654),".",""),"/",""),"-","")," ",""),"(",""),")",""),"+",""))</f>
      </c>
      <c r="H1654" s="6">
        <f>IF(G1654="","",IF(LEN(G1654)&lt;&gt;14,"ERRO: "&amp;LEN(G1654)&amp;" dígitos",IF(NOT(ISNUMBER(VALUE(G1654))),"ERRO: não numérico",IF(AND(VALUE(MID(G1654,13,1))=IF(MOD(SUMPRODUCT(--MID(G1654,{1,2,3,4,5,6,7,8,9,10,11,12},1),{5,4,3,2,9,8,7,6,5,4,3,2}),11)&lt;2,0,11-MOD(SUMPRODUCT(--MID(G1654,{1,2,3,4,5,6,7,8,9,10,11,12},1),{5,4,3,2,9,8,7,6,5,4,3,2}),11)),VALUE(MID(G1654,14,1))=IF(MOD(SUMPRODUCT(--MID(G1654,{1,2,3,4,5,6,7,8,9,10,11,12,13},1),{6,5,4,3,2,9,8,7,6,5,4,3,2}),11)&lt;2,0,11-MOD(SUMPRODUCT(--MID(G1654,{1,2,3,4,5,6,7,8,9,10,11,12,13},1),{6,5,4,3,2,9,8,7,6,5,4,3,2}),11))),"OK","AVISO: dígito verificador (conferir na org)"))))</f>
      </c>
      <c r="I1654" s="6">
        <f>IF(G1654="","",IF(COUNTIF($G$2:$G$2001,G1654)&gt;1,"DUPLICADO","OK"))</f>
      </c>
      <c r="J1654" s="6">
        <f>IF(COUNTA(A1654:F1654)=0,"",IF(AND(A1654&lt;&gt;"",E1654&lt;&gt;""),"OK","ERRO: faltam "&amp;IF(A1654="","CNPJ; ","")&amp;IF(E1654="","Novo gerente; ","")))</f>
      </c>
      <c r="K1654" s="6">
        <f>IF(COUNTA(A1654:F1654)=0,"",IF(AND(LEFT(H1654,4)&lt;&gt;"ERRO",I1654="OK",J1654="OK"),"OK","REVISAR"))</f>
      </c>
    </row>
    <row r="1655">
      <c r="A1655" s="5"/>
      <c r="B1655" s="4"/>
      <c r="C1655" s="4"/>
      <c r="D1655" s="4"/>
      <c r="E1655" s="5"/>
      <c r="F1655" s="4"/>
      <c r="G1655" s="6">
        <f>IF(A1655="","",SUBSTITUTE(SUBSTITUTE(SUBSTITUTE(SUBSTITUTE(SUBSTITUTE(SUBSTITUTE(SUBSTITUTE(TRIM(A1655),".",""),"/",""),"-","")," ",""),"(",""),")",""),"+",""))</f>
      </c>
      <c r="H1655" s="6">
        <f>IF(G1655="","",IF(LEN(G1655)&lt;&gt;14,"ERRO: "&amp;LEN(G1655)&amp;" dígitos",IF(NOT(ISNUMBER(VALUE(G1655))),"ERRO: não numérico",IF(AND(VALUE(MID(G1655,13,1))=IF(MOD(SUMPRODUCT(--MID(G1655,{1,2,3,4,5,6,7,8,9,10,11,12},1),{5,4,3,2,9,8,7,6,5,4,3,2}),11)&lt;2,0,11-MOD(SUMPRODUCT(--MID(G1655,{1,2,3,4,5,6,7,8,9,10,11,12},1),{5,4,3,2,9,8,7,6,5,4,3,2}),11)),VALUE(MID(G1655,14,1))=IF(MOD(SUMPRODUCT(--MID(G1655,{1,2,3,4,5,6,7,8,9,10,11,12,13},1),{6,5,4,3,2,9,8,7,6,5,4,3,2}),11)&lt;2,0,11-MOD(SUMPRODUCT(--MID(G1655,{1,2,3,4,5,6,7,8,9,10,11,12,13},1),{6,5,4,3,2,9,8,7,6,5,4,3,2}),11))),"OK","AVISO: dígito verificador (conferir na org)"))))</f>
      </c>
      <c r="I1655" s="6">
        <f>IF(G1655="","",IF(COUNTIF($G$2:$G$2001,G1655)&gt;1,"DUPLICADO","OK"))</f>
      </c>
      <c r="J1655" s="6">
        <f>IF(COUNTA(A1655:F1655)=0,"",IF(AND(A1655&lt;&gt;"",E1655&lt;&gt;""),"OK","ERRO: faltam "&amp;IF(A1655="","CNPJ; ","")&amp;IF(E1655="","Novo gerente; ","")))</f>
      </c>
      <c r="K1655" s="6">
        <f>IF(COUNTA(A1655:F1655)=0,"",IF(AND(LEFT(H1655,4)&lt;&gt;"ERRO",I1655="OK",J1655="OK"),"OK","REVISAR"))</f>
      </c>
    </row>
    <row r="1656">
      <c r="A1656" s="5"/>
      <c r="B1656" s="4"/>
      <c r="C1656" s="4"/>
      <c r="D1656" s="4"/>
      <c r="E1656" s="5"/>
      <c r="F1656" s="4"/>
      <c r="G1656" s="6">
        <f>IF(A1656="","",SUBSTITUTE(SUBSTITUTE(SUBSTITUTE(SUBSTITUTE(SUBSTITUTE(SUBSTITUTE(SUBSTITUTE(TRIM(A1656),".",""),"/",""),"-","")," ",""),"(",""),")",""),"+",""))</f>
      </c>
      <c r="H1656" s="6">
        <f>IF(G1656="","",IF(LEN(G1656)&lt;&gt;14,"ERRO: "&amp;LEN(G1656)&amp;" dígitos",IF(NOT(ISNUMBER(VALUE(G1656))),"ERRO: não numérico",IF(AND(VALUE(MID(G1656,13,1))=IF(MOD(SUMPRODUCT(--MID(G1656,{1,2,3,4,5,6,7,8,9,10,11,12},1),{5,4,3,2,9,8,7,6,5,4,3,2}),11)&lt;2,0,11-MOD(SUMPRODUCT(--MID(G1656,{1,2,3,4,5,6,7,8,9,10,11,12},1),{5,4,3,2,9,8,7,6,5,4,3,2}),11)),VALUE(MID(G1656,14,1))=IF(MOD(SUMPRODUCT(--MID(G1656,{1,2,3,4,5,6,7,8,9,10,11,12,13},1),{6,5,4,3,2,9,8,7,6,5,4,3,2}),11)&lt;2,0,11-MOD(SUMPRODUCT(--MID(G1656,{1,2,3,4,5,6,7,8,9,10,11,12,13},1),{6,5,4,3,2,9,8,7,6,5,4,3,2}),11))),"OK","AVISO: dígito verificador (conferir na org)"))))</f>
      </c>
      <c r="I1656" s="6">
        <f>IF(G1656="","",IF(COUNTIF($G$2:$G$2001,G1656)&gt;1,"DUPLICADO","OK"))</f>
      </c>
      <c r="J1656" s="6">
        <f>IF(COUNTA(A1656:F1656)=0,"",IF(AND(A1656&lt;&gt;"",E1656&lt;&gt;""),"OK","ERRO: faltam "&amp;IF(A1656="","CNPJ; ","")&amp;IF(E1656="","Novo gerente; ","")))</f>
      </c>
      <c r="K1656" s="6">
        <f>IF(COUNTA(A1656:F1656)=0,"",IF(AND(LEFT(H1656,4)&lt;&gt;"ERRO",I1656="OK",J1656="OK"),"OK","REVISAR"))</f>
      </c>
    </row>
    <row r="1657">
      <c r="A1657" s="5"/>
      <c r="B1657" s="4"/>
      <c r="C1657" s="4"/>
      <c r="D1657" s="4"/>
      <c r="E1657" s="5"/>
      <c r="F1657" s="4"/>
      <c r="G1657" s="6">
        <f>IF(A1657="","",SUBSTITUTE(SUBSTITUTE(SUBSTITUTE(SUBSTITUTE(SUBSTITUTE(SUBSTITUTE(SUBSTITUTE(TRIM(A1657),".",""),"/",""),"-","")," ",""),"(",""),")",""),"+",""))</f>
      </c>
      <c r="H1657" s="6">
        <f>IF(G1657="","",IF(LEN(G1657)&lt;&gt;14,"ERRO: "&amp;LEN(G1657)&amp;" dígitos",IF(NOT(ISNUMBER(VALUE(G1657))),"ERRO: não numérico",IF(AND(VALUE(MID(G1657,13,1))=IF(MOD(SUMPRODUCT(--MID(G1657,{1,2,3,4,5,6,7,8,9,10,11,12},1),{5,4,3,2,9,8,7,6,5,4,3,2}),11)&lt;2,0,11-MOD(SUMPRODUCT(--MID(G1657,{1,2,3,4,5,6,7,8,9,10,11,12},1),{5,4,3,2,9,8,7,6,5,4,3,2}),11)),VALUE(MID(G1657,14,1))=IF(MOD(SUMPRODUCT(--MID(G1657,{1,2,3,4,5,6,7,8,9,10,11,12,13},1),{6,5,4,3,2,9,8,7,6,5,4,3,2}),11)&lt;2,0,11-MOD(SUMPRODUCT(--MID(G1657,{1,2,3,4,5,6,7,8,9,10,11,12,13},1),{6,5,4,3,2,9,8,7,6,5,4,3,2}),11))),"OK","AVISO: dígito verificador (conferir na org)"))))</f>
      </c>
      <c r="I1657" s="6">
        <f>IF(G1657="","",IF(COUNTIF($G$2:$G$2001,G1657)&gt;1,"DUPLICADO","OK"))</f>
      </c>
      <c r="J1657" s="6">
        <f>IF(COUNTA(A1657:F1657)=0,"",IF(AND(A1657&lt;&gt;"",E1657&lt;&gt;""),"OK","ERRO: faltam "&amp;IF(A1657="","CNPJ; ","")&amp;IF(E1657="","Novo gerente; ","")))</f>
      </c>
      <c r="K1657" s="6">
        <f>IF(COUNTA(A1657:F1657)=0,"",IF(AND(LEFT(H1657,4)&lt;&gt;"ERRO",I1657="OK",J1657="OK"),"OK","REVISAR"))</f>
      </c>
    </row>
    <row r="1658">
      <c r="A1658" s="5"/>
      <c r="B1658" s="4"/>
      <c r="C1658" s="4"/>
      <c r="D1658" s="4"/>
      <c r="E1658" s="5"/>
      <c r="F1658" s="4"/>
      <c r="G1658" s="6">
        <f>IF(A1658="","",SUBSTITUTE(SUBSTITUTE(SUBSTITUTE(SUBSTITUTE(SUBSTITUTE(SUBSTITUTE(SUBSTITUTE(TRIM(A1658),".",""),"/",""),"-","")," ",""),"(",""),")",""),"+",""))</f>
      </c>
      <c r="H1658" s="6">
        <f>IF(G1658="","",IF(LEN(G1658)&lt;&gt;14,"ERRO: "&amp;LEN(G1658)&amp;" dígitos",IF(NOT(ISNUMBER(VALUE(G1658))),"ERRO: não numérico",IF(AND(VALUE(MID(G1658,13,1))=IF(MOD(SUMPRODUCT(--MID(G1658,{1,2,3,4,5,6,7,8,9,10,11,12},1),{5,4,3,2,9,8,7,6,5,4,3,2}),11)&lt;2,0,11-MOD(SUMPRODUCT(--MID(G1658,{1,2,3,4,5,6,7,8,9,10,11,12},1),{5,4,3,2,9,8,7,6,5,4,3,2}),11)),VALUE(MID(G1658,14,1))=IF(MOD(SUMPRODUCT(--MID(G1658,{1,2,3,4,5,6,7,8,9,10,11,12,13},1),{6,5,4,3,2,9,8,7,6,5,4,3,2}),11)&lt;2,0,11-MOD(SUMPRODUCT(--MID(G1658,{1,2,3,4,5,6,7,8,9,10,11,12,13},1),{6,5,4,3,2,9,8,7,6,5,4,3,2}),11))),"OK","AVISO: dígito verificador (conferir na org)"))))</f>
      </c>
      <c r="I1658" s="6">
        <f>IF(G1658="","",IF(COUNTIF($G$2:$G$2001,G1658)&gt;1,"DUPLICADO","OK"))</f>
      </c>
      <c r="J1658" s="6">
        <f>IF(COUNTA(A1658:F1658)=0,"",IF(AND(A1658&lt;&gt;"",E1658&lt;&gt;""),"OK","ERRO: faltam "&amp;IF(A1658="","CNPJ; ","")&amp;IF(E1658="","Novo gerente; ","")))</f>
      </c>
      <c r="K1658" s="6">
        <f>IF(COUNTA(A1658:F1658)=0,"",IF(AND(LEFT(H1658,4)&lt;&gt;"ERRO",I1658="OK",J1658="OK"),"OK","REVISAR"))</f>
      </c>
    </row>
    <row r="1659">
      <c r="A1659" s="5"/>
      <c r="B1659" s="4"/>
      <c r="C1659" s="4"/>
      <c r="D1659" s="4"/>
      <c r="E1659" s="5"/>
      <c r="F1659" s="4"/>
      <c r="G1659" s="6">
        <f>IF(A1659="","",SUBSTITUTE(SUBSTITUTE(SUBSTITUTE(SUBSTITUTE(SUBSTITUTE(SUBSTITUTE(SUBSTITUTE(TRIM(A1659),".",""),"/",""),"-","")," ",""),"(",""),")",""),"+",""))</f>
      </c>
      <c r="H1659" s="6">
        <f>IF(G1659="","",IF(LEN(G1659)&lt;&gt;14,"ERRO: "&amp;LEN(G1659)&amp;" dígitos",IF(NOT(ISNUMBER(VALUE(G1659))),"ERRO: não numérico",IF(AND(VALUE(MID(G1659,13,1))=IF(MOD(SUMPRODUCT(--MID(G1659,{1,2,3,4,5,6,7,8,9,10,11,12},1),{5,4,3,2,9,8,7,6,5,4,3,2}),11)&lt;2,0,11-MOD(SUMPRODUCT(--MID(G1659,{1,2,3,4,5,6,7,8,9,10,11,12},1),{5,4,3,2,9,8,7,6,5,4,3,2}),11)),VALUE(MID(G1659,14,1))=IF(MOD(SUMPRODUCT(--MID(G1659,{1,2,3,4,5,6,7,8,9,10,11,12,13},1),{6,5,4,3,2,9,8,7,6,5,4,3,2}),11)&lt;2,0,11-MOD(SUMPRODUCT(--MID(G1659,{1,2,3,4,5,6,7,8,9,10,11,12,13},1),{6,5,4,3,2,9,8,7,6,5,4,3,2}),11))),"OK","AVISO: dígito verificador (conferir na org)"))))</f>
      </c>
      <c r="I1659" s="6">
        <f>IF(G1659="","",IF(COUNTIF($G$2:$G$2001,G1659)&gt;1,"DUPLICADO","OK"))</f>
      </c>
      <c r="J1659" s="6">
        <f>IF(COUNTA(A1659:F1659)=0,"",IF(AND(A1659&lt;&gt;"",E1659&lt;&gt;""),"OK","ERRO: faltam "&amp;IF(A1659="","CNPJ; ","")&amp;IF(E1659="","Novo gerente; ","")))</f>
      </c>
      <c r="K1659" s="6">
        <f>IF(COUNTA(A1659:F1659)=0,"",IF(AND(LEFT(H1659,4)&lt;&gt;"ERRO",I1659="OK",J1659="OK"),"OK","REVISAR"))</f>
      </c>
    </row>
    <row r="1660">
      <c r="A1660" s="5"/>
      <c r="B1660" s="4"/>
      <c r="C1660" s="4"/>
      <c r="D1660" s="4"/>
      <c r="E1660" s="5"/>
      <c r="F1660" s="4"/>
      <c r="G1660" s="6">
        <f>IF(A1660="","",SUBSTITUTE(SUBSTITUTE(SUBSTITUTE(SUBSTITUTE(SUBSTITUTE(SUBSTITUTE(SUBSTITUTE(TRIM(A1660),".",""),"/",""),"-","")," ",""),"(",""),")",""),"+",""))</f>
      </c>
      <c r="H1660" s="6">
        <f>IF(G1660="","",IF(LEN(G1660)&lt;&gt;14,"ERRO: "&amp;LEN(G1660)&amp;" dígitos",IF(NOT(ISNUMBER(VALUE(G1660))),"ERRO: não numérico",IF(AND(VALUE(MID(G1660,13,1))=IF(MOD(SUMPRODUCT(--MID(G1660,{1,2,3,4,5,6,7,8,9,10,11,12},1),{5,4,3,2,9,8,7,6,5,4,3,2}),11)&lt;2,0,11-MOD(SUMPRODUCT(--MID(G1660,{1,2,3,4,5,6,7,8,9,10,11,12},1),{5,4,3,2,9,8,7,6,5,4,3,2}),11)),VALUE(MID(G1660,14,1))=IF(MOD(SUMPRODUCT(--MID(G1660,{1,2,3,4,5,6,7,8,9,10,11,12,13},1),{6,5,4,3,2,9,8,7,6,5,4,3,2}),11)&lt;2,0,11-MOD(SUMPRODUCT(--MID(G1660,{1,2,3,4,5,6,7,8,9,10,11,12,13},1),{6,5,4,3,2,9,8,7,6,5,4,3,2}),11))),"OK","AVISO: dígito verificador (conferir na org)"))))</f>
      </c>
      <c r="I1660" s="6">
        <f>IF(G1660="","",IF(COUNTIF($G$2:$G$2001,G1660)&gt;1,"DUPLICADO","OK"))</f>
      </c>
      <c r="J1660" s="6">
        <f>IF(COUNTA(A1660:F1660)=0,"",IF(AND(A1660&lt;&gt;"",E1660&lt;&gt;""),"OK","ERRO: faltam "&amp;IF(A1660="","CNPJ; ","")&amp;IF(E1660="","Novo gerente; ","")))</f>
      </c>
      <c r="K1660" s="6">
        <f>IF(COUNTA(A1660:F1660)=0,"",IF(AND(LEFT(H1660,4)&lt;&gt;"ERRO",I1660="OK",J1660="OK"),"OK","REVISAR"))</f>
      </c>
    </row>
    <row r="1661">
      <c r="A1661" s="5"/>
      <c r="B1661" s="4"/>
      <c r="C1661" s="4"/>
      <c r="D1661" s="4"/>
      <c r="E1661" s="5"/>
      <c r="F1661" s="4"/>
      <c r="G1661" s="6">
        <f>IF(A1661="","",SUBSTITUTE(SUBSTITUTE(SUBSTITUTE(SUBSTITUTE(SUBSTITUTE(SUBSTITUTE(SUBSTITUTE(TRIM(A1661),".",""),"/",""),"-","")," ",""),"(",""),")",""),"+",""))</f>
      </c>
      <c r="H1661" s="6">
        <f>IF(G1661="","",IF(LEN(G1661)&lt;&gt;14,"ERRO: "&amp;LEN(G1661)&amp;" dígitos",IF(NOT(ISNUMBER(VALUE(G1661))),"ERRO: não numérico",IF(AND(VALUE(MID(G1661,13,1))=IF(MOD(SUMPRODUCT(--MID(G1661,{1,2,3,4,5,6,7,8,9,10,11,12},1),{5,4,3,2,9,8,7,6,5,4,3,2}),11)&lt;2,0,11-MOD(SUMPRODUCT(--MID(G1661,{1,2,3,4,5,6,7,8,9,10,11,12},1),{5,4,3,2,9,8,7,6,5,4,3,2}),11)),VALUE(MID(G1661,14,1))=IF(MOD(SUMPRODUCT(--MID(G1661,{1,2,3,4,5,6,7,8,9,10,11,12,13},1),{6,5,4,3,2,9,8,7,6,5,4,3,2}),11)&lt;2,0,11-MOD(SUMPRODUCT(--MID(G1661,{1,2,3,4,5,6,7,8,9,10,11,12,13},1),{6,5,4,3,2,9,8,7,6,5,4,3,2}),11))),"OK","AVISO: dígito verificador (conferir na org)"))))</f>
      </c>
      <c r="I1661" s="6">
        <f>IF(G1661="","",IF(COUNTIF($G$2:$G$2001,G1661)&gt;1,"DUPLICADO","OK"))</f>
      </c>
      <c r="J1661" s="6">
        <f>IF(COUNTA(A1661:F1661)=0,"",IF(AND(A1661&lt;&gt;"",E1661&lt;&gt;""),"OK","ERRO: faltam "&amp;IF(A1661="","CNPJ; ","")&amp;IF(E1661="","Novo gerente; ","")))</f>
      </c>
      <c r="K1661" s="6">
        <f>IF(COUNTA(A1661:F1661)=0,"",IF(AND(LEFT(H1661,4)&lt;&gt;"ERRO",I1661="OK",J1661="OK"),"OK","REVISAR"))</f>
      </c>
    </row>
    <row r="1662">
      <c r="A1662" s="5"/>
      <c r="B1662" s="4"/>
      <c r="C1662" s="4"/>
      <c r="D1662" s="4"/>
      <c r="E1662" s="5"/>
      <c r="F1662" s="4"/>
      <c r="G1662" s="6">
        <f>IF(A1662="","",SUBSTITUTE(SUBSTITUTE(SUBSTITUTE(SUBSTITUTE(SUBSTITUTE(SUBSTITUTE(SUBSTITUTE(TRIM(A1662),".",""),"/",""),"-","")," ",""),"(",""),")",""),"+",""))</f>
      </c>
      <c r="H1662" s="6">
        <f>IF(G1662="","",IF(LEN(G1662)&lt;&gt;14,"ERRO: "&amp;LEN(G1662)&amp;" dígitos",IF(NOT(ISNUMBER(VALUE(G1662))),"ERRO: não numérico",IF(AND(VALUE(MID(G1662,13,1))=IF(MOD(SUMPRODUCT(--MID(G1662,{1,2,3,4,5,6,7,8,9,10,11,12},1),{5,4,3,2,9,8,7,6,5,4,3,2}),11)&lt;2,0,11-MOD(SUMPRODUCT(--MID(G1662,{1,2,3,4,5,6,7,8,9,10,11,12},1),{5,4,3,2,9,8,7,6,5,4,3,2}),11)),VALUE(MID(G1662,14,1))=IF(MOD(SUMPRODUCT(--MID(G1662,{1,2,3,4,5,6,7,8,9,10,11,12,13},1),{6,5,4,3,2,9,8,7,6,5,4,3,2}),11)&lt;2,0,11-MOD(SUMPRODUCT(--MID(G1662,{1,2,3,4,5,6,7,8,9,10,11,12,13},1),{6,5,4,3,2,9,8,7,6,5,4,3,2}),11))),"OK","AVISO: dígito verificador (conferir na org)"))))</f>
      </c>
      <c r="I1662" s="6">
        <f>IF(G1662="","",IF(COUNTIF($G$2:$G$2001,G1662)&gt;1,"DUPLICADO","OK"))</f>
      </c>
      <c r="J1662" s="6">
        <f>IF(COUNTA(A1662:F1662)=0,"",IF(AND(A1662&lt;&gt;"",E1662&lt;&gt;""),"OK","ERRO: faltam "&amp;IF(A1662="","CNPJ; ","")&amp;IF(E1662="","Novo gerente; ","")))</f>
      </c>
      <c r="K1662" s="6">
        <f>IF(COUNTA(A1662:F1662)=0,"",IF(AND(LEFT(H1662,4)&lt;&gt;"ERRO",I1662="OK",J1662="OK"),"OK","REVISAR"))</f>
      </c>
    </row>
    <row r="1663">
      <c r="A1663" s="5"/>
      <c r="B1663" s="4"/>
      <c r="C1663" s="4"/>
      <c r="D1663" s="4"/>
      <c r="E1663" s="5"/>
      <c r="F1663" s="4"/>
      <c r="G1663" s="6">
        <f>IF(A1663="","",SUBSTITUTE(SUBSTITUTE(SUBSTITUTE(SUBSTITUTE(SUBSTITUTE(SUBSTITUTE(SUBSTITUTE(TRIM(A1663),".",""),"/",""),"-","")," ",""),"(",""),")",""),"+",""))</f>
      </c>
      <c r="H1663" s="6">
        <f>IF(G1663="","",IF(LEN(G1663)&lt;&gt;14,"ERRO: "&amp;LEN(G1663)&amp;" dígitos",IF(NOT(ISNUMBER(VALUE(G1663))),"ERRO: não numérico",IF(AND(VALUE(MID(G1663,13,1))=IF(MOD(SUMPRODUCT(--MID(G1663,{1,2,3,4,5,6,7,8,9,10,11,12},1),{5,4,3,2,9,8,7,6,5,4,3,2}),11)&lt;2,0,11-MOD(SUMPRODUCT(--MID(G1663,{1,2,3,4,5,6,7,8,9,10,11,12},1),{5,4,3,2,9,8,7,6,5,4,3,2}),11)),VALUE(MID(G1663,14,1))=IF(MOD(SUMPRODUCT(--MID(G1663,{1,2,3,4,5,6,7,8,9,10,11,12,13},1),{6,5,4,3,2,9,8,7,6,5,4,3,2}),11)&lt;2,0,11-MOD(SUMPRODUCT(--MID(G1663,{1,2,3,4,5,6,7,8,9,10,11,12,13},1),{6,5,4,3,2,9,8,7,6,5,4,3,2}),11))),"OK","AVISO: dígito verificador (conferir na org)"))))</f>
      </c>
      <c r="I1663" s="6">
        <f>IF(G1663="","",IF(COUNTIF($G$2:$G$2001,G1663)&gt;1,"DUPLICADO","OK"))</f>
      </c>
      <c r="J1663" s="6">
        <f>IF(COUNTA(A1663:F1663)=0,"",IF(AND(A1663&lt;&gt;"",E1663&lt;&gt;""),"OK","ERRO: faltam "&amp;IF(A1663="","CNPJ; ","")&amp;IF(E1663="","Novo gerente; ","")))</f>
      </c>
      <c r="K1663" s="6">
        <f>IF(COUNTA(A1663:F1663)=0,"",IF(AND(LEFT(H1663,4)&lt;&gt;"ERRO",I1663="OK",J1663="OK"),"OK","REVISAR"))</f>
      </c>
    </row>
    <row r="1664">
      <c r="A1664" s="5"/>
      <c r="B1664" s="4"/>
      <c r="C1664" s="4"/>
      <c r="D1664" s="4"/>
      <c r="E1664" s="5"/>
      <c r="F1664" s="4"/>
      <c r="G1664" s="6">
        <f>IF(A1664="","",SUBSTITUTE(SUBSTITUTE(SUBSTITUTE(SUBSTITUTE(SUBSTITUTE(SUBSTITUTE(SUBSTITUTE(TRIM(A1664),".",""),"/",""),"-","")," ",""),"(",""),")",""),"+",""))</f>
      </c>
      <c r="H1664" s="6">
        <f>IF(G1664="","",IF(LEN(G1664)&lt;&gt;14,"ERRO: "&amp;LEN(G1664)&amp;" dígitos",IF(NOT(ISNUMBER(VALUE(G1664))),"ERRO: não numérico",IF(AND(VALUE(MID(G1664,13,1))=IF(MOD(SUMPRODUCT(--MID(G1664,{1,2,3,4,5,6,7,8,9,10,11,12},1),{5,4,3,2,9,8,7,6,5,4,3,2}),11)&lt;2,0,11-MOD(SUMPRODUCT(--MID(G1664,{1,2,3,4,5,6,7,8,9,10,11,12},1),{5,4,3,2,9,8,7,6,5,4,3,2}),11)),VALUE(MID(G1664,14,1))=IF(MOD(SUMPRODUCT(--MID(G1664,{1,2,3,4,5,6,7,8,9,10,11,12,13},1),{6,5,4,3,2,9,8,7,6,5,4,3,2}),11)&lt;2,0,11-MOD(SUMPRODUCT(--MID(G1664,{1,2,3,4,5,6,7,8,9,10,11,12,13},1),{6,5,4,3,2,9,8,7,6,5,4,3,2}),11))),"OK","AVISO: dígito verificador (conferir na org)"))))</f>
      </c>
      <c r="I1664" s="6">
        <f>IF(G1664="","",IF(COUNTIF($G$2:$G$2001,G1664)&gt;1,"DUPLICADO","OK"))</f>
      </c>
      <c r="J1664" s="6">
        <f>IF(COUNTA(A1664:F1664)=0,"",IF(AND(A1664&lt;&gt;"",E1664&lt;&gt;""),"OK","ERRO: faltam "&amp;IF(A1664="","CNPJ; ","")&amp;IF(E1664="","Novo gerente; ","")))</f>
      </c>
      <c r="K1664" s="6">
        <f>IF(COUNTA(A1664:F1664)=0,"",IF(AND(LEFT(H1664,4)&lt;&gt;"ERRO",I1664="OK",J1664="OK"),"OK","REVISAR"))</f>
      </c>
    </row>
    <row r="1665">
      <c r="A1665" s="5"/>
      <c r="B1665" s="4"/>
      <c r="C1665" s="4"/>
      <c r="D1665" s="4"/>
      <c r="E1665" s="5"/>
      <c r="F1665" s="4"/>
      <c r="G1665" s="6">
        <f>IF(A1665="","",SUBSTITUTE(SUBSTITUTE(SUBSTITUTE(SUBSTITUTE(SUBSTITUTE(SUBSTITUTE(SUBSTITUTE(TRIM(A1665),".",""),"/",""),"-","")," ",""),"(",""),")",""),"+",""))</f>
      </c>
      <c r="H1665" s="6">
        <f>IF(G1665="","",IF(LEN(G1665)&lt;&gt;14,"ERRO: "&amp;LEN(G1665)&amp;" dígitos",IF(NOT(ISNUMBER(VALUE(G1665))),"ERRO: não numérico",IF(AND(VALUE(MID(G1665,13,1))=IF(MOD(SUMPRODUCT(--MID(G1665,{1,2,3,4,5,6,7,8,9,10,11,12},1),{5,4,3,2,9,8,7,6,5,4,3,2}),11)&lt;2,0,11-MOD(SUMPRODUCT(--MID(G1665,{1,2,3,4,5,6,7,8,9,10,11,12},1),{5,4,3,2,9,8,7,6,5,4,3,2}),11)),VALUE(MID(G1665,14,1))=IF(MOD(SUMPRODUCT(--MID(G1665,{1,2,3,4,5,6,7,8,9,10,11,12,13},1),{6,5,4,3,2,9,8,7,6,5,4,3,2}),11)&lt;2,0,11-MOD(SUMPRODUCT(--MID(G1665,{1,2,3,4,5,6,7,8,9,10,11,12,13},1),{6,5,4,3,2,9,8,7,6,5,4,3,2}),11))),"OK","AVISO: dígito verificador (conferir na org)"))))</f>
      </c>
      <c r="I1665" s="6">
        <f>IF(G1665="","",IF(COUNTIF($G$2:$G$2001,G1665)&gt;1,"DUPLICADO","OK"))</f>
      </c>
      <c r="J1665" s="6">
        <f>IF(COUNTA(A1665:F1665)=0,"",IF(AND(A1665&lt;&gt;"",E1665&lt;&gt;""),"OK","ERRO: faltam "&amp;IF(A1665="","CNPJ; ","")&amp;IF(E1665="","Novo gerente; ","")))</f>
      </c>
      <c r="K1665" s="6">
        <f>IF(COUNTA(A1665:F1665)=0,"",IF(AND(LEFT(H1665,4)&lt;&gt;"ERRO",I1665="OK",J1665="OK"),"OK","REVISAR"))</f>
      </c>
    </row>
    <row r="1666">
      <c r="A1666" s="5"/>
      <c r="B1666" s="4"/>
      <c r="C1666" s="4"/>
      <c r="D1666" s="4"/>
      <c r="E1666" s="5"/>
      <c r="F1666" s="4"/>
      <c r="G1666" s="6">
        <f>IF(A1666="","",SUBSTITUTE(SUBSTITUTE(SUBSTITUTE(SUBSTITUTE(SUBSTITUTE(SUBSTITUTE(SUBSTITUTE(TRIM(A1666),".",""),"/",""),"-","")," ",""),"(",""),")",""),"+",""))</f>
      </c>
      <c r="H1666" s="6">
        <f>IF(G1666="","",IF(LEN(G1666)&lt;&gt;14,"ERRO: "&amp;LEN(G1666)&amp;" dígitos",IF(NOT(ISNUMBER(VALUE(G1666))),"ERRO: não numérico",IF(AND(VALUE(MID(G1666,13,1))=IF(MOD(SUMPRODUCT(--MID(G1666,{1,2,3,4,5,6,7,8,9,10,11,12},1),{5,4,3,2,9,8,7,6,5,4,3,2}),11)&lt;2,0,11-MOD(SUMPRODUCT(--MID(G1666,{1,2,3,4,5,6,7,8,9,10,11,12},1),{5,4,3,2,9,8,7,6,5,4,3,2}),11)),VALUE(MID(G1666,14,1))=IF(MOD(SUMPRODUCT(--MID(G1666,{1,2,3,4,5,6,7,8,9,10,11,12,13},1),{6,5,4,3,2,9,8,7,6,5,4,3,2}),11)&lt;2,0,11-MOD(SUMPRODUCT(--MID(G1666,{1,2,3,4,5,6,7,8,9,10,11,12,13},1),{6,5,4,3,2,9,8,7,6,5,4,3,2}),11))),"OK","AVISO: dígito verificador (conferir na org)"))))</f>
      </c>
      <c r="I1666" s="6">
        <f>IF(G1666="","",IF(COUNTIF($G$2:$G$2001,G1666)&gt;1,"DUPLICADO","OK"))</f>
      </c>
      <c r="J1666" s="6">
        <f>IF(COUNTA(A1666:F1666)=0,"",IF(AND(A1666&lt;&gt;"",E1666&lt;&gt;""),"OK","ERRO: faltam "&amp;IF(A1666="","CNPJ; ","")&amp;IF(E1666="","Novo gerente; ","")))</f>
      </c>
      <c r="K1666" s="6">
        <f>IF(COUNTA(A1666:F1666)=0,"",IF(AND(LEFT(H1666,4)&lt;&gt;"ERRO",I1666="OK",J1666="OK"),"OK","REVISAR"))</f>
      </c>
    </row>
    <row r="1667">
      <c r="A1667" s="5"/>
      <c r="B1667" s="4"/>
      <c r="C1667" s="4"/>
      <c r="D1667" s="4"/>
      <c r="E1667" s="5"/>
      <c r="F1667" s="4"/>
      <c r="G1667" s="6">
        <f>IF(A1667="","",SUBSTITUTE(SUBSTITUTE(SUBSTITUTE(SUBSTITUTE(SUBSTITUTE(SUBSTITUTE(SUBSTITUTE(TRIM(A1667),".",""),"/",""),"-","")," ",""),"(",""),")",""),"+",""))</f>
      </c>
      <c r="H1667" s="6">
        <f>IF(G1667="","",IF(LEN(G1667)&lt;&gt;14,"ERRO: "&amp;LEN(G1667)&amp;" dígitos",IF(NOT(ISNUMBER(VALUE(G1667))),"ERRO: não numérico",IF(AND(VALUE(MID(G1667,13,1))=IF(MOD(SUMPRODUCT(--MID(G1667,{1,2,3,4,5,6,7,8,9,10,11,12},1),{5,4,3,2,9,8,7,6,5,4,3,2}),11)&lt;2,0,11-MOD(SUMPRODUCT(--MID(G1667,{1,2,3,4,5,6,7,8,9,10,11,12},1),{5,4,3,2,9,8,7,6,5,4,3,2}),11)),VALUE(MID(G1667,14,1))=IF(MOD(SUMPRODUCT(--MID(G1667,{1,2,3,4,5,6,7,8,9,10,11,12,13},1),{6,5,4,3,2,9,8,7,6,5,4,3,2}),11)&lt;2,0,11-MOD(SUMPRODUCT(--MID(G1667,{1,2,3,4,5,6,7,8,9,10,11,12,13},1),{6,5,4,3,2,9,8,7,6,5,4,3,2}),11))),"OK","AVISO: dígito verificador (conferir na org)"))))</f>
      </c>
      <c r="I1667" s="6">
        <f>IF(G1667="","",IF(COUNTIF($G$2:$G$2001,G1667)&gt;1,"DUPLICADO","OK"))</f>
      </c>
      <c r="J1667" s="6">
        <f>IF(COUNTA(A1667:F1667)=0,"",IF(AND(A1667&lt;&gt;"",E1667&lt;&gt;""),"OK","ERRO: faltam "&amp;IF(A1667="","CNPJ; ","")&amp;IF(E1667="","Novo gerente; ","")))</f>
      </c>
      <c r="K1667" s="6">
        <f>IF(COUNTA(A1667:F1667)=0,"",IF(AND(LEFT(H1667,4)&lt;&gt;"ERRO",I1667="OK",J1667="OK"),"OK","REVISAR"))</f>
      </c>
    </row>
    <row r="1668">
      <c r="A1668" s="5"/>
      <c r="B1668" s="4"/>
      <c r="C1668" s="4"/>
      <c r="D1668" s="4"/>
      <c r="E1668" s="5"/>
      <c r="F1668" s="4"/>
      <c r="G1668" s="6">
        <f>IF(A1668="","",SUBSTITUTE(SUBSTITUTE(SUBSTITUTE(SUBSTITUTE(SUBSTITUTE(SUBSTITUTE(SUBSTITUTE(TRIM(A1668),".",""),"/",""),"-","")," ",""),"(",""),")",""),"+",""))</f>
      </c>
      <c r="H1668" s="6">
        <f>IF(G1668="","",IF(LEN(G1668)&lt;&gt;14,"ERRO: "&amp;LEN(G1668)&amp;" dígitos",IF(NOT(ISNUMBER(VALUE(G1668))),"ERRO: não numérico",IF(AND(VALUE(MID(G1668,13,1))=IF(MOD(SUMPRODUCT(--MID(G1668,{1,2,3,4,5,6,7,8,9,10,11,12},1),{5,4,3,2,9,8,7,6,5,4,3,2}),11)&lt;2,0,11-MOD(SUMPRODUCT(--MID(G1668,{1,2,3,4,5,6,7,8,9,10,11,12},1),{5,4,3,2,9,8,7,6,5,4,3,2}),11)),VALUE(MID(G1668,14,1))=IF(MOD(SUMPRODUCT(--MID(G1668,{1,2,3,4,5,6,7,8,9,10,11,12,13},1),{6,5,4,3,2,9,8,7,6,5,4,3,2}),11)&lt;2,0,11-MOD(SUMPRODUCT(--MID(G1668,{1,2,3,4,5,6,7,8,9,10,11,12,13},1),{6,5,4,3,2,9,8,7,6,5,4,3,2}),11))),"OK","AVISO: dígito verificador (conferir na org)"))))</f>
      </c>
      <c r="I1668" s="6">
        <f>IF(G1668="","",IF(COUNTIF($G$2:$G$2001,G1668)&gt;1,"DUPLICADO","OK"))</f>
      </c>
      <c r="J1668" s="6">
        <f>IF(COUNTA(A1668:F1668)=0,"",IF(AND(A1668&lt;&gt;"",E1668&lt;&gt;""),"OK","ERRO: faltam "&amp;IF(A1668="","CNPJ; ","")&amp;IF(E1668="","Novo gerente; ","")))</f>
      </c>
      <c r="K1668" s="6">
        <f>IF(COUNTA(A1668:F1668)=0,"",IF(AND(LEFT(H1668,4)&lt;&gt;"ERRO",I1668="OK",J1668="OK"),"OK","REVISAR"))</f>
      </c>
    </row>
    <row r="1669">
      <c r="A1669" s="5"/>
      <c r="B1669" s="4"/>
      <c r="C1669" s="4"/>
      <c r="D1669" s="4"/>
      <c r="E1669" s="5"/>
      <c r="F1669" s="4"/>
      <c r="G1669" s="6">
        <f>IF(A1669="","",SUBSTITUTE(SUBSTITUTE(SUBSTITUTE(SUBSTITUTE(SUBSTITUTE(SUBSTITUTE(SUBSTITUTE(TRIM(A1669),".",""),"/",""),"-","")," ",""),"(",""),")",""),"+",""))</f>
      </c>
      <c r="H1669" s="6">
        <f>IF(G1669="","",IF(LEN(G1669)&lt;&gt;14,"ERRO: "&amp;LEN(G1669)&amp;" dígitos",IF(NOT(ISNUMBER(VALUE(G1669))),"ERRO: não numérico",IF(AND(VALUE(MID(G1669,13,1))=IF(MOD(SUMPRODUCT(--MID(G1669,{1,2,3,4,5,6,7,8,9,10,11,12},1),{5,4,3,2,9,8,7,6,5,4,3,2}),11)&lt;2,0,11-MOD(SUMPRODUCT(--MID(G1669,{1,2,3,4,5,6,7,8,9,10,11,12},1),{5,4,3,2,9,8,7,6,5,4,3,2}),11)),VALUE(MID(G1669,14,1))=IF(MOD(SUMPRODUCT(--MID(G1669,{1,2,3,4,5,6,7,8,9,10,11,12,13},1),{6,5,4,3,2,9,8,7,6,5,4,3,2}),11)&lt;2,0,11-MOD(SUMPRODUCT(--MID(G1669,{1,2,3,4,5,6,7,8,9,10,11,12,13},1),{6,5,4,3,2,9,8,7,6,5,4,3,2}),11))),"OK","AVISO: dígito verificador (conferir na org)"))))</f>
      </c>
      <c r="I1669" s="6">
        <f>IF(G1669="","",IF(COUNTIF($G$2:$G$2001,G1669)&gt;1,"DUPLICADO","OK"))</f>
      </c>
      <c r="J1669" s="6">
        <f>IF(COUNTA(A1669:F1669)=0,"",IF(AND(A1669&lt;&gt;"",E1669&lt;&gt;""),"OK","ERRO: faltam "&amp;IF(A1669="","CNPJ; ","")&amp;IF(E1669="","Novo gerente; ","")))</f>
      </c>
      <c r="K1669" s="6">
        <f>IF(COUNTA(A1669:F1669)=0,"",IF(AND(LEFT(H1669,4)&lt;&gt;"ERRO",I1669="OK",J1669="OK"),"OK","REVISAR"))</f>
      </c>
    </row>
    <row r="1670">
      <c r="A1670" s="5"/>
      <c r="B1670" s="4"/>
      <c r="C1670" s="4"/>
      <c r="D1670" s="4"/>
      <c r="E1670" s="5"/>
      <c r="F1670" s="4"/>
      <c r="G1670" s="6">
        <f>IF(A1670="","",SUBSTITUTE(SUBSTITUTE(SUBSTITUTE(SUBSTITUTE(SUBSTITUTE(SUBSTITUTE(SUBSTITUTE(TRIM(A1670),".",""),"/",""),"-","")," ",""),"(",""),")",""),"+",""))</f>
      </c>
      <c r="H1670" s="6">
        <f>IF(G1670="","",IF(LEN(G1670)&lt;&gt;14,"ERRO: "&amp;LEN(G1670)&amp;" dígitos",IF(NOT(ISNUMBER(VALUE(G1670))),"ERRO: não numérico",IF(AND(VALUE(MID(G1670,13,1))=IF(MOD(SUMPRODUCT(--MID(G1670,{1,2,3,4,5,6,7,8,9,10,11,12},1),{5,4,3,2,9,8,7,6,5,4,3,2}),11)&lt;2,0,11-MOD(SUMPRODUCT(--MID(G1670,{1,2,3,4,5,6,7,8,9,10,11,12},1),{5,4,3,2,9,8,7,6,5,4,3,2}),11)),VALUE(MID(G1670,14,1))=IF(MOD(SUMPRODUCT(--MID(G1670,{1,2,3,4,5,6,7,8,9,10,11,12,13},1),{6,5,4,3,2,9,8,7,6,5,4,3,2}),11)&lt;2,0,11-MOD(SUMPRODUCT(--MID(G1670,{1,2,3,4,5,6,7,8,9,10,11,12,13},1),{6,5,4,3,2,9,8,7,6,5,4,3,2}),11))),"OK","AVISO: dígito verificador (conferir na org)"))))</f>
      </c>
      <c r="I1670" s="6">
        <f>IF(G1670="","",IF(COUNTIF($G$2:$G$2001,G1670)&gt;1,"DUPLICADO","OK"))</f>
      </c>
      <c r="J1670" s="6">
        <f>IF(COUNTA(A1670:F1670)=0,"",IF(AND(A1670&lt;&gt;"",E1670&lt;&gt;""),"OK","ERRO: faltam "&amp;IF(A1670="","CNPJ; ","")&amp;IF(E1670="","Novo gerente; ","")))</f>
      </c>
      <c r="K1670" s="6">
        <f>IF(COUNTA(A1670:F1670)=0,"",IF(AND(LEFT(H1670,4)&lt;&gt;"ERRO",I1670="OK",J1670="OK"),"OK","REVISAR"))</f>
      </c>
    </row>
    <row r="1671">
      <c r="A1671" s="5"/>
      <c r="B1671" s="4"/>
      <c r="C1671" s="4"/>
      <c r="D1671" s="4"/>
      <c r="E1671" s="5"/>
      <c r="F1671" s="4"/>
      <c r="G1671" s="6">
        <f>IF(A1671="","",SUBSTITUTE(SUBSTITUTE(SUBSTITUTE(SUBSTITUTE(SUBSTITUTE(SUBSTITUTE(SUBSTITUTE(TRIM(A1671),".",""),"/",""),"-","")," ",""),"(",""),")",""),"+",""))</f>
      </c>
      <c r="H1671" s="6">
        <f>IF(G1671="","",IF(LEN(G1671)&lt;&gt;14,"ERRO: "&amp;LEN(G1671)&amp;" dígitos",IF(NOT(ISNUMBER(VALUE(G1671))),"ERRO: não numérico",IF(AND(VALUE(MID(G1671,13,1))=IF(MOD(SUMPRODUCT(--MID(G1671,{1,2,3,4,5,6,7,8,9,10,11,12},1),{5,4,3,2,9,8,7,6,5,4,3,2}),11)&lt;2,0,11-MOD(SUMPRODUCT(--MID(G1671,{1,2,3,4,5,6,7,8,9,10,11,12},1),{5,4,3,2,9,8,7,6,5,4,3,2}),11)),VALUE(MID(G1671,14,1))=IF(MOD(SUMPRODUCT(--MID(G1671,{1,2,3,4,5,6,7,8,9,10,11,12,13},1),{6,5,4,3,2,9,8,7,6,5,4,3,2}),11)&lt;2,0,11-MOD(SUMPRODUCT(--MID(G1671,{1,2,3,4,5,6,7,8,9,10,11,12,13},1),{6,5,4,3,2,9,8,7,6,5,4,3,2}),11))),"OK","AVISO: dígito verificador (conferir na org)"))))</f>
      </c>
      <c r="I1671" s="6">
        <f>IF(G1671="","",IF(COUNTIF($G$2:$G$2001,G1671)&gt;1,"DUPLICADO","OK"))</f>
      </c>
      <c r="J1671" s="6">
        <f>IF(COUNTA(A1671:F1671)=0,"",IF(AND(A1671&lt;&gt;"",E1671&lt;&gt;""),"OK","ERRO: faltam "&amp;IF(A1671="","CNPJ; ","")&amp;IF(E1671="","Novo gerente; ","")))</f>
      </c>
      <c r="K1671" s="6">
        <f>IF(COUNTA(A1671:F1671)=0,"",IF(AND(LEFT(H1671,4)&lt;&gt;"ERRO",I1671="OK",J1671="OK"),"OK","REVISAR"))</f>
      </c>
    </row>
    <row r="1672">
      <c r="A1672" s="5"/>
      <c r="B1672" s="4"/>
      <c r="C1672" s="4"/>
      <c r="D1672" s="4"/>
      <c r="E1672" s="5"/>
      <c r="F1672" s="4"/>
      <c r="G1672" s="6">
        <f>IF(A1672="","",SUBSTITUTE(SUBSTITUTE(SUBSTITUTE(SUBSTITUTE(SUBSTITUTE(SUBSTITUTE(SUBSTITUTE(TRIM(A1672),".",""),"/",""),"-","")," ",""),"(",""),")",""),"+",""))</f>
      </c>
      <c r="H1672" s="6">
        <f>IF(G1672="","",IF(LEN(G1672)&lt;&gt;14,"ERRO: "&amp;LEN(G1672)&amp;" dígitos",IF(NOT(ISNUMBER(VALUE(G1672))),"ERRO: não numérico",IF(AND(VALUE(MID(G1672,13,1))=IF(MOD(SUMPRODUCT(--MID(G1672,{1,2,3,4,5,6,7,8,9,10,11,12},1),{5,4,3,2,9,8,7,6,5,4,3,2}),11)&lt;2,0,11-MOD(SUMPRODUCT(--MID(G1672,{1,2,3,4,5,6,7,8,9,10,11,12},1),{5,4,3,2,9,8,7,6,5,4,3,2}),11)),VALUE(MID(G1672,14,1))=IF(MOD(SUMPRODUCT(--MID(G1672,{1,2,3,4,5,6,7,8,9,10,11,12,13},1),{6,5,4,3,2,9,8,7,6,5,4,3,2}),11)&lt;2,0,11-MOD(SUMPRODUCT(--MID(G1672,{1,2,3,4,5,6,7,8,9,10,11,12,13},1),{6,5,4,3,2,9,8,7,6,5,4,3,2}),11))),"OK","AVISO: dígito verificador (conferir na org)"))))</f>
      </c>
      <c r="I1672" s="6">
        <f>IF(G1672="","",IF(COUNTIF($G$2:$G$2001,G1672)&gt;1,"DUPLICADO","OK"))</f>
      </c>
      <c r="J1672" s="6">
        <f>IF(COUNTA(A1672:F1672)=0,"",IF(AND(A1672&lt;&gt;"",E1672&lt;&gt;""),"OK","ERRO: faltam "&amp;IF(A1672="","CNPJ; ","")&amp;IF(E1672="","Novo gerente; ","")))</f>
      </c>
      <c r="K1672" s="6">
        <f>IF(COUNTA(A1672:F1672)=0,"",IF(AND(LEFT(H1672,4)&lt;&gt;"ERRO",I1672="OK",J1672="OK"),"OK","REVISAR"))</f>
      </c>
    </row>
    <row r="1673">
      <c r="A1673" s="5"/>
      <c r="B1673" s="4"/>
      <c r="C1673" s="4"/>
      <c r="D1673" s="4"/>
      <c r="E1673" s="5"/>
      <c r="F1673" s="4"/>
      <c r="G1673" s="6">
        <f>IF(A1673="","",SUBSTITUTE(SUBSTITUTE(SUBSTITUTE(SUBSTITUTE(SUBSTITUTE(SUBSTITUTE(SUBSTITUTE(TRIM(A1673),".",""),"/",""),"-","")," ",""),"(",""),")",""),"+",""))</f>
      </c>
      <c r="H1673" s="6">
        <f>IF(G1673="","",IF(LEN(G1673)&lt;&gt;14,"ERRO: "&amp;LEN(G1673)&amp;" dígitos",IF(NOT(ISNUMBER(VALUE(G1673))),"ERRO: não numérico",IF(AND(VALUE(MID(G1673,13,1))=IF(MOD(SUMPRODUCT(--MID(G1673,{1,2,3,4,5,6,7,8,9,10,11,12},1),{5,4,3,2,9,8,7,6,5,4,3,2}),11)&lt;2,0,11-MOD(SUMPRODUCT(--MID(G1673,{1,2,3,4,5,6,7,8,9,10,11,12},1),{5,4,3,2,9,8,7,6,5,4,3,2}),11)),VALUE(MID(G1673,14,1))=IF(MOD(SUMPRODUCT(--MID(G1673,{1,2,3,4,5,6,7,8,9,10,11,12,13},1),{6,5,4,3,2,9,8,7,6,5,4,3,2}),11)&lt;2,0,11-MOD(SUMPRODUCT(--MID(G1673,{1,2,3,4,5,6,7,8,9,10,11,12,13},1),{6,5,4,3,2,9,8,7,6,5,4,3,2}),11))),"OK","AVISO: dígito verificador (conferir na org)"))))</f>
      </c>
      <c r="I1673" s="6">
        <f>IF(G1673="","",IF(COUNTIF($G$2:$G$2001,G1673)&gt;1,"DUPLICADO","OK"))</f>
      </c>
      <c r="J1673" s="6">
        <f>IF(COUNTA(A1673:F1673)=0,"",IF(AND(A1673&lt;&gt;"",E1673&lt;&gt;""),"OK","ERRO: faltam "&amp;IF(A1673="","CNPJ; ","")&amp;IF(E1673="","Novo gerente; ","")))</f>
      </c>
      <c r="K1673" s="6">
        <f>IF(COUNTA(A1673:F1673)=0,"",IF(AND(LEFT(H1673,4)&lt;&gt;"ERRO",I1673="OK",J1673="OK"),"OK","REVISAR"))</f>
      </c>
    </row>
    <row r="1674">
      <c r="A1674" s="5"/>
      <c r="B1674" s="4"/>
      <c r="C1674" s="4"/>
      <c r="D1674" s="4"/>
      <c r="E1674" s="5"/>
      <c r="F1674" s="4"/>
      <c r="G1674" s="6">
        <f>IF(A1674="","",SUBSTITUTE(SUBSTITUTE(SUBSTITUTE(SUBSTITUTE(SUBSTITUTE(SUBSTITUTE(SUBSTITUTE(TRIM(A1674),".",""),"/",""),"-","")," ",""),"(",""),")",""),"+",""))</f>
      </c>
      <c r="H1674" s="6">
        <f>IF(G1674="","",IF(LEN(G1674)&lt;&gt;14,"ERRO: "&amp;LEN(G1674)&amp;" dígitos",IF(NOT(ISNUMBER(VALUE(G1674))),"ERRO: não numérico",IF(AND(VALUE(MID(G1674,13,1))=IF(MOD(SUMPRODUCT(--MID(G1674,{1,2,3,4,5,6,7,8,9,10,11,12},1),{5,4,3,2,9,8,7,6,5,4,3,2}),11)&lt;2,0,11-MOD(SUMPRODUCT(--MID(G1674,{1,2,3,4,5,6,7,8,9,10,11,12},1),{5,4,3,2,9,8,7,6,5,4,3,2}),11)),VALUE(MID(G1674,14,1))=IF(MOD(SUMPRODUCT(--MID(G1674,{1,2,3,4,5,6,7,8,9,10,11,12,13},1),{6,5,4,3,2,9,8,7,6,5,4,3,2}),11)&lt;2,0,11-MOD(SUMPRODUCT(--MID(G1674,{1,2,3,4,5,6,7,8,9,10,11,12,13},1),{6,5,4,3,2,9,8,7,6,5,4,3,2}),11))),"OK","AVISO: dígito verificador (conferir na org)"))))</f>
      </c>
      <c r="I1674" s="6">
        <f>IF(G1674="","",IF(COUNTIF($G$2:$G$2001,G1674)&gt;1,"DUPLICADO","OK"))</f>
      </c>
      <c r="J1674" s="6">
        <f>IF(COUNTA(A1674:F1674)=0,"",IF(AND(A1674&lt;&gt;"",E1674&lt;&gt;""),"OK","ERRO: faltam "&amp;IF(A1674="","CNPJ; ","")&amp;IF(E1674="","Novo gerente; ","")))</f>
      </c>
      <c r="K1674" s="6">
        <f>IF(COUNTA(A1674:F1674)=0,"",IF(AND(LEFT(H1674,4)&lt;&gt;"ERRO",I1674="OK",J1674="OK"),"OK","REVISAR"))</f>
      </c>
    </row>
    <row r="1675">
      <c r="A1675" s="5"/>
      <c r="B1675" s="4"/>
      <c r="C1675" s="4"/>
      <c r="D1675" s="4"/>
      <c r="E1675" s="5"/>
      <c r="F1675" s="4"/>
      <c r="G1675" s="6">
        <f>IF(A1675="","",SUBSTITUTE(SUBSTITUTE(SUBSTITUTE(SUBSTITUTE(SUBSTITUTE(SUBSTITUTE(SUBSTITUTE(TRIM(A1675),".",""),"/",""),"-","")," ",""),"(",""),")",""),"+",""))</f>
      </c>
      <c r="H1675" s="6">
        <f>IF(G1675="","",IF(LEN(G1675)&lt;&gt;14,"ERRO: "&amp;LEN(G1675)&amp;" dígitos",IF(NOT(ISNUMBER(VALUE(G1675))),"ERRO: não numérico",IF(AND(VALUE(MID(G1675,13,1))=IF(MOD(SUMPRODUCT(--MID(G1675,{1,2,3,4,5,6,7,8,9,10,11,12},1),{5,4,3,2,9,8,7,6,5,4,3,2}),11)&lt;2,0,11-MOD(SUMPRODUCT(--MID(G1675,{1,2,3,4,5,6,7,8,9,10,11,12},1),{5,4,3,2,9,8,7,6,5,4,3,2}),11)),VALUE(MID(G1675,14,1))=IF(MOD(SUMPRODUCT(--MID(G1675,{1,2,3,4,5,6,7,8,9,10,11,12,13},1),{6,5,4,3,2,9,8,7,6,5,4,3,2}),11)&lt;2,0,11-MOD(SUMPRODUCT(--MID(G1675,{1,2,3,4,5,6,7,8,9,10,11,12,13},1),{6,5,4,3,2,9,8,7,6,5,4,3,2}),11))),"OK","AVISO: dígito verificador (conferir na org)"))))</f>
      </c>
      <c r="I1675" s="6">
        <f>IF(G1675="","",IF(COUNTIF($G$2:$G$2001,G1675)&gt;1,"DUPLICADO","OK"))</f>
      </c>
      <c r="J1675" s="6">
        <f>IF(COUNTA(A1675:F1675)=0,"",IF(AND(A1675&lt;&gt;"",E1675&lt;&gt;""),"OK","ERRO: faltam "&amp;IF(A1675="","CNPJ; ","")&amp;IF(E1675="","Novo gerente; ","")))</f>
      </c>
      <c r="K1675" s="6">
        <f>IF(COUNTA(A1675:F1675)=0,"",IF(AND(LEFT(H1675,4)&lt;&gt;"ERRO",I1675="OK",J1675="OK"),"OK","REVISAR"))</f>
      </c>
    </row>
    <row r="1676">
      <c r="A1676" s="5"/>
      <c r="B1676" s="4"/>
      <c r="C1676" s="4"/>
      <c r="D1676" s="4"/>
      <c r="E1676" s="5"/>
      <c r="F1676" s="4"/>
      <c r="G1676" s="6">
        <f>IF(A1676="","",SUBSTITUTE(SUBSTITUTE(SUBSTITUTE(SUBSTITUTE(SUBSTITUTE(SUBSTITUTE(SUBSTITUTE(TRIM(A1676),".",""),"/",""),"-","")," ",""),"(",""),")",""),"+",""))</f>
      </c>
      <c r="H1676" s="6">
        <f>IF(G1676="","",IF(LEN(G1676)&lt;&gt;14,"ERRO: "&amp;LEN(G1676)&amp;" dígitos",IF(NOT(ISNUMBER(VALUE(G1676))),"ERRO: não numérico",IF(AND(VALUE(MID(G1676,13,1))=IF(MOD(SUMPRODUCT(--MID(G1676,{1,2,3,4,5,6,7,8,9,10,11,12},1),{5,4,3,2,9,8,7,6,5,4,3,2}),11)&lt;2,0,11-MOD(SUMPRODUCT(--MID(G1676,{1,2,3,4,5,6,7,8,9,10,11,12},1),{5,4,3,2,9,8,7,6,5,4,3,2}),11)),VALUE(MID(G1676,14,1))=IF(MOD(SUMPRODUCT(--MID(G1676,{1,2,3,4,5,6,7,8,9,10,11,12,13},1),{6,5,4,3,2,9,8,7,6,5,4,3,2}),11)&lt;2,0,11-MOD(SUMPRODUCT(--MID(G1676,{1,2,3,4,5,6,7,8,9,10,11,12,13},1),{6,5,4,3,2,9,8,7,6,5,4,3,2}),11))),"OK","AVISO: dígito verificador (conferir na org)"))))</f>
      </c>
      <c r="I1676" s="6">
        <f>IF(G1676="","",IF(COUNTIF($G$2:$G$2001,G1676)&gt;1,"DUPLICADO","OK"))</f>
      </c>
      <c r="J1676" s="6">
        <f>IF(COUNTA(A1676:F1676)=0,"",IF(AND(A1676&lt;&gt;"",E1676&lt;&gt;""),"OK","ERRO: faltam "&amp;IF(A1676="","CNPJ; ","")&amp;IF(E1676="","Novo gerente; ","")))</f>
      </c>
      <c r="K1676" s="6">
        <f>IF(COUNTA(A1676:F1676)=0,"",IF(AND(LEFT(H1676,4)&lt;&gt;"ERRO",I1676="OK",J1676="OK"),"OK","REVISAR"))</f>
      </c>
    </row>
    <row r="1677">
      <c r="A1677" s="5"/>
      <c r="B1677" s="4"/>
      <c r="C1677" s="4"/>
      <c r="D1677" s="4"/>
      <c r="E1677" s="5"/>
      <c r="F1677" s="4"/>
      <c r="G1677" s="6">
        <f>IF(A1677="","",SUBSTITUTE(SUBSTITUTE(SUBSTITUTE(SUBSTITUTE(SUBSTITUTE(SUBSTITUTE(SUBSTITUTE(TRIM(A1677),".",""),"/",""),"-","")," ",""),"(",""),")",""),"+",""))</f>
      </c>
      <c r="H1677" s="6">
        <f>IF(G1677="","",IF(LEN(G1677)&lt;&gt;14,"ERRO: "&amp;LEN(G1677)&amp;" dígitos",IF(NOT(ISNUMBER(VALUE(G1677))),"ERRO: não numérico",IF(AND(VALUE(MID(G1677,13,1))=IF(MOD(SUMPRODUCT(--MID(G1677,{1,2,3,4,5,6,7,8,9,10,11,12},1),{5,4,3,2,9,8,7,6,5,4,3,2}),11)&lt;2,0,11-MOD(SUMPRODUCT(--MID(G1677,{1,2,3,4,5,6,7,8,9,10,11,12},1),{5,4,3,2,9,8,7,6,5,4,3,2}),11)),VALUE(MID(G1677,14,1))=IF(MOD(SUMPRODUCT(--MID(G1677,{1,2,3,4,5,6,7,8,9,10,11,12,13},1),{6,5,4,3,2,9,8,7,6,5,4,3,2}),11)&lt;2,0,11-MOD(SUMPRODUCT(--MID(G1677,{1,2,3,4,5,6,7,8,9,10,11,12,13},1),{6,5,4,3,2,9,8,7,6,5,4,3,2}),11))),"OK","AVISO: dígito verificador (conferir na org)"))))</f>
      </c>
      <c r="I1677" s="6">
        <f>IF(G1677="","",IF(COUNTIF($G$2:$G$2001,G1677)&gt;1,"DUPLICADO","OK"))</f>
      </c>
      <c r="J1677" s="6">
        <f>IF(COUNTA(A1677:F1677)=0,"",IF(AND(A1677&lt;&gt;"",E1677&lt;&gt;""),"OK","ERRO: faltam "&amp;IF(A1677="","CNPJ; ","")&amp;IF(E1677="","Novo gerente; ","")))</f>
      </c>
      <c r="K1677" s="6">
        <f>IF(COUNTA(A1677:F1677)=0,"",IF(AND(LEFT(H1677,4)&lt;&gt;"ERRO",I1677="OK",J1677="OK"),"OK","REVISAR"))</f>
      </c>
    </row>
    <row r="1678">
      <c r="A1678" s="5"/>
      <c r="B1678" s="4"/>
      <c r="C1678" s="4"/>
      <c r="D1678" s="4"/>
      <c r="E1678" s="5"/>
      <c r="F1678" s="4"/>
      <c r="G1678" s="6">
        <f>IF(A1678="","",SUBSTITUTE(SUBSTITUTE(SUBSTITUTE(SUBSTITUTE(SUBSTITUTE(SUBSTITUTE(SUBSTITUTE(TRIM(A1678),".",""),"/",""),"-","")," ",""),"(",""),")",""),"+",""))</f>
      </c>
      <c r="H1678" s="6">
        <f>IF(G1678="","",IF(LEN(G1678)&lt;&gt;14,"ERRO: "&amp;LEN(G1678)&amp;" dígitos",IF(NOT(ISNUMBER(VALUE(G1678))),"ERRO: não numérico",IF(AND(VALUE(MID(G1678,13,1))=IF(MOD(SUMPRODUCT(--MID(G1678,{1,2,3,4,5,6,7,8,9,10,11,12},1),{5,4,3,2,9,8,7,6,5,4,3,2}),11)&lt;2,0,11-MOD(SUMPRODUCT(--MID(G1678,{1,2,3,4,5,6,7,8,9,10,11,12},1),{5,4,3,2,9,8,7,6,5,4,3,2}),11)),VALUE(MID(G1678,14,1))=IF(MOD(SUMPRODUCT(--MID(G1678,{1,2,3,4,5,6,7,8,9,10,11,12,13},1),{6,5,4,3,2,9,8,7,6,5,4,3,2}),11)&lt;2,0,11-MOD(SUMPRODUCT(--MID(G1678,{1,2,3,4,5,6,7,8,9,10,11,12,13},1),{6,5,4,3,2,9,8,7,6,5,4,3,2}),11))),"OK","AVISO: dígito verificador (conferir na org)"))))</f>
      </c>
      <c r="I1678" s="6">
        <f>IF(G1678="","",IF(COUNTIF($G$2:$G$2001,G1678)&gt;1,"DUPLICADO","OK"))</f>
      </c>
      <c r="J1678" s="6">
        <f>IF(COUNTA(A1678:F1678)=0,"",IF(AND(A1678&lt;&gt;"",E1678&lt;&gt;""),"OK","ERRO: faltam "&amp;IF(A1678="","CNPJ; ","")&amp;IF(E1678="","Novo gerente; ","")))</f>
      </c>
      <c r="K1678" s="6">
        <f>IF(COUNTA(A1678:F1678)=0,"",IF(AND(LEFT(H1678,4)&lt;&gt;"ERRO",I1678="OK",J1678="OK"),"OK","REVISAR"))</f>
      </c>
    </row>
    <row r="1679">
      <c r="A1679" s="5"/>
      <c r="B1679" s="4"/>
      <c r="C1679" s="4"/>
      <c r="D1679" s="4"/>
      <c r="E1679" s="5"/>
      <c r="F1679" s="4"/>
      <c r="G1679" s="6">
        <f>IF(A1679="","",SUBSTITUTE(SUBSTITUTE(SUBSTITUTE(SUBSTITUTE(SUBSTITUTE(SUBSTITUTE(SUBSTITUTE(TRIM(A1679),".",""),"/",""),"-","")," ",""),"(",""),")",""),"+",""))</f>
      </c>
      <c r="H1679" s="6">
        <f>IF(G1679="","",IF(LEN(G1679)&lt;&gt;14,"ERRO: "&amp;LEN(G1679)&amp;" dígitos",IF(NOT(ISNUMBER(VALUE(G1679))),"ERRO: não numérico",IF(AND(VALUE(MID(G1679,13,1))=IF(MOD(SUMPRODUCT(--MID(G1679,{1,2,3,4,5,6,7,8,9,10,11,12},1),{5,4,3,2,9,8,7,6,5,4,3,2}),11)&lt;2,0,11-MOD(SUMPRODUCT(--MID(G1679,{1,2,3,4,5,6,7,8,9,10,11,12},1),{5,4,3,2,9,8,7,6,5,4,3,2}),11)),VALUE(MID(G1679,14,1))=IF(MOD(SUMPRODUCT(--MID(G1679,{1,2,3,4,5,6,7,8,9,10,11,12,13},1),{6,5,4,3,2,9,8,7,6,5,4,3,2}),11)&lt;2,0,11-MOD(SUMPRODUCT(--MID(G1679,{1,2,3,4,5,6,7,8,9,10,11,12,13},1),{6,5,4,3,2,9,8,7,6,5,4,3,2}),11))),"OK","AVISO: dígito verificador (conferir na org)"))))</f>
      </c>
      <c r="I1679" s="6">
        <f>IF(G1679="","",IF(COUNTIF($G$2:$G$2001,G1679)&gt;1,"DUPLICADO","OK"))</f>
      </c>
      <c r="J1679" s="6">
        <f>IF(COUNTA(A1679:F1679)=0,"",IF(AND(A1679&lt;&gt;"",E1679&lt;&gt;""),"OK","ERRO: faltam "&amp;IF(A1679="","CNPJ; ","")&amp;IF(E1679="","Novo gerente; ","")))</f>
      </c>
      <c r="K1679" s="6">
        <f>IF(COUNTA(A1679:F1679)=0,"",IF(AND(LEFT(H1679,4)&lt;&gt;"ERRO",I1679="OK",J1679="OK"),"OK","REVISAR"))</f>
      </c>
    </row>
    <row r="1680">
      <c r="A1680" s="5"/>
      <c r="B1680" s="4"/>
      <c r="C1680" s="4"/>
      <c r="D1680" s="4"/>
      <c r="E1680" s="5"/>
      <c r="F1680" s="4"/>
      <c r="G1680" s="6">
        <f>IF(A1680="","",SUBSTITUTE(SUBSTITUTE(SUBSTITUTE(SUBSTITUTE(SUBSTITUTE(SUBSTITUTE(SUBSTITUTE(TRIM(A1680),".",""),"/",""),"-","")," ",""),"(",""),")",""),"+",""))</f>
      </c>
      <c r="H1680" s="6">
        <f>IF(G1680="","",IF(LEN(G1680)&lt;&gt;14,"ERRO: "&amp;LEN(G1680)&amp;" dígitos",IF(NOT(ISNUMBER(VALUE(G1680))),"ERRO: não numérico",IF(AND(VALUE(MID(G1680,13,1))=IF(MOD(SUMPRODUCT(--MID(G1680,{1,2,3,4,5,6,7,8,9,10,11,12},1),{5,4,3,2,9,8,7,6,5,4,3,2}),11)&lt;2,0,11-MOD(SUMPRODUCT(--MID(G1680,{1,2,3,4,5,6,7,8,9,10,11,12},1),{5,4,3,2,9,8,7,6,5,4,3,2}),11)),VALUE(MID(G1680,14,1))=IF(MOD(SUMPRODUCT(--MID(G1680,{1,2,3,4,5,6,7,8,9,10,11,12,13},1),{6,5,4,3,2,9,8,7,6,5,4,3,2}),11)&lt;2,0,11-MOD(SUMPRODUCT(--MID(G1680,{1,2,3,4,5,6,7,8,9,10,11,12,13},1),{6,5,4,3,2,9,8,7,6,5,4,3,2}),11))),"OK","AVISO: dígito verificador (conferir na org)"))))</f>
      </c>
      <c r="I1680" s="6">
        <f>IF(G1680="","",IF(COUNTIF($G$2:$G$2001,G1680)&gt;1,"DUPLICADO","OK"))</f>
      </c>
      <c r="J1680" s="6">
        <f>IF(COUNTA(A1680:F1680)=0,"",IF(AND(A1680&lt;&gt;"",E1680&lt;&gt;""),"OK","ERRO: faltam "&amp;IF(A1680="","CNPJ; ","")&amp;IF(E1680="","Novo gerente; ","")))</f>
      </c>
      <c r="K1680" s="6">
        <f>IF(COUNTA(A1680:F1680)=0,"",IF(AND(LEFT(H1680,4)&lt;&gt;"ERRO",I1680="OK",J1680="OK"),"OK","REVISAR"))</f>
      </c>
    </row>
    <row r="1681">
      <c r="A1681" s="5"/>
      <c r="B1681" s="4"/>
      <c r="C1681" s="4"/>
      <c r="D1681" s="4"/>
      <c r="E1681" s="5"/>
      <c r="F1681" s="4"/>
      <c r="G1681" s="6">
        <f>IF(A1681="","",SUBSTITUTE(SUBSTITUTE(SUBSTITUTE(SUBSTITUTE(SUBSTITUTE(SUBSTITUTE(SUBSTITUTE(TRIM(A1681),".",""),"/",""),"-","")," ",""),"(",""),")",""),"+",""))</f>
      </c>
      <c r="H1681" s="6">
        <f>IF(G1681="","",IF(LEN(G1681)&lt;&gt;14,"ERRO: "&amp;LEN(G1681)&amp;" dígitos",IF(NOT(ISNUMBER(VALUE(G1681))),"ERRO: não numérico",IF(AND(VALUE(MID(G1681,13,1))=IF(MOD(SUMPRODUCT(--MID(G1681,{1,2,3,4,5,6,7,8,9,10,11,12},1),{5,4,3,2,9,8,7,6,5,4,3,2}),11)&lt;2,0,11-MOD(SUMPRODUCT(--MID(G1681,{1,2,3,4,5,6,7,8,9,10,11,12},1),{5,4,3,2,9,8,7,6,5,4,3,2}),11)),VALUE(MID(G1681,14,1))=IF(MOD(SUMPRODUCT(--MID(G1681,{1,2,3,4,5,6,7,8,9,10,11,12,13},1),{6,5,4,3,2,9,8,7,6,5,4,3,2}),11)&lt;2,0,11-MOD(SUMPRODUCT(--MID(G1681,{1,2,3,4,5,6,7,8,9,10,11,12,13},1),{6,5,4,3,2,9,8,7,6,5,4,3,2}),11))),"OK","AVISO: dígito verificador (conferir na org)"))))</f>
      </c>
      <c r="I1681" s="6">
        <f>IF(G1681="","",IF(COUNTIF($G$2:$G$2001,G1681)&gt;1,"DUPLICADO","OK"))</f>
      </c>
      <c r="J1681" s="6">
        <f>IF(COUNTA(A1681:F1681)=0,"",IF(AND(A1681&lt;&gt;"",E1681&lt;&gt;""),"OK","ERRO: faltam "&amp;IF(A1681="","CNPJ; ","")&amp;IF(E1681="","Novo gerente; ","")))</f>
      </c>
      <c r="K1681" s="6">
        <f>IF(COUNTA(A1681:F1681)=0,"",IF(AND(LEFT(H1681,4)&lt;&gt;"ERRO",I1681="OK",J1681="OK"),"OK","REVISAR"))</f>
      </c>
    </row>
    <row r="1682">
      <c r="A1682" s="5"/>
      <c r="B1682" s="4"/>
      <c r="C1682" s="4"/>
      <c r="D1682" s="4"/>
      <c r="E1682" s="5"/>
      <c r="F1682" s="4"/>
      <c r="G1682" s="6">
        <f>IF(A1682="","",SUBSTITUTE(SUBSTITUTE(SUBSTITUTE(SUBSTITUTE(SUBSTITUTE(SUBSTITUTE(SUBSTITUTE(TRIM(A1682),".",""),"/",""),"-","")," ",""),"(",""),")",""),"+",""))</f>
      </c>
      <c r="H1682" s="6">
        <f>IF(G1682="","",IF(LEN(G1682)&lt;&gt;14,"ERRO: "&amp;LEN(G1682)&amp;" dígitos",IF(NOT(ISNUMBER(VALUE(G1682))),"ERRO: não numérico",IF(AND(VALUE(MID(G1682,13,1))=IF(MOD(SUMPRODUCT(--MID(G1682,{1,2,3,4,5,6,7,8,9,10,11,12},1),{5,4,3,2,9,8,7,6,5,4,3,2}),11)&lt;2,0,11-MOD(SUMPRODUCT(--MID(G1682,{1,2,3,4,5,6,7,8,9,10,11,12},1),{5,4,3,2,9,8,7,6,5,4,3,2}),11)),VALUE(MID(G1682,14,1))=IF(MOD(SUMPRODUCT(--MID(G1682,{1,2,3,4,5,6,7,8,9,10,11,12,13},1),{6,5,4,3,2,9,8,7,6,5,4,3,2}),11)&lt;2,0,11-MOD(SUMPRODUCT(--MID(G1682,{1,2,3,4,5,6,7,8,9,10,11,12,13},1),{6,5,4,3,2,9,8,7,6,5,4,3,2}),11))),"OK","AVISO: dígito verificador (conferir na org)"))))</f>
      </c>
      <c r="I1682" s="6">
        <f>IF(G1682="","",IF(COUNTIF($G$2:$G$2001,G1682)&gt;1,"DUPLICADO","OK"))</f>
      </c>
      <c r="J1682" s="6">
        <f>IF(COUNTA(A1682:F1682)=0,"",IF(AND(A1682&lt;&gt;"",E1682&lt;&gt;""),"OK","ERRO: faltam "&amp;IF(A1682="","CNPJ; ","")&amp;IF(E1682="","Novo gerente; ","")))</f>
      </c>
      <c r="K1682" s="6">
        <f>IF(COUNTA(A1682:F1682)=0,"",IF(AND(LEFT(H1682,4)&lt;&gt;"ERRO",I1682="OK",J1682="OK"),"OK","REVISAR"))</f>
      </c>
    </row>
    <row r="1683">
      <c r="A1683" s="5"/>
      <c r="B1683" s="4"/>
      <c r="C1683" s="4"/>
      <c r="D1683" s="4"/>
      <c r="E1683" s="5"/>
      <c r="F1683" s="4"/>
      <c r="G1683" s="6">
        <f>IF(A1683="","",SUBSTITUTE(SUBSTITUTE(SUBSTITUTE(SUBSTITUTE(SUBSTITUTE(SUBSTITUTE(SUBSTITUTE(TRIM(A1683),".",""),"/",""),"-","")," ",""),"(",""),")",""),"+",""))</f>
      </c>
      <c r="H1683" s="6">
        <f>IF(G1683="","",IF(LEN(G1683)&lt;&gt;14,"ERRO: "&amp;LEN(G1683)&amp;" dígitos",IF(NOT(ISNUMBER(VALUE(G1683))),"ERRO: não numérico",IF(AND(VALUE(MID(G1683,13,1))=IF(MOD(SUMPRODUCT(--MID(G1683,{1,2,3,4,5,6,7,8,9,10,11,12},1),{5,4,3,2,9,8,7,6,5,4,3,2}),11)&lt;2,0,11-MOD(SUMPRODUCT(--MID(G1683,{1,2,3,4,5,6,7,8,9,10,11,12},1),{5,4,3,2,9,8,7,6,5,4,3,2}),11)),VALUE(MID(G1683,14,1))=IF(MOD(SUMPRODUCT(--MID(G1683,{1,2,3,4,5,6,7,8,9,10,11,12,13},1),{6,5,4,3,2,9,8,7,6,5,4,3,2}),11)&lt;2,0,11-MOD(SUMPRODUCT(--MID(G1683,{1,2,3,4,5,6,7,8,9,10,11,12,13},1),{6,5,4,3,2,9,8,7,6,5,4,3,2}),11))),"OK","AVISO: dígito verificador (conferir na org)"))))</f>
      </c>
      <c r="I1683" s="6">
        <f>IF(G1683="","",IF(COUNTIF($G$2:$G$2001,G1683)&gt;1,"DUPLICADO","OK"))</f>
      </c>
      <c r="J1683" s="6">
        <f>IF(COUNTA(A1683:F1683)=0,"",IF(AND(A1683&lt;&gt;"",E1683&lt;&gt;""),"OK","ERRO: faltam "&amp;IF(A1683="","CNPJ; ","")&amp;IF(E1683="","Novo gerente; ","")))</f>
      </c>
      <c r="K1683" s="6">
        <f>IF(COUNTA(A1683:F1683)=0,"",IF(AND(LEFT(H1683,4)&lt;&gt;"ERRO",I1683="OK",J1683="OK"),"OK","REVISAR"))</f>
      </c>
    </row>
    <row r="1684">
      <c r="A1684" s="5"/>
      <c r="B1684" s="4"/>
      <c r="C1684" s="4"/>
      <c r="D1684" s="4"/>
      <c r="E1684" s="5"/>
      <c r="F1684" s="4"/>
      <c r="G1684" s="6">
        <f>IF(A1684="","",SUBSTITUTE(SUBSTITUTE(SUBSTITUTE(SUBSTITUTE(SUBSTITUTE(SUBSTITUTE(SUBSTITUTE(TRIM(A1684),".",""),"/",""),"-","")," ",""),"(",""),")",""),"+",""))</f>
      </c>
      <c r="H1684" s="6">
        <f>IF(G1684="","",IF(LEN(G1684)&lt;&gt;14,"ERRO: "&amp;LEN(G1684)&amp;" dígitos",IF(NOT(ISNUMBER(VALUE(G1684))),"ERRO: não numérico",IF(AND(VALUE(MID(G1684,13,1))=IF(MOD(SUMPRODUCT(--MID(G1684,{1,2,3,4,5,6,7,8,9,10,11,12},1),{5,4,3,2,9,8,7,6,5,4,3,2}),11)&lt;2,0,11-MOD(SUMPRODUCT(--MID(G1684,{1,2,3,4,5,6,7,8,9,10,11,12},1),{5,4,3,2,9,8,7,6,5,4,3,2}),11)),VALUE(MID(G1684,14,1))=IF(MOD(SUMPRODUCT(--MID(G1684,{1,2,3,4,5,6,7,8,9,10,11,12,13},1),{6,5,4,3,2,9,8,7,6,5,4,3,2}),11)&lt;2,0,11-MOD(SUMPRODUCT(--MID(G1684,{1,2,3,4,5,6,7,8,9,10,11,12,13},1),{6,5,4,3,2,9,8,7,6,5,4,3,2}),11))),"OK","AVISO: dígito verificador (conferir na org)"))))</f>
      </c>
      <c r="I1684" s="6">
        <f>IF(G1684="","",IF(COUNTIF($G$2:$G$2001,G1684)&gt;1,"DUPLICADO","OK"))</f>
      </c>
      <c r="J1684" s="6">
        <f>IF(COUNTA(A1684:F1684)=0,"",IF(AND(A1684&lt;&gt;"",E1684&lt;&gt;""),"OK","ERRO: faltam "&amp;IF(A1684="","CNPJ; ","")&amp;IF(E1684="","Novo gerente; ","")))</f>
      </c>
      <c r="K1684" s="6">
        <f>IF(COUNTA(A1684:F1684)=0,"",IF(AND(LEFT(H1684,4)&lt;&gt;"ERRO",I1684="OK",J1684="OK"),"OK","REVISAR"))</f>
      </c>
    </row>
    <row r="1685">
      <c r="A1685" s="5"/>
      <c r="B1685" s="4"/>
      <c r="C1685" s="4"/>
      <c r="D1685" s="4"/>
      <c r="E1685" s="5"/>
      <c r="F1685" s="4"/>
      <c r="G1685" s="6">
        <f>IF(A1685="","",SUBSTITUTE(SUBSTITUTE(SUBSTITUTE(SUBSTITUTE(SUBSTITUTE(SUBSTITUTE(SUBSTITUTE(TRIM(A1685),".",""),"/",""),"-","")," ",""),"(",""),")",""),"+",""))</f>
      </c>
      <c r="H1685" s="6">
        <f>IF(G1685="","",IF(LEN(G1685)&lt;&gt;14,"ERRO: "&amp;LEN(G1685)&amp;" dígitos",IF(NOT(ISNUMBER(VALUE(G1685))),"ERRO: não numérico",IF(AND(VALUE(MID(G1685,13,1))=IF(MOD(SUMPRODUCT(--MID(G1685,{1,2,3,4,5,6,7,8,9,10,11,12},1),{5,4,3,2,9,8,7,6,5,4,3,2}),11)&lt;2,0,11-MOD(SUMPRODUCT(--MID(G1685,{1,2,3,4,5,6,7,8,9,10,11,12},1),{5,4,3,2,9,8,7,6,5,4,3,2}),11)),VALUE(MID(G1685,14,1))=IF(MOD(SUMPRODUCT(--MID(G1685,{1,2,3,4,5,6,7,8,9,10,11,12,13},1),{6,5,4,3,2,9,8,7,6,5,4,3,2}),11)&lt;2,0,11-MOD(SUMPRODUCT(--MID(G1685,{1,2,3,4,5,6,7,8,9,10,11,12,13},1),{6,5,4,3,2,9,8,7,6,5,4,3,2}),11))),"OK","AVISO: dígito verificador (conferir na org)"))))</f>
      </c>
      <c r="I1685" s="6">
        <f>IF(G1685="","",IF(COUNTIF($G$2:$G$2001,G1685)&gt;1,"DUPLICADO","OK"))</f>
      </c>
      <c r="J1685" s="6">
        <f>IF(COUNTA(A1685:F1685)=0,"",IF(AND(A1685&lt;&gt;"",E1685&lt;&gt;""),"OK","ERRO: faltam "&amp;IF(A1685="","CNPJ; ","")&amp;IF(E1685="","Novo gerente; ","")))</f>
      </c>
      <c r="K1685" s="6">
        <f>IF(COUNTA(A1685:F1685)=0,"",IF(AND(LEFT(H1685,4)&lt;&gt;"ERRO",I1685="OK",J1685="OK"),"OK","REVISAR"))</f>
      </c>
    </row>
    <row r="1686">
      <c r="A1686" s="5"/>
      <c r="B1686" s="4"/>
      <c r="C1686" s="4"/>
      <c r="D1686" s="4"/>
      <c r="E1686" s="5"/>
      <c r="F1686" s="4"/>
      <c r="G1686" s="6">
        <f>IF(A1686="","",SUBSTITUTE(SUBSTITUTE(SUBSTITUTE(SUBSTITUTE(SUBSTITUTE(SUBSTITUTE(SUBSTITUTE(TRIM(A1686),".",""),"/",""),"-","")," ",""),"(",""),")",""),"+",""))</f>
      </c>
      <c r="H1686" s="6">
        <f>IF(G1686="","",IF(LEN(G1686)&lt;&gt;14,"ERRO: "&amp;LEN(G1686)&amp;" dígitos",IF(NOT(ISNUMBER(VALUE(G1686))),"ERRO: não numérico",IF(AND(VALUE(MID(G1686,13,1))=IF(MOD(SUMPRODUCT(--MID(G1686,{1,2,3,4,5,6,7,8,9,10,11,12},1),{5,4,3,2,9,8,7,6,5,4,3,2}),11)&lt;2,0,11-MOD(SUMPRODUCT(--MID(G1686,{1,2,3,4,5,6,7,8,9,10,11,12},1),{5,4,3,2,9,8,7,6,5,4,3,2}),11)),VALUE(MID(G1686,14,1))=IF(MOD(SUMPRODUCT(--MID(G1686,{1,2,3,4,5,6,7,8,9,10,11,12,13},1),{6,5,4,3,2,9,8,7,6,5,4,3,2}),11)&lt;2,0,11-MOD(SUMPRODUCT(--MID(G1686,{1,2,3,4,5,6,7,8,9,10,11,12,13},1),{6,5,4,3,2,9,8,7,6,5,4,3,2}),11))),"OK","AVISO: dígito verificador (conferir na org)"))))</f>
      </c>
      <c r="I1686" s="6">
        <f>IF(G1686="","",IF(COUNTIF($G$2:$G$2001,G1686)&gt;1,"DUPLICADO","OK"))</f>
      </c>
      <c r="J1686" s="6">
        <f>IF(COUNTA(A1686:F1686)=0,"",IF(AND(A1686&lt;&gt;"",E1686&lt;&gt;""),"OK","ERRO: faltam "&amp;IF(A1686="","CNPJ; ","")&amp;IF(E1686="","Novo gerente; ","")))</f>
      </c>
      <c r="K1686" s="6">
        <f>IF(COUNTA(A1686:F1686)=0,"",IF(AND(LEFT(H1686,4)&lt;&gt;"ERRO",I1686="OK",J1686="OK"),"OK","REVISAR"))</f>
      </c>
    </row>
    <row r="1687">
      <c r="A1687" s="5"/>
      <c r="B1687" s="4"/>
      <c r="C1687" s="4"/>
      <c r="D1687" s="4"/>
      <c r="E1687" s="5"/>
      <c r="F1687" s="4"/>
      <c r="G1687" s="6">
        <f>IF(A1687="","",SUBSTITUTE(SUBSTITUTE(SUBSTITUTE(SUBSTITUTE(SUBSTITUTE(SUBSTITUTE(SUBSTITUTE(TRIM(A1687),".",""),"/",""),"-","")," ",""),"(",""),")",""),"+",""))</f>
      </c>
      <c r="H1687" s="6">
        <f>IF(G1687="","",IF(LEN(G1687)&lt;&gt;14,"ERRO: "&amp;LEN(G1687)&amp;" dígitos",IF(NOT(ISNUMBER(VALUE(G1687))),"ERRO: não numérico",IF(AND(VALUE(MID(G1687,13,1))=IF(MOD(SUMPRODUCT(--MID(G1687,{1,2,3,4,5,6,7,8,9,10,11,12},1),{5,4,3,2,9,8,7,6,5,4,3,2}),11)&lt;2,0,11-MOD(SUMPRODUCT(--MID(G1687,{1,2,3,4,5,6,7,8,9,10,11,12},1),{5,4,3,2,9,8,7,6,5,4,3,2}),11)),VALUE(MID(G1687,14,1))=IF(MOD(SUMPRODUCT(--MID(G1687,{1,2,3,4,5,6,7,8,9,10,11,12,13},1),{6,5,4,3,2,9,8,7,6,5,4,3,2}),11)&lt;2,0,11-MOD(SUMPRODUCT(--MID(G1687,{1,2,3,4,5,6,7,8,9,10,11,12,13},1),{6,5,4,3,2,9,8,7,6,5,4,3,2}),11))),"OK","AVISO: dígito verificador (conferir na org)"))))</f>
      </c>
      <c r="I1687" s="6">
        <f>IF(G1687="","",IF(COUNTIF($G$2:$G$2001,G1687)&gt;1,"DUPLICADO","OK"))</f>
      </c>
      <c r="J1687" s="6">
        <f>IF(COUNTA(A1687:F1687)=0,"",IF(AND(A1687&lt;&gt;"",E1687&lt;&gt;""),"OK","ERRO: faltam "&amp;IF(A1687="","CNPJ; ","")&amp;IF(E1687="","Novo gerente; ","")))</f>
      </c>
      <c r="K1687" s="6">
        <f>IF(COUNTA(A1687:F1687)=0,"",IF(AND(LEFT(H1687,4)&lt;&gt;"ERRO",I1687="OK",J1687="OK"),"OK","REVISAR"))</f>
      </c>
    </row>
    <row r="1688">
      <c r="A1688" s="5"/>
      <c r="B1688" s="4"/>
      <c r="C1688" s="4"/>
      <c r="D1688" s="4"/>
      <c r="E1688" s="5"/>
      <c r="F1688" s="4"/>
      <c r="G1688" s="6">
        <f>IF(A1688="","",SUBSTITUTE(SUBSTITUTE(SUBSTITUTE(SUBSTITUTE(SUBSTITUTE(SUBSTITUTE(SUBSTITUTE(TRIM(A1688),".",""),"/",""),"-","")," ",""),"(",""),")",""),"+",""))</f>
      </c>
      <c r="H1688" s="6">
        <f>IF(G1688="","",IF(LEN(G1688)&lt;&gt;14,"ERRO: "&amp;LEN(G1688)&amp;" dígitos",IF(NOT(ISNUMBER(VALUE(G1688))),"ERRO: não numérico",IF(AND(VALUE(MID(G1688,13,1))=IF(MOD(SUMPRODUCT(--MID(G1688,{1,2,3,4,5,6,7,8,9,10,11,12},1),{5,4,3,2,9,8,7,6,5,4,3,2}),11)&lt;2,0,11-MOD(SUMPRODUCT(--MID(G1688,{1,2,3,4,5,6,7,8,9,10,11,12},1),{5,4,3,2,9,8,7,6,5,4,3,2}),11)),VALUE(MID(G1688,14,1))=IF(MOD(SUMPRODUCT(--MID(G1688,{1,2,3,4,5,6,7,8,9,10,11,12,13},1),{6,5,4,3,2,9,8,7,6,5,4,3,2}),11)&lt;2,0,11-MOD(SUMPRODUCT(--MID(G1688,{1,2,3,4,5,6,7,8,9,10,11,12,13},1),{6,5,4,3,2,9,8,7,6,5,4,3,2}),11))),"OK","AVISO: dígito verificador (conferir na org)"))))</f>
      </c>
      <c r="I1688" s="6">
        <f>IF(G1688="","",IF(COUNTIF($G$2:$G$2001,G1688)&gt;1,"DUPLICADO","OK"))</f>
      </c>
      <c r="J1688" s="6">
        <f>IF(COUNTA(A1688:F1688)=0,"",IF(AND(A1688&lt;&gt;"",E1688&lt;&gt;""),"OK","ERRO: faltam "&amp;IF(A1688="","CNPJ; ","")&amp;IF(E1688="","Novo gerente; ","")))</f>
      </c>
      <c r="K1688" s="6">
        <f>IF(COUNTA(A1688:F1688)=0,"",IF(AND(LEFT(H1688,4)&lt;&gt;"ERRO",I1688="OK",J1688="OK"),"OK","REVISAR"))</f>
      </c>
    </row>
    <row r="1689">
      <c r="A1689" s="5"/>
      <c r="B1689" s="4"/>
      <c r="C1689" s="4"/>
      <c r="D1689" s="4"/>
      <c r="E1689" s="5"/>
      <c r="F1689" s="4"/>
      <c r="G1689" s="6">
        <f>IF(A1689="","",SUBSTITUTE(SUBSTITUTE(SUBSTITUTE(SUBSTITUTE(SUBSTITUTE(SUBSTITUTE(SUBSTITUTE(TRIM(A1689),".",""),"/",""),"-","")," ",""),"(",""),")",""),"+",""))</f>
      </c>
      <c r="H1689" s="6">
        <f>IF(G1689="","",IF(LEN(G1689)&lt;&gt;14,"ERRO: "&amp;LEN(G1689)&amp;" dígitos",IF(NOT(ISNUMBER(VALUE(G1689))),"ERRO: não numérico",IF(AND(VALUE(MID(G1689,13,1))=IF(MOD(SUMPRODUCT(--MID(G1689,{1,2,3,4,5,6,7,8,9,10,11,12},1),{5,4,3,2,9,8,7,6,5,4,3,2}),11)&lt;2,0,11-MOD(SUMPRODUCT(--MID(G1689,{1,2,3,4,5,6,7,8,9,10,11,12},1),{5,4,3,2,9,8,7,6,5,4,3,2}),11)),VALUE(MID(G1689,14,1))=IF(MOD(SUMPRODUCT(--MID(G1689,{1,2,3,4,5,6,7,8,9,10,11,12,13},1),{6,5,4,3,2,9,8,7,6,5,4,3,2}),11)&lt;2,0,11-MOD(SUMPRODUCT(--MID(G1689,{1,2,3,4,5,6,7,8,9,10,11,12,13},1),{6,5,4,3,2,9,8,7,6,5,4,3,2}),11))),"OK","AVISO: dígito verificador (conferir na org)"))))</f>
      </c>
      <c r="I1689" s="6">
        <f>IF(G1689="","",IF(COUNTIF($G$2:$G$2001,G1689)&gt;1,"DUPLICADO","OK"))</f>
      </c>
      <c r="J1689" s="6">
        <f>IF(COUNTA(A1689:F1689)=0,"",IF(AND(A1689&lt;&gt;"",E1689&lt;&gt;""),"OK","ERRO: faltam "&amp;IF(A1689="","CNPJ; ","")&amp;IF(E1689="","Novo gerente; ","")))</f>
      </c>
      <c r="K1689" s="6">
        <f>IF(COUNTA(A1689:F1689)=0,"",IF(AND(LEFT(H1689,4)&lt;&gt;"ERRO",I1689="OK",J1689="OK"),"OK","REVISAR"))</f>
      </c>
    </row>
    <row r="1690">
      <c r="A1690" s="5"/>
      <c r="B1690" s="4"/>
      <c r="C1690" s="4"/>
      <c r="D1690" s="4"/>
      <c r="E1690" s="5"/>
      <c r="F1690" s="4"/>
      <c r="G1690" s="6">
        <f>IF(A1690="","",SUBSTITUTE(SUBSTITUTE(SUBSTITUTE(SUBSTITUTE(SUBSTITUTE(SUBSTITUTE(SUBSTITUTE(TRIM(A1690),".",""),"/",""),"-","")," ",""),"(",""),")",""),"+",""))</f>
      </c>
      <c r="H1690" s="6">
        <f>IF(G1690="","",IF(LEN(G1690)&lt;&gt;14,"ERRO: "&amp;LEN(G1690)&amp;" dígitos",IF(NOT(ISNUMBER(VALUE(G1690))),"ERRO: não numérico",IF(AND(VALUE(MID(G1690,13,1))=IF(MOD(SUMPRODUCT(--MID(G1690,{1,2,3,4,5,6,7,8,9,10,11,12},1),{5,4,3,2,9,8,7,6,5,4,3,2}),11)&lt;2,0,11-MOD(SUMPRODUCT(--MID(G1690,{1,2,3,4,5,6,7,8,9,10,11,12},1),{5,4,3,2,9,8,7,6,5,4,3,2}),11)),VALUE(MID(G1690,14,1))=IF(MOD(SUMPRODUCT(--MID(G1690,{1,2,3,4,5,6,7,8,9,10,11,12,13},1),{6,5,4,3,2,9,8,7,6,5,4,3,2}),11)&lt;2,0,11-MOD(SUMPRODUCT(--MID(G1690,{1,2,3,4,5,6,7,8,9,10,11,12,13},1),{6,5,4,3,2,9,8,7,6,5,4,3,2}),11))),"OK","AVISO: dígito verificador (conferir na org)"))))</f>
      </c>
      <c r="I1690" s="6">
        <f>IF(G1690="","",IF(COUNTIF($G$2:$G$2001,G1690)&gt;1,"DUPLICADO","OK"))</f>
      </c>
      <c r="J1690" s="6">
        <f>IF(COUNTA(A1690:F1690)=0,"",IF(AND(A1690&lt;&gt;"",E1690&lt;&gt;""),"OK","ERRO: faltam "&amp;IF(A1690="","CNPJ; ","")&amp;IF(E1690="","Novo gerente; ","")))</f>
      </c>
      <c r="K1690" s="6">
        <f>IF(COUNTA(A1690:F1690)=0,"",IF(AND(LEFT(H1690,4)&lt;&gt;"ERRO",I1690="OK",J1690="OK"),"OK","REVISAR"))</f>
      </c>
    </row>
    <row r="1691">
      <c r="A1691" s="5"/>
      <c r="B1691" s="4"/>
      <c r="C1691" s="4"/>
      <c r="D1691" s="4"/>
      <c r="E1691" s="5"/>
      <c r="F1691" s="4"/>
      <c r="G1691" s="6">
        <f>IF(A1691="","",SUBSTITUTE(SUBSTITUTE(SUBSTITUTE(SUBSTITUTE(SUBSTITUTE(SUBSTITUTE(SUBSTITUTE(TRIM(A1691),".",""),"/",""),"-","")," ",""),"(",""),")",""),"+",""))</f>
      </c>
      <c r="H1691" s="6">
        <f>IF(G1691="","",IF(LEN(G1691)&lt;&gt;14,"ERRO: "&amp;LEN(G1691)&amp;" dígitos",IF(NOT(ISNUMBER(VALUE(G1691))),"ERRO: não numérico",IF(AND(VALUE(MID(G1691,13,1))=IF(MOD(SUMPRODUCT(--MID(G1691,{1,2,3,4,5,6,7,8,9,10,11,12},1),{5,4,3,2,9,8,7,6,5,4,3,2}),11)&lt;2,0,11-MOD(SUMPRODUCT(--MID(G1691,{1,2,3,4,5,6,7,8,9,10,11,12},1),{5,4,3,2,9,8,7,6,5,4,3,2}),11)),VALUE(MID(G1691,14,1))=IF(MOD(SUMPRODUCT(--MID(G1691,{1,2,3,4,5,6,7,8,9,10,11,12,13},1),{6,5,4,3,2,9,8,7,6,5,4,3,2}),11)&lt;2,0,11-MOD(SUMPRODUCT(--MID(G1691,{1,2,3,4,5,6,7,8,9,10,11,12,13},1),{6,5,4,3,2,9,8,7,6,5,4,3,2}),11))),"OK","AVISO: dígito verificador (conferir na org)"))))</f>
      </c>
      <c r="I1691" s="6">
        <f>IF(G1691="","",IF(COUNTIF($G$2:$G$2001,G1691)&gt;1,"DUPLICADO","OK"))</f>
      </c>
      <c r="J1691" s="6">
        <f>IF(COUNTA(A1691:F1691)=0,"",IF(AND(A1691&lt;&gt;"",E1691&lt;&gt;""),"OK","ERRO: faltam "&amp;IF(A1691="","CNPJ; ","")&amp;IF(E1691="","Novo gerente; ","")))</f>
      </c>
      <c r="K1691" s="6">
        <f>IF(COUNTA(A1691:F1691)=0,"",IF(AND(LEFT(H1691,4)&lt;&gt;"ERRO",I1691="OK",J1691="OK"),"OK","REVISAR"))</f>
      </c>
    </row>
    <row r="1692">
      <c r="A1692" s="5"/>
      <c r="B1692" s="4"/>
      <c r="C1692" s="4"/>
      <c r="D1692" s="4"/>
      <c r="E1692" s="5"/>
      <c r="F1692" s="4"/>
      <c r="G1692" s="6">
        <f>IF(A1692="","",SUBSTITUTE(SUBSTITUTE(SUBSTITUTE(SUBSTITUTE(SUBSTITUTE(SUBSTITUTE(SUBSTITUTE(TRIM(A1692),".",""),"/",""),"-","")," ",""),"(",""),")",""),"+",""))</f>
      </c>
      <c r="H1692" s="6">
        <f>IF(G1692="","",IF(LEN(G1692)&lt;&gt;14,"ERRO: "&amp;LEN(G1692)&amp;" dígitos",IF(NOT(ISNUMBER(VALUE(G1692))),"ERRO: não numérico",IF(AND(VALUE(MID(G1692,13,1))=IF(MOD(SUMPRODUCT(--MID(G1692,{1,2,3,4,5,6,7,8,9,10,11,12},1),{5,4,3,2,9,8,7,6,5,4,3,2}),11)&lt;2,0,11-MOD(SUMPRODUCT(--MID(G1692,{1,2,3,4,5,6,7,8,9,10,11,12},1),{5,4,3,2,9,8,7,6,5,4,3,2}),11)),VALUE(MID(G1692,14,1))=IF(MOD(SUMPRODUCT(--MID(G1692,{1,2,3,4,5,6,7,8,9,10,11,12,13},1),{6,5,4,3,2,9,8,7,6,5,4,3,2}),11)&lt;2,0,11-MOD(SUMPRODUCT(--MID(G1692,{1,2,3,4,5,6,7,8,9,10,11,12,13},1),{6,5,4,3,2,9,8,7,6,5,4,3,2}),11))),"OK","AVISO: dígito verificador (conferir na org)"))))</f>
      </c>
      <c r="I1692" s="6">
        <f>IF(G1692="","",IF(COUNTIF($G$2:$G$2001,G1692)&gt;1,"DUPLICADO","OK"))</f>
      </c>
      <c r="J1692" s="6">
        <f>IF(COUNTA(A1692:F1692)=0,"",IF(AND(A1692&lt;&gt;"",E1692&lt;&gt;""),"OK","ERRO: faltam "&amp;IF(A1692="","CNPJ; ","")&amp;IF(E1692="","Novo gerente; ","")))</f>
      </c>
      <c r="K1692" s="6">
        <f>IF(COUNTA(A1692:F1692)=0,"",IF(AND(LEFT(H1692,4)&lt;&gt;"ERRO",I1692="OK",J1692="OK"),"OK","REVISAR"))</f>
      </c>
    </row>
    <row r="1693">
      <c r="A1693" s="5"/>
      <c r="B1693" s="4"/>
      <c r="C1693" s="4"/>
      <c r="D1693" s="4"/>
      <c r="E1693" s="5"/>
      <c r="F1693" s="4"/>
      <c r="G1693" s="6">
        <f>IF(A1693="","",SUBSTITUTE(SUBSTITUTE(SUBSTITUTE(SUBSTITUTE(SUBSTITUTE(SUBSTITUTE(SUBSTITUTE(TRIM(A1693),".",""),"/",""),"-","")," ",""),"(",""),")",""),"+",""))</f>
      </c>
      <c r="H1693" s="6">
        <f>IF(G1693="","",IF(LEN(G1693)&lt;&gt;14,"ERRO: "&amp;LEN(G1693)&amp;" dígitos",IF(NOT(ISNUMBER(VALUE(G1693))),"ERRO: não numérico",IF(AND(VALUE(MID(G1693,13,1))=IF(MOD(SUMPRODUCT(--MID(G1693,{1,2,3,4,5,6,7,8,9,10,11,12},1),{5,4,3,2,9,8,7,6,5,4,3,2}),11)&lt;2,0,11-MOD(SUMPRODUCT(--MID(G1693,{1,2,3,4,5,6,7,8,9,10,11,12},1),{5,4,3,2,9,8,7,6,5,4,3,2}),11)),VALUE(MID(G1693,14,1))=IF(MOD(SUMPRODUCT(--MID(G1693,{1,2,3,4,5,6,7,8,9,10,11,12,13},1),{6,5,4,3,2,9,8,7,6,5,4,3,2}),11)&lt;2,0,11-MOD(SUMPRODUCT(--MID(G1693,{1,2,3,4,5,6,7,8,9,10,11,12,13},1),{6,5,4,3,2,9,8,7,6,5,4,3,2}),11))),"OK","AVISO: dígito verificador (conferir na org)"))))</f>
      </c>
      <c r="I1693" s="6">
        <f>IF(G1693="","",IF(COUNTIF($G$2:$G$2001,G1693)&gt;1,"DUPLICADO","OK"))</f>
      </c>
      <c r="J1693" s="6">
        <f>IF(COUNTA(A1693:F1693)=0,"",IF(AND(A1693&lt;&gt;"",E1693&lt;&gt;""),"OK","ERRO: faltam "&amp;IF(A1693="","CNPJ; ","")&amp;IF(E1693="","Novo gerente; ","")))</f>
      </c>
      <c r="K1693" s="6">
        <f>IF(COUNTA(A1693:F1693)=0,"",IF(AND(LEFT(H1693,4)&lt;&gt;"ERRO",I1693="OK",J1693="OK"),"OK","REVISAR"))</f>
      </c>
    </row>
    <row r="1694">
      <c r="A1694" s="5"/>
      <c r="B1694" s="4"/>
      <c r="C1694" s="4"/>
      <c r="D1694" s="4"/>
      <c r="E1694" s="5"/>
      <c r="F1694" s="4"/>
      <c r="G1694" s="6">
        <f>IF(A1694="","",SUBSTITUTE(SUBSTITUTE(SUBSTITUTE(SUBSTITUTE(SUBSTITUTE(SUBSTITUTE(SUBSTITUTE(TRIM(A1694),".",""),"/",""),"-","")," ",""),"(",""),")",""),"+",""))</f>
      </c>
      <c r="H1694" s="6">
        <f>IF(G1694="","",IF(LEN(G1694)&lt;&gt;14,"ERRO: "&amp;LEN(G1694)&amp;" dígitos",IF(NOT(ISNUMBER(VALUE(G1694))),"ERRO: não numérico",IF(AND(VALUE(MID(G1694,13,1))=IF(MOD(SUMPRODUCT(--MID(G1694,{1,2,3,4,5,6,7,8,9,10,11,12},1),{5,4,3,2,9,8,7,6,5,4,3,2}),11)&lt;2,0,11-MOD(SUMPRODUCT(--MID(G1694,{1,2,3,4,5,6,7,8,9,10,11,12},1),{5,4,3,2,9,8,7,6,5,4,3,2}),11)),VALUE(MID(G1694,14,1))=IF(MOD(SUMPRODUCT(--MID(G1694,{1,2,3,4,5,6,7,8,9,10,11,12,13},1),{6,5,4,3,2,9,8,7,6,5,4,3,2}),11)&lt;2,0,11-MOD(SUMPRODUCT(--MID(G1694,{1,2,3,4,5,6,7,8,9,10,11,12,13},1),{6,5,4,3,2,9,8,7,6,5,4,3,2}),11))),"OK","AVISO: dígito verificador (conferir na org)"))))</f>
      </c>
      <c r="I1694" s="6">
        <f>IF(G1694="","",IF(COUNTIF($G$2:$G$2001,G1694)&gt;1,"DUPLICADO","OK"))</f>
      </c>
      <c r="J1694" s="6">
        <f>IF(COUNTA(A1694:F1694)=0,"",IF(AND(A1694&lt;&gt;"",E1694&lt;&gt;""),"OK","ERRO: faltam "&amp;IF(A1694="","CNPJ; ","")&amp;IF(E1694="","Novo gerente; ","")))</f>
      </c>
      <c r="K1694" s="6">
        <f>IF(COUNTA(A1694:F1694)=0,"",IF(AND(LEFT(H1694,4)&lt;&gt;"ERRO",I1694="OK",J1694="OK"),"OK","REVISAR"))</f>
      </c>
    </row>
    <row r="1695">
      <c r="A1695" s="5"/>
      <c r="B1695" s="4"/>
      <c r="C1695" s="4"/>
      <c r="D1695" s="4"/>
      <c r="E1695" s="5"/>
      <c r="F1695" s="4"/>
      <c r="G1695" s="6">
        <f>IF(A1695="","",SUBSTITUTE(SUBSTITUTE(SUBSTITUTE(SUBSTITUTE(SUBSTITUTE(SUBSTITUTE(SUBSTITUTE(TRIM(A1695),".",""),"/",""),"-","")," ",""),"(",""),")",""),"+",""))</f>
      </c>
      <c r="H1695" s="6">
        <f>IF(G1695="","",IF(LEN(G1695)&lt;&gt;14,"ERRO: "&amp;LEN(G1695)&amp;" dígitos",IF(NOT(ISNUMBER(VALUE(G1695))),"ERRO: não numérico",IF(AND(VALUE(MID(G1695,13,1))=IF(MOD(SUMPRODUCT(--MID(G1695,{1,2,3,4,5,6,7,8,9,10,11,12},1),{5,4,3,2,9,8,7,6,5,4,3,2}),11)&lt;2,0,11-MOD(SUMPRODUCT(--MID(G1695,{1,2,3,4,5,6,7,8,9,10,11,12},1),{5,4,3,2,9,8,7,6,5,4,3,2}),11)),VALUE(MID(G1695,14,1))=IF(MOD(SUMPRODUCT(--MID(G1695,{1,2,3,4,5,6,7,8,9,10,11,12,13},1),{6,5,4,3,2,9,8,7,6,5,4,3,2}),11)&lt;2,0,11-MOD(SUMPRODUCT(--MID(G1695,{1,2,3,4,5,6,7,8,9,10,11,12,13},1),{6,5,4,3,2,9,8,7,6,5,4,3,2}),11))),"OK","AVISO: dígito verificador (conferir na org)"))))</f>
      </c>
      <c r="I1695" s="6">
        <f>IF(G1695="","",IF(COUNTIF($G$2:$G$2001,G1695)&gt;1,"DUPLICADO","OK"))</f>
      </c>
      <c r="J1695" s="6">
        <f>IF(COUNTA(A1695:F1695)=0,"",IF(AND(A1695&lt;&gt;"",E1695&lt;&gt;""),"OK","ERRO: faltam "&amp;IF(A1695="","CNPJ; ","")&amp;IF(E1695="","Novo gerente; ","")))</f>
      </c>
      <c r="K1695" s="6">
        <f>IF(COUNTA(A1695:F1695)=0,"",IF(AND(LEFT(H1695,4)&lt;&gt;"ERRO",I1695="OK",J1695="OK"),"OK","REVISAR"))</f>
      </c>
    </row>
    <row r="1696">
      <c r="A1696" s="5"/>
      <c r="B1696" s="4"/>
      <c r="C1696" s="4"/>
      <c r="D1696" s="4"/>
      <c r="E1696" s="5"/>
      <c r="F1696" s="4"/>
      <c r="G1696" s="6">
        <f>IF(A1696="","",SUBSTITUTE(SUBSTITUTE(SUBSTITUTE(SUBSTITUTE(SUBSTITUTE(SUBSTITUTE(SUBSTITUTE(TRIM(A1696),".",""),"/",""),"-","")," ",""),"(",""),")",""),"+",""))</f>
      </c>
      <c r="H1696" s="6">
        <f>IF(G1696="","",IF(LEN(G1696)&lt;&gt;14,"ERRO: "&amp;LEN(G1696)&amp;" dígitos",IF(NOT(ISNUMBER(VALUE(G1696))),"ERRO: não numérico",IF(AND(VALUE(MID(G1696,13,1))=IF(MOD(SUMPRODUCT(--MID(G1696,{1,2,3,4,5,6,7,8,9,10,11,12},1),{5,4,3,2,9,8,7,6,5,4,3,2}),11)&lt;2,0,11-MOD(SUMPRODUCT(--MID(G1696,{1,2,3,4,5,6,7,8,9,10,11,12},1),{5,4,3,2,9,8,7,6,5,4,3,2}),11)),VALUE(MID(G1696,14,1))=IF(MOD(SUMPRODUCT(--MID(G1696,{1,2,3,4,5,6,7,8,9,10,11,12,13},1),{6,5,4,3,2,9,8,7,6,5,4,3,2}),11)&lt;2,0,11-MOD(SUMPRODUCT(--MID(G1696,{1,2,3,4,5,6,7,8,9,10,11,12,13},1),{6,5,4,3,2,9,8,7,6,5,4,3,2}),11))),"OK","AVISO: dígito verificador (conferir na org)"))))</f>
      </c>
      <c r="I1696" s="6">
        <f>IF(G1696="","",IF(COUNTIF($G$2:$G$2001,G1696)&gt;1,"DUPLICADO","OK"))</f>
      </c>
      <c r="J1696" s="6">
        <f>IF(COUNTA(A1696:F1696)=0,"",IF(AND(A1696&lt;&gt;"",E1696&lt;&gt;""),"OK","ERRO: faltam "&amp;IF(A1696="","CNPJ; ","")&amp;IF(E1696="","Novo gerente; ","")))</f>
      </c>
      <c r="K1696" s="6">
        <f>IF(COUNTA(A1696:F1696)=0,"",IF(AND(LEFT(H1696,4)&lt;&gt;"ERRO",I1696="OK",J1696="OK"),"OK","REVISAR"))</f>
      </c>
    </row>
    <row r="1697">
      <c r="A1697" s="5"/>
      <c r="B1697" s="4"/>
      <c r="C1697" s="4"/>
      <c r="D1697" s="4"/>
      <c r="E1697" s="5"/>
      <c r="F1697" s="4"/>
      <c r="G1697" s="6">
        <f>IF(A1697="","",SUBSTITUTE(SUBSTITUTE(SUBSTITUTE(SUBSTITUTE(SUBSTITUTE(SUBSTITUTE(SUBSTITUTE(TRIM(A1697),".",""),"/",""),"-","")," ",""),"(",""),")",""),"+",""))</f>
      </c>
      <c r="H1697" s="6">
        <f>IF(G1697="","",IF(LEN(G1697)&lt;&gt;14,"ERRO: "&amp;LEN(G1697)&amp;" dígitos",IF(NOT(ISNUMBER(VALUE(G1697))),"ERRO: não numérico",IF(AND(VALUE(MID(G1697,13,1))=IF(MOD(SUMPRODUCT(--MID(G1697,{1,2,3,4,5,6,7,8,9,10,11,12},1),{5,4,3,2,9,8,7,6,5,4,3,2}),11)&lt;2,0,11-MOD(SUMPRODUCT(--MID(G1697,{1,2,3,4,5,6,7,8,9,10,11,12},1),{5,4,3,2,9,8,7,6,5,4,3,2}),11)),VALUE(MID(G1697,14,1))=IF(MOD(SUMPRODUCT(--MID(G1697,{1,2,3,4,5,6,7,8,9,10,11,12,13},1),{6,5,4,3,2,9,8,7,6,5,4,3,2}),11)&lt;2,0,11-MOD(SUMPRODUCT(--MID(G1697,{1,2,3,4,5,6,7,8,9,10,11,12,13},1),{6,5,4,3,2,9,8,7,6,5,4,3,2}),11))),"OK","AVISO: dígito verificador (conferir na org)"))))</f>
      </c>
      <c r="I1697" s="6">
        <f>IF(G1697="","",IF(COUNTIF($G$2:$G$2001,G1697)&gt;1,"DUPLICADO","OK"))</f>
      </c>
      <c r="J1697" s="6">
        <f>IF(COUNTA(A1697:F1697)=0,"",IF(AND(A1697&lt;&gt;"",E1697&lt;&gt;""),"OK","ERRO: faltam "&amp;IF(A1697="","CNPJ; ","")&amp;IF(E1697="","Novo gerente; ","")))</f>
      </c>
      <c r="K1697" s="6">
        <f>IF(COUNTA(A1697:F1697)=0,"",IF(AND(LEFT(H1697,4)&lt;&gt;"ERRO",I1697="OK",J1697="OK"),"OK","REVISAR"))</f>
      </c>
    </row>
    <row r="1698">
      <c r="A1698" s="5"/>
      <c r="B1698" s="4"/>
      <c r="C1698" s="4"/>
      <c r="D1698" s="4"/>
      <c r="E1698" s="5"/>
      <c r="F1698" s="4"/>
      <c r="G1698" s="6">
        <f>IF(A1698="","",SUBSTITUTE(SUBSTITUTE(SUBSTITUTE(SUBSTITUTE(SUBSTITUTE(SUBSTITUTE(SUBSTITUTE(TRIM(A1698),".",""),"/",""),"-","")," ",""),"(",""),")",""),"+",""))</f>
      </c>
      <c r="H1698" s="6">
        <f>IF(G1698="","",IF(LEN(G1698)&lt;&gt;14,"ERRO: "&amp;LEN(G1698)&amp;" dígitos",IF(NOT(ISNUMBER(VALUE(G1698))),"ERRO: não numérico",IF(AND(VALUE(MID(G1698,13,1))=IF(MOD(SUMPRODUCT(--MID(G1698,{1,2,3,4,5,6,7,8,9,10,11,12},1),{5,4,3,2,9,8,7,6,5,4,3,2}),11)&lt;2,0,11-MOD(SUMPRODUCT(--MID(G1698,{1,2,3,4,5,6,7,8,9,10,11,12},1),{5,4,3,2,9,8,7,6,5,4,3,2}),11)),VALUE(MID(G1698,14,1))=IF(MOD(SUMPRODUCT(--MID(G1698,{1,2,3,4,5,6,7,8,9,10,11,12,13},1),{6,5,4,3,2,9,8,7,6,5,4,3,2}),11)&lt;2,0,11-MOD(SUMPRODUCT(--MID(G1698,{1,2,3,4,5,6,7,8,9,10,11,12,13},1),{6,5,4,3,2,9,8,7,6,5,4,3,2}),11))),"OK","AVISO: dígito verificador (conferir na org)"))))</f>
      </c>
      <c r="I1698" s="6">
        <f>IF(G1698="","",IF(COUNTIF($G$2:$G$2001,G1698)&gt;1,"DUPLICADO","OK"))</f>
      </c>
      <c r="J1698" s="6">
        <f>IF(COUNTA(A1698:F1698)=0,"",IF(AND(A1698&lt;&gt;"",E1698&lt;&gt;""),"OK","ERRO: faltam "&amp;IF(A1698="","CNPJ; ","")&amp;IF(E1698="","Novo gerente; ","")))</f>
      </c>
      <c r="K1698" s="6">
        <f>IF(COUNTA(A1698:F1698)=0,"",IF(AND(LEFT(H1698,4)&lt;&gt;"ERRO",I1698="OK",J1698="OK"),"OK","REVISAR"))</f>
      </c>
    </row>
    <row r="1699">
      <c r="A1699" s="5"/>
      <c r="B1699" s="4"/>
      <c r="C1699" s="4"/>
      <c r="D1699" s="4"/>
      <c r="E1699" s="5"/>
      <c r="F1699" s="4"/>
      <c r="G1699" s="6">
        <f>IF(A1699="","",SUBSTITUTE(SUBSTITUTE(SUBSTITUTE(SUBSTITUTE(SUBSTITUTE(SUBSTITUTE(SUBSTITUTE(TRIM(A1699),".",""),"/",""),"-","")," ",""),"(",""),")",""),"+",""))</f>
      </c>
      <c r="H1699" s="6">
        <f>IF(G1699="","",IF(LEN(G1699)&lt;&gt;14,"ERRO: "&amp;LEN(G1699)&amp;" dígitos",IF(NOT(ISNUMBER(VALUE(G1699))),"ERRO: não numérico",IF(AND(VALUE(MID(G1699,13,1))=IF(MOD(SUMPRODUCT(--MID(G1699,{1,2,3,4,5,6,7,8,9,10,11,12},1),{5,4,3,2,9,8,7,6,5,4,3,2}),11)&lt;2,0,11-MOD(SUMPRODUCT(--MID(G1699,{1,2,3,4,5,6,7,8,9,10,11,12},1),{5,4,3,2,9,8,7,6,5,4,3,2}),11)),VALUE(MID(G1699,14,1))=IF(MOD(SUMPRODUCT(--MID(G1699,{1,2,3,4,5,6,7,8,9,10,11,12,13},1),{6,5,4,3,2,9,8,7,6,5,4,3,2}),11)&lt;2,0,11-MOD(SUMPRODUCT(--MID(G1699,{1,2,3,4,5,6,7,8,9,10,11,12,13},1),{6,5,4,3,2,9,8,7,6,5,4,3,2}),11))),"OK","AVISO: dígito verificador (conferir na org)"))))</f>
      </c>
      <c r="I1699" s="6">
        <f>IF(G1699="","",IF(COUNTIF($G$2:$G$2001,G1699)&gt;1,"DUPLICADO","OK"))</f>
      </c>
      <c r="J1699" s="6">
        <f>IF(COUNTA(A1699:F1699)=0,"",IF(AND(A1699&lt;&gt;"",E1699&lt;&gt;""),"OK","ERRO: faltam "&amp;IF(A1699="","CNPJ; ","")&amp;IF(E1699="","Novo gerente; ","")))</f>
      </c>
      <c r="K1699" s="6">
        <f>IF(COUNTA(A1699:F1699)=0,"",IF(AND(LEFT(H1699,4)&lt;&gt;"ERRO",I1699="OK",J1699="OK"),"OK","REVISAR"))</f>
      </c>
    </row>
    <row r="1700">
      <c r="A1700" s="5"/>
      <c r="B1700" s="4"/>
      <c r="C1700" s="4"/>
      <c r="D1700" s="4"/>
      <c r="E1700" s="5"/>
      <c r="F1700" s="4"/>
      <c r="G1700" s="6">
        <f>IF(A1700="","",SUBSTITUTE(SUBSTITUTE(SUBSTITUTE(SUBSTITUTE(SUBSTITUTE(SUBSTITUTE(SUBSTITUTE(TRIM(A1700),".",""),"/",""),"-","")," ",""),"(",""),")",""),"+",""))</f>
      </c>
      <c r="H1700" s="6">
        <f>IF(G1700="","",IF(LEN(G1700)&lt;&gt;14,"ERRO: "&amp;LEN(G1700)&amp;" dígitos",IF(NOT(ISNUMBER(VALUE(G1700))),"ERRO: não numérico",IF(AND(VALUE(MID(G1700,13,1))=IF(MOD(SUMPRODUCT(--MID(G1700,{1,2,3,4,5,6,7,8,9,10,11,12},1),{5,4,3,2,9,8,7,6,5,4,3,2}),11)&lt;2,0,11-MOD(SUMPRODUCT(--MID(G1700,{1,2,3,4,5,6,7,8,9,10,11,12},1),{5,4,3,2,9,8,7,6,5,4,3,2}),11)),VALUE(MID(G1700,14,1))=IF(MOD(SUMPRODUCT(--MID(G1700,{1,2,3,4,5,6,7,8,9,10,11,12,13},1),{6,5,4,3,2,9,8,7,6,5,4,3,2}),11)&lt;2,0,11-MOD(SUMPRODUCT(--MID(G1700,{1,2,3,4,5,6,7,8,9,10,11,12,13},1),{6,5,4,3,2,9,8,7,6,5,4,3,2}),11))),"OK","AVISO: dígito verificador (conferir na org)"))))</f>
      </c>
      <c r="I1700" s="6">
        <f>IF(G1700="","",IF(COUNTIF($G$2:$G$2001,G1700)&gt;1,"DUPLICADO","OK"))</f>
      </c>
      <c r="J1700" s="6">
        <f>IF(COUNTA(A1700:F1700)=0,"",IF(AND(A1700&lt;&gt;"",E1700&lt;&gt;""),"OK","ERRO: faltam "&amp;IF(A1700="","CNPJ; ","")&amp;IF(E1700="","Novo gerente; ","")))</f>
      </c>
      <c r="K1700" s="6">
        <f>IF(COUNTA(A1700:F1700)=0,"",IF(AND(LEFT(H1700,4)&lt;&gt;"ERRO",I1700="OK",J1700="OK"),"OK","REVISAR"))</f>
      </c>
    </row>
    <row r="1701">
      <c r="A1701" s="5"/>
      <c r="B1701" s="4"/>
      <c r="C1701" s="4"/>
      <c r="D1701" s="4"/>
      <c r="E1701" s="5"/>
      <c r="F1701" s="4"/>
      <c r="G1701" s="6">
        <f>IF(A1701="","",SUBSTITUTE(SUBSTITUTE(SUBSTITUTE(SUBSTITUTE(SUBSTITUTE(SUBSTITUTE(SUBSTITUTE(TRIM(A1701),".",""),"/",""),"-","")," ",""),"(",""),")",""),"+",""))</f>
      </c>
      <c r="H1701" s="6">
        <f>IF(G1701="","",IF(LEN(G1701)&lt;&gt;14,"ERRO: "&amp;LEN(G1701)&amp;" dígitos",IF(NOT(ISNUMBER(VALUE(G1701))),"ERRO: não numérico",IF(AND(VALUE(MID(G1701,13,1))=IF(MOD(SUMPRODUCT(--MID(G1701,{1,2,3,4,5,6,7,8,9,10,11,12},1),{5,4,3,2,9,8,7,6,5,4,3,2}),11)&lt;2,0,11-MOD(SUMPRODUCT(--MID(G1701,{1,2,3,4,5,6,7,8,9,10,11,12},1),{5,4,3,2,9,8,7,6,5,4,3,2}),11)),VALUE(MID(G1701,14,1))=IF(MOD(SUMPRODUCT(--MID(G1701,{1,2,3,4,5,6,7,8,9,10,11,12,13},1),{6,5,4,3,2,9,8,7,6,5,4,3,2}),11)&lt;2,0,11-MOD(SUMPRODUCT(--MID(G1701,{1,2,3,4,5,6,7,8,9,10,11,12,13},1),{6,5,4,3,2,9,8,7,6,5,4,3,2}),11))),"OK","AVISO: dígito verificador (conferir na org)"))))</f>
      </c>
      <c r="I1701" s="6">
        <f>IF(G1701="","",IF(COUNTIF($G$2:$G$2001,G1701)&gt;1,"DUPLICADO","OK"))</f>
      </c>
      <c r="J1701" s="6">
        <f>IF(COUNTA(A1701:F1701)=0,"",IF(AND(A1701&lt;&gt;"",E1701&lt;&gt;""),"OK","ERRO: faltam "&amp;IF(A1701="","CNPJ; ","")&amp;IF(E1701="","Novo gerente; ","")))</f>
      </c>
      <c r="K1701" s="6">
        <f>IF(COUNTA(A1701:F1701)=0,"",IF(AND(LEFT(H1701,4)&lt;&gt;"ERRO",I1701="OK",J1701="OK"),"OK","REVISAR"))</f>
      </c>
    </row>
    <row r="1702">
      <c r="A1702" s="5"/>
      <c r="B1702" s="4"/>
      <c r="C1702" s="4"/>
      <c r="D1702" s="4"/>
      <c r="E1702" s="5"/>
      <c r="F1702" s="4"/>
      <c r="G1702" s="6">
        <f>IF(A1702="","",SUBSTITUTE(SUBSTITUTE(SUBSTITUTE(SUBSTITUTE(SUBSTITUTE(SUBSTITUTE(SUBSTITUTE(TRIM(A1702),".",""),"/",""),"-","")," ",""),"(",""),")",""),"+",""))</f>
      </c>
      <c r="H1702" s="6">
        <f>IF(G1702="","",IF(LEN(G1702)&lt;&gt;14,"ERRO: "&amp;LEN(G1702)&amp;" dígitos",IF(NOT(ISNUMBER(VALUE(G1702))),"ERRO: não numérico",IF(AND(VALUE(MID(G1702,13,1))=IF(MOD(SUMPRODUCT(--MID(G1702,{1,2,3,4,5,6,7,8,9,10,11,12},1),{5,4,3,2,9,8,7,6,5,4,3,2}),11)&lt;2,0,11-MOD(SUMPRODUCT(--MID(G1702,{1,2,3,4,5,6,7,8,9,10,11,12},1),{5,4,3,2,9,8,7,6,5,4,3,2}),11)),VALUE(MID(G1702,14,1))=IF(MOD(SUMPRODUCT(--MID(G1702,{1,2,3,4,5,6,7,8,9,10,11,12,13},1),{6,5,4,3,2,9,8,7,6,5,4,3,2}),11)&lt;2,0,11-MOD(SUMPRODUCT(--MID(G1702,{1,2,3,4,5,6,7,8,9,10,11,12,13},1),{6,5,4,3,2,9,8,7,6,5,4,3,2}),11))),"OK","AVISO: dígito verificador (conferir na org)"))))</f>
      </c>
      <c r="I1702" s="6">
        <f>IF(G1702="","",IF(COUNTIF($G$2:$G$2001,G1702)&gt;1,"DUPLICADO","OK"))</f>
      </c>
      <c r="J1702" s="6">
        <f>IF(COUNTA(A1702:F1702)=0,"",IF(AND(A1702&lt;&gt;"",E1702&lt;&gt;""),"OK","ERRO: faltam "&amp;IF(A1702="","CNPJ; ","")&amp;IF(E1702="","Novo gerente; ","")))</f>
      </c>
      <c r="K1702" s="6">
        <f>IF(COUNTA(A1702:F1702)=0,"",IF(AND(LEFT(H1702,4)&lt;&gt;"ERRO",I1702="OK",J1702="OK"),"OK","REVISAR"))</f>
      </c>
    </row>
    <row r="1703">
      <c r="A1703" s="5"/>
      <c r="B1703" s="4"/>
      <c r="C1703" s="4"/>
      <c r="D1703" s="4"/>
      <c r="E1703" s="5"/>
      <c r="F1703" s="4"/>
      <c r="G1703" s="6">
        <f>IF(A1703="","",SUBSTITUTE(SUBSTITUTE(SUBSTITUTE(SUBSTITUTE(SUBSTITUTE(SUBSTITUTE(SUBSTITUTE(TRIM(A1703),".",""),"/",""),"-","")," ",""),"(",""),")",""),"+",""))</f>
      </c>
      <c r="H1703" s="6">
        <f>IF(G1703="","",IF(LEN(G1703)&lt;&gt;14,"ERRO: "&amp;LEN(G1703)&amp;" dígitos",IF(NOT(ISNUMBER(VALUE(G1703))),"ERRO: não numérico",IF(AND(VALUE(MID(G1703,13,1))=IF(MOD(SUMPRODUCT(--MID(G1703,{1,2,3,4,5,6,7,8,9,10,11,12},1),{5,4,3,2,9,8,7,6,5,4,3,2}),11)&lt;2,0,11-MOD(SUMPRODUCT(--MID(G1703,{1,2,3,4,5,6,7,8,9,10,11,12},1),{5,4,3,2,9,8,7,6,5,4,3,2}),11)),VALUE(MID(G1703,14,1))=IF(MOD(SUMPRODUCT(--MID(G1703,{1,2,3,4,5,6,7,8,9,10,11,12,13},1),{6,5,4,3,2,9,8,7,6,5,4,3,2}),11)&lt;2,0,11-MOD(SUMPRODUCT(--MID(G1703,{1,2,3,4,5,6,7,8,9,10,11,12,13},1),{6,5,4,3,2,9,8,7,6,5,4,3,2}),11))),"OK","AVISO: dígito verificador (conferir na org)"))))</f>
      </c>
      <c r="I1703" s="6">
        <f>IF(G1703="","",IF(COUNTIF($G$2:$G$2001,G1703)&gt;1,"DUPLICADO","OK"))</f>
      </c>
      <c r="J1703" s="6">
        <f>IF(COUNTA(A1703:F1703)=0,"",IF(AND(A1703&lt;&gt;"",E1703&lt;&gt;""),"OK","ERRO: faltam "&amp;IF(A1703="","CNPJ; ","")&amp;IF(E1703="","Novo gerente; ","")))</f>
      </c>
      <c r="K1703" s="6">
        <f>IF(COUNTA(A1703:F1703)=0,"",IF(AND(LEFT(H1703,4)&lt;&gt;"ERRO",I1703="OK",J1703="OK"),"OK","REVISAR"))</f>
      </c>
    </row>
    <row r="1704">
      <c r="A1704" s="5"/>
      <c r="B1704" s="4"/>
      <c r="C1704" s="4"/>
      <c r="D1704" s="4"/>
      <c r="E1704" s="5"/>
      <c r="F1704" s="4"/>
      <c r="G1704" s="6">
        <f>IF(A1704="","",SUBSTITUTE(SUBSTITUTE(SUBSTITUTE(SUBSTITUTE(SUBSTITUTE(SUBSTITUTE(SUBSTITUTE(TRIM(A1704),".",""),"/",""),"-","")," ",""),"(",""),")",""),"+",""))</f>
      </c>
      <c r="H1704" s="6">
        <f>IF(G1704="","",IF(LEN(G1704)&lt;&gt;14,"ERRO: "&amp;LEN(G1704)&amp;" dígitos",IF(NOT(ISNUMBER(VALUE(G1704))),"ERRO: não numérico",IF(AND(VALUE(MID(G1704,13,1))=IF(MOD(SUMPRODUCT(--MID(G1704,{1,2,3,4,5,6,7,8,9,10,11,12},1),{5,4,3,2,9,8,7,6,5,4,3,2}),11)&lt;2,0,11-MOD(SUMPRODUCT(--MID(G1704,{1,2,3,4,5,6,7,8,9,10,11,12},1),{5,4,3,2,9,8,7,6,5,4,3,2}),11)),VALUE(MID(G1704,14,1))=IF(MOD(SUMPRODUCT(--MID(G1704,{1,2,3,4,5,6,7,8,9,10,11,12,13},1),{6,5,4,3,2,9,8,7,6,5,4,3,2}),11)&lt;2,0,11-MOD(SUMPRODUCT(--MID(G1704,{1,2,3,4,5,6,7,8,9,10,11,12,13},1),{6,5,4,3,2,9,8,7,6,5,4,3,2}),11))),"OK","AVISO: dígito verificador (conferir na org)"))))</f>
      </c>
      <c r="I1704" s="6">
        <f>IF(G1704="","",IF(COUNTIF($G$2:$G$2001,G1704)&gt;1,"DUPLICADO","OK"))</f>
      </c>
      <c r="J1704" s="6">
        <f>IF(COUNTA(A1704:F1704)=0,"",IF(AND(A1704&lt;&gt;"",E1704&lt;&gt;""),"OK","ERRO: faltam "&amp;IF(A1704="","CNPJ; ","")&amp;IF(E1704="","Novo gerente; ","")))</f>
      </c>
      <c r="K1704" s="6">
        <f>IF(COUNTA(A1704:F1704)=0,"",IF(AND(LEFT(H1704,4)&lt;&gt;"ERRO",I1704="OK",J1704="OK"),"OK","REVISAR"))</f>
      </c>
    </row>
    <row r="1705">
      <c r="A1705" s="5"/>
      <c r="B1705" s="4"/>
      <c r="C1705" s="4"/>
      <c r="D1705" s="4"/>
      <c r="E1705" s="5"/>
      <c r="F1705" s="4"/>
      <c r="G1705" s="6">
        <f>IF(A1705="","",SUBSTITUTE(SUBSTITUTE(SUBSTITUTE(SUBSTITUTE(SUBSTITUTE(SUBSTITUTE(SUBSTITUTE(TRIM(A1705),".",""),"/",""),"-","")," ",""),"(",""),")",""),"+",""))</f>
      </c>
      <c r="H1705" s="6">
        <f>IF(G1705="","",IF(LEN(G1705)&lt;&gt;14,"ERRO: "&amp;LEN(G1705)&amp;" dígitos",IF(NOT(ISNUMBER(VALUE(G1705))),"ERRO: não numérico",IF(AND(VALUE(MID(G1705,13,1))=IF(MOD(SUMPRODUCT(--MID(G1705,{1,2,3,4,5,6,7,8,9,10,11,12},1),{5,4,3,2,9,8,7,6,5,4,3,2}),11)&lt;2,0,11-MOD(SUMPRODUCT(--MID(G1705,{1,2,3,4,5,6,7,8,9,10,11,12},1),{5,4,3,2,9,8,7,6,5,4,3,2}),11)),VALUE(MID(G1705,14,1))=IF(MOD(SUMPRODUCT(--MID(G1705,{1,2,3,4,5,6,7,8,9,10,11,12,13},1),{6,5,4,3,2,9,8,7,6,5,4,3,2}),11)&lt;2,0,11-MOD(SUMPRODUCT(--MID(G1705,{1,2,3,4,5,6,7,8,9,10,11,12,13},1),{6,5,4,3,2,9,8,7,6,5,4,3,2}),11))),"OK","AVISO: dígito verificador (conferir na org)"))))</f>
      </c>
      <c r="I1705" s="6">
        <f>IF(G1705="","",IF(COUNTIF($G$2:$G$2001,G1705)&gt;1,"DUPLICADO","OK"))</f>
      </c>
      <c r="J1705" s="6">
        <f>IF(COUNTA(A1705:F1705)=0,"",IF(AND(A1705&lt;&gt;"",E1705&lt;&gt;""),"OK","ERRO: faltam "&amp;IF(A1705="","CNPJ; ","")&amp;IF(E1705="","Novo gerente; ","")))</f>
      </c>
      <c r="K1705" s="6">
        <f>IF(COUNTA(A1705:F1705)=0,"",IF(AND(LEFT(H1705,4)&lt;&gt;"ERRO",I1705="OK",J1705="OK"),"OK","REVISAR"))</f>
      </c>
    </row>
    <row r="1706">
      <c r="A1706" s="5"/>
      <c r="B1706" s="4"/>
      <c r="C1706" s="4"/>
      <c r="D1706" s="4"/>
      <c r="E1706" s="5"/>
      <c r="F1706" s="4"/>
      <c r="G1706" s="6">
        <f>IF(A1706="","",SUBSTITUTE(SUBSTITUTE(SUBSTITUTE(SUBSTITUTE(SUBSTITUTE(SUBSTITUTE(SUBSTITUTE(TRIM(A1706),".",""),"/",""),"-","")," ",""),"(",""),")",""),"+",""))</f>
      </c>
      <c r="H1706" s="6">
        <f>IF(G1706="","",IF(LEN(G1706)&lt;&gt;14,"ERRO: "&amp;LEN(G1706)&amp;" dígitos",IF(NOT(ISNUMBER(VALUE(G1706))),"ERRO: não numérico",IF(AND(VALUE(MID(G1706,13,1))=IF(MOD(SUMPRODUCT(--MID(G1706,{1,2,3,4,5,6,7,8,9,10,11,12},1),{5,4,3,2,9,8,7,6,5,4,3,2}),11)&lt;2,0,11-MOD(SUMPRODUCT(--MID(G1706,{1,2,3,4,5,6,7,8,9,10,11,12},1),{5,4,3,2,9,8,7,6,5,4,3,2}),11)),VALUE(MID(G1706,14,1))=IF(MOD(SUMPRODUCT(--MID(G1706,{1,2,3,4,5,6,7,8,9,10,11,12,13},1),{6,5,4,3,2,9,8,7,6,5,4,3,2}),11)&lt;2,0,11-MOD(SUMPRODUCT(--MID(G1706,{1,2,3,4,5,6,7,8,9,10,11,12,13},1),{6,5,4,3,2,9,8,7,6,5,4,3,2}),11))),"OK","AVISO: dígito verificador (conferir na org)"))))</f>
      </c>
      <c r="I1706" s="6">
        <f>IF(G1706="","",IF(COUNTIF($G$2:$G$2001,G1706)&gt;1,"DUPLICADO","OK"))</f>
      </c>
      <c r="J1706" s="6">
        <f>IF(COUNTA(A1706:F1706)=0,"",IF(AND(A1706&lt;&gt;"",E1706&lt;&gt;""),"OK","ERRO: faltam "&amp;IF(A1706="","CNPJ; ","")&amp;IF(E1706="","Novo gerente; ","")))</f>
      </c>
      <c r="K1706" s="6">
        <f>IF(COUNTA(A1706:F1706)=0,"",IF(AND(LEFT(H1706,4)&lt;&gt;"ERRO",I1706="OK",J1706="OK"),"OK","REVISAR"))</f>
      </c>
    </row>
    <row r="1707">
      <c r="A1707" s="5"/>
      <c r="B1707" s="4"/>
      <c r="C1707" s="4"/>
      <c r="D1707" s="4"/>
      <c r="E1707" s="5"/>
      <c r="F1707" s="4"/>
      <c r="G1707" s="6">
        <f>IF(A1707="","",SUBSTITUTE(SUBSTITUTE(SUBSTITUTE(SUBSTITUTE(SUBSTITUTE(SUBSTITUTE(SUBSTITUTE(TRIM(A1707),".",""),"/",""),"-","")," ",""),"(",""),")",""),"+",""))</f>
      </c>
      <c r="H1707" s="6">
        <f>IF(G1707="","",IF(LEN(G1707)&lt;&gt;14,"ERRO: "&amp;LEN(G1707)&amp;" dígitos",IF(NOT(ISNUMBER(VALUE(G1707))),"ERRO: não numérico",IF(AND(VALUE(MID(G1707,13,1))=IF(MOD(SUMPRODUCT(--MID(G1707,{1,2,3,4,5,6,7,8,9,10,11,12},1),{5,4,3,2,9,8,7,6,5,4,3,2}),11)&lt;2,0,11-MOD(SUMPRODUCT(--MID(G1707,{1,2,3,4,5,6,7,8,9,10,11,12},1),{5,4,3,2,9,8,7,6,5,4,3,2}),11)),VALUE(MID(G1707,14,1))=IF(MOD(SUMPRODUCT(--MID(G1707,{1,2,3,4,5,6,7,8,9,10,11,12,13},1),{6,5,4,3,2,9,8,7,6,5,4,3,2}),11)&lt;2,0,11-MOD(SUMPRODUCT(--MID(G1707,{1,2,3,4,5,6,7,8,9,10,11,12,13},1),{6,5,4,3,2,9,8,7,6,5,4,3,2}),11))),"OK","AVISO: dígito verificador (conferir na org)"))))</f>
      </c>
      <c r="I1707" s="6">
        <f>IF(G1707="","",IF(COUNTIF($G$2:$G$2001,G1707)&gt;1,"DUPLICADO","OK"))</f>
      </c>
      <c r="J1707" s="6">
        <f>IF(COUNTA(A1707:F1707)=0,"",IF(AND(A1707&lt;&gt;"",E1707&lt;&gt;""),"OK","ERRO: faltam "&amp;IF(A1707="","CNPJ; ","")&amp;IF(E1707="","Novo gerente; ","")))</f>
      </c>
      <c r="K1707" s="6">
        <f>IF(COUNTA(A1707:F1707)=0,"",IF(AND(LEFT(H1707,4)&lt;&gt;"ERRO",I1707="OK",J1707="OK"),"OK","REVISAR"))</f>
      </c>
    </row>
    <row r="1708">
      <c r="A1708" s="5"/>
      <c r="B1708" s="4"/>
      <c r="C1708" s="4"/>
      <c r="D1708" s="4"/>
      <c r="E1708" s="5"/>
      <c r="F1708" s="4"/>
      <c r="G1708" s="6">
        <f>IF(A1708="","",SUBSTITUTE(SUBSTITUTE(SUBSTITUTE(SUBSTITUTE(SUBSTITUTE(SUBSTITUTE(SUBSTITUTE(TRIM(A1708),".",""),"/",""),"-","")," ",""),"(",""),")",""),"+",""))</f>
      </c>
      <c r="H1708" s="6">
        <f>IF(G1708="","",IF(LEN(G1708)&lt;&gt;14,"ERRO: "&amp;LEN(G1708)&amp;" dígitos",IF(NOT(ISNUMBER(VALUE(G1708))),"ERRO: não numérico",IF(AND(VALUE(MID(G1708,13,1))=IF(MOD(SUMPRODUCT(--MID(G1708,{1,2,3,4,5,6,7,8,9,10,11,12},1),{5,4,3,2,9,8,7,6,5,4,3,2}),11)&lt;2,0,11-MOD(SUMPRODUCT(--MID(G1708,{1,2,3,4,5,6,7,8,9,10,11,12},1),{5,4,3,2,9,8,7,6,5,4,3,2}),11)),VALUE(MID(G1708,14,1))=IF(MOD(SUMPRODUCT(--MID(G1708,{1,2,3,4,5,6,7,8,9,10,11,12,13},1),{6,5,4,3,2,9,8,7,6,5,4,3,2}),11)&lt;2,0,11-MOD(SUMPRODUCT(--MID(G1708,{1,2,3,4,5,6,7,8,9,10,11,12,13},1),{6,5,4,3,2,9,8,7,6,5,4,3,2}),11))),"OK","AVISO: dígito verificador (conferir na org)"))))</f>
      </c>
      <c r="I1708" s="6">
        <f>IF(G1708="","",IF(COUNTIF($G$2:$G$2001,G1708)&gt;1,"DUPLICADO","OK"))</f>
      </c>
      <c r="J1708" s="6">
        <f>IF(COUNTA(A1708:F1708)=0,"",IF(AND(A1708&lt;&gt;"",E1708&lt;&gt;""),"OK","ERRO: faltam "&amp;IF(A1708="","CNPJ; ","")&amp;IF(E1708="","Novo gerente; ","")))</f>
      </c>
      <c r="K1708" s="6">
        <f>IF(COUNTA(A1708:F1708)=0,"",IF(AND(LEFT(H1708,4)&lt;&gt;"ERRO",I1708="OK",J1708="OK"),"OK","REVISAR"))</f>
      </c>
    </row>
    <row r="1709">
      <c r="A1709" s="5"/>
      <c r="B1709" s="4"/>
      <c r="C1709" s="4"/>
      <c r="D1709" s="4"/>
      <c r="E1709" s="5"/>
      <c r="F1709" s="4"/>
      <c r="G1709" s="6">
        <f>IF(A1709="","",SUBSTITUTE(SUBSTITUTE(SUBSTITUTE(SUBSTITUTE(SUBSTITUTE(SUBSTITUTE(SUBSTITUTE(TRIM(A1709),".",""),"/",""),"-","")," ",""),"(",""),")",""),"+",""))</f>
      </c>
      <c r="H1709" s="6">
        <f>IF(G1709="","",IF(LEN(G1709)&lt;&gt;14,"ERRO: "&amp;LEN(G1709)&amp;" dígitos",IF(NOT(ISNUMBER(VALUE(G1709))),"ERRO: não numérico",IF(AND(VALUE(MID(G1709,13,1))=IF(MOD(SUMPRODUCT(--MID(G1709,{1,2,3,4,5,6,7,8,9,10,11,12},1),{5,4,3,2,9,8,7,6,5,4,3,2}),11)&lt;2,0,11-MOD(SUMPRODUCT(--MID(G1709,{1,2,3,4,5,6,7,8,9,10,11,12},1),{5,4,3,2,9,8,7,6,5,4,3,2}),11)),VALUE(MID(G1709,14,1))=IF(MOD(SUMPRODUCT(--MID(G1709,{1,2,3,4,5,6,7,8,9,10,11,12,13},1),{6,5,4,3,2,9,8,7,6,5,4,3,2}),11)&lt;2,0,11-MOD(SUMPRODUCT(--MID(G1709,{1,2,3,4,5,6,7,8,9,10,11,12,13},1),{6,5,4,3,2,9,8,7,6,5,4,3,2}),11))),"OK","AVISO: dígito verificador (conferir na org)"))))</f>
      </c>
      <c r="I1709" s="6">
        <f>IF(G1709="","",IF(COUNTIF($G$2:$G$2001,G1709)&gt;1,"DUPLICADO","OK"))</f>
      </c>
      <c r="J1709" s="6">
        <f>IF(COUNTA(A1709:F1709)=0,"",IF(AND(A1709&lt;&gt;"",E1709&lt;&gt;""),"OK","ERRO: faltam "&amp;IF(A1709="","CNPJ; ","")&amp;IF(E1709="","Novo gerente; ","")))</f>
      </c>
      <c r="K1709" s="6">
        <f>IF(COUNTA(A1709:F1709)=0,"",IF(AND(LEFT(H1709,4)&lt;&gt;"ERRO",I1709="OK",J1709="OK"),"OK","REVISAR"))</f>
      </c>
    </row>
    <row r="1710">
      <c r="A1710" s="5"/>
      <c r="B1710" s="4"/>
      <c r="C1710" s="4"/>
      <c r="D1710" s="4"/>
      <c r="E1710" s="5"/>
      <c r="F1710" s="4"/>
      <c r="G1710" s="6">
        <f>IF(A1710="","",SUBSTITUTE(SUBSTITUTE(SUBSTITUTE(SUBSTITUTE(SUBSTITUTE(SUBSTITUTE(SUBSTITUTE(TRIM(A1710),".",""),"/",""),"-","")," ",""),"(",""),")",""),"+",""))</f>
      </c>
      <c r="H1710" s="6">
        <f>IF(G1710="","",IF(LEN(G1710)&lt;&gt;14,"ERRO: "&amp;LEN(G1710)&amp;" dígitos",IF(NOT(ISNUMBER(VALUE(G1710))),"ERRO: não numérico",IF(AND(VALUE(MID(G1710,13,1))=IF(MOD(SUMPRODUCT(--MID(G1710,{1,2,3,4,5,6,7,8,9,10,11,12},1),{5,4,3,2,9,8,7,6,5,4,3,2}),11)&lt;2,0,11-MOD(SUMPRODUCT(--MID(G1710,{1,2,3,4,5,6,7,8,9,10,11,12},1),{5,4,3,2,9,8,7,6,5,4,3,2}),11)),VALUE(MID(G1710,14,1))=IF(MOD(SUMPRODUCT(--MID(G1710,{1,2,3,4,5,6,7,8,9,10,11,12,13},1),{6,5,4,3,2,9,8,7,6,5,4,3,2}),11)&lt;2,0,11-MOD(SUMPRODUCT(--MID(G1710,{1,2,3,4,5,6,7,8,9,10,11,12,13},1),{6,5,4,3,2,9,8,7,6,5,4,3,2}),11))),"OK","AVISO: dígito verificador (conferir na org)"))))</f>
      </c>
      <c r="I1710" s="6">
        <f>IF(G1710="","",IF(COUNTIF($G$2:$G$2001,G1710)&gt;1,"DUPLICADO","OK"))</f>
      </c>
      <c r="J1710" s="6">
        <f>IF(COUNTA(A1710:F1710)=0,"",IF(AND(A1710&lt;&gt;"",E1710&lt;&gt;""),"OK","ERRO: faltam "&amp;IF(A1710="","CNPJ; ","")&amp;IF(E1710="","Novo gerente; ","")))</f>
      </c>
      <c r="K1710" s="6">
        <f>IF(COUNTA(A1710:F1710)=0,"",IF(AND(LEFT(H1710,4)&lt;&gt;"ERRO",I1710="OK",J1710="OK"),"OK","REVISAR"))</f>
      </c>
    </row>
    <row r="1711">
      <c r="A1711" s="5"/>
      <c r="B1711" s="4"/>
      <c r="C1711" s="4"/>
      <c r="D1711" s="4"/>
      <c r="E1711" s="5"/>
      <c r="F1711" s="4"/>
      <c r="G1711" s="6">
        <f>IF(A1711="","",SUBSTITUTE(SUBSTITUTE(SUBSTITUTE(SUBSTITUTE(SUBSTITUTE(SUBSTITUTE(SUBSTITUTE(TRIM(A1711),".",""),"/",""),"-","")," ",""),"(",""),")",""),"+",""))</f>
      </c>
      <c r="H1711" s="6">
        <f>IF(G1711="","",IF(LEN(G1711)&lt;&gt;14,"ERRO: "&amp;LEN(G1711)&amp;" dígitos",IF(NOT(ISNUMBER(VALUE(G1711))),"ERRO: não numérico",IF(AND(VALUE(MID(G1711,13,1))=IF(MOD(SUMPRODUCT(--MID(G1711,{1,2,3,4,5,6,7,8,9,10,11,12},1),{5,4,3,2,9,8,7,6,5,4,3,2}),11)&lt;2,0,11-MOD(SUMPRODUCT(--MID(G1711,{1,2,3,4,5,6,7,8,9,10,11,12},1),{5,4,3,2,9,8,7,6,5,4,3,2}),11)),VALUE(MID(G1711,14,1))=IF(MOD(SUMPRODUCT(--MID(G1711,{1,2,3,4,5,6,7,8,9,10,11,12,13},1),{6,5,4,3,2,9,8,7,6,5,4,3,2}),11)&lt;2,0,11-MOD(SUMPRODUCT(--MID(G1711,{1,2,3,4,5,6,7,8,9,10,11,12,13},1),{6,5,4,3,2,9,8,7,6,5,4,3,2}),11))),"OK","AVISO: dígito verificador (conferir na org)"))))</f>
      </c>
      <c r="I1711" s="6">
        <f>IF(G1711="","",IF(COUNTIF($G$2:$G$2001,G1711)&gt;1,"DUPLICADO","OK"))</f>
      </c>
      <c r="J1711" s="6">
        <f>IF(COUNTA(A1711:F1711)=0,"",IF(AND(A1711&lt;&gt;"",E1711&lt;&gt;""),"OK","ERRO: faltam "&amp;IF(A1711="","CNPJ; ","")&amp;IF(E1711="","Novo gerente; ","")))</f>
      </c>
      <c r="K1711" s="6">
        <f>IF(COUNTA(A1711:F1711)=0,"",IF(AND(LEFT(H1711,4)&lt;&gt;"ERRO",I1711="OK",J1711="OK"),"OK","REVISAR"))</f>
      </c>
    </row>
    <row r="1712">
      <c r="A1712" s="5"/>
      <c r="B1712" s="4"/>
      <c r="C1712" s="4"/>
      <c r="D1712" s="4"/>
      <c r="E1712" s="5"/>
      <c r="F1712" s="4"/>
      <c r="G1712" s="6">
        <f>IF(A1712="","",SUBSTITUTE(SUBSTITUTE(SUBSTITUTE(SUBSTITUTE(SUBSTITUTE(SUBSTITUTE(SUBSTITUTE(TRIM(A1712),".",""),"/",""),"-","")," ",""),"(",""),")",""),"+",""))</f>
      </c>
      <c r="H1712" s="6">
        <f>IF(G1712="","",IF(LEN(G1712)&lt;&gt;14,"ERRO: "&amp;LEN(G1712)&amp;" dígitos",IF(NOT(ISNUMBER(VALUE(G1712))),"ERRO: não numérico",IF(AND(VALUE(MID(G1712,13,1))=IF(MOD(SUMPRODUCT(--MID(G1712,{1,2,3,4,5,6,7,8,9,10,11,12},1),{5,4,3,2,9,8,7,6,5,4,3,2}),11)&lt;2,0,11-MOD(SUMPRODUCT(--MID(G1712,{1,2,3,4,5,6,7,8,9,10,11,12},1),{5,4,3,2,9,8,7,6,5,4,3,2}),11)),VALUE(MID(G1712,14,1))=IF(MOD(SUMPRODUCT(--MID(G1712,{1,2,3,4,5,6,7,8,9,10,11,12,13},1),{6,5,4,3,2,9,8,7,6,5,4,3,2}),11)&lt;2,0,11-MOD(SUMPRODUCT(--MID(G1712,{1,2,3,4,5,6,7,8,9,10,11,12,13},1),{6,5,4,3,2,9,8,7,6,5,4,3,2}),11))),"OK","AVISO: dígito verificador (conferir na org)"))))</f>
      </c>
      <c r="I1712" s="6">
        <f>IF(G1712="","",IF(COUNTIF($G$2:$G$2001,G1712)&gt;1,"DUPLICADO","OK"))</f>
      </c>
      <c r="J1712" s="6">
        <f>IF(COUNTA(A1712:F1712)=0,"",IF(AND(A1712&lt;&gt;"",E1712&lt;&gt;""),"OK","ERRO: faltam "&amp;IF(A1712="","CNPJ; ","")&amp;IF(E1712="","Novo gerente; ","")))</f>
      </c>
      <c r="K1712" s="6">
        <f>IF(COUNTA(A1712:F1712)=0,"",IF(AND(LEFT(H1712,4)&lt;&gt;"ERRO",I1712="OK",J1712="OK"),"OK","REVISAR"))</f>
      </c>
    </row>
    <row r="1713">
      <c r="A1713" s="5"/>
      <c r="B1713" s="4"/>
      <c r="C1713" s="4"/>
      <c r="D1713" s="4"/>
      <c r="E1713" s="5"/>
      <c r="F1713" s="4"/>
      <c r="G1713" s="6">
        <f>IF(A1713="","",SUBSTITUTE(SUBSTITUTE(SUBSTITUTE(SUBSTITUTE(SUBSTITUTE(SUBSTITUTE(SUBSTITUTE(TRIM(A1713),".",""),"/",""),"-","")," ",""),"(",""),")",""),"+",""))</f>
      </c>
      <c r="H1713" s="6">
        <f>IF(G1713="","",IF(LEN(G1713)&lt;&gt;14,"ERRO: "&amp;LEN(G1713)&amp;" dígitos",IF(NOT(ISNUMBER(VALUE(G1713))),"ERRO: não numérico",IF(AND(VALUE(MID(G1713,13,1))=IF(MOD(SUMPRODUCT(--MID(G1713,{1,2,3,4,5,6,7,8,9,10,11,12},1),{5,4,3,2,9,8,7,6,5,4,3,2}),11)&lt;2,0,11-MOD(SUMPRODUCT(--MID(G1713,{1,2,3,4,5,6,7,8,9,10,11,12},1),{5,4,3,2,9,8,7,6,5,4,3,2}),11)),VALUE(MID(G1713,14,1))=IF(MOD(SUMPRODUCT(--MID(G1713,{1,2,3,4,5,6,7,8,9,10,11,12,13},1),{6,5,4,3,2,9,8,7,6,5,4,3,2}),11)&lt;2,0,11-MOD(SUMPRODUCT(--MID(G1713,{1,2,3,4,5,6,7,8,9,10,11,12,13},1),{6,5,4,3,2,9,8,7,6,5,4,3,2}),11))),"OK","AVISO: dígito verificador (conferir na org)"))))</f>
      </c>
      <c r="I1713" s="6">
        <f>IF(G1713="","",IF(COUNTIF($G$2:$G$2001,G1713)&gt;1,"DUPLICADO","OK"))</f>
      </c>
      <c r="J1713" s="6">
        <f>IF(COUNTA(A1713:F1713)=0,"",IF(AND(A1713&lt;&gt;"",E1713&lt;&gt;""),"OK","ERRO: faltam "&amp;IF(A1713="","CNPJ; ","")&amp;IF(E1713="","Novo gerente; ","")))</f>
      </c>
      <c r="K1713" s="6">
        <f>IF(COUNTA(A1713:F1713)=0,"",IF(AND(LEFT(H1713,4)&lt;&gt;"ERRO",I1713="OK",J1713="OK"),"OK","REVISAR"))</f>
      </c>
    </row>
    <row r="1714">
      <c r="A1714" s="5"/>
      <c r="B1714" s="4"/>
      <c r="C1714" s="4"/>
      <c r="D1714" s="4"/>
      <c r="E1714" s="5"/>
      <c r="F1714" s="4"/>
      <c r="G1714" s="6">
        <f>IF(A1714="","",SUBSTITUTE(SUBSTITUTE(SUBSTITUTE(SUBSTITUTE(SUBSTITUTE(SUBSTITUTE(SUBSTITUTE(TRIM(A1714),".",""),"/",""),"-","")," ",""),"(",""),")",""),"+",""))</f>
      </c>
      <c r="H1714" s="6">
        <f>IF(G1714="","",IF(LEN(G1714)&lt;&gt;14,"ERRO: "&amp;LEN(G1714)&amp;" dígitos",IF(NOT(ISNUMBER(VALUE(G1714))),"ERRO: não numérico",IF(AND(VALUE(MID(G1714,13,1))=IF(MOD(SUMPRODUCT(--MID(G1714,{1,2,3,4,5,6,7,8,9,10,11,12},1),{5,4,3,2,9,8,7,6,5,4,3,2}),11)&lt;2,0,11-MOD(SUMPRODUCT(--MID(G1714,{1,2,3,4,5,6,7,8,9,10,11,12},1),{5,4,3,2,9,8,7,6,5,4,3,2}),11)),VALUE(MID(G1714,14,1))=IF(MOD(SUMPRODUCT(--MID(G1714,{1,2,3,4,5,6,7,8,9,10,11,12,13},1),{6,5,4,3,2,9,8,7,6,5,4,3,2}),11)&lt;2,0,11-MOD(SUMPRODUCT(--MID(G1714,{1,2,3,4,5,6,7,8,9,10,11,12,13},1),{6,5,4,3,2,9,8,7,6,5,4,3,2}),11))),"OK","AVISO: dígito verificador (conferir na org)"))))</f>
      </c>
      <c r="I1714" s="6">
        <f>IF(G1714="","",IF(COUNTIF($G$2:$G$2001,G1714)&gt;1,"DUPLICADO","OK"))</f>
      </c>
      <c r="J1714" s="6">
        <f>IF(COUNTA(A1714:F1714)=0,"",IF(AND(A1714&lt;&gt;"",E1714&lt;&gt;""),"OK","ERRO: faltam "&amp;IF(A1714="","CNPJ; ","")&amp;IF(E1714="","Novo gerente; ","")))</f>
      </c>
      <c r="K1714" s="6">
        <f>IF(COUNTA(A1714:F1714)=0,"",IF(AND(LEFT(H1714,4)&lt;&gt;"ERRO",I1714="OK",J1714="OK"),"OK","REVISAR"))</f>
      </c>
    </row>
    <row r="1715">
      <c r="A1715" s="5"/>
      <c r="B1715" s="4"/>
      <c r="C1715" s="4"/>
      <c r="D1715" s="4"/>
      <c r="E1715" s="5"/>
      <c r="F1715" s="4"/>
      <c r="G1715" s="6">
        <f>IF(A1715="","",SUBSTITUTE(SUBSTITUTE(SUBSTITUTE(SUBSTITUTE(SUBSTITUTE(SUBSTITUTE(SUBSTITUTE(TRIM(A1715),".",""),"/",""),"-","")," ",""),"(",""),")",""),"+",""))</f>
      </c>
      <c r="H1715" s="6">
        <f>IF(G1715="","",IF(LEN(G1715)&lt;&gt;14,"ERRO: "&amp;LEN(G1715)&amp;" dígitos",IF(NOT(ISNUMBER(VALUE(G1715))),"ERRO: não numérico",IF(AND(VALUE(MID(G1715,13,1))=IF(MOD(SUMPRODUCT(--MID(G1715,{1,2,3,4,5,6,7,8,9,10,11,12},1),{5,4,3,2,9,8,7,6,5,4,3,2}),11)&lt;2,0,11-MOD(SUMPRODUCT(--MID(G1715,{1,2,3,4,5,6,7,8,9,10,11,12},1),{5,4,3,2,9,8,7,6,5,4,3,2}),11)),VALUE(MID(G1715,14,1))=IF(MOD(SUMPRODUCT(--MID(G1715,{1,2,3,4,5,6,7,8,9,10,11,12,13},1),{6,5,4,3,2,9,8,7,6,5,4,3,2}),11)&lt;2,0,11-MOD(SUMPRODUCT(--MID(G1715,{1,2,3,4,5,6,7,8,9,10,11,12,13},1),{6,5,4,3,2,9,8,7,6,5,4,3,2}),11))),"OK","AVISO: dígito verificador (conferir na org)"))))</f>
      </c>
      <c r="I1715" s="6">
        <f>IF(G1715="","",IF(COUNTIF($G$2:$G$2001,G1715)&gt;1,"DUPLICADO","OK"))</f>
      </c>
      <c r="J1715" s="6">
        <f>IF(COUNTA(A1715:F1715)=0,"",IF(AND(A1715&lt;&gt;"",E1715&lt;&gt;""),"OK","ERRO: faltam "&amp;IF(A1715="","CNPJ; ","")&amp;IF(E1715="","Novo gerente; ","")))</f>
      </c>
      <c r="K1715" s="6">
        <f>IF(COUNTA(A1715:F1715)=0,"",IF(AND(LEFT(H1715,4)&lt;&gt;"ERRO",I1715="OK",J1715="OK"),"OK","REVISAR"))</f>
      </c>
    </row>
    <row r="1716">
      <c r="A1716" s="5"/>
      <c r="B1716" s="4"/>
      <c r="C1716" s="4"/>
      <c r="D1716" s="4"/>
      <c r="E1716" s="5"/>
      <c r="F1716" s="4"/>
      <c r="G1716" s="6">
        <f>IF(A1716="","",SUBSTITUTE(SUBSTITUTE(SUBSTITUTE(SUBSTITUTE(SUBSTITUTE(SUBSTITUTE(SUBSTITUTE(TRIM(A1716),".",""),"/",""),"-","")," ",""),"(",""),")",""),"+",""))</f>
      </c>
      <c r="H1716" s="6">
        <f>IF(G1716="","",IF(LEN(G1716)&lt;&gt;14,"ERRO: "&amp;LEN(G1716)&amp;" dígitos",IF(NOT(ISNUMBER(VALUE(G1716))),"ERRO: não numérico",IF(AND(VALUE(MID(G1716,13,1))=IF(MOD(SUMPRODUCT(--MID(G1716,{1,2,3,4,5,6,7,8,9,10,11,12},1),{5,4,3,2,9,8,7,6,5,4,3,2}),11)&lt;2,0,11-MOD(SUMPRODUCT(--MID(G1716,{1,2,3,4,5,6,7,8,9,10,11,12},1),{5,4,3,2,9,8,7,6,5,4,3,2}),11)),VALUE(MID(G1716,14,1))=IF(MOD(SUMPRODUCT(--MID(G1716,{1,2,3,4,5,6,7,8,9,10,11,12,13},1),{6,5,4,3,2,9,8,7,6,5,4,3,2}),11)&lt;2,0,11-MOD(SUMPRODUCT(--MID(G1716,{1,2,3,4,5,6,7,8,9,10,11,12,13},1),{6,5,4,3,2,9,8,7,6,5,4,3,2}),11))),"OK","AVISO: dígito verificador (conferir na org)"))))</f>
      </c>
      <c r="I1716" s="6">
        <f>IF(G1716="","",IF(COUNTIF($G$2:$G$2001,G1716)&gt;1,"DUPLICADO","OK"))</f>
      </c>
      <c r="J1716" s="6">
        <f>IF(COUNTA(A1716:F1716)=0,"",IF(AND(A1716&lt;&gt;"",E1716&lt;&gt;""),"OK","ERRO: faltam "&amp;IF(A1716="","CNPJ; ","")&amp;IF(E1716="","Novo gerente; ","")))</f>
      </c>
      <c r="K1716" s="6">
        <f>IF(COUNTA(A1716:F1716)=0,"",IF(AND(LEFT(H1716,4)&lt;&gt;"ERRO",I1716="OK",J1716="OK"),"OK","REVISAR"))</f>
      </c>
    </row>
    <row r="1717">
      <c r="A1717" s="5"/>
      <c r="B1717" s="4"/>
      <c r="C1717" s="4"/>
      <c r="D1717" s="4"/>
      <c r="E1717" s="5"/>
      <c r="F1717" s="4"/>
      <c r="G1717" s="6">
        <f>IF(A1717="","",SUBSTITUTE(SUBSTITUTE(SUBSTITUTE(SUBSTITUTE(SUBSTITUTE(SUBSTITUTE(SUBSTITUTE(TRIM(A1717),".",""),"/",""),"-","")," ",""),"(",""),")",""),"+",""))</f>
      </c>
      <c r="H1717" s="6">
        <f>IF(G1717="","",IF(LEN(G1717)&lt;&gt;14,"ERRO: "&amp;LEN(G1717)&amp;" dígitos",IF(NOT(ISNUMBER(VALUE(G1717))),"ERRO: não numérico",IF(AND(VALUE(MID(G1717,13,1))=IF(MOD(SUMPRODUCT(--MID(G1717,{1,2,3,4,5,6,7,8,9,10,11,12},1),{5,4,3,2,9,8,7,6,5,4,3,2}),11)&lt;2,0,11-MOD(SUMPRODUCT(--MID(G1717,{1,2,3,4,5,6,7,8,9,10,11,12},1),{5,4,3,2,9,8,7,6,5,4,3,2}),11)),VALUE(MID(G1717,14,1))=IF(MOD(SUMPRODUCT(--MID(G1717,{1,2,3,4,5,6,7,8,9,10,11,12,13},1),{6,5,4,3,2,9,8,7,6,5,4,3,2}),11)&lt;2,0,11-MOD(SUMPRODUCT(--MID(G1717,{1,2,3,4,5,6,7,8,9,10,11,12,13},1),{6,5,4,3,2,9,8,7,6,5,4,3,2}),11))),"OK","AVISO: dígito verificador (conferir na org)"))))</f>
      </c>
      <c r="I1717" s="6">
        <f>IF(G1717="","",IF(COUNTIF($G$2:$G$2001,G1717)&gt;1,"DUPLICADO","OK"))</f>
      </c>
      <c r="J1717" s="6">
        <f>IF(COUNTA(A1717:F1717)=0,"",IF(AND(A1717&lt;&gt;"",E1717&lt;&gt;""),"OK","ERRO: faltam "&amp;IF(A1717="","CNPJ; ","")&amp;IF(E1717="","Novo gerente; ","")))</f>
      </c>
      <c r="K1717" s="6">
        <f>IF(COUNTA(A1717:F1717)=0,"",IF(AND(LEFT(H1717,4)&lt;&gt;"ERRO",I1717="OK",J1717="OK"),"OK","REVISAR"))</f>
      </c>
    </row>
    <row r="1718">
      <c r="A1718" s="5"/>
      <c r="B1718" s="4"/>
      <c r="C1718" s="4"/>
      <c r="D1718" s="4"/>
      <c r="E1718" s="5"/>
      <c r="F1718" s="4"/>
      <c r="G1718" s="6">
        <f>IF(A1718="","",SUBSTITUTE(SUBSTITUTE(SUBSTITUTE(SUBSTITUTE(SUBSTITUTE(SUBSTITUTE(SUBSTITUTE(TRIM(A1718),".",""),"/",""),"-","")," ",""),"(",""),")",""),"+",""))</f>
      </c>
      <c r="H1718" s="6">
        <f>IF(G1718="","",IF(LEN(G1718)&lt;&gt;14,"ERRO: "&amp;LEN(G1718)&amp;" dígitos",IF(NOT(ISNUMBER(VALUE(G1718))),"ERRO: não numérico",IF(AND(VALUE(MID(G1718,13,1))=IF(MOD(SUMPRODUCT(--MID(G1718,{1,2,3,4,5,6,7,8,9,10,11,12},1),{5,4,3,2,9,8,7,6,5,4,3,2}),11)&lt;2,0,11-MOD(SUMPRODUCT(--MID(G1718,{1,2,3,4,5,6,7,8,9,10,11,12},1),{5,4,3,2,9,8,7,6,5,4,3,2}),11)),VALUE(MID(G1718,14,1))=IF(MOD(SUMPRODUCT(--MID(G1718,{1,2,3,4,5,6,7,8,9,10,11,12,13},1),{6,5,4,3,2,9,8,7,6,5,4,3,2}),11)&lt;2,0,11-MOD(SUMPRODUCT(--MID(G1718,{1,2,3,4,5,6,7,8,9,10,11,12,13},1),{6,5,4,3,2,9,8,7,6,5,4,3,2}),11))),"OK","AVISO: dígito verificador (conferir na org)"))))</f>
      </c>
      <c r="I1718" s="6">
        <f>IF(G1718="","",IF(COUNTIF($G$2:$G$2001,G1718)&gt;1,"DUPLICADO","OK"))</f>
      </c>
      <c r="J1718" s="6">
        <f>IF(COUNTA(A1718:F1718)=0,"",IF(AND(A1718&lt;&gt;"",E1718&lt;&gt;""),"OK","ERRO: faltam "&amp;IF(A1718="","CNPJ; ","")&amp;IF(E1718="","Novo gerente; ","")))</f>
      </c>
      <c r="K1718" s="6">
        <f>IF(COUNTA(A1718:F1718)=0,"",IF(AND(LEFT(H1718,4)&lt;&gt;"ERRO",I1718="OK",J1718="OK"),"OK","REVISAR"))</f>
      </c>
    </row>
    <row r="1719">
      <c r="A1719" s="5"/>
      <c r="B1719" s="4"/>
      <c r="C1719" s="4"/>
      <c r="D1719" s="4"/>
      <c r="E1719" s="5"/>
      <c r="F1719" s="4"/>
      <c r="G1719" s="6">
        <f>IF(A1719="","",SUBSTITUTE(SUBSTITUTE(SUBSTITUTE(SUBSTITUTE(SUBSTITUTE(SUBSTITUTE(SUBSTITUTE(TRIM(A1719),".",""),"/",""),"-","")," ",""),"(",""),")",""),"+",""))</f>
      </c>
      <c r="H1719" s="6">
        <f>IF(G1719="","",IF(LEN(G1719)&lt;&gt;14,"ERRO: "&amp;LEN(G1719)&amp;" dígitos",IF(NOT(ISNUMBER(VALUE(G1719))),"ERRO: não numérico",IF(AND(VALUE(MID(G1719,13,1))=IF(MOD(SUMPRODUCT(--MID(G1719,{1,2,3,4,5,6,7,8,9,10,11,12},1),{5,4,3,2,9,8,7,6,5,4,3,2}),11)&lt;2,0,11-MOD(SUMPRODUCT(--MID(G1719,{1,2,3,4,5,6,7,8,9,10,11,12},1),{5,4,3,2,9,8,7,6,5,4,3,2}),11)),VALUE(MID(G1719,14,1))=IF(MOD(SUMPRODUCT(--MID(G1719,{1,2,3,4,5,6,7,8,9,10,11,12,13},1),{6,5,4,3,2,9,8,7,6,5,4,3,2}),11)&lt;2,0,11-MOD(SUMPRODUCT(--MID(G1719,{1,2,3,4,5,6,7,8,9,10,11,12,13},1),{6,5,4,3,2,9,8,7,6,5,4,3,2}),11))),"OK","AVISO: dígito verificador (conferir na org)"))))</f>
      </c>
      <c r="I1719" s="6">
        <f>IF(G1719="","",IF(COUNTIF($G$2:$G$2001,G1719)&gt;1,"DUPLICADO","OK"))</f>
      </c>
      <c r="J1719" s="6">
        <f>IF(COUNTA(A1719:F1719)=0,"",IF(AND(A1719&lt;&gt;"",E1719&lt;&gt;""),"OK","ERRO: faltam "&amp;IF(A1719="","CNPJ; ","")&amp;IF(E1719="","Novo gerente; ","")))</f>
      </c>
      <c r="K1719" s="6">
        <f>IF(COUNTA(A1719:F1719)=0,"",IF(AND(LEFT(H1719,4)&lt;&gt;"ERRO",I1719="OK",J1719="OK"),"OK","REVISAR"))</f>
      </c>
    </row>
    <row r="1720">
      <c r="A1720" s="5"/>
      <c r="B1720" s="4"/>
      <c r="C1720" s="4"/>
      <c r="D1720" s="4"/>
      <c r="E1720" s="5"/>
      <c r="F1720" s="4"/>
      <c r="G1720" s="6">
        <f>IF(A1720="","",SUBSTITUTE(SUBSTITUTE(SUBSTITUTE(SUBSTITUTE(SUBSTITUTE(SUBSTITUTE(SUBSTITUTE(TRIM(A1720),".",""),"/",""),"-","")," ",""),"(",""),")",""),"+",""))</f>
      </c>
      <c r="H1720" s="6">
        <f>IF(G1720="","",IF(LEN(G1720)&lt;&gt;14,"ERRO: "&amp;LEN(G1720)&amp;" dígitos",IF(NOT(ISNUMBER(VALUE(G1720))),"ERRO: não numérico",IF(AND(VALUE(MID(G1720,13,1))=IF(MOD(SUMPRODUCT(--MID(G1720,{1,2,3,4,5,6,7,8,9,10,11,12},1),{5,4,3,2,9,8,7,6,5,4,3,2}),11)&lt;2,0,11-MOD(SUMPRODUCT(--MID(G1720,{1,2,3,4,5,6,7,8,9,10,11,12},1),{5,4,3,2,9,8,7,6,5,4,3,2}),11)),VALUE(MID(G1720,14,1))=IF(MOD(SUMPRODUCT(--MID(G1720,{1,2,3,4,5,6,7,8,9,10,11,12,13},1),{6,5,4,3,2,9,8,7,6,5,4,3,2}),11)&lt;2,0,11-MOD(SUMPRODUCT(--MID(G1720,{1,2,3,4,5,6,7,8,9,10,11,12,13},1),{6,5,4,3,2,9,8,7,6,5,4,3,2}),11))),"OK","AVISO: dígito verificador (conferir na org)"))))</f>
      </c>
      <c r="I1720" s="6">
        <f>IF(G1720="","",IF(COUNTIF($G$2:$G$2001,G1720)&gt;1,"DUPLICADO","OK"))</f>
      </c>
      <c r="J1720" s="6">
        <f>IF(COUNTA(A1720:F1720)=0,"",IF(AND(A1720&lt;&gt;"",E1720&lt;&gt;""),"OK","ERRO: faltam "&amp;IF(A1720="","CNPJ; ","")&amp;IF(E1720="","Novo gerente; ","")))</f>
      </c>
      <c r="K1720" s="6">
        <f>IF(COUNTA(A1720:F1720)=0,"",IF(AND(LEFT(H1720,4)&lt;&gt;"ERRO",I1720="OK",J1720="OK"),"OK","REVISAR"))</f>
      </c>
    </row>
    <row r="1721">
      <c r="A1721" s="5"/>
      <c r="B1721" s="4"/>
      <c r="C1721" s="4"/>
      <c r="D1721" s="4"/>
      <c r="E1721" s="5"/>
      <c r="F1721" s="4"/>
      <c r="G1721" s="6">
        <f>IF(A1721="","",SUBSTITUTE(SUBSTITUTE(SUBSTITUTE(SUBSTITUTE(SUBSTITUTE(SUBSTITUTE(SUBSTITUTE(TRIM(A1721),".",""),"/",""),"-","")," ",""),"(",""),")",""),"+",""))</f>
      </c>
      <c r="H1721" s="6">
        <f>IF(G1721="","",IF(LEN(G1721)&lt;&gt;14,"ERRO: "&amp;LEN(G1721)&amp;" dígitos",IF(NOT(ISNUMBER(VALUE(G1721))),"ERRO: não numérico",IF(AND(VALUE(MID(G1721,13,1))=IF(MOD(SUMPRODUCT(--MID(G1721,{1,2,3,4,5,6,7,8,9,10,11,12},1),{5,4,3,2,9,8,7,6,5,4,3,2}),11)&lt;2,0,11-MOD(SUMPRODUCT(--MID(G1721,{1,2,3,4,5,6,7,8,9,10,11,12},1),{5,4,3,2,9,8,7,6,5,4,3,2}),11)),VALUE(MID(G1721,14,1))=IF(MOD(SUMPRODUCT(--MID(G1721,{1,2,3,4,5,6,7,8,9,10,11,12,13},1),{6,5,4,3,2,9,8,7,6,5,4,3,2}),11)&lt;2,0,11-MOD(SUMPRODUCT(--MID(G1721,{1,2,3,4,5,6,7,8,9,10,11,12,13},1),{6,5,4,3,2,9,8,7,6,5,4,3,2}),11))),"OK","AVISO: dígito verificador (conferir na org)"))))</f>
      </c>
      <c r="I1721" s="6">
        <f>IF(G1721="","",IF(COUNTIF($G$2:$G$2001,G1721)&gt;1,"DUPLICADO","OK"))</f>
      </c>
      <c r="J1721" s="6">
        <f>IF(COUNTA(A1721:F1721)=0,"",IF(AND(A1721&lt;&gt;"",E1721&lt;&gt;""),"OK","ERRO: faltam "&amp;IF(A1721="","CNPJ; ","")&amp;IF(E1721="","Novo gerente; ","")))</f>
      </c>
      <c r="K1721" s="6">
        <f>IF(COUNTA(A1721:F1721)=0,"",IF(AND(LEFT(H1721,4)&lt;&gt;"ERRO",I1721="OK",J1721="OK"),"OK","REVISAR"))</f>
      </c>
    </row>
    <row r="1722">
      <c r="A1722" s="5"/>
      <c r="B1722" s="4"/>
      <c r="C1722" s="4"/>
      <c r="D1722" s="4"/>
      <c r="E1722" s="5"/>
      <c r="F1722" s="4"/>
      <c r="G1722" s="6">
        <f>IF(A1722="","",SUBSTITUTE(SUBSTITUTE(SUBSTITUTE(SUBSTITUTE(SUBSTITUTE(SUBSTITUTE(SUBSTITUTE(TRIM(A1722),".",""),"/",""),"-","")," ",""),"(",""),")",""),"+",""))</f>
      </c>
      <c r="H1722" s="6">
        <f>IF(G1722="","",IF(LEN(G1722)&lt;&gt;14,"ERRO: "&amp;LEN(G1722)&amp;" dígitos",IF(NOT(ISNUMBER(VALUE(G1722))),"ERRO: não numérico",IF(AND(VALUE(MID(G1722,13,1))=IF(MOD(SUMPRODUCT(--MID(G1722,{1,2,3,4,5,6,7,8,9,10,11,12},1),{5,4,3,2,9,8,7,6,5,4,3,2}),11)&lt;2,0,11-MOD(SUMPRODUCT(--MID(G1722,{1,2,3,4,5,6,7,8,9,10,11,12},1),{5,4,3,2,9,8,7,6,5,4,3,2}),11)),VALUE(MID(G1722,14,1))=IF(MOD(SUMPRODUCT(--MID(G1722,{1,2,3,4,5,6,7,8,9,10,11,12,13},1),{6,5,4,3,2,9,8,7,6,5,4,3,2}),11)&lt;2,0,11-MOD(SUMPRODUCT(--MID(G1722,{1,2,3,4,5,6,7,8,9,10,11,12,13},1),{6,5,4,3,2,9,8,7,6,5,4,3,2}),11))),"OK","AVISO: dígito verificador (conferir na org)"))))</f>
      </c>
      <c r="I1722" s="6">
        <f>IF(G1722="","",IF(COUNTIF($G$2:$G$2001,G1722)&gt;1,"DUPLICADO","OK"))</f>
      </c>
      <c r="J1722" s="6">
        <f>IF(COUNTA(A1722:F1722)=0,"",IF(AND(A1722&lt;&gt;"",E1722&lt;&gt;""),"OK","ERRO: faltam "&amp;IF(A1722="","CNPJ; ","")&amp;IF(E1722="","Novo gerente; ","")))</f>
      </c>
      <c r="K1722" s="6">
        <f>IF(COUNTA(A1722:F1722)=0,"",IF(AND(LEFT(H1722,4)&lt;&gt;"ERRO",I1722="OK",J1722="OK"),"OK","REVISAR"))</f>
      </c>
    </row>
    <row r="1723">
      <c r="A1723" s="5"/>
      <c r="B1723" s="4"/>
      <c r="C1723" s="4"/>
      <c r="D1723" s="4"/>
      <c r="E1723" s="5"/>
      <c r="F1723" s="4"/>
      <c r="G1723" s="6">
        <f>IF(A1723="","",SUBSTITUTE(SUBSTITUTE(SUBSTITUTE(SUBSTITUTE(SUBSTITUTE(SUBSTITUTE(SUBSTITUTE(TRIM(A1723),".",""),"/",""),"-","")," ",""),"(",""),")",""),"+",""))</f>
      </c>
      <c r="H1723" s="6">
        <f>IF(G1723="","",IF(LEN(G1723)&lt;&gt;14,"ERRO: "&amp;LEN(G1723)&amp;" dígitos",IF(NOT(ISNUMBER(VALUE(G1723))),"ERRO: não numérico",IF(AND(VALUE(MID(G1723,13,1))=IF(MOD(SUMPRODUCT(--MID(G1723,{1,2,3,4,5,6,7,8,9,10,11,12},1),{5,4,3,2,9,8,7,6,5,4,3,2}),11)&lt;2,0,11-MOD(SUMPRODUCT(--MID(G1723,{1,2,3,4,5,6,7,8,9,10,11,12},1),{5,4,3,2,9,8,7,6,5,4,3,2}),11)),VALUE(MID(G1723,14,1))=IF(MOD(SUMPRODUCT(--MID(G1723,{1,2,3,4,5,6,7,8,9,10,11,12,13},1),{6,5,4,3,2,9,8,7,6,5,4,3,2}),11)&lt;2,0,11-MOD(SUMPRODUCT(--MID(G1723,{1,2,3,4,5,6,7,8,9,10,11,12,13},1),{6,5,4,3,2,9,8,7,6,5,4,3,2}),11))),"OK","AVISO: dígito verificador (conferir na org)"))))</f>
      </c>
      <c r="I1723" s="6">
        <f>IF(G1723="","",IF(COUNTIF($G$2:$G$2001,G1723)&gt;1,"DUPLICADO","OK"))</f>
      </c>
      <c r="J1723" s="6">
        <f>IF(COUNTA(A1723:F1723)=0,"",IF(AND(A1723&lt;&gt;"",E1723&lt;&gt;""),"OK","ERRO: faltam "&amp;IF(A1723="","CNPJ; ","")&amp;IF(E1723="","Novo gerente; ","")))</f>
      </c>
      <c r="K1723" s="6">
        <f>IF(COUNTA(A1723:F1723)=0,"",IF(AND(LEFT(H1723,4)&lt;&gt;"ERRO",I1723="OK",J1723="OK"),"OK","REVISAR"))</f>
      </c>
    </row>
    <row r="1724">
      <c r="A1724" s="5"/>
      <c r="B1724" s="4"/>
      <c r="C1724" s="4"/>
      <c r="D1724" s="4"/>
      <c r="E1724" s="5"/>
      <c r="F1724" s="4"/>
      <c r="G1724" s="6">
        <f>IF(A1724="","",SUBSTITUTE(SUBSTITUTE(SUBSTITUTE(SUBSTITUTE(SUBSTITUTE(SUBSTITUTE(SUBSTITUTE(TRIM(A1724),".",""),"/",""),"-","")," ",""),"(",""),")",""),"+",""))</f>
      </c>
      <c r="H1724" s="6">
        <f>IF(G1724="","",IF(LEN(G1724)&lt;&gt;14,"ERRO: "&amp;LEN(G1724)&amp;" dígitos",IF(NOT(ISNUMBER(VALUE(G1724))),"ERRO: não numérico",IF(AND(VALUE(MID(G1724,13,1))=IF(MOD(SUMPRODUCT(--MID(G1724,{1,2,3,4,5,6,7,8,9,10,11,12},1),{5,4,3,2,9,8,7,6,5,4,3,2}),11)&lt;2,0,11-MOD(SUMPRODUCT(--MID(G1724,{1,2,3,4,5,6,7,8,9,10,11,12},1),{5,4,3,2,9,8,7,6,5,4,3,2}),11)),VALUE(MID(G1724,14,1))=IF(MOD(SUMPRODUCT(--MID(G1724,{1,2,3,4,5,6,7,8,9,10,11,12,13},1),{6,5,4,3,2,9,8,7,6,5,4,3,2}),11)&lt;2,0,11-MOD(SUMPRODUCT(--MID(G1724,{1,2,3,4,5,6,7,8,9,10,11,12,13},1),{6,5,4,3,2,9,8,7,6,5,4,3,2}),11))),"OK","AVISO: dígito verificador (conferir na org)"))))</f>
      </c>
      <c r="I1724" s="6">
        <f>IF(G1724="","",IF(COUNTIF($G$2:$G$2001,G1724)&gt;1,"DUPLICADO","OK"))</f>
      </c>
      <c r="J1724" s="6">
        <f>IF(COUNTA(A1724:F1724)=0,"",IF(AND(A1724&lt;&gt;"",E1724&lt;&gt;""),"OK","ERRO: faltam "&amp;IF(A1724="","CNPJ; ","")&amp;IF(E1724="","Novo gerente; ","")))</f>
      </c>
      <c r="K1724" s="6">
        <f>IF(COUNTA(A1724:F1724)=0,"",IF(AND(LEFT(H1724,4)&lt;&gt;"ERRO",I1724="OK",J1724="OK"),"OK","REVISAR"))</f>
      </c>
    </row>
    <row r="1725">
      <c r="A1725" s="5"/>
      <c r="B1725" s="4"/>
      <c r="C1725" s="4"/>
      <c r="D1725" s="4"/>
      <c r="E1725" s="5"/>
      <c r="F1725" s="4"/>
      <c r="G1725" s="6">
        <f>IF(A1725="","",SUBSTITUTE(SUBSTITUTE(SUBSTITUTE(SUBSTITUTE(SUBSTITUTE(SUBSTITUTE(SUBSTITUTE(TRIM(A1725),".",""),"/",""),"-","")," ",""),"(",""),")",""),"+",""))</f>
      </c>
      <c r="H1725" s="6">
        <f>IF(G1725="","",IF(LEN(G1725)&lt;&gt;14,"ERRO: "&amp;LEN(G1725)&amp;" dígitos",IF(NOT(ISNUMBER(VALUE(G1725))),"ERRO: não numérico",IF(AND(VALUE(MID(G1725,13,1))=IF(MOD(SUMPRODUCT(--MID(G1725,{1,2,3,4,5,6,7,8,9,10,11,12},1),{5,4,3,2,9,8,7,6,5,4,3,2}),11)&lt;2,0,11-MOD(SUMPRODUCT(--MID(G1725,{1,2,3,4,5,6,7,8,9,10,11,12},1),{5,4,3,2,9,8,7,6,5,4,3,2}),11)),VALUE(MID(G1725,14,1))=IF(MOD(SUMPRODUCT(--MID(G1725,{1,2,3,4,5,6,7,8,9,10,11,12,13},1),{6,5,4,3,2,9,8,7,6,5,4,3,2}),11)&lt;2,0,11-MOD(SUMPRODUCT(--MID(G1725,{1,2,3,4,5,6,7,8,9,10,11,12,13},1),{6,5,4,3,2,9,8,7,6,5,4,3,2}),11))),"OK","AVISO: dígito verificador (conferir na org)"))))</f>
      </c>
      <c r="I1725" s="6">
        <f>IF(G1725="","",IF(COUNTIF($G$2:$G$2001,G1725)&gt;1,"DUPLICADO","OK"))</f>
      </c>
      <c r="J1725" s="6">
        <f>IF(COUNTA(A1725:F1725)=0,"",IF(AND(A1725&lt;&gt;"",E1725&lt;&gt;""),"OK","ERRO: faltam "&amp;IF(A1725="","CNPJ; ","")&amp;IF(E1725="","Novo gerente; ","")))</f>
      </c>
      <c r="K1725" s="6">
        <f>IF(COUNTA(A1725:F1725)=0,"",IF(AND(LEFT(H1725,4)&lt;&gt;"ERRO",I1725="OK",J1725="OK"),"OK","REVISAR"))</f>
      </c>
    </row>
    <row r="1726">
      <c r="A1726" s="5"/>
      <c r="B1726" s="4"/>
      <c r="C1726" s="4"/>
      <c r="D1726" s="4"/>
      <c r="E1726" s="5"/>
      <c r="F1726" s="4"/>
      <c r="G1726" s="6">
        <f>IF(A1726="","",SUBSTITUTE(SUBSTITUTE(SUBSTITUTE(SUBSTITUTE(SUBSTITUTE(SUBSTITUTE(SUBSTITUTE(TRIM(A1726),".",""),"/",""),"-","")," ",""),"(",""),")",""),"+",""))</f>
      </c>
      <c r="H1726" s="6">
        <f>IF(G1726="","",IF(LEN(G1726)&lt;&gt;14,"ERRO: "&amp;LEN(G1726)&amp;" dígitos",IF(NOT(ISNUMBER(VALUE(G1726))),"ERRO: não numérico",IF(AND(VALUE(MID(G1726,13,1))=IF(MOD(SUMPRODUCT(--MID(G1726,{1,2,3,4,5,6,7,8,9,10,11,12},1),{5,4,3,2,9,8,7,6,5,4,3,2}),11)&lt;2,0,11-MOD(SUMPRODUCT(--MID(G1726,{1,2,3,4,5,6,7,8,9,10,11,12},1),{5,4,3,2,9,8,7,6,5,4,3,2}),11)),VALUE(MID(G1726,14,1))=IF(MOD(SUMPRODUCT(--MID(G1726,{1,2,3,4,5,6,7,8,9,10,11,12,13},1),{6,5,4,3,2,9,8,7,6,5,4,3,2}),11)&lt;2,0,11-MOD(SUMPRODUCT(--MID(G1726,{1,2,3,4,5,6,7,8,9,10,11,12,13},1),{6,5,4,3,2,9,8,7,6,5,4,3,2}),11))),"OK","AVISO: dígito verificador (conferir na org)"))))</f>
      </c>
      <c r="I1726" s="6">
        <f>IF(G1726="","",IF(COUNTIF($G$2:$G$2001,G1726)&gt;1,"DUPLICADO","OK"))</f>
      </c>
      <c r="J1726" s="6">
        <f>IF(COUNTA(A1726:F1726)=0,"",IF(AND(A1726&lt;&gt;"",E1726&lt;&gt;""),"OK","ERRO: faltam "&amp;IF(A1726="","CNPJ; ","")&amp;IF(E1726="","Novo gerente; ","")))</f>
      </c>
      <c r="K1726" s="6">
        <f>IF(COUNTA(A1726:F1726)=0,"",IF(AND(LEFT(H1726,4)&lt;&gt;"ERRO",I1726="OK",J1726="OK"),"OK","REVISAR"))</f>
      </c>
    </row>
    <row r="1727">
      <c r="A1727" s="5"/>
      <c r="B1727" s="4"/>
      <c r="C1727" s="4"/>
      <c r="D1727" s="4"/>
      <c r="E1727" s="5"/>
      <c r="F1727" s="4"/>
      <c r="G1727" s="6">
        <f>IF(A1727="","",SUBSTITUTE(SUBSTITUTE(SUBSTITUTE(SUBSTITUTE(SUBSTITUTE(SUBSTITUTE(SUBSTITUTE(TRIM(A1727),".",""),"/",""),"-","")," ",""),"(",""),")",""),"+",""))</f>
      </c>
      <c r="H1727" s="6">
        <f>IF(G1727="","",IF(LEN(G1727)&lt;&gt;14,"ERRO: "&amp;LEN(G1727)&amp;" dígitos",IF(NOT(ISNUMBER(VALUE(G1727))),"ERRO: não numérico",IF(AND(VALUE(MID(G1727,13,1))=IF(MOD(SUMPRODUCT(--MID(G1727,{1,2,3,4,5,6,7,8,9,10,11,12},1),{5,4,3,2,9,8,7,6,5,4,3,2}),11)&lt;2,0,11-MOD(SUMPRODUCT(--MID(G1727,{1,2,3,4,5,6,7,8,9,10,11,12},1),{5,4,3,2,9,8,7,6,5,4,3,2}),11)),VALUE(MID(G1727,14,1))=IF(MOD(SUMPRODUCT(--MID(G1727,{1,2,3,4,5,6,7,8,9,10,11,12,13},1),{6,5,4,3,2,9,8,7,6,5,4,3,2}),11)&lt;2,0,11-MOD(SUMPRODUCT(--MID(G1727,{1,2,3,4,5,6,7,8,9,10,11,12,13},1),{6,5,4,3,2,9,8,7,6,5,4,3,2}),11))),"OK","AVISO: dígito verificador (conferir na org)"))))</f>
      </c>
      <c r="I1727" s="6">
        <f>IF(G1727="","",IF(COUNTIF($G$2:$G$2001,G1727)&gt;1,"DUPLICADO","OK"))</f>
      </c>
      <c r="J1727" s="6">
        <f>IF(COUNTA(A1727:F1727)=0,"",IF(AND(A1727&lt;&gt;"",E1727&lt;&gt;""),"OK","ERRO: faltam "&amp;IF(A1727="","CNPJ; ","")&amp;IF(E1727="","Novo gerente; ","")))</f>
      </c>
      <c r="K1727" s="6">
        <f>IF(COUNTA(A1727:F1727)=0,"",IF(AND(LEFT(H1727,4)&lt;&gt;"ERRO",I1727="OK",J1727="OK"),"OK","REVISAR"))</f>
      </c>
    </row>
    <row r="1728">
      <c r="A1728" s="5"/>
      <c r="B1728" s="4"/>
      <c r="C1728" s="4"/>
      <c r="D1728" s="4"/>
      <c r="E1728" s="5"/>
      <c r="F1728" s="4"/>
      <c r="G1728" s="6">
        <f>IF(A1728="","",SUBSTITUTE(SUBSTITUTE(SUBSTITUTE(SUBSTITUTE(SUBSTITUTE(SUBSTITUTE(SUBSTITUTE(TRIM(A1728),".",""),"/",""),"-","")," ",""),"(",""),")",""),"+",""))</f>
      </c>
      <c r="H1728" s="6">
        <f>IF(G1728="","",IF(LEN(G1728)&lt;&gt;14,"ERRO: "&amp;LEN(G1728)&amp;" dígitos",IF(NOT(ISNUMBER(VALUE(G1728))),"ERRO: não numérico",IF(AND(VALUE(MID(G1728,13,1))=IF(MOD(SUMPRODUCT(--MID(G1728,{1,2,3,4,5,6,7,8,9,10,11,12},1),{5,4,3,2,9,8,7,6,5,4,3,2}),11)&lt;2,0,11-MOD(SUMPRODUCT(--MID(G1728,{1,2,3,4,5,6,7,8,9,10,11,12},1),{5,4,3,2,9,8,7,6,5,4,3,2}),11)),VALUE(MID(G1728,14,1))=IF(MOD(SUMPRODUCT(--MID(G1728,{1,2,3,4,5,6,7,8,9,10,11,12,13},1),{6,5,4,3,2,9,8,7,6,5,4,3,2}),11)&lt;2,0,11-MOD(SUMPRODUCT(--MID(G1728,{1,2,3,4,5,6,7,8,9,10,11,12,13},1),{6,5,4,3,2,9,8,7,6,5,4,3,2}),11))),"OK","AVISO: dígito verificador (conferir na org)"))))</f>
      </c>
      <c r="I1728" s="6">
        <f>IF(G1728="","",IF(COUNTIF($G$2:$G$2001,G1728)&gt;1,"DUPLICADO","OK"))</f>
      </c>
      <c r="J1728" s="6">
        <f>IF(COUNTA(A1728:F1728)=0,"",IF(AND(A1728&lt;&gt;"",E1728&lt;&gt;""),"OK","ERRO: faltam "&amp;IF(A1728="","CNPJ; ","")&amp;IF(E1728="","Novo gerente; ","")))</f>
      </c>
      <c r="K1728" s="6">
        <f>IF(COUNTA(A1728:F1728)=0,"",IF(AND(LEFT(H1728,4)&lt;&gt;"ERRO",I1728="OK",J1728="OK"),"OK","REVISAR"))</f>
      </c>
    </row>
    <row r="1729">
      <c r="A1729" s="5"/>
      <c r="B1729" s="4"/>
      <c r="C1729" s="4"/>
      <c r="D1729" s="4"/>
      <c r="E1729" s="5"/>
      <c r="F1729" s="4"/>
      <c r="G1729" s="6">
        <f>IF(A1729="","",SUBSTITUTE(SUBSTITUTE(SUBSTITUTE(SUBSTITUTE(SUBSTITUTE(SUBSTITUTE(SUBSTITUTE(TRIM(A1729),".",""),"/",""),"-","")," ",""),"(",""),")",""),"+",""))</f>
      </c>
      <c r="H1729" s="6">
        <f>IF(G1729="","",IF(LEN(G1729)&lt;&gt;14,"ERRO: "&amp;LEN(G1729)&amp;" dígitos",IF(NOT(ISNUMBER(VALUE(G1729))),"ERRO: não numérico",IF(AND(VALUE(MID(G1729,13,1))=IF(MOD(SUMPRODUCT(--MID(G1729,{1,2,3,4,5,6,7,8,9,10,11,12},1),{5,4,3,2,9,8,7,6,5,4,3,2}),11)&lt;2,0,11-MOD(SUMPRODUCT(--MID(G1729,{1,2,3,4,5,6,7,8,9,10,11,12},1),{5,4,3,2,9,8,7,6,5,4,3,2}),11)),VALUE(MID(G1729,14,1))=IF(MOD(SUMPRODUCT(--MID(G1729,{1,2,3,4,5,6,7,8,9,10,11,12,13},1),{6,5,4,3,2,9,8,7,6,5,4,3,2}),11)&lt;2,0,11-MOD(SUMPRODUCT(--MID(G1729,{1,2,3,4,5,6,7,8,9,10,11,12,13},1),{6,5,4,3,2,9,8,7,6,5,4,3,2}),11))),"OK","AVISO: dígito verificador (conferir na org)"))))</f>
      </c>
      <c r="I1729" s="6">
        <f>IF(G1729="","",IF(COUNTIF($G$2:$G$2001,G1729)&gt;1,"DUPLICADO","OK"))</f>
      </c>
      <c r="J1729" s="6">
        <f>IF(COUNTA(A1729:F1729)=0,"",IF(AND(A1729&lt;&gt;"",E1729&lt;&gt;""),"OK","ERRO: faltam "&amp;IF(A1729="","CNPJ; ","")&amp;IF(E1729="","Novo gerente; ","")))</f>
      </c>
      <c r="K1729" s="6">
        <f>IF(COUNTA(A1729:F1729)=0,"",IF(AND(LEFT(H1729,4)&lt;&gt;"ERRO",I1729="OK",J1729="OK"),"OK","REVISAR"))</f>
      </c>
    </row>
    <row r="1730">
      <c r="A1730" s="5"/>
      <c r="B1730" s="4"/>
      <c r="C1730" s="4"/>
      <c r="D1730" s="4"/>
      <c r="E1730" s="5"/>
      <c r="F1730" s="4"/>
      <c r="G1730" s="6">
        <f>IF(A1730="","",SUBSTITUTE(SUBSTITUTE(SUBSTITUTE(SUBSTITUTE(SUBSTITUTE(SUBSTITUTE(SUBSTITUTE(TRIM(A1730),".",""),"/",""),"-","")," ",""),"(",""),")",""),"+",""))</f>
      </c>
      <c r="H1730" s="6">
        <f>IF(G1730="","",IF(LEN(G1730)&lt;&gt;14,"ERRO: "&amp;LEN(G1730)&amp;" dígitos",IF(NOT(ISNUMBER(VALUE(G1730))),"ERRO: não numérico",IF(AND(VALUE(MID(G1730,13,1))=IF(MOD(SUMPRODUCT(--MID(G1730,{1,2,3,4,5,6,7,8,9,10,11,12},1),{5,4,3,2,9,8,7,6,5,4,3,2}),11)&lt;2,0,11-MOD(SUMPRODUCT(--MID(G1730,{1,2,3,4,5,6,7,8,9,10,11,12},1),{5,4,3,2,9,8,7,6,5,4,3,2}),11)),VALUE(MID(G1730,14,1))=IF(MOD(SUMPRODUCT(--MID(G1730,{1,2,3,4,5,6,7,8,9,10,11,12,13},1),{6,5,4,3,2,9,8,7,6,5,4,3,2}),11)&lt;2,0,11-MOD(SUMPRODUCT(--MID(G1730,{1,2,3,4,5,6,7,8,9,10,11,12,13},1),{6,5,4,3,2,9,8,7,6,5,4,3,2}),11))),"OK","AVISO: dígito verificador (conferir na org)"))))</f>
      </c>
      <c r="I1730" s="6">
        <f>IF(G1730="","",IF(COUNTIF($G$2:$G$2001,G1730)&gt;1,"DUPLICADO","OK"))</f>
      </c>
      <c r="J1730" s="6">
        <f>IF(COUNTA(A1730:F1730)=0,"",IF(AND(A1730&lt;&gt;"",E1730&lt;&gt;""),"OK","ERRO: faltam "&amp;IF(A1730="","CNPJ; ","")&amp;IF(E1730="","Novo gerente; ","")))</f>
      </c>
      <c r="K1730" s="6">
        <f>IF(COUNTA(A1730:F1730)=0,"",IF(AND(LEFT(H1730,4)&lt;&gt;"ERRO",I1730="OK",J1730="OK"),"OK","REVISAR"))</f>
      </c>
    </row>
    <row r="1731">
      <c r="A1731" s="5"/>
      <c r="B1731" s="4"/>
      <c r="C1731" s="4"/>
      <c r="D1731" s="4"/>
      <c r="E1731" s="5"/>
      <c r="F1731" s="4"/>
      <c r="G1731" s="6">
        <f>IF(A1731="","",SUBSTITUTE(SUBSTITUTE(SUBSTITUTE(SUBSTITUTE(SUBSTITUTE(SUBSTITUTE(SUBSTITUTE(TRIM(A1731),".",""),"/",""),"-","")," ",""),"(",""),")",""),"+",""))</f>
      </c>
      <c r="H1731" s="6">
        <f>IF(G1731="","",IF(LEN(G1731)&lt;&gt;14,"ERRO: "&amp;LEN(G1731)&amp;" dígitos",IF(NOT(ISNUMBER(VALUE(G1731))),"ERRO: não numérico",IF(AND(VALUE(MID(G1731,13,1))=IF(MOD(SUMPRODUCT(--MID(G1731,{1,2,3,4,5,6,7,8,9,10,11,12},1),{5,4,3,2,9,8,7,6,5,4,3,2}),11)&lt;2,0,11-MOD(SUMPRODUCT(--MID(G1731,{1,2,3,4,5,6,7,8,9,10,11,12},1),{5,4,3,2,9,8,7,6,5,4,3,2}),11)),VALUE(MID(G1731,14,1))=IF(MOD(SUMPRODUCT(--MID(G1731,{1,2,3,4,5,6,7,8,9,10,11,12,13},1),{6,5,4,3,2,9,8,7,6,5,4,3,2}),11)&lt;2,0,11-MOD(SUMPRODUCT(--MID(G1731,{1,2,3,4,5,6,7,8,9,10,11,12,13},1),{6,5,4,3,2,9,8,7,6,5,4,3,2}),11))),"OK","AVISO: dígito verificador (conferir na org)"))))</f>
      </c>
      <c r="I1731" s="6">
        <f>IF(G1731="","",IF(COUNTIF($G$2:$G$2001,G1731)&gt;1,"DUPLICADO","OK"))</f>
      </c>
      <c r="J1731" s="6">
        <f>IF(COUNTA(A1731:F1731)=0,"",IF(AND(A1731&lt;&gt;"",E1731&lt;&gt;""),"OK","ERRO: faltam "&amp;IF(A1731="","CNPJ; ","")&amp;IF(E1731="","Novo gerente; ","")))</f>
      </c>
      <c r="K1731" s="6">
        <f>IF(COUNTA(A1731:F1731)=0,"",IF(AND(LEFT(H1731,4)&lt;&gt;"ERRO",I1731="OK",J1731="OK"),"OK","REVISAR"))</f>
      </c>
    </row>
    <row r="1732">
      <c r="A1732" s="5"/>
      <c r="B1732" s="4"/>
      <c r="C1732" s="4"/>
      <c r="D1732" s="4"/>
      <c r="E1732" s="5"/>
      <c r="F1732" s="4"/>
      <c r="G1732" s="6">
        <f>IF(A1732="","",SUBSTITUTE(SUBSTITUTE(SUBSTITUTE(SUBSTITUTE(SUBSTITUTE(SUBSTITUTE(SUBSTITUTE(TRIM(A1732),".",""),"/",""),"-","")," ",""),"(",""),")",""),"+",""))</f>
      </c>
      <c r="H1732" s="6">
        <f>IF(G1732="","",IF(LEN(G1732)&lt;&gt;14,"ERRO: "&amp;LEN(G1732)&amp;" dígitos",IF(NOT(ISNUMBER(VALUE(G1732))),"ERRO: não numérico",IF(AND(VALUE(MID(G1732,13,1))=IF(MOD(SUMPRODUCT(--MID(G1732,{1,2,3,4,5,6,7,8,9,10,11,12},1),{5,4,3,2,9,8,7,6,5,4,3,2}),11)&lt;2,0,11-MOD(SUMPRODUCT(--MID(G1732,{1,2,3,4,5,6,7,8,9,10,11,12},1),{5,4,3,2,9,8,7,6,5,4,3,2}),11)),VALUE(MID(G1732,14,1))=IF(MOD(SUMPRODUCT(--MID(G1732,{1,2,3,4,5,6,7,8,9,10,11,12,13},1),{6,5,4,3,2,9,8,7,6,5,4,3,2}),11)&lt;2,0,11-MOD(SUMPRODUCT(--MID(G1732,{1,2,3,4,5,6,7,8,9,10,11,12,13},1),{6,5,4,3,2,9,8,7,6,5,4,3,2}),11))),"OK","AVISO: dígito verificador (conferir na org)"))))</f>
      </c>
      <c r="I1732" s="6">
        <f>IF(G1732="","",IF(COUNTIF($G$2:$G$2001,G1732)&gt;1,"DUPLICADO","OK"))</f>
      </c>
      <c r="J1732" s="6">
        <f>IF(COUNTA(A1732:F1732)=0,"",IF(AND(A1732&lt;&gt;"",E1732&lt;&gt;""),"OK","ERRO: faltam "&amp;IF(A1732="","CNPJ; ","")&amp;IF(E1732="","Novo gerente; ","")))</f>
      </c>
      <c r="K1732" s="6">
        <f>IF(COUNTA(A1732:F1732)=0,"",IF(AND(LEFT(H1732,4)&lt;&gt;"ERRO",I1732="OK",J1732="OK"),"OK","REVISAR"))</f>
      </c>
    </row>
    <row r="1733">
      <c r="A1733" s="5"/>
      <c r="B1733" s="4"/>
      <c r="C1733" s="4"/>
      <c r="D1733" s="4"/>
      <c r="E1733" s="5"/>
      <c r="F1733" s="4"/>
      <c r="G1733" s="6">
        <f>IF(A1733="","",SUBSTITUTE(SUBSTITUTE(SUBSTITUTE(SUBSTITUTE(SUBSTITUTE(SUBSTITUTE(SUBSTITUTE(TRIM(A1733),".",""),"/",""),"-","")," ",""),"(",""),")",""),"+",""))</f>
      </c>
      <c r="H1733" s="6">
        <f>IF(G1733="","",IF(LEN(G1733)&lt;&gt;14,"ERRO: "&amp;LEN(G1733)&amp;" dígitos",IF(NOT(ISNUMBER(VALUE(G1733))),"ERRO: não numérico",IF(AND(VALUE(MID(G1733,13,1))=IF(MOD(SUMPRODUCT(--MID(G1733,{1,2,3,4,5,6,7,8,9,10,11,12},1),{5,4,3,2,9,8,7,6,5,4,3,2}),11)&lt;2,0,11-MOD(SUMPRODUCT(--MID(G1733,{1,2,3,4,5,6,7,8,9,10,11,12},1),{5,4,3,2,9,8,7,6,5,4,3,2}),11)),VALUE(MID(G1733,14,1))=IF(MOD(SUMPRODUCT(--MID(G1733,{1,2,3,4,5,6,7,8,9,10,11,12,13},1),{6,5,4,3,2,9,8,7,6,5,4,3,2}),11)&lt;2,0,11-MOD(SUMPRODUCT(--MID(G1733,{1,2,3,4,5,6,7,8,9,10,11,12,13},1),{6,5,4,3,2,9,8,7,6,5,4,3,2}),11))),"OK","AVISO: dígito verificador (conferir na org)"))))</f>
      </c>
      <c r="I1733" s="6">
        <f>IF(G1733="","",IF(COUNTIF($G$2:$G$2001,G1733)&gt;1,"DUPLICADO","OK"))</f>
      </c>
      <c r="J1733" s="6">
        <f>IF(COUNTA(A1733:F1733)=0,"",IF(AND(A1733&lt;&gt;"",E1733&lt;&gt;""),"OK","ERRO: faltam "&amp;IF(A1733="","CNPJ; ","")&amp;IF(E1733="","Novo gerente; ","")))</f>
      </c>
      <c r="K1733" s="6">
        <f>IF(COUNTA(A1733:F1733)=0,"",IF(AND(LEFT(H1733,4)&lt;&gt;"ERRO",I1733="OK",J1733="OK"),"OK","REVISAR"))</f>
      </c>
    </row>
    <row r="1734">
      <c r="A1734" s="5"/>
      <c r="B1734" s="4"/>
      <c r="C1734" s="4"/>
      <c r="D1734" s="4"/>
      <c r="E1734" s="5"/>
      <c r="F1734" s="4"/>
      <c r="G1734" s="6">
        <f>IF(A1734="","",SUBSTITUTE(SUBSTITUTE(SUBSTITUTE(SUBSTITUTE(SUBSTITUTE(SUBSTITUTE(SUBSTITUTE(TRIM(A1734),".",""),"/",""),"-","")," ",""),"(",""),")",""),"+",""))</f>
      </c>
      <c r="H1734" s="6">
        <f>IF(G1734="","",IF(LEN(G1734)&lt;&gt;14,"ERRO: "&amp;LEN(G1734)&amp;" dígitos",IF(NOT(ISNUMBER(VALUE(G1734))),"ERRO: não numérico",IF(AND(VALUE(MID(G1734,13,1))=IF(MOD(SUMPRODUCT(--MID(G1734,{1,2,3,4,5,6,7,8,9,10,11,12},1),{5,4,3,2,9,8,7,6,5,4,3,2}),11)&lt;2,0,11-MOD(SUMPRODUCT(--MID(G1734,{1,2,3,4,5,6,7,8,9,10,11,12},1),{5,4,3,2,9,8,7,6,5,4,3,2}),11)),VALUE(MID(G1734,14,1))=IF(MOD(SUMPRODUCT(--MID(G1734,{1,2,3,4,5,6,7,8,9,10,11,12,13},1),{6,5,4,3,2,9,8,7,6,5,4,3,2}),11)&lt;2,0,11-MOD(SUMPRODUCT(--MID(G1734,{1,2,3,4,5,6,7,8,9,10,11,12,13},1),{6,5,4,3,2,9,8,7,6,5,4,3,2}),11))),"OK","AVISO: dígito verificador (conferir na org)"))))</f>
      </c>
      <c r="I1734" s="6">
        <f>IF(G1734="","",IF(COUNTIF($G$2:$G$2001,G1734)&gt;1,"DUPLICADO","OK"))</f>
      </c>
      <c r="J1734" s="6">
        <f>IF(COUNTA(A1734:F1734)=0,"",IF(AND(A1734&lt;&gt;"",E1734&lt;&gt;""),"OK","ERRO: faltam "&amp;IF(A1734="","CNPJ; ","")&amp;IF(E1734="","Novo gerente; ","")))</f>
      </c>
      <c r="K1734" s="6">
        <f>IF(COUNTA(A1734:F1734)=0,"",IF(AND(LEFT(H1734,4)&lt;&gt;"ERRO",I1734="OK",J1734="OK"),"OK","REVISAR"))</f>
      </c>
    </row>
    <row r="1735">
      <c r="A1735" s="5"/>
      <c r="B1735" s="4"/>
      <c r="C1735" s="4"/>
      <c r="D1735" s="4"/>
      <c r="E1735" s="5"/>
      <c r="F1735" s="4"/>
      <c r="G1735" s="6">
        <f>IF(A1735="","",SUBSTITUTE(SUBSTITUTE(SUBSTITUTE(SUBSTITUTE(SUBSTITUTE(SUBSTITUTE(SUBSTITUTE(TRIM(A1735),".",""),"/",""),"-","")," ",""),"(",""),")",""),"+",""))</f>
      </c>
      <c r="H1735" s="6">
        <f>IF(G1735="","",IF(LEN(G1735)&lt;&gt;14,"ERRO: "&amp;LEN(G1735)&amp;" dígitos",IF(NOT(ISNUMBER(VALUE(G1735))),"ERRO: não numérico",IF(AND(VALUE(MID(G1735,13,1))=IF(MOD(SUMPRODUCT(--MID(G1735,{1,2,3,4,5,6,7,8,9,10,11,12},1),{5,4,3,2,9,8,7,6,5,4,3,2}),11)&lt;2,0,11-MOD(SUMPRODUCT(--MID(G1735,{1,2,3,4,5,6,7,8,9,10,11,12},1),{5,4,3,2,9,8,7,6,5,4,3,2}),11)),VALUE(MID(G1735,14,1))=IF(MOD(SUMPRODUCT(--MID(G1735,{1,2,3,4,5,6,7,8,9,10,11,12,13},1),{6,5,4,3,2,9,8,7,6,5,4,3,2}),11)&lt;2,0,11-MOD(SUMPRODUCT(--MID(G1735,{1,2,3,4,5,6,7,8,9,10,11,12,13},1),{6,5,4,3,2,9,8,7,6,5,4,3,2}),11))),"OK","AVISO: dígito verificador (conferir na org)"))))</f>
      </c>
      <c r="I1735" s="6">
        <f>IF(G1735="","",IF(COUNTIF($G$2:$G$2001,G1735)&gt;1,"DUPLICADO","OK"))</f>
      </c>
      <c r="J1735" s="6">
        <f>IF(COUNTA(A1735:F1735)=0,"",IF(AND(A1735&lt;&gt;"",E1735&lt;&gt;""),"OK","ERRO: faltam "&amp;IF(A1735="","CNPJ; ","")&amp;IF(E1735="","Novo gerente; ","")))</f>
      </c>
      <c r="K1735" s="6">
        <f>IF(COUNTA(A1735:F1735)=0,"",IF(AND(LEFT(H1735,4)&lt;&gt;"ERRO",I1735="OK",J1735="OK"),"OK","REVISAR"))</f>
      </c>
    </row>
    <row r="1736">
      <c r="A1736" s="5"/>
      <c r="B1736" s="4"/>
      <c r="C1736" s="4"/>
      <c r="D1736" s="4"/>
      <c r="E1736" s="5"/>
      <c r="F1736" s="4"/>
      <c r="G1736" s="6">
        <f>IF(A1736="","",SUBSTITUTE(SUBSTITUTE(SUBSTITUTE(SUBSTITUTE(SUBSTITUTE(SUBSTITUTE(SUBSTITUTE(TRIM(A1736),".",""),"/",""),"-","")," ",""),"(",""),")",""),"+",""))</f>
      </c>
      <c r="H1736" s="6">
        <f>IF(G1736="","",IF(LEN(G1736)&lt;&gt;14,"ERRO: "&amp;LEN(G1736)&amp;" dígitos",IF(NOT(ISNUMBER(VALUE(G1736))),"ERRO: não numérico",IF(AND(VALUE(MID(G1736,13,1))=IF(MOD(SUMPRODUCT(--MID(G1736,{1,2,3,4,5,6,7,8,9,10,11,12},1),{5,4,3,2,9,8,7,6,5,4,3,2}),11)&lt;2,0,11-MOD(SUMPRODUCT(--MID(G1736,{1,2,3,4,5,6,7,8,9,10,11,12},1),{5,4,3,2,9,8,7,6,5,4,3,2}),11)),VALUE(MID(G1736,14,1))=IF(MOD(SUMPRODUCT(--MID(G1736,{1,2,3,4,5,6,7,8,9,10,11,12,13},1),{6,5,4,3,2,9,8,7,6,5,4,3,2}),11)&lt;2,0,11-MOD(SUMPRODUCT(--MID(G1736,{1,2,3,4,5,6,7,8,9,10,11,12,13},1),{6,5,4,3,2,9,8,7,6,5,4,3,2}),11))),"OK","AVISO: dígito verificador (conferir na org)"))))</f>
      </c>
      <c r="I1736" s="6">
        <f>IF(G1736="","",IF(COUNTIF($G$2:$G$2001,G1736)&gt;1,"DUPLICADO","OK"))</f>
      </c>
      <c r="J1736" s="6">
        <f>IF(COUNTA(A1736:F1736)=0,"",IF(AND(A1736&lt;&gt;"",E1736&lt;&gt;""),"OK","ERRO: faltam "&amp;IF(A1736="","CNPJ; ","")&amp;IF(E1736="","Novo gerente; ","")))</f>
      </c>
      <c r="K1736" s="6">
        <f>IF(COUNTA(A1736:F1736)=0,"",IF(AND(LEFT(H1736,4)&lt;&gt;"ERRO",I1736="OK",J1736="OK"),"OK","REVISAR"))</f>
      </c>
    </row>
    <row r="1737">
      <c r="A1737" s="5"/>
      <c r="B1737" s="4"/>
      <c r="C1737" s="4"/>
      <c r="D1737" s="4"/>
      <c r="E1737" s="5"/>
      <c r="F1737" s="4"/>
      <c r="G1737" s="6">
        <f>IF(A1737="","",SUBSTITUTE(SUBSTITUTE(SUBSTITUTE(SUBSTITUTE(SUBSTITUTE(SUBSTITUTE(SUBSTITUTE(TRIM(A1737),".",""),"/",""),"-","")," ",""),"(",""),")",""),"+",""))</f>
      </c>
      <c r="H1737" s="6">
        <f>IF(G1737="","",IF(LEN(G1737)&lt;&gt;14,"ERRO: "&amp;LEN(G1737)&amp;" dígitos",IF(NOT(ISNUMBER(VALUE(G1737))),"ERRO: não numérico",IF(AND(VALUE(MID(G1737,13,1))=IF(MOD(SUMPRODUCT(--MID(G1737,{1,2,3,4,5,6,7,8,9,10,11,12},1),{5,4,3,2,9,8,7,6,5,4,3,2}),11)&lt;2,0,11-MOD(SUMPRODUCT(--MID(G1737,{1,2,3,4,5,6,7,8,9,10,11,12},1),{5,4,3,2,9,8,7,6,5,4,3,2}),11)),VALUE(MID(G1737,14,1))=IF(MOD(SUMPRODUCT(--MID(G1737,{1,2,3,4,5,6,7,8,9,10,11,12,13},1),{6,5,4,3,2,9,8,7,6,5,4,3,2}),11)&lt;2,0,11-MOD(SUMPRODUCT(--MID(G1737,{1,2,3,4,5,6,7,8,9,10,11,12,13},1),{6,5,4,3,2,9,8,7,6,5,4,3,2}),11))),"OK","AVISO: dígito verificador (conferir na org)"))))</f>
      </c>
      <c r="I1737" s="6">
        <f>IF(G1737="","",IF(COUNTIF($G$2:$G$2001,G1737)&gt;1,"DUPLICADO","OK"))</f>
      </c>
      <c r="J1737" s="6">
        <f>IF(COUNTA(A1737:F1737)=0,"",IF(AND(A1737&lt;&gt;"",E1737&lt;&gt;""),"OK","ERRO: faltam "&amp;IF(A1737="","CNPJ; ","")&amp;IF(E1737="","Novo gerente; ","")))</f>
      </c>
      <c r="K1737" s="6">
        <f>IF(COUNTA(A1737:F1737)=0,"",IF(AND(LEFT(H1737,4)&lt;&gt;"ERRO",I1737="OK",J1737="OK"),"OK","REVISAR"))</f>
      </c>
    </row>
    <row r="1738">
      <c r="A1738" s="5"/>
      <c r="B1738" s="4"/>
      <c r="C1738" s="4"/>
      <c r="D1738" s="4"/>
      <c r="E1738" s="5"/>
      <c r="F1738" s="4"/>
      <c r="G1738" s="6">
        <f>IF(A1738="","",SUBSTITUTE(SUBSTITUTE(SUBSTITUTE(SUBSTITUTE(SUBSTITUTE(SUBSTITUTE(SUBSTITUTE(TRIM(A1738),".",""),"/",""),"-","")," ",""),"(",""),")",""),"+",""))</f>
      </c>
      <c r="H1738" s="6">
        <f>IF(G1738="","",IF(LEN(G1738)&lt;&gt;14,"ERRO: "&amp;LEN(G1738)&amp;" dígitos",IF(NOT(ISNUMBER(VALUE(G1738))),"ERRO: não numérico",IF(AND(VALUE(MID(G1738,13,1))=IF(MOD(SUMPRODUCT(--MID(G1738,{1,2,3,4,5,6,7,8,9,10,11,12},1),{5,4,3,2,9,8,7,6,5,4,3,2}),11)&lt;2,0,11-MOD(SUMPRODUCT(--MID(G1738,{1,2,3,4,5,6,7,8,9,10,11,12},1),{5,4,3,2,9,8,7,6,5,4,3,2}),11)),VALUE(MID(G1738,14,1))=IF(MOD(SUMPRODUCT(--MID(G1738,{1,2,3,4,5,6,7,8,9,10,11,12,13},1),{6,5,4,3,2,9,8,7,6,5,4,3,2}),11)&lt;2,0,11-MOD(SUMPRODUCT(--MID(G1738,{1,2,3,4,5,6,7,8,9,10,11,12,13},1),{6,5,4,3,2,9,8,7,6,5,4,3,2}),11))),"OK","AVISO: dígito verificador (conferir na org)"))))</f>
      </c>
      <c r="I1738" s="6">
        <f>IF(G1738="","",IF(COUNTIF($G$2:$G$2001,G1738)&gt;1,"DUPLICADO","OK"))</f>
      </c>
      <c r="J1738" s="6">
        <f>IF(COUNTA(A1738:F1738)=0,"",IF(AND(A1738&lt;&gt;"",E1738&lt;&gt;""),"OK","ERRO: faltam "&amp;IF(A1738="","CNPJ; ","")&amp;IF(E1738="","Novo gerente; ","")))</f>
      </c>
      <c r="K1738" s="6">
        <f>IF(COUNTA(A1738:F1738)=0,"",IF(AND(LEFT(H1738,4)&lt;&gt;"ERRO",I1738="OK",J1738="OK"),"OK","REVISAR"))</f>
      </c>
    </row>
    <row r="1739">
      <c r="A1739" s="5"/>
      <c r="B1739" s="4"/>
      <c r="C1739" s="4"/>
      <c r="D1739" s="4"/>
      <c r="E1739" s="5"/>
      <c r="F1739" s="4"/>
      <c r="G1739" s="6">
        <f>IF(A1739="","",SUBSTITUTE(SUBSTITUTE(SUBSTITUTE(SUBSTITUTE(SUBSTITUTE(SUBSTITUTE(SUBSTITUTE(TRIM(A1739),".",""),"/",""),"-","")," ",""),"(",""),")",""),"+",""))</f>
      </c>
      <c r="H1739" s="6">
        <f>IF(G1739="","",IF(LEN(G1739)&lt;&gt;14,"ERRO: "&amp;LEN(G1739)&amp;" dígitos",IF(NOT(ISNUMBER(VALUE(G1739))),"ERRO: não numérico",IF(AND(VALUE(MID(G1739,13,1))=IF(MOD(SUMPRODUCT(--MID(G1739,{1,2,3,4,5,6,7,8,9,10,11,12},1),{5,4,3,2,9,8,7,6,5,4,3,2}),11)&lt;2,0,11-MOD(SUMPRODUCT(--MID(G1739,{1,2,3,4,5,6,7,8,9,10,11,12},1),{5,4,3,2,9,8,7,6,5,4,3,2}),11)),VALUE(MID(G1739,14,1))=IF(MOD(SUMPRODUCT(--MID(G1739,{1,2,3,4,5,6,7,8,9,10,11,12,13},1),{6,5,4,3,2,9,8,7,6,5,4,3,2}),11)&lt;2,0,11-MOD(SUMPRODUCT(--MID(G1739,{1,2,3,4,5,6,7,8,9,10,11,12,13},1),{6,5,4,3,2,9,8,7,6,5,4,3,2}),11))),"OK","AVISO: dígito verificador (conferir na org)"))))</f>
      </c>
      <c r="I1739" s="6">
        <f>IF(G1739="","",IF(COUNTIF($G$2:$G$2001,G1739)&gt;1,"DUPLICADO","OK"))</f>
      </c>
      <c r="J1739" s="6">
        <f>IF(COUNTA(A1739:F1739)=0,"",IF(AND(A1739&lt;&gt;"",E1739&lt;&gt;""),"OK","ERRO: faltam "&amp;IF(A1739="","CNPJ; ","")&amp;IF(E1739="","Novo gerente; ","")))</f>
      </c>
      <c r="K1739" s="6">
        <f>IF(COUNTA(A1739:F1739)=0,"",IF(AND(LEFT(H1739,4)&lt;&gt;"ERRO",I1739="OK",J1739="OK"),"OK","REVISAR"))</f>
      </c>
    </row>
    <row r="1740">
      <c r="A1740" s="5"/>
      <c r="B1740" s="4"/>
      <c r="C1740" s="4"/>
      <c r="D1740" s="4"/>
      <c r="E1740" s="5"/>
      <c r="F1740" s="4"/>
      <c r="G1740" s="6">
        <f>IF(A1740="","",SUBSTITUTE(SUBSTITUTE(SUBSTITUTE(SUBSTITUTE(SUBSTITUTE(SUBSTITUTE(SUBSTITUTE(TRIM(A1740),".",""),"/",""),"-","")," ",""),"(",""),")",""),"+",""))</f>
      </c>
      <c r="H1740" s="6">
        <f>IF(G1740="","",IF(LEN(G1740)&lt;&gt;14,"ERRO: "&amp;LEN(G1740)&amp;" dígitos",IF(NOT(ISNUMBER(VALUE(G1740))),"ERRO: não numérico",IF(AND(VALUE(MID(G1740,13,1))=IF(MOD(SUMPRODUCT(--MID(G1740,{1,2,3,4,5,6,7,8,9,10,11,12},1),{5,4,3,2,9,8,7,6,5,4,3,2}),11)&lt;2,0,11-MOD(SUMPRODUCT(--MID(G1740,{1,2,3,4,5,6,7,8,9,10,11,12},1),{5,4,3,2,9,8,7,6,5,4,3,2}),11)),VALUE(MID(G1740,14,1))=IF(MOD(SUMPRODUCT(--MID(G1740,{1,2,3,4,5,6,7,8,9,10,11,12,13},1),{6,5,4,3,2,9,8,7,6,5,4,3,2}),11)&lt;2,0,11-MOD(SUMPRODUCT(--MID(G1740,{1,2,3,4,5,6,7,8,9,10,11,12,13},1),{6,5,4,3,2,9,8,7,6,5,4,3,2}),11))),"OK","AVISO: dígito verificador (conferir na org)"))))</f>
      </c>
      <c r="I1740" s="6">
        <f>IF(G1740="","",IF(COUNTIF($G$2:$G$2001,G1740)&gt;1,"DUPLICADO","OK"))</f>
      </c>
      <c r="J1740" s="6">
        <f>IF(COUNTA(A1740:F1740)=0,"",IF(AND(A1740&lt;&gt;"",E1740&lt;&gt;""),"OK","ERRO: faltam "&amp;IF(A1740="","CNPJ; ","")&amp;IF(E1740="","Novo gerente; ","")))</f>
      </c>
      <c r="K1740" s="6">
        <f>IF(COUNTA(A1740:F1740)=0,"",IF(AND(LEFT(H1740,4)&lt;&gt;"ERRO",I1740="OK",J1740="OK"),"OK","REVISAR"))</f>
      </c>
    </row>
    <row r="1741">
      <c r="A1741" s="5"/>
      <c r="B1741" s="4"/>
      <c r="C1741" s="4"/>
      <c r="D1741" s="4"/>
      <c r="E1741" s="5"/>
      <c r="F1741" s="4"/>
      <c r="G1741" s="6">
        <f>IF(A1741="","",SUBSTITUTE(SUBSTITUTE(SUBSTITUTE(SUBSTITUTE(SUBSTITUTE(SUBSTITUTE(SUBSTITUTE(TRIM(A1741),".",""),"/",""),"-","")," ",""),"(",""),")",""),"+",""))</f>
      </c>
      <c r="H1741" s="6">
        <f>IF(G1741="","",IF(LEN(G1741)&lt;&gt;14,"ERRO: "&amp;LEN(G1741)&amp;" dígitos",IF(NOT(ISNUMBER(VALUE(G1741))),"ERRO: não numérico",IF(AND(VALUE(MID(G1741,13,1))=IF(MOD(SUMPRODUCT(--MID(G1741,{1,2,3,4,5,6,7,8,9,10,11,12},1),{5,4,3,2,9,8,7,6,5,4,3,2}),11)&lt;2,0,11-MOD(SUMPRODUCT(--MID(G1741,{1,2,3,4,5,6,7,8,9,10,11,12},1),{5,4,3,2,9,8,7,6,5,4,3,2}),11)),VALUE(MID(G1741,14,1))=IF(MOD(SUMPRODUCT(--MID(G1741,{1,2,3,4,5,6,7,8,9,10,11,12,13},1),{6,5,4,3,2,9,8,7,6,5,4,3,2}),11)&lt;2,0,11-MOD(SUMPRODUCT(--MID(G1741,{1,2,3,4,5,6,7,8,9,10,11,12,13},1),{6,5,4,3,2,9,8,7,6,5,4,3,2}),11))),"OK","AVISO: dígito verificador (conferir na org)"))))</f>
      </c>
      <c r="I1741" s="6">
        <f>IF(G1741="","",IF(COUNTIF($G$2:$G$2001,G1741)&gt;1,"DUPLICADO","OK"))</f>
      </c>
      <c r="J1741" s="6">
        <f>IF(COUNTA(A1741:F1741)=0,"",IF(AND(A1741&lt;&gt;"",E1741&lt;&gt;""),"OK","ERRO: faltam "&amp;IF(A1741="","CNPJ; ","")&amp;IF(E1741="","Novo gerente; ","")))</f>
      </c>
      <c r="K1741" s="6">
        <f>IF(COUNTA(A1741:F1741)=0,"",IF(AND(LEFT(H1741,4)&lt;&gt;"ERRO",I1741="OK",J1741="OK"),"OK","REVISAR"))</f>
      </c>
    </row>
    <row r="1742">
      <c r="A1742" s="5"/>
      <c r="B1742" s="4"/>
      <c r="C1742" s="4"/>
      <c r="D1742" s="4"/>
      <c r="E1742" s="5"/>
      <c r="F1742" s="4"/>
      <c r="G1742" s="6">
        <f>IF(A1742="","",SUBSTITUTE(SUBSTITUTE(SUBSTITUTE(SUBSTITUTE(SUBSTITUTE(SUBSTITUTE(SUBSTITUTE(TRIM(A1742),".",""),"/",""),"-","")," ",""),"(",""),")",""),"+",""))</f>
      </c>
      <c r="H1742" s="6">
        <f>IF(G1742="","",IF(LEN(G1742)&lt;&gt;14,"ERRO: "&amp;LEN(G1742)&amp;" dígitos",IF(NOT(ISNUMBER(VALUE(G1742))),"ERRO: não numérico",IF(AND(VALUE(MID(G1742,13,1))=IF(MOD(SUMPRODUCT(--MID(G1742,{1,2,3,4,5,6,7,8,9,10,11,12},1),{5,4,3,2,9,8,7,6,5,4,3,2}),11)&lt;2,0,11-MOD(SUMPRODUCT(--MID(G1742,{1,2,3,4,5,6,7,8,9,10,11,12},1),{5,4,3,2,9,8,7,6,5,4,3,2}),11)),VALUE(MID(G1742,14,1))=IF(MOD(SUMPRODUCT(--MID(G1742,{1,2,3,4,5,6,7,8,9,10,11,12,13},1),{6,5,4,3,2,9,8,7,6,5,4,3,2}),11)&lt;2,0,11-MOD(SUMPRODUCT(--MID(G1742,{1,2,3,4,5,6,7,8,9,10,11,12,13},1),{6,5,4,3,2,9,8,7,6,5,4,3,2}),11))),"OK","AVISO: dígito verificador (conferir na org)"))))</f>
      </c>
      <c r="I1742" s="6">
        <f>IF(G1742="","",IF(COUNTIF($G$2:$G$2001,G1742)&gt;1,"DUPLICADO","OK"))</f>
      </c>
      <c r="J1742" s="6">
        <f>IF(COUNTA(A1742:F1742)=0,"",IF(AND(A1742&lt;&gt;"",E1742&lt;&gt;""),"OK","ERRO: faltam "&amp;IF(A1742="","CNPJ; ","")&amp;IF(E1742="","Novo gerente; ","")))</f>
      </c>
      <c r="K1742" s="6">
        <f>IF(COUNTA(A1742:F1742)=0,"",IF(AND(LEFT(H1742,4)&lt;&gt;"ERRO",I1742="OK",J1742="OK"),"OK","REVISAR"))</f>
      </c>
    </row>
    <row r="1743">
      <c r="A1743" s="5"/>
      <c r="B1743" s="4"/>
      <c r="C1743" s="4"/>
      <c r="D1743" s="4"/>
      <c r="E1743" s="5"/>
      <c r="F1743" s="4"/>
      <c r="G1743" s="6">
        <f>IF(A1743="","",SUBSTITUTE(SUBSTITUTE(SUBSTITUTE(SUBSTITUTE(SUBSTITUTE(SUBSTITUTE(SUBSTITUTE(TRIM(A1743),".",""),"/",""),"-","")," ",""),"(",""),")",""),"+",""))</f>
      </c>
      <c r="H1743" s="6">
        <f>IF(G1743="","",IF(LEN(G1743)&lt;&gt;14,"ERRO: "&amp;LEN(G1743)&amp;" dígitos",IF(NOT(ISNUMBER(VALUE(G1743))),"ERRO: não numérico",IF(AND(VALUE(MID(G1743,13,1))=IF(MOD(SUMPRODUCT(--MID(G1743,{1,2,3,4,5,6,7,8,9,10,11,12},1),{5,4,3,2,9,8,7,6,5,4,3,2}),11)&lt;2,0,11-MOD(SUMPRODUCT(--MID(G1743,{1,2,3,4,5,6,7,8,9,10,11,12},1),{5,4,3,2,9,8,7,6,5,4,3,2}),11)),VALUE(MID(G1743,14,1))=IF(MOD(SUMPRODUCT(--MID(G1743,{1,2,3,4,5,6,7,8,9,10,11,12,13},1),{6,5,4,3,2,9,8,7,6,5,4,3,2}),11)&lt;2,0,11-MOD(SUMPRODUCT(--MID(G1743,{1,2,3,4,5,6,7,8,9,10,11,12,13},1),{6,5,4,3,2,9,8,7,6,5,4,3,2}),11))),"OK","AVISO: dígito verificador (conferir na org)"))))</f>
      </c>
      <c r="I1743" s="6">
        <f>IF(G1743="","",IF(COUNTIF($G$2:$G$2001,G1743)&gt;1,"DUPLICADO","OK"))</f>
      </c>
      <c r="J1743" s="6">
        <f>IF(COUNTA(A1743:F1743)=0,"",IF(AND(A1743&lt;&gt;"",E1743&lt;&gt;""),"OK","ERRO: faltam "&amp;IF(A1743="","CNPJ; ","")&amp;IF(E1743="","Novo gerente; ","")))</f>
      </c>
      <c r="K1743" s="6">
        <f>IF(COUNTA(A1743:F1743)=0,"",IF(AND(LEFT(H1743,4)&lt;&gt;"ERRO",I1743="OK",J1743="OK"),"OK","REVISAR"))</f>
      </c>
    </row>
    <row r="1744">
      <c r="A1744" s="5"/>
      <c r="B1744" s="4"/>
      <c r="C1744" s="4"/>
      <c r="D1744" s="4"/>
      <c r="E1744" s="5"/>
      <c r="F1744" s="4"/>
      <c r="G1744" s="6">
        <f>IF(A1744="","",SUBSTITUTE(SUBSTITUTE(SUBSTITUTE(SUBSTITUTE(SUBSTITUTE(SUBSTITUTE(SUBSTITUTE(TRIM(A1744),".",""),"/",""),"-","")," ",""),"(",""),")",""),"+",""))</f>
      </c>
      <c r="H1744" s="6">
        <f>IF(G1744="","",IF(LEN(G1744)&lt;&gt;14,"ERRO: "&amp;LEN(G1744)&amp;" dígitos",IF(NOT(ISNUMBER(VALUE(G1744))),"ERRO: não numérico",IF(AND(VALUE(MID(G1744,13,1))=IF(MOD(SUMPRODUCT(--MID(G1744,{1,2,3,4,5,6,7,8,9,10,11,12},1),{5,4,3,2,9,8,7,6,5,4,3,2}),11)&lt;2,0,11-MOD(SUMPRODUCT(--MID(G1744,{1,2,3,4,5,6,7,8,9,10,11,12},1),{5,4,3,2,9,8,7,6,5,4,3,2}),11)),VALUE(MID(G1744,14,1))=IF(MOD(SUMPRODUCT(--MID(G1744,{1,2,3,4,5,6,7,8,9,10,11,12,13},1),{6,5,4,3,2,9,8,7,6,5,4,3,2}),11)&lt;2,0,11-MOD(SUMPRODUCT(--MID(G1744,{1,2,3,4,5,6,7,8,9,10,11,12,13},1),{6,5,4,3,2,9,8,7,6,5,4,3,2}),11))),"OK","AVISO: dígito verificador (conferir na org)"))))</f>
      </c>
      <c r="I1744" s="6">
        <f>IF(G1744="","",IF(COUNTIF($G$2:$G$2001,G1744)&gt;1,"DUPLICADO","OK"))</f>
      </c>
      <c r="J1744" s="6">
        <f>IF(COUNTA(A1744:F1744)=0,"",IF(AND(A1744&lt;&gt;"",E1744&lt;&gt;""),"OK","ERRO: faltam "&amp;IF(A1744="","CNPJ; ","")&amp;IF(E1744="","Novo gerente; ","")))</f>
      </c>
      <c r="K1744" s="6">
        <f>IF(COUNTA(A1744:F1744)=0,"",IF(AND(LEFT(H1744,4)&lt;&gt;"ERRO",I1744="OK",J1744="OK"),"OK","REVISAR"))</f>
      </c>
    </row>
    <row r="1745">
      <c r="A1745" s="5"/>
      <c r="B1745" s="4"/>
      <c r="C1745" s="4"/>
      <c r="D1745" s="4"/>
      <c r="E1745" s="5"/>
      <c r="F1745" s="4"/>
      <c r="G1745" s="6">
        <f>IF(A1745="","",SUBSTITUTE(SUBSTITUTE(SUBSTITUTE(SUBSTITUTE(SUBSTITUTE(SUBSTITUTE(SUBSTITUTE(TRIM(A1745),".",""),"/",""),"-","")," ",""),"(",""),")",""),"+",""))</f>
      </c>
      <c r="H1745" s="6">
        <f>IF(G1745="","",IF(LEN(G1745)&lt;&gt;14,"ERRO: "&amp;LEN(G1745)&amp;" dígitos",IF(NOT(ISNUMBER(VALUE(G1745))),"ERRO: não numérico",IF(AND(VALUE(MID(G1745,13,1))=IF(MOD(SUMPRODUCT(--MID(G1745,{1,2,3,4,5,6,7,8,9,10,11,12},1),{5,4,3,2,9,8,7,6,5,4,3,2}),11)&lt;2,0,11-MOD(SUMPRODUCT(--MID(G1745,{1,2,3,4,5,6,7,8,9,10,11,12},1),{5,4,3,2,9,8,7,6,5,4,3,2}),11)),VALUE(MID(G1745,14,1))=IF(MOD(SUMPRODUCT(--MID(G1745,{1,2,3,4,5,6,7,8,9,10,11,12,13},1),{6,5,4,3,2,9,8,7,6,5,4,3,2}),11)&lt;2,0,11-MOD(SUMPRODUCT(--MID(G1745,{1,2,3,4,5,6,7,8,9,10,11,12,13},1),{6,5,4,3,2,9,8,7,6,5,4,3,2}),11))),"OK","AVISO: dígito verificador (conferir na org)"))))</f>
      </c>
      <c r="I1745" s="6">
        <f>IF(G1745="","",IF(COUNTIF($G$2:$G$2001,G1745)&gt;1,"DUPLICADO","OK"))</f>
      </c>
      <c r="J1745" s="6">
        <f>IF(COUNTA(A1745:F1745)=0,"",IF(AND(A1745&lt;&gt;"",E1745&lt;&gt;""),"OK","ERRO: faltam "&amp;IF(A1745="","CNPJ; ","")&amp;IF(E1745="","Novo gerente; ","")))</f>
      </c>
      <c r="K1745" s="6">
        <f>IF(COUNTA(A1745:F1745)=0,"",IF(AND(LEFT(H1745,4)&lt;&gt;"ERRO",I1745="OK",J1745="OK"),"OK","REVISAR"))</f>
      </c>
    </row>
    <row r="1746">
      <c r="A1746" s="5"/>
      <c r="B1746" s="4"/>
      <c r="C1746" s="4"/>
      <c r="D1746" s="4"/>
      <c r="E1746" s="5"/>
      <c r="F1746" s="4"/>
      <c r="G1746" s="6">
        <f>IF(A1746="","",SUBSTITUTE(SUBSTITUTE(SUBSTITUTE(SUBSTITUTE(SUBSTITUTE(SUBSTITUTE(SUBSTITUTE(TRIM(A1746),".",""),"/",""),"-","")," ",""),"(",""),")",""),"+",""))</f>
      </c>
      <c r="H1746" s="6">
        <f>IF(G1746="","",IF(LEN(G1746)&lt;&gt;14,"ERRO: "&amp;LEN(G1746)&amp;" dígitos",IF(NOT(ISNUMBER(VALUE(G1746))),"ERRO: não numérico",IF(AND(VALUE(MID(G1746,13,1))=IF(MOD(SUMPRODUCT(--MID(G1746,{1,2,3,4,5,6,7,8,9,10,11,12},1),{5,4,3,2,9,8,7,6,5,4,3,2}),11)&lt;2,0,11-MOD(SUMPRODUCT(--MID(G1746,{1,2,3,4,5,6,7,8,9,10,11,12},1),{5,4,3,2,9,8,7,6,5,4,3,2}),11)),VALUE(MID(G1746,14,1))=IF(MOD(SUMPRODUCT(--MID(G1746,{1,2,3,4,5,6,7,8,9,10,11,12,13},1),{6,5,4,3,2,9,8,7,6,5,4,3,2}),11)&lt;2,0,11-MOD(SUMPRODUCT(--MID(G1746,{1,2,3,4,5,6,7,8,9,10,11,12,13},1),{6,5,4,3,2,9,8,7,6,5,4,3,2}),11))),"OK","AVISO: dígito verificador (conferir na org)"))))</f>
      </c>
      <c r="I1746" s="6">
        <f>IF(G1746="","",IF(COUNTIF($G$2:$G$2001,G1746)&gt;1,"DUPLICADO","OK"))</f>
      </c>
      <c r="J1746" s="6">
        <f>IF(COUNTA(A1746:F1746)=0,"",IF(AND(A1746&lt;&gt;"",E1746&lt;&gt;""),"OK","ERRO: faltam "&amp;IF(A1746="","CNPJ; ","")&amp;IF(E1746="","Novo gerente; ","")))</f>
      </c>
      <c r="K1746" s="6">
        <f>IF(COUNTA(A1746:F1746)=0,"",IF(AND(LEFT(H1746,4)&lt;&gt;"ERRO",I1746="OK",J1746="OK"),"OK","REVISAR"))</f>
      </c>
    </row>
    <row r="1747">
      <c r="A1747" s="5"/>
      <c r="B1747" s="4"/>
      <c r="C1747" s="4"/>
      <c r="D1747" s="4"/>
      <c r="E1747" s="5"/>
      <c r="F1747" s="4"/>
      <c r="G1747" s="6">
        <f>IF(A1747="","",SUBSTITUTE(SUBSTITUTE(SUBSTITUTE(SUBSTITUTE(SUBSTITUTE(SUBSTITUTE(SUBSTITUTE(TRIM(A1747),".",""),"/",""),"-","")," ",""),"(",""),")",""),"+",""))</f>
      </c>
      <c r="H1747" s="6">
        <f>IF(G1747="","",IF(LEN(G1747)&lt;&gt;14,"ERRO: "&amp;LEN(G1747)&amp;" dígitos",IF(NOT(ISNUMBER(VALUE(G1747))),"ERRO: não numérico",IF(AND(VALUE(MID(G1747,13,1))=IF(MOD(SUMPRODUCT(--MID(G1747,{1,2,3,4,5,6,7,8,9,10,11,12},1),{5,4,3,2,9,8,7,6,5,4,3,2}),11)&lt;2,0,11-MOD(SUMPRODUCT(--MID(G1747,{1,2,3,4,5,6,7,8,9,10,11,12},1),{5,4,3,2,9,8,7,6,5,4,3,2}),11)),VALUE(MID(G1747,14,1))=IF(MOD(SUMPRODUCT(--MID(G1747,{1,2,3,4,5,6,7,8,9,10,11,12,13},1),{6,5,4,3,2,9,8,7,6,5,4,3,2}),11)&lt;2,0,11-MOD(SUMPRODUCT(--MID(G1747,{1,2,3,4,5,6,7,8,9,10,11,12,13},1),{6,5,4,3,2,9,8,7,6,5,4,3,2}),11))),"OK","AVISO: dígito verificador (conferir na org)"))))</f>
      </c>
      <c r="I1747" s="6">
        <f>IF(G1747="","",IF(COUNTIF($G$2:$G$2001,G1747)&gt;1,"DUPLICADO","OK"))</f>
      </c>
      <c r="J1747" s="6">
        <f>IF(COUNTA(A1747:F1747)=0,"",IF(AND(A1747&lt;&gt;"",E1747&lt;&gt;""),"OK","ERRO: faltam "&amp;IF(A1747="","CNPJ; ","")&amp;IF(E1747="","Novo gerente; ","")))</f>
      </c>
      <c r="K1747" s="6">
        <f>IF(COUNTA(A1747:F1747)=0,"",IF(AND(LEFT(H1747,4)&lt;&gt;"ERRO",I1747="OK",J1747="OK"),"OK","REVISAR"))</f>
      </c>
    </row>
    <row r="1748">
      <c r="A1748" s="5"/>
      <c r="B1748" s="4"/>
      <c r="C1748" s="4"/>
      <c r="D1748" s="4"/>
      <c r="E1748" s="5"/>
      <c r="F1748" s="4"/>
      <c r="G1748" s="6">
        <f>IF(A1748="","",SUBSTITUTE(SUBSTITUTE(SUBSTITUTE(SUBSTITUTE(SUBSTITUTE(SUBSTITUTE(SUBSTITUTE(TRIM(A1748),".",""),"/",""),"-","")," ",""),"(",""),")",""),"+",""))</f>
      </c>
      <c r="H1748" s="6">
        <f>IF(G1748="","",IF(LEN(G1748)&lt;&gt;14,"ERRO: "&amp;LEN(G1748)&amp;" dígitos",IF(NOT(ISNUMBER(VALUE(G1748))),"ERRO: não numérico",IF(AND(VALUE(MID(G1748,13,1))=IF(MOD(SUMPRODUCT(--MID(G1748,{1,2,3,4,5,6,7,8,9,10,11,12},1),{5,4,3,2,9,8,7,6,5,4,3,2}),11)&lt;2,0,11-MOD(SUMPRODUCT(--MID(G1748,{1,2,3,4,5,6,7,8,9,10,11,12},1),{5,4,3,2,9,8,7,6,5,4,3,2}),11)),VALUE(MID(G1748,14,1))=IF(MOD(SUMPRODUCT(--MID(G1748,{1,2,3,4,5,6,7,8,9,10,11,12,13},1),{6,5,4,3,2,9,8,7,6,5,4,3,2}),11)&lt;2,0,11-MOD(SUMPRODUCT(--MID(G1748,{1,2,3,4,5,6,7,8,9,10,11,12,13},1),{6,5,4,3,2,9,8,7,6,5,4,3,2}),11))),"OK","AVISO: dígito verificador (conferir na org)"))))</f>
      </c>
      <c r="I1748" s="6">
        <f>IF(G1748="","",IF(COUNTIF($G$2:$G$2001,G1748)&gt;1,"DUPLICADO","OK"))</f>
      </c>
      <c r="J1748" s="6">
        <f>IF(COUNTA(A1748:F1748)=0,"",IF(AND(A1748&lt;&gt;"",E1748&lt;&gt;""),"OK","ERRO: faltam "&amp;IF(A1748="","CNPJ; ","")&amp;IF(E1748="","Novo gerente; ","")))</f>
      </c>
      <c r="K1748" s="6">
        <f>IF(COUNTA(A1748:F1748)=0,"",IF(AND(LEFT(H1748,4)&lt;&gt;"ERRO",I1748="OK",J1748="OK"),"OK","REVISAR"))</f>
      </c>
    </row>
    <row r="1749">
      <c r="A1749" s="5"/>
      <c r="B1749" s="4"/>
      <c r="C1749" s="4"/>
      <c r="D1749" s="4"/>
      <c r="E1749" s="5"/>
      <c r="F1749" s="4"/>
      <c r="G1749" s="6">
        <f>IF(A1749="","",SUBSTITUTE(SUBSTITUTE(SUBSTITUTE(SUBSTITUTE(SUBSTITUTE(SUBSTITUTE(SUBSTITUTE(TRIM(A1749),".",""),"/",""),"-","")," ",""),"(",""),")",""),"+",""))</f>
      </c>
      <c r="H1749" s="6">
        <f>IF(G1749="","",IF(LEN(G1749)&lt;&gt;14,"ERRO: "&amp;LEN(G1749)&amp;" dígitos",IF(NOT(ISNUMBER(VALUE(G1749))),"ERRO: não numérico",IF(AND(VALUE(MID(G1749,13,1))=IF(MOD(SUMPRODUCT(--MID(G1749,{1,2,3,4,5,6,7,8,9,10,11,12},1),{5,4,3,2,9,8,7,6,5,4,3,2}),11)&lt;2,0,11-MOD(SUMPRODUCT(--MID(G1749,{1,2,3,4,5,6,7,8,9,10,11,12},1),{5,4,3,2,9,8,7,6,5,4,3,2}),11)),VALUE(MID(G1749,14,1))=IF(MOD(SUMPRODUCT(--MID(G1749,{1,2,3,4,5,6,7,8,9,10,11,12,13},1),{6,5,4,3,2,9,8,7,6,5,4,3,2}),11)&lt;2,0,11-MOD(SUMPRODUCT(--MID(G1749,{1,2,3,4,5,6,7,8,9,10,11,12,13},1),{6,5,4,3,2,9,8,7,6,5,4,3,2}),11))),"OK","AVISO: dígito verificador (conferir na org)"))))</f>
      </c>
      <c r="I1749" s="6">
        <f>IF(G1749="","",IF(COUNTIF($G$2:$G$2001,G1749)&gt;1,"DUPLICADO","OK"))</f>
      </c>
      <c r="J1749" s="6">
        <f>IF(COUNTA(A1749:F1749)=0,"",IF(AND(A1749&lt;&gt;"",E1749&lt;&gt;""),"OK","ERRO: faltam "&amp;IF(A1749="","CNPJ; ","")&amp;IF(E1749="","Novo gerente; ","")))</f>
      </c>
      <c r="K1749" s="6">
        <f>IF(COUNTA(A1749:F1749)=0,"",IF(AND(LEFT(H1749,4)&lt;&gt;"ERRO",I1749="OK",J1749="OK"),"OK","REVISAR"))</f>
      </c>
    </row>
    <row r="1750">
      <c r="A1750" s="5"/>
      <c r="B1750" s="4"/>
      <c r="C1750" s="4"/>
      <c r="D1750" s="4"/>
      <c r="E1750" s="5"/>
      <c r="F1750" s="4"/>
      <c r="G1750" s="6">
        <f>IF(A1750="","",SUBSTITUTE(SUBSTITUTE(SUBSTITUTE(SUBSTITUTE(SUBSTITUTE(SUBSTITUTE(SUBSTITUTE(TRIM(A1750),".",""),"/",""),"-","")," ",""),"(",""),")",""),"+",""))</f>
      </c>
      <c r="H1750" s="6">
        <f>IF(G1750="","",IF(LEN(G1750)&lt;&gt;14,"ERRO: "&amp;LEN(G1750)&amp;" dígitos",IF(NOT(ISNUMBER(VALUE(G1750))),"ERRO: não numérico",IF(AND(VALUE(MID(G1750,13,1))=IF(MOD(SUMPRODUCT(--MID(G1750,{1,2,3,4,5,6,7,8,9,10,11,12},1),{5,4,3,2,9,8,7,6,5,4,3,2}),11)&lt;2,0,11-MOD(SUMPRODUCT(--MID(G1750,{1,2,3,4,5,6,7,8,9,10,11,12},1),{5,4,3,2,9,8,7,6,5,4,3,2}),11)),VALUE(MID(G1750,14,1))=IF(MOD(SUMPRODUCT(--MID(G1750,{1,2,3,4,5,6,7,8,9,10,11,12,13},1),{6,5,4,3,2,9,8,7,6,5,4,3,2}),11)&lt;2,0,11-MOD(SUMPRODUCT(--MID(G1750,{1,2,3,4,5,6,7,8,9,10,11,12,13},1),{6,5,4,3,2,9,8,7,6,5,4,3,2}),11))),"OK","AVISO: dígito verificador (conferir na org)"))))</f>
      </c>
      <c r="I1750" s="6">
        <f>IF(G1750="","",IF(COUNTIF($G$2:$G$2001,G1750)&gt;1,"DUPLICADO","OK"))</f>
      </c>
      <c r="J1750" s="6">
        <f>IF(COUNTA(A1750:F1750)=0,"",IF(AND(A1750&lt;&gt;"",E1750&lt;&gt;""),"OK","ERRO: faltam "&amp;IF(A1750="","CNPJ; ","")&amp;IF(E1750="","Novo gerente; ","")))</f>
      </c>
      <c r="K1750" s="6">
        <f>IF(COUNTA(A1750:F1750)=0,"",IF(AND(LEFT(H1750,4)&lt;&gt;"ERRO",I1750="OK",J1750="OK"),"OK","REVISAR"))</f>
      </c>
    </row>
    <row r="1751">
      <c r="A1751" s="5"/>
      <c r="B1751" s="4"/>
      <c r="C1751" s="4"/>
      <c r="D1751" s="4"/>
      <c r="E1751" s="5"/>
      <c r="F1751" s="4"/>
      <c r="G1751" s="6">
        <f>IF(A1751="","",SUBSTITUTE(SUBSTITUTE(SUBSTITUTE(SUBSTITUTE(SUBSTITUTE(SUBSTITUTE(SUBSTITUTE(TRIM(A1751),".",""),"/",""),"-","")," ",""),"(",""),")",""),"+",""))</f>
      </c>
      <c r="H1751" s="6">
        <f>IF(G1751="","",IF(LEN(G1751)&lt;&gt;14,"ERRO: "&amp;LEN(G1751)&amp;" dígitos",IF(NOT(ISNUMBER(VALUE(G1751))),"ERRO: não numérico",IF(AND(VALUE(MID(G1751,13,1))=IF(MOD(SUMPRODUCT(--MID(G1751,{1,2,3,4,5,6,7,8,9,10,11,12},1),{5,4,3,2,9,8,7,6,5,4,3,2}),11)&lt;2,0,11-MOD(SUMPRODUCT(--MID(G1751,{1,2,3,4,5,6,7,8,9,10,11,12},1),{5,4,3,2,9,8,7,6,5,4,3,2}),11)),VALUE(MID(G1751,14,1))=IF(MOD(SUMPRODUCT(--MID(G1751,{1,2,3,4,5,6,7,8,9,10,11,12,13},1),{6,5,4,3,2,9,8,7,6,5,4,3,2}),11)&lt;2,0,11-MOD(SUMPRODUCT(--MID(G1751,{1,2,3,4,5,6,7,8,9,10,11,12,13},1),{6,5,4,3,2,9,8,7,6,5,4,3,2}),11))),"OK","AVISO: dígito verificador (conferir na org)"))))</f>
      </c>
      <c r="I1751" s="6">
        <f>IF(G1751="","",IF(COUNTIF($G$2:$G$2001,G1751)&gt;1,"DUPLICADO","OK"))</f>
      </c>
      <c r="J1751" s="6">
        <f>IF(COUNTA(A1751:F1751)=0,"",IF(AND(A1751&lt;&gt;"",E1751&lt;&gt;""),"OK","ERRO: faltam "&amp;IF(A1751="","CNPJ; ","")&amp;IF(E1751="","Novo gerente; ","")))</f>
      </c>
      <c r="K1751" s="6">
        <f>IF(COUNTA(A1751:F1751)=0,"",IF(AND(LEFT(H1751,4)&lt;&gt;"ERRO",I1751="OK",J1751="OK"),"OK","REVISAR"))</f>
      </c>
    </row>
    <row r="1752">
      <c r="A1752" s="5"/>
      <c r="B1752" s="4"/>
      <c r="C1752" s="4"/>
      <c r="D1752" s="4"/>
      <c r="E1752" s="5"/>
      <c r="F1752" s="4"/>
      <c r="G1752" s="6">
        <f>IF(A1752="","",SUBSTITUTE(SUBSTITUTE(SUBSTITUTE(SUBSTITUTE(SUBSTITUTE(SUBSTITUTE(SUBSTITUTE(TRIM(A1752),".",""),"/",""),"-","")," ",""),"(",""),")",""),"+",""))</f>
      </c>
      <c r="H1752" s="6">
        <f>IF(G1752="","",IF(LEN(G1752)&lt;&gt;14,"ERRO: "&amp;LEN(G1752)&amp;" dígitos",IF(NOT(ISNUMBER(VALUE(G1752))),"ERRO: não numérico",IF(AND(VALUE(MID(G1752,13,1))=IF(MOD(SUMPRODUCT(--MID(G1752,{1,2,3,4,5,6,7,8,9,10,11,12},1),{5,4,3,2,9,8,7,6,5,4,3,2}),11)&lt;2,0,11-MOD(SUMPRODUCT(--MID(G1752,{1,2,3,4,5,6,7,8,9,10,11,12},1),{5,4,3,2,9,8,7,6,5,4,3,2}),11)),VALUE(MID(G1752,14,1))=IF(MOD(SUMPRODUCT(--MID(G1752,{1,2,3,4,5,6,7,8,9,10,11,12,13},1),{6,5,4,3,2,9,8,7,6,5,4,3,2}),11)&lt;2,0,11-MOD(SUMPRODUCT(--MID(G1752,{1,2,3,4,5,6,7,8,9,10,11,12,13},1),{6,5,4,3,2,9,8,7,6,5,4,3,2}),11))),"OK","AVISO: dígito verificador (conferir na org)"))))</f>
      </c>
      <c r="I1752" s="6">
        <f>IF(G1752="","",IF(COUNTIF($G$2:$G$2001,G1752)&gt;1,"DUPLICADO","OK"))</f>
      </c>
      <c r="J1752" s="6">
        <f>IF(COUNTA(A1752:F1752)=0,"",IF(AND(A1752&lt;&gt;"",E1752&lt;&gt;""),"OK","ERRO: faltam "&amp;IF(A1752="","CNPJ; ","")&amp;IF(E1752="","Novo gerente; ","")))</f>
      </c>
      <c r="K1752" s="6">
        <f>IF(COUNTA(A1752:F1752)=0,"",IF(AND(LEFT(H1752,4)&lt;&gt;"ERRO",I1752="OK",J1752="OK"),"OK","REVISAR"))</f>
      </c>
    </row>
    <row r="1753">
      <c r="A1753" s="5"/>
      <c r="B1753" s="4"/>
      <c r="C1753" s="4"/>
      <c r="D1753" s="4"/>
      <c r="E1753" s="5"/>
      <c r="F1753" s="4"/>
      <c r="G1753" s="6">
        <f>IF(A1753="","",SUBSTITUTE(SUBSTITUTE(SUBSTITUTE(SUBSTITUTE(SUBSTITUTE(SUBSTITUTE(SUBSTITUTE(TRIM(A1753),".",""),"/",""),"-","")," ",""),"(",""),")",""),"+",""))</f>
      </c>
      <c r="H1753" s="6">
        <f>IF(G1753="","",IF(LEN(G1753)&lt;&gt;14,"ERRO: "&amp;LEN(G1753)&amp;" dígitos",IF(NOT(ISNUMBER(VALUE(G1753))),"ERRO: não numérico",IF(AND(VALUE(MID(G1753,13,1))=IF(MOD(SUMPRODUCT(--MID(G1753,{1,2,3,4,5,6,7,8,9,10,11,12},1),{5,4,3,2,9,8,7,6,5,4,3,2}),11)&lt;2,0,11-MOD(SUMPRODUCT(--MID(G1753,{1,2,3,4,5,6,7,8,9,10,11,12},1),{5,4,3,2,9,8,7,6,5,4,3,2}),11)),VALUE(MID(G1753,14,1))=IF(MOD(SUMPRODUCT(--MID(G1753,{1,2,3,4,5,6,7,8,9,10,11,12,13},1),{6,5,4,3,2,9,8,7,6,5,4,3,2}),11)&lt;2,0,11-MOD(SUMPRODUCT(--MID(G1753,{1,2,3,4,5,6,7,8,9,10,11,12,13},1),{6,5,4,3,2,9,8,7,6,5,4,3,2}),11))),"OK","AVISO: dígito verificador (conferir na org)"))))</f>
      </c>
      <c r="I1753" s="6">
        <f>IF(G1753="","",IF(COUNTIF($G$2:$G$2001,G1753)&gt;1,"DUPLICADO","OK"))</f>
      </c>
      <c r="J1753" s="6">
        <f>IF(COUNTA(A1753:F1753)=0,"",IF(AND(A1753&lt;&gt;"",E1753&lt;&gt;""),"OK","ERRO: faltam "&amp;IF(A1753="","CNPJ; ","")&amp;IF(E1753="","Novo gerente; ","")))</f>
      </c>
      <c r="K1753" s="6">
        <f>IF(COUNTA(A1753:F1753)=0,"",IF(AND(LEFT(H1753,4)&lt;&gt;"ERRO",I1753="OK",J1753="OK"),"OK","REVISAR"))</f>
      </c>
    </row>
    <row r="1754">
      <c r="A1754" s="5"/>
      <c r="B1754" s="4"/>
      <c r="C1754" s="4"/>
      <c r="D1754" s="4"/>
      <c r="E1754" s="5"/>
      <c r="F1754" s="4"/>
      <c r="G1754" s="6">
        <f>IF(A1754="","",SUBSTITUTE(SUBSTITUTE(SUBSTITUTE(SUBSTITUTE(SUBSTITUTE(SUBSTITUTE(SUBSTITUTE(TRIM(A1754),".",""),"/",""),"-","")," ",""),"(",""),")",""),"+",""))</f>
      </c>
      <c r="H1754" s="6">
        <f>IF(G1754="","",IF(LEN(G1754)&lt;&gt;14,"ERRO: "&amp;LEN(G1754)&amp;" dígitos",IF(NOT(ISNUMBER(VALUE(G1754))),"ERRO: não numérico",IF(AND(VALUE(MID(G1754,13,1))=IF(MOD(SUMPRODUCT(--MID(G1754,{1,2,3,4,5,6,7,8,9,10,11,12},1),{5,4,3,2,9,8,7,6,5,4,3,2}),11)&lt;2,0,11-MOD(SUMPRODUCT(--MID(G1754,{1,2,3,4,5,6,7,8,9,10,11,12},1),{5,4,3,2,9,8,7,6,5,4,3,2}),11)),VALUE(MID(G1754,14,1))=IF(MOD(SUMPRODUCT(--MID(G1754,{1,2,3,4,5,6,7,8,9,10,11,12,13},1),{6,5,4,3,2,9,8,7,6,5,4,3,2}),11)&lt;2,0,11-MOD(SUMPRODUCT(--MID(G1754,{1,2,3,4,5,6,7,8,9,10,11,12,13},1),{6,5,4,3,2,9,8,7,6,5,4,3,2}),11))),"OK","AVISO: dígito verificador (conferir na org)"))))</f>
      </c>
      <c r="I1754" s="6">
        <f>IF(G1754="","",IF(COUNTIF($G$2:$G$2001,G1754)&gt;1,"DUPLICADO","OK"))</f>
      </c>
      <c r="J1754" s="6">
        <f>IF(COUNTA(A1754:F1754)=0,"",IF(AND(A1754&lt;&gt;"",E1754&lt;&gt;""),"OK","ERRO: faltam "&amp;IF(A1754="","CNPJ; ","")&amp;IF(E1754="","Novo gerente; ","")))</f>
      </c>
      <c r="K1754" s="6">
        <f>IF(COUNTA(A1754:F1754)=0,"",IF(AND(LEFT(H1754,4)&lt;&gt;"ERRO",I1754="OK",J1754="OK"),"OK","REVISAR"))</f>
      </c>
    </row>
    <row r="1755">
      <c r="A1755" s="5"/>
      <c r="B1755" s="4"/>
      <c r="C1755" s="4"/>
      <c r="D1755" s="4"/>
      <c r="E1755" s="5"/>
      <c r="F1755" s="4"/>
      <c r="G1755" s="6">
        <f>IF(A1755="","",SUBSTITUTE(SUBSTITUTE(SUBSTITUTE(SUBSTITUTE(SUBSTITUTE(SUBSTITUTE(SUBSTITUTE(TRIM(A1755),".",""),"/",""),"-","")," ",""),"(",""),")",""),"+",""))</f>
      </c>
      <c r="H1755" s="6">
        <f>IF(G1755="","",IF(LEN(G1755)&lt;&gt;14,"ERRO: "&amp;LEN(G1755)&amp;" dígitos",IF(NOT(ISNUMBER(VALUE(G1755))),"ERRO: não numérico",IF(AND(VALUE(MID(G1755,13,1))=IF(MOD(SUMPRODUCT(--MID(G1755,{1,2,3,4,5,6,7,8,9,10,11,12},1),{5,4,3,2,9,8,7,6,5,4,3,2}),11)&lt;2,0,11-MOD(SUMPRODUCT(--MID(G1755,{1,2,3,4,5,6,7,8,9,10,11,12},1),{5,4,3,2,9,8,7,6,5,4,3,2}),11)),VALUE(MID(G1755,14,1))=IF(MOD(SUMPRODUCT(--MID(G1755,{1,2,3,4,5,6,7,8,9,10,11,12,13},1),{6,5,4,3,2,9,8,7,6,5,4,3,2}),11)&lt;2,0,11-MOD(SUMPRODUCT(--MID(G1755,{1,2,3,4,5,6,7,8,9,10,11,12,13},1),{6,5,4,3,2,9,8,7,6,5,4,3,2}),11))),"OK","AVISO: dígito verificador (conferir na org)"))))</f>
      </c>
      <c r="I1755" s="6">
        <f>IF(G1755="","",IF(COUNTIF($G$2:$G$2001,G1755)&gt;1,"DUPLICADO","OK"))</f>
      </c>
      <c r="J1755" s="6">
        <f>IF(COUNTA(A1755:F1755)=0,"",IF(AND(A1755&lt;&gt;"",E1755&lt;&gt;""),"OK","ERRO: faltam "&amp;IF(A1755="","CNPJ; ","")&amp;IF(E1755="","Novo gerente; ","")))</f>
      </c>
      <c r="K1755" s="6">
        <f>IF(COUNTA(A1755:F1755)=0,"",IF(AND(LEFT(H1755,4)&lt;&gt;"ERRO",I1755="OK",J1755="OK"),"OK","REVISAR"))</f>
      </c>
    </row>
    <row r="1756">
      <c r="A1756" s="5"/>
      <c r="B1756" s="4"/>
      <c r="C1756" s="4"/>
      <c r="D1756" s="4"/>
      <c r="E1756" s="5"/>
      <c r="F1756" s="4"/>
      <c r="G1756" s="6">
        <f>IF(A1756="","",SUBSTITUTE(SUBSTITUTE(SUBSTITUTE(SUBSTITUTE(SUBSTITUTE(SUBSTITUTE(SUBSTITUTE(TRIM(A1756),".",""),"/",""),"-","")," ",""),"(",""),")",""),"+",""))</f>
      </c>
      <c r="H1756" s="6">
        <f>IF(G1756="","",IF(LEN(G1756)&lt;&gt;14,"ERRO: "&amp;LEN(G1756)&amp;" dígitos",IF(NOT(ISNUMBER(VALUE(G1756))),"ERRO: não numérico",IF(AND(VALUE(MID(G1756,13,1))=IF(MOD(SUMPRODUCT(--MID(G1756,{1,2,3,4,5,6,7,8,9,10,11,12},1),{5,4,3,2,9,8,7,6,5,4,3,2}),11)&lt;2,0,11-MOD(SUMPRODUCT(--MID(G1756,{1,2,3,4,5,6,7,8,9,10,11,12},1),{5,4,3,2,9,8,7,6,5,4,3,2}),11)),VALUE(MID(G1756,14,1))=IF(MOD(SUMPRODUCT(--MID(G1756,{1,2,3,4,5,6,7,8,9,10,11,12,13},1),{6,5,4,3,2,9,8,7,6,5,4,3,2}),11)&lt;2,0,11-MOD(SUMPRODUCT(--MID(G1756,{1,2,3,4,5,6,7,8,9,10,11,12,13},1),{6,5,4,3,2,9,8,7,6,5,4,3,2}),11))),"OK","AVISO: dígito verificador (conferir na org)"))))</f>
      </c>
      <c r="I1756" s="6">
        <f>IF(G1756="","",IF(COUNTIF($G$2:$G$2001,G1756)&gt;1,"DUPLICADO","OK"))</f>
      </c>
      <c r="J1756" s="6">
        <f>IF(COUNTA(A1756:F1756)=0,"",IF(AND(A1756&lt;&gt;"",E1756&lt;&gt;""),"OK","ERRO: faltam "&amp;IF(A1756="","CNPJ; ","")&amp;IF(E1756="","Novo gerente; ","")))</f>
      </c>
      <c r="K1756" s="6">
        <f>IF(COUNTA(A1756:F1756)=0,"",IF(AND(LEFT(H1756,4)&lt;&gt;"ERRO",I1756="OK",J1756="OK"),"OK","REVISAR"))</f>
      </c>
    </row>
    <row r="1757">
      <c r="A1757" s="5"/>
      <c r="B1757" s="4"/>
      <c r="C1757" s="4"/>
      <c r="D1757" s="4"/>
      <c r="E1757" s="5"/>
      <c r="F1757" s="4"/>
      <c r="G1757" s="6">
        <f>IF(A1757="","",SUBSTITUTE(SUBSTITUTE(SUBSTITUTE(SUBSTITUTE(SUBSTITUTE(SUBSTITUTE(SUBSTITUTE(TRIM(A1757),".",""),"/",""),"-","")," ",""),"(",""),")",""),"+",""))</f>
      </c>
      <c r="H1757" s="6">
        <f>IF(G1757="","",IF(LEN(G1757)&lt;&gt;14,"ERRO: "&amp;LEN(G1757)&amp;" dígitos",IF(NOT(ISNUMBER(VALUE(G1757))),"ERRO: não numérico",IF(AND(VALUE(MID(G1757,13,1))=IF(MOD(SUMPRODUCT(--MID(G1757,{1,2,3,4,5,6,7,8,9,10,11,12},1),{5,4,3,2,9,8,7,6,5,4,3,2}),11)&lt;2,0,11-MOD(SUMPRODUCT(--MID(G1757,{1,2,3,4,5,6,7,8,9,10,11,12},1),{5,4,3,2,9,8,7,6,5,4,3,2}),11)),VALUE(MID(G1757,14,1))=IF(MOD(SUMPRODUCT(--MID(G1757,{1,2,3,4,5,6,7,8,9,10,11,12,13},1),{6,5,4,3,2,9,8,7,6,5,4,3,2}),11)&lt;2,0,11-MOD(SUMPRODUCT(--MID(G1757,{1,2,3,4,5,6,7,8,9,10,11,12,13},1),{6,5,4,3,2,9,8,7,6,5,4,3,2}),11))),"OK","AVISO: dígito verificador (conferir na org)"))))</f>
      </c>
      <c r="I1757" s="6">
        <f>IF(G1757="","",IF(COUNTIF($G$2:$G$2001,G1757)&gt;1,"DUPLICADO","OK"))</f>
      </c>
      <c r="J1757" s="6">
        <f>IF(COUNTA(A1757:F1757)=0,"",IF(AND(A1757&lt;&gt;"",E1757&lt;&gt;""),"OK","ERRO: faltam "&amp;IF(A1757="","CNPJ; ","")&amp;IF(E1757="","Novo gerente; ","")))</f>
      </c>
      <c r="K1757" s="6">
        <f>IF(COUNTA(A1757:F1757)=0,"",IF(AND(LEFT(H1757,4)&lt;&gt;"ERRO",I1757="OK",J1757="OK"),"OK","REVISAR"))</f>
      </c>
    </row>
    <row r="1758">
      <c r="A1758" s="5"/>
      <c r="B1758" s="4"/>
      <c r="C1758" s="4"/>
      <c r="D1758" s="4"/>
      <c r="E1758" s="5"/>
      <c r="F1758" s="4"/>
      <c r="G1758" s="6">
        <f>IF(A1758="","",SUBSTITUTE(SUBSTITUTE(SUBSTITUTE(SUBSTITUTE(SUBSTITUTE(SUBSTITUTE(SUBSTITUTE(TRIM(A1758),".",""),"/",""),"-","")," ",""),"(",""),")",""),"+",""))</f>
      </c>
      <c r="H1758" s="6">
        <f>IF(G1758="","",IF(LEN(G1758)&lt;&gt;14,"ERRO: "&amp;LEN(G1758)&amp;" dígitos",IF(NOT(ISNUMBER(VALUE(G1758))),"ERRO: não numérico",IF(AND(VALUE(MID(G1758,13,1))=IF(MOD(SUMPRODUCT(--MID(G1758,{1,2,3,4,5,6,7,8,9,10,11,12},1),{5,4,3,2,9,8,7,6,5,4,3,2}),11)&lt;2,0,11-MOD(SUMPRODUCT(--MID(G1758,{1,2,3,4,5,6,7,8,9,10,11,12},1),{5,4,3,2,9,8,7,6,5,4,3,2}),11)),VALUE(MID(G1758,14,1))=IF(MOD(SUMPRODUCT(--MID(G1758,{1,2,3,4,5,6,7,8,9,10,11,12,13},1),{6,5,4,3,2,9,8,7,6,5,4,3,2}),11)&lt;2,0,11-MOD(SUMPRODUCT(--MID(G1758,{1,2,3,4,5,6,7,8,9,10,11,12,13},1),{6,5,4,3,2,9,8,7,6,5,4,3,2}),11))),"OK","AVISO: dígito verificador (conferir na org)"))))</f>
      </c>
      <c r="I1758" s="6">
        <f>IF(G1758="","",IF(COUNTIF($G$2:$G$2001,G1758)&gt;1,"DUPLICADO","OK"))</f>
      </c>
      <c r="J1758" s="6">
        <f>IF(COUNTA(A1758:F1758)=0,"",IF(AND(A1758&lt;&gt;"",E1758&lt;&gt;""),"OK","ERRO: faltam "&amp;IF(A1758="","CNPJ; ","")&amp;IF(E1758="","Novo gerente; ","")))</f>
      </c>
      <c r="K1758" s="6">
        <f>IF(COUNTA(A1758:F1758)=0,"",IF(AND(LEFT(H1758,4)&lt;&gt;"ERRO",I1758="OK",J1758="OK"),"OK","REVISAR"))</f>
      </c>
    </row>
    <row r="1759">
      <c r="A1759" s="5"/>
      <c r="B1759" s="4"/>
      <c r="C1759" s="4"/>
      <c r="D1759" s="4"/>
      <c r="E1759" s="5"/>
      <c r="F1759" s="4"/>
      <c r="G1759" s="6">
        <f>IF(A1759="","",SUBSTITUTE(SUBSTITUTE(SUBSTITUTE(SUBSTITUTE(SUBSTITUTE(SUBSTITUTE(SUBSTITUTE(TRIM(A1759),".",""),"/",""),"-","")," ",""),"(",""),")",""),"+",""))</f>
      </c>
      <c r="H1759" s="6">
        <f>IF(G1759="","",IF(LEN(G1759)&lt;&gt;14,"ERRO: "&amp;LEN(G1759)&amp;" dígitos",IF(NOT(ISNUMBER(VALUE(G1759))),"ERRO: não numérico",IF(AND(VALUE(MID(G1759,13,1))=IF(MOD(SUMPRODUCT(--MID(G1759,{1,2,3,4,5,6,7,8,9,10,11,12},1),{5,4,3,2,9,8,7,6,5,4,3,2}),11)&lt;2,0,11-MOD(SUMPRODUCT(--MID(G1759,{1,2,3,4,5,6,7,8,9,10,11,12},1),{5,4,3,2,9,8,7,6,5,4,3,2}),11)),VALUE(MID(G1759,14,1))=IF(MOD(SUMPRODUCT(--MID(G1759,{1,2,3,4,5,6,7,8,9,10,11,12,13},1),{6,5,4,3,2,9,8,7,6,5,4,3,2}),11)&lt;2,0,11-MOD(SUMPRODUCT(--MID(G1759,{1,2,3,4,5,6,7,8,9,10,11,12,13},1),{6,5,4,3,2,9,8,7,6,5,4,3,2}),11))),"OK","AVISO: dígito verificador (conferir na org)"))))</f>
      </c>
      <c r="I1759" s="6">
        <f>IF(G1759="","",IF(COUNTIF($G$2:$G$2001,G1759)&gt;1,"DUPLICADO","OK"))</f>
      </c>
      <c r="J1759" s="6">
        <f>IF(COUNTA(A1759:F1759)=0,"",IF(AND(A1759&lt;&gt;"",E1759&lt;&gt;""),"OK","ERRO: faltam "&amp;IF(A1759="","CNPJ; ","")&amp;IF(E1759="","Novo gerente; ","")))</f>
      </c>
      <c r="K1759" s="6">
        <f>IF(COUNTA(A1759:F1759)=0,"",IF(AND(LEFT(H1759,4)&lt;&gt;"ERRO",I1759="OK",J1759="OK"),"OK","REVISAR"))</f>
      </c>
    </row>
    <row r="1760">
      <c r="A1760" s="5"/>
      <c r="B1760" s="4"/>
      <c r="C1760" s="4"/>
      <c r="D1760" s="4"/>
      <c r="E1760" s="5"/>
      <c r="F1760" s="4"/>
      <c r="G1760" s="6">
        <f>IF(A1760="","",SUBSTITUTE(SUBSTITUTE(SUBSTITUTE(SUBSTITUTE(SUBSTITUTE(SUBSTITUTE(SUBSTITUTE(TRIM(A1760),".",""),"/",""),"-","")," ",""),"(",""),")",""),"+",""))</f>
      </c>
      <c r="H1760" s="6">
        <f>IF(G1760="","",IF(LEN(G1760)&lt;&gt;14,"ERRO: "&amp;LEN(G1760)&amp;" dígitos",IF(NOT(ISNUMBER(VALUE(G1760))),"ERRO: não numérico",IF(AND(VALUE(MID(G1760,13,1))=IF(MOD(SUMPRODUCT(--MID(G1760,{1,2,3,4,5,6,7,8,9,10,11,12},1),{5,4,3,2,9,8,7,6,5,4,3,2}),11)&lt;2,0,11-MOD(SUMPRODUCT(--MID(G1760,{1,2,3,4,5,6,7,8,9,10,11,12},1),{5,4,3,2,9,8,7,6,5,4,3,2}),11)),VALUE(MID(G1760,14,1))=IF(MOD(SUMPRODUCT(--MID(G1760,{1,2,3,4,5,6,7,8,9,10,11,12,13},1),{6,5,4,3,2,9,8,7,6,5,4,3,2}),11)&lt;2,0,11-MOD(SUMPRODUCT(--MID(G1760,{1,2,3,4,5,6,7,8,9,10,11,12,13},1),{6,5,4,3,2,9,8,7,6,5,4,3,2}),11))),"OK","AVISO: dígito verificador (conferir na org)"))))</f>
      </c>
      <c r="I1760" s="6">
        <f>IF(G1760="","",IF(COUNTIF($G$2:$G$2001,G1760)&gt;1,"DUPLICADO","OK"))</f>
      </c>
      <c r="J1760" s="6">
        <f>IF(COUNTA(A1760:F1760)=0,"",IF(AND(A1760&lt;&gt;"",E1760&lt;&gt;""),"OK","ERRO: faltam "&amp;IF(A1760="","CNPJ; ","")&amp;IF(E1760="","Novo gerente; ","")))</f>
      </c>
      <c r="K1760" s="6">
        <f>IF(COUNTA(A1760:F1760)=0,"",IF(AND(LEFT(H1760,4)&lt;&gt;"ERRO",I1760="OK",J1760="OK"),"OK","REVISAR"))</f>
      </c>
    </row>
    <row r="1761">
      <c r="A1761" s="5"/>
      <c r="B1761" s="4"/>
      <c r="C1761" s="4"/>
      <c r="D1761" s="4"/>
      <c r="E1761" s="5"/>
      <c r="F1761" s="4"/>
      <c r="G1761" s="6">
        <f>IF(A1761="","",SUBSTITUTE(SUBSTITUTE(SUBSTITUTE(SUBSTITUTE(SUBSTITUTE(SUBSTITUTE(SUBSTITUTE(TRIM(A1761),".",""),"/",""),"-","")," ",""),"(",""),")",""),"+",""))</f>
      </c>
      <c r="H1761" s="6">
        <f>IF(G1761="","",IF(LEN(G1761)&lt;&gt;14,"ERRO: "&amp;LEN(G1761)&amp;" dígitos",IF(NOT(ISNUMBER(VALUE(G1761))),"ERRO: não numérico",IF(AND(VALUE(MID(G1761,13,1))=IF(MOD(SUMPRODUCT(--MID(G1761,{1,2,3,4,5,6,7,8,9,10,11,12},1),{5,4,3,2,9,8,7,6,5,4,3,2}),11)&lt;2,0,11-MOD(SUMPRODUCT(--MID(G1761,{1,2,3,4,5,6,7,8,9,10,11,12},1),{5,4,3,2,9,8,7,6,5,4,3,2}),11)),VALUE(MID(G1761,14,1))=IF(MOD(SUMPRODUCT(--MID(G1761,{1,2,3,4,5,6,7,8,9,10,11,12,13},1),{6,5,4,3,2,9,8,7,6,5,4,3,2}),11)&lt;2,0,11-MOD(SUMPRODUCT(--MID(G1761,{1,2,3,4,5,6,7,8,9,10,11,12,13},1),{6,5,4,3,2,9,8,7,6,5,4,3,2}),11))),"OK","AVISO: dígito verificador (conferir na org)"))))</f>
      </c>
      <c r="I1761" s="6">
        <f>IF(G1761="","",IF(COUNTIF($G$2:$G$2001,G1761)&gt;1,"DUPLICADO","OK"))</f>
      </c>
      <c r="J1761" s="6">
        <f>IF(COUNTA(A1761:F1761)=0,"",IF(AND(A1761&lt;&gt;"",E1761&lt;&gt;""),"OK","ERRO: faltam "&amp;IF(A1761="","CNPJ; ","")&amp;IF(E1761="","Novo gerente; ","")))</f>
      </c>
      <c r="K1761" s="6">
        <f>IF(COUNTA(A1761:F1761)=0,"",IF(AND(LEFT(H1761,4)&lt;&gt;"ERRO",I1761="OK",J1761="OK"),"OK","REVISAR"))</f>
      </c>
    </row>
    <row r="1762">
      <c r="A1762" s="5"/>
      <c r="B1762" s="4"/>
      <c r="C1762" s="4"/>
      <c r="D1762" s="4"/>
      <c r="E1762" s="5"/>
      <c r="F1762" s="4"/>
      <c r="G1762" s="6">
        <f>IF(A1762="","",SUBSTITUTE(SUBSTITUTE(SUBSTITUTE(SUBSTITUTE(SUBSTITUTE(SUBSTITUTE(SUBSTITUTE(TRIM(A1762),".",""),"/",""),"-","")," ",""),"(",""),")",""),"+",""))</f>
      </c>
      <c r="H1762" s="6">
        <f>IF(G1762="","",IF(LEN(G1762)&lt;&gt;14,"ERRO: "&amp;LEN(G1762)&amp;" dígitos",IF(NOT(ISNUMBER(VALUE(G1762))),"ERRO: não numérico",IF(AND(VALUE(MID(G1762,13,1))=IF(MOD(SUMPRODUCT(--MID(G1762,{1,2,3,4,5,6,7,8,9,10,11,12},1),{5,4,3,2,9,8,7,6,5,4,3,2}),11)&lt;2,0,11-MOD(SUMPRODUCT(--MID(G1762,{1,2,3,4,5,6,7,8,9,10,11,12},1),{5,4,3,2,9,8,7,6,5,4,3,2}),11)),VALUE(MID(G1762,14,1))=IF(MOD(SUMPRODUCT(--MID(G1762,{1,2,3,4,5,6,7,8,9,10,11,12,13},1),{6,5,4,3,2,9,8,7,6,5,4,3,2}),11)&lt;2,0,11-MOD(SUMPRODUCT(--MID(G1762,{1,2,3,4,5,6,7,8,9,10,11,12,13},1),{6,5,4,3,2,9,8,7,6,5,4,3,2}),11))),"OK","AVISO: dígito verificador (conferir na org)"))))</f>
      </c>
      <c r="I1762" s="6">
        <f>IF(G1762="","",IF(COUNTIF($G$2:$G$2001,G1762)&gt;1,"DUPLICADO","OK"))</f>
      </c>
      <c r="J1762" s="6">
        <f>IF(COUNTA(A1762:F1762)=0,"",IF(AND(A1762&lt;&gt;"",E1762&lt;&gt;""),"OK","ERRO: faltam "&amp;IF(A1762="","CNPJ; ","")&amp;IF(E1762="","Novo gerente; ","")))</f>
      </c>
      <c r="K1762" s="6">
        <f>IF(COUNTA(A1762:F1762)=0,"",IF(AND(LEFT(H1762,4)&lt;&gt;"ERRO",I1762="OK",J1762="OK"),"OK","REVISAR"))</f>
      </c>
    </row>
    <row r="1763">
      <c r="A1763" s="5"/>
      <c r="B1763" s="4"/>
      <c r="C1763" s="4"/>
      <c r="D1763" s="4"/>
      <c r="E1763" s="5"/>
      <c r="F1763" s="4"/>
      <c r="G1763" s="6">
        <f>IF(A1763="","",SUBSTITUTE(SUBSTITUTE(SUBSTITUTE(SUBSTITUTE(SUBSTITUTE(SUBSTITUTE(SUBSTITUTE(TRIM(A1763),".",""),"/",""),"-","")," ",""),"(",""),")",""),"+",""))</f>
      </c>
      <c r="H1763" s="6">
        <f>IF(G1763="","",IF(LEN(G1763)&lt;&gt;14,"ERRO: "&amp;LEN(G1763)&amp;" dígitos",IF(NOT(ISNUMBER(VALUE(G1763))),"ERRO: não numérico",IF(AND(VALUE(MID(G1763,13,1))=IF(MOD(SUMPRODUCT(--MID(G1763,{1,2,3,4,5,6,7,8,9,10,11,12},1),{5,4,3,2,9,8,7,6,5,4,3,2}),11)&lt;2,0,11-MOD(SUMPRODUCT(--MID(G1763,{1,2,3,4,5,6,7,8,9,10,11,12},1),{5,4,3,2,9,8,7,6,5,4,3,2}),11)),VALUE(MID(G1763,14,1))=IF(MOD(SUMPRODUCT(--MID(G1763,{1,2,3,4,5,6,7,8,9,10,11,12,13},1),{6,5,4,3,2,9,8,7,6,5,4,3,2}),11)&lt;2,0,11-MOD(SUMPRODUCT(--MID(G1763,{1,2,3,4,5,6,7,8,9,10,11,12,13},1),{6,5,4,3,2,9,8,7,6,5,4,3,2}),11))),"OK","AVISO: dígito verificador (conferir na org)"))))</f>
      </c>
      <c r="I1763" s="6">
        <f>IF(G1763="","",IF(COUNTIF($G$2:$G$2001,G1763)&gt;1,"DUPLICADO","OK"))</f>
      </c>
      <c r="J1763" s="6">
        <f>IF(COUNTA(A1763:F1763)=0,"",IF(AND(A1763&lt;&gt;"",E1763&lt;&gt;""),"OK","ERRO: faltam "&amp;IF(A1763="","CNPJ; ","")&amp;IF(E1763="","Novo gerente; ","")))</f>
      </c>
      <c r="K1763" s="6">
        <f>IF(COUNTA(A1763:F1763)=0,"",IF(AND(LEFT(H1763,4)&lt;&gt;"ERRO",I1763="OK",J1763="OK"),"OK","REVISAR"))</f>
      </c>
    </row>
    <row r="1764">
      <c r="A1764" s="5"/>
      <c r="B1764" s="4"/>
      <c r="C1764" s="4"/>
      <c r="D1764" s="4"/>
      <c r="E1764" s="5"/>
      <c r="F1764" s="4"/>
      <c r="G1764" s="6">
        <f>IF(A1764="","",SUBSTITUTE(SUBSTITUTE(SUBSTITUTE(SUBSTITUTE(SUBSTITUTE(SUBSTITUTE(SUBSTITUTE(TRIM(A1764),".",""),"/",""),"-","")," ",""),"(",""),")",""),"+",""))</f>
      </c>
      <c r="H1764" s="6">
        <f>IF(G1764="","",IF(LEN(G1764)&lt;&gt;14,"ERRO: "&amp;LEN(G1764)&amp;" dígitos",IF(NOT(ISNUMBER(VALUE(G1764))),"ERRO: não numérico",IF(AND(VALUE(MID(G1764,13,1))=IF(MOD(SUMPRODUCT(--MID(G1764,{1,2,3,4,5,6,7,8,9,10,11,12},1),{5,4,3,2,9,8,7,6,5,4,3,2}),11)&lt;2,0,11-MOD(SUMPRODUCT(--MID(G1764,{1,2,3,4,5,6,7,8,9,10,11,12},1),{5,4,3,2,9,8,7,6,5,4,3,2}),11)),VALUE(MID(G1764,14,1))=IF(MOD(SUMPRODUCT(--MID(G1764,{1,2,3,4,5,6,7,8,9,10,11,12,13},1),{6,5,4,3,2,9,8,7,6,5,4,3,2}),11)&lt;2,0,11-MOD(SUMPRODUCT(--MID(G1764,{1,2,3,4,5,6,7,8,9,10,11,12,13},1),{6,5,4,3,2,9,8,7,6,5,4,3,2}),11))),"OK","AVISO: dígito verificador (conferir na org)"))))</f>
      </c>
      <c r="I1764" s="6">
        <f>IF(G1764="","",IF(COUNTIF($G$2:$G$2001,G1764)&gt;1,"DUPLICADO","OK"))</f>
      </c>
      <c r="J1764" s="6">
        <f>IF(COUNTA(A1764:F1764)=0,"",IF(AND(A1764&lt;&gt;"",E1764&lt;&gt;""),"OK","ERRO: faltam "&amp;IF(A1764="","CNPJ; ","")&amp;IF(E1764="","Novo gerente; ","")))</f>
      </c>
      <c r="K1764" s="6">
        <f>IF(COUNTA(A1764:F1764)=0,"",IF(AND(LEFT(H1764,4)&lt;&gt;"ERRO",I1764="OK",J1764="OK"),"OK","REVISAR"))</f>
      </c>
    </row>
    <row r="1765">
      <c r="A1765" s="5"/>
      <c r="B1765" s="4"/>
      <c r="C1765" s="4"/>
      <c r="D1765" s="4"/>
      <c r="E1765" s="5"/>
      <c r="F1765" s="4"/>
      <c r="G1765" s="6">
        <f>IF(A1765="","",SUBSTITUTE(SUBSTITUTE(SUBSTITUTE(SUBSTITUTE(SUBSTITUTE(SUBSTITUTE(SUBSTITUTE(TRIM(A1765),".",""),"/",""),"-","")," ",""),"(",""),")",""),"+",""))</f>
      </c>
      <c r="H1765" s="6">
        <f>IF(G1765="","",IF(LEN(G1765)&lt;&gt;14,"ERRO: "&amp;LEN(G1765)&amp;" dígitos",IF(NOT(ISNUMBER(VALUE(G1765))),"ERRO: não numérico",IF(AND(VALUE(MID(G1765,13,1))=IF(MOD(SUMPRODUCT(--MID(G1765,{1,2,3,4,5,6,7,8,9,10,11,12},1),{5,4,3,2,9,8,7,6,5,4,3,2}),11)&lt;2,0,11-MOD(SUMPRODUCT(--MID(G1765,{1,2,3,4,5,6,7,8,9,10,11,12},1),{5,4,3,2,9,8,7,6,5,4,3,2}),11)),VALUE(MID(G1765,14,1))=IF(MOD(SUMPRODUCT(--MID(G1765,{1,2,3,4,5,6,7,8,9,10,11,12,13},1),{6,5,4,3,2,9,8,7,6,5,4,3,2}),11)&lt;2,0,11-MOD(SUMPRODUCT(--MID(G1765,{1,2,3,4,5,6,7,8,9,10,11,12,13},1),{6,5,4,3,2,9,8,7,6,5,4,3,2}),11))),"OK","AVISO: dígito verificador (conferir na org)"))))</f>
      </c>
      <c r="I1765" s="6">
        <f>IF(G1765="","",IF(COUNTIF($G$2:$G$2001,G1765)&gt;1,"DUPLICADO","OK"))</f>
      </c>
      <c r="J1765" s="6">
        <f>IF(COUNTA(A1765:F1765)=0,"",IF(AND(A1765&lt;&gt;"",E1765&lt;&gt;""),"OK","ERRO: faltam "&amp;IF(A1765="","CNPJ; ","")&amp;IF(E1765="","Novo gerente; ","")))</f>
      </c>
      <c r="K1765" s="6">
        <f>IF(COUNTA(A1765:F1765)=0,"",IF(AND(LEFT(H1765,4)&lt;&gt;"ERRO",I1765="OK",J1765="OK"),"OK","REVISAR"))</f>
      </c>
    </row>
    <row r="1766">
      <c r="A1766" s="5"/>
      <c r="B1766" s="4"/>
      <c r="C1766" s="4"/>
      <c r="D1766" s="4"/>
      <c r="E1766" s="5"/>
      <c r="F1766" s="4"/>
      <c r="G1766" s="6">
        <f>IF(A1766="","",SUBSTITUTE(SUBSTITUTE(SUBSTITUTE(SUBSTITUTE(SUBSTITUTE(SUBSTITUTE(SUBSTITUTE(TRIM(A1766),".",""),"/",""),"-","")," ",""),"(",""),")",""),"+",""))</f>
      </c>
      <c r="H1766" s="6">
        <f>IF(G1766="","",IF(LEN(G1766)&lt;&gt;14,"ERRO: "&amp;LEN(G1766)&amp;" dígitos",IF(NOT(ISNUMBER(VALUE(G1766))),"ERRO: não numérico",IF(AND(VALUE(MID(G1766,13,1))=IF(MOD(SUMPRODUCT(--MID(G1766,{1,2,3,4,5,6,7,8,9,10,11,12},1),{5,4,3,2,9,8,7,6,5,4,3,2}),11)&lt;2,0,11-MOD(SUMPRODUCT(--MID(G1766,{1,2,3,4,5,6,7,8,9,10,11,12},1),{5,4,3,2,9,8,7,6,5,4,3,2}),11)),VALUE(MID(G1766,14,1))=IF(MOD(SUMPRODUCT(--MID(G1766,{1,2,3,4,5,6,7,8,9,10,11,12,13},1),{6,5,4,3,2,9,8,7,6,5,4,3,2}),11)&lt;2,0,11-MOD(SUMPRODUCT(--MID(G1766,{1,2,3,4,5,6,7,8,9,10,11,12,13},1),{6,5,4,3,2,9,8,7,6,5,4,3,2}),11))),"OK","AVISO: dígito verificador (conferir na org)"))))</f>
      </c>
      <c r="I1766" s="6">
        <f>IF(G1766="","",IF(COUNTIF($G$2:$G$2001,G1766)&gt;1,"DUPLICADO","OK"))</f>
      </c>
      <c r="J1766" s="6">
        <f>IF(COUNTA(A1766:F1766)=0,"",IF(AND(A1766&lt;&gt;"",E1766&lt;&gt;""),"OK","ERRO: faltam "&amp;IF(A1766="","CNPJ; ","")&amp;IF(E1766="","Novo gerente; ","")))</f>
      </c>
      <c r="K1766" s="6">
        <f>IF(COUNTA(A1766:F1766)=0,"",IF(AND(LEFT(H1766,4)&lt;&gt;"ERRO",I1766="OK",J1766="OK"),"OK","REVISAR"))</f>
      </c>
    </row>
    <row r="1767">
      <c r="A1767" s="5"/>
      <c r="B1767" s="4"/>
      <c r="C1767" s="4"/>
      <c r="D1767" s="4"/>
      <c r="E1767" s="5"/>
      <c r="F1767" s="4"/>
      <c r="G1767" s="6">
        <f>IF(A1767="","",SUBSTITUTE(SUBSTITUTE(SUBSTITUTE(SUBSTITUTE(SUBSTITUTE(SUBSTITUTE(SUBSTITUTE(TRIM(A1767),".",""),"/",""),"-","")," ",""),"(",""),")",""),"+",""))</f>
      </c>
      <c r="H1767" s="6">
        <f>IF(G1767="","",IF(LEN(G1767)&lt;&gt;14,"ERRO: "&amp;LEN(G1767)&amp;" dígitos",IF(NOT(ISNUMBER(VALUE(G1767))),"ERRO: não numérico",IF(AND(VALUE(MID(G1767,13,1))=IF(MOD(SUMPRODUCT(--MID(G1767,{1,2,3,4,5,6,7,8,9,10,11,12},1),{5,4,3,2,9,8,7,6,5,4,3,2}),11)&lt;2,0,11-MOD(SUMPRODUCT(--MID(G1767,{1,2,3,4,5,6,7,8,9,10,11,12},1),{5,4,3,2,9,8,7,6,5,4,3,2}),11)),VALUE(MID(G1767,14,1))=IF(MOD(SUMPRODUCT(--MID(G1767,{1,2,3,4,5,6,7,8,9,10,11,12,13},1),{6,5,4,3,2,9,8,7,6,5,4,3,2}),11)&lt;2,0,11-MOD(SUMPRODUCT(--MID(G1767,{1,2,3,4,5,6,7,8,9,10,11,12,13},1),{6,5,4,3,2,9,8,7,6,5,4,3,2}),11))),"OK","AVISO: dígito verificador (conferir na org)"))))</f>
      </c>
      <c r="I1767" s="6">
        <f>IF(G1767="","",IF(COUNTIF($G$2:$G$2001,G1767)&gt;1,"DUPLICADO","OK"))</f>
      </c>
      <c r="J1767" s="6">
        <f>IF(COUNTA(A1767:F1767)=0,"",IF(AND(A1767&lt;&gt;"",E1767&lt;&gt;""),"OK","ERRO: faltam "&amp;IF(A1767="","CNPJ; ","")&amp;IF(E1767="","Novo gerente; ","")))</f>
      </c>
      <c r="K1767" s="6">
        <f>IF(COUNTA(A1767:F1767)=0,"",IF(AND(LEFT(H1767,4)&lt;&gt;"ERRO",I1767="OK",J1767="OK"),"OK","REVISAR"))</f>
      </c>
    </row>
    <row r="1768">
      <c r="A1768" s="5"/>
      <c r="B1768" s="4"/>
      <c r="C1768" s="4"/>
      <c r="D1768" s="4"/>
      <c r="E1768" s="5"/>
      <c r="F1768" s="4"/>
      <c r="G1768" s="6">
        <f>IF(A1768="","",SUBSTITUTE(SUBSTITUTE(SUBSTITUTE(SUBSTITUTE(SUBSTITUTE(SUBSTITUTE(SUBSTITUTE(TRIM(A1768),".",""),"/",""),"-","")," ",""),"(",""),")",""),"+",""))</f>
      </c>
      <c r="H1768" s="6">
        <f>IF(G1768="","",IF(LEN(G1768)&lt;&gt;14,"ERRO: "&amp;LEN(G1768)&amp;" dígitos",IF(NOT(ISNUMBER(VALUE(G1768))),"ERRO: não numérico",IF(AND(VALUE(MID(G1768,13,1))=IF(MOD(SUMPRODUCT(--MID(G1768,{1,2,3,4,5,6,7,8,9,10,11,12},1),{5,4,3,2,9,8,7,6,5,4,3,2}),11)&lt;2,0,11-MOD(SUMPRODUCT(--MID(G1768,{1,2,3,4,5,6,7,8,9,10,11,12},1),{5,4,3,2,9,8,7,6,5,4,3,2}),11)),VALUE(MID(G1768,14,1))=IF(MOD(SUMPRODUCT(--MID(G1768,{1,2,3,4,5,6,7,8,9,10,11,12,13},1),{6,5,4,3,2,9,8,7,6,5,4,3,2}),11)&lt;2,0,11-MOD(SUMPRODUCT(--MID(G1768,{1,2,3,4,5,6,7,8,9,10,11,12,13},1),{6,5,4,3,2,9,8,7,6,5,4,3,2}),11))),"OK","AVISO: dígito verificador (conferir na org)"))))</f>
      </c>
      <c r="I1768" s="6">
        <f>IF(G1768="","",IF(COUNTIF($G$2:$G$2001,G1768)&gt;1,"DUPLICADO","OK"))</f>
      </c>
      <c r="J1768" s="6">
        <f>IF(COUNTA(A1768:F1768)=0,"",IF(AND(A1768&lt;&gt;"",E1768&lt;&gt;""),"OK","ERRO: faltam "&amp;IF(A1768="","CNPJ; ","")&amp;IF(E1768="","Novo gerente; ","")))</f>
      </c>
      <c r="K1768" s="6">
        <f>IF(COUNTA(A1768:F1768)=0,"",IF(AND(LEFT(H1768,4)&lt;&gt;"ERRO",I1768="OK",J1768="OK"),"OK","REVISAR"))</f>
      </c>
    </row>
    <row r="1769">
      <c r="A1769" s="5"/>
      <c r="B1769" s="4"/>
      <c r="C1769" s="4"/>
      <c r="D1769" s="4"/>
      <c r="E1769" s="5"/>
      <c r="F1769" s="4"/>
      <c r="G1769" s="6">
        <f>IF(A1769="","",SUBSTITUTE(SUBSTITUTE(SUBSTITUTE(SUBSTITUTE(SUBSTITUTE(SUBSTITUTE(SUBSTITUTE(TRIM(A1769),".",""),"/",""),"-","")," ",""),"(",""),")",""),"+",""))</f>
      </c>
      <c r="H1769" s="6">
        <f>IF(G1769="","",IF(LEN(G1769)&lt;&gt;14,"ERRO: "&amp;LEN(G1769)&amp;" dígitos",IF(NOT(ISNUMBER(VALUE(G1769))),"ERRO: não numérico",IF(AND(VALUE(MID(G1769,13,1))=IF(MOD(SUMPRODUCT(--MID(G1769,{1,2,3,4,5,6,7,8,9,10,11,12},1),{5,4,3,2,9,8,7,6,5,4,3,2}),11)&lt;2,0,11-MOD(SUMPRODUCT(--MID(G1769,{1,2,3,4,5,6,7,8,9,10,11,12},1),{5,4,3,2,9,8,7,6,5,4,3,2}),11)),VALUE(MID(G1769,14,1))=IF(MOD(SUMPRODUCT(--MID(G1769,{1,2,3,4,5,6,7,8,9,10,11,12,13},1),{6,5,4,3,2,9,8,7,6,5,4,3,2}),11)&lt;2,0,11-MOD(SUMPRODUCT(--MID(G1769,{1,2,3,4,5,6,7,8,9,10,11,12,13},1),{6,5,4,3,2,9,8,7,6,5,4,3,2}),11))),"OK","AVISO: dígito verificador (conferir na org)"))))</f>
      </c>
      <c r="I1769" s="6">
        <f>IF(G1769="","",IF(COUNTIF($G$2:$G$2001,G1769)&gt;1,"DUPLICADO","OK"))</f>
      </c>
      <c r="J1769" s="6">
        <f>IF(COUNTA(A1769:F1769)=0,"",IF(AND(A1769&lt;&gt;"",E1769&lt;&gt;""),"OK","ERRO: faltam "&amp;IF(A1769="","CNPJ; ","")&amp;IF(E1769="","Novo gerente; ","")))</f>
      </c>
      <c r="K1769" s="6">
        <f>IF(COUNTA(A1769:F1769)=0,"",IF(AND(LEFT(H1769,4)&lt;&gt;"ERRO",I1769="OK",J1769="OK"),"OK","REVISAR"))</f>
      </c>
    </row>
    <row r="1770">
      <c r="A1770" s="5"/>
      <c r="B1770" s="4"/>
      <c r="C1770" s="4"/>
      <c r="D1770" s="4"/>
      <c r="E1770" s="5"/>
      <c r="F1770" s="4"/>
      <c r="G1770" s="6">
        <f>IF(A1770="","",SUBSTITUTE(SUBSTITUTE(SUBSTITUTE(SUBSTITUTE(SUBSTITUTE(SUBSTITUTE(SUBSTITUTE(TRIM(A1770),".",""),"/",""),"-","")," ",""),"(",""),")",""),"+",""))</f>
      </c>
      <c r="H1770" s="6">
        <f>IF(G1770="","",IF(LEN(G1770)&lt;&gt;14,"ERRO: "&amp;LEN(G1770)&amp;" dígitos",IF(NOT(ISNUMBER(VALUE(G1770))),"ERRO: não numérico",IF(AND(VALUE(MID(G1770,13,1))=IF(MOD(SUMPRODUCT(--MID(G1770,{1,2,3,4,5,6,7,8,9,10,11,12},1),{5,4,3,2,9,8,7,6,5,4,3,2}),11)&lt;2,0,11-MOD(SUMPRODUCT(--MID(G1770,{1,2,3,4,5,6,7,8,9,10,11,12},1),{5,4,3,2,9,8,7,6,5,4,3,2}),11)),VALUE(MID(G1770,14,1))=IF(MOD(SUMPRODUCT(--MID(G1770,{1,2,3,4,5,6,7,8,9,10,11,12,13},1),{6,5,4,3,2,9,8,7,6,5,4,3,2}),11)&lt;2,0,11-MOD(SUMPRODUCT(--MID(G1770,{1,2,3,4,5,6,7,8,9,10,11,12,13},1),{6,5,4,3,2,9,8,7,6,5,4,3,2}),11))),"OK","AVISO: dígito verificador (conferir na org)"))))</f>
      </c>
      <c r="I1770" s="6">
        <f>IF(G1770="","",IF(COUNTIF($G$2:$G$2001,G1770)&gt;1,"DUPLICADO","OK"))</f>
      </c>
      <c r="J1770" s="6">
        <f>IF(COUNTA(A1770:F1770)=0,"",IF(AND(A1770&lt;&gt;"",E1770&lt;&gt;""),"OK","ERRO: faltam "&amp;IF(A1770="","CNPJ; ","")&amp;IF(E1770="","Novo gerente; ","")))</f>
      </c>
      <c r="K1770" s="6">
        <f>IF(COUNTA(A1770:F1770)=0,"",IF(AND(LEFT(H1770,4)&lt;&gt;"ERRO",I1770="OK",J1770="OK"),"OK","REVISAR"))</f>
      </c>
    </row>
    <row r="1771">
      <c r="A1771" s="5"/>
      <c r="B1771" s="4"/>
      <c r="C1771" s="4"/>
      <c r="D1771" s="4"/>
      <c r="E1771" s="5"/>
      <c r="F1771" s="4"/>
      <c r="G1771" s="6">
        <f>IF(A1771="","",SUBSTITUTE(SUBSTITUTE(SUBSTITUTE(SUBSTITUTE(SUBSTITUTE(SUBSTITUTE(SUBSTITUTE(TRIM(A1771),".",""),"/",""),"-","")," ",""),"(",""),")",""),"+",""))</f>
      </c>
      <c r="H1771" s="6">
        <f>IF(G1771="","",IF(LEN(G1771)&lt;&gt;14,"ERRO: "&amp;LEN(G1771)&amp;" dígitos",IF(NOT(ISNUMBER(VALUE(G1771))),"ERRO: não numérico",IF(AND(VALUE(MID(G1771,13,1))=IF(MOD(SUMPRODUCT(--MID(G1771,{1,2,3,4,5,6,7,8,9,10,11,12},1),{5,4,3,2,9,8,7,6,5,4,3,2}),11)&lt;2,0,11-MOD(SUMPRODUCT(--MID(G1771,{1,2,3,4,5,6,7,8,9,10,11,12},1),{5,4,3,2,9,8,7,6,5,4,3,2}),11)),VALUE(MID(G1771,14,1))=IF(MOD(SUMPRODUCT(--MID(G1771,{1,2,3,4,5,6,7,8,9,10,11,12,13},1),{6,5,4,3,2,9,8,7,6,5,4,3,2}),11)&lt;2,0,11-MOD(SUMPRODUCT(--MID(G1771,{1,2,3,4,5,6,7,8,9,10,11,12,13},1),{6,5,4,3,2,9,8,7,6,5,4,3,2}),11))),"OK","AVISO: dígito verificador (conferir na org)"))))</f>
      </c>
      <c r="I1771" s="6">
        <f>IF(G1771="","",IF(COUNTIF($G$2:$G$2001,G1771)&gt;1,"DUPLICADO","OK"))</f>
      </c>
      <c r="J1771" s="6">
        <f>IF(COUNTA(A1771:F1771)=0,"",IF(AND(A1771&lt;&gt;"",E1771&lt;&gt;""),"OK","ERRO: faltam "&amp;IF(A1771="","CNPJ; ","")&amp;IF(E1771="","Novo gerente; ","")))</f>
      </c>
      <c r="K1771" s="6">
        <f>IF(COUNTA(A1771:F1771)=0,"",IF(AND(LEFT(H1771,4)&lt;&gt;"ERRO",I1771="OK",J1771="OK"),"OK","REVISAR"))</f>
      </c>
    </row>
    <row r="1772">
      <c r="A1772" s="5"/>
      <c r="B1772" s="4"/>
      <c r="C1772" s="4"/>
      <c r="D1772" s="4"/>
      <c r="E1772" s="5"/>
      <c r="F1772" s="4"/>
      <c r="G1772" s="6">
        <f>IF(A1772="","",SUBSTITUTE(SUBSTITUTE(SUBSTITUTE(SUBSTITUTE(SUBSTITUTE(SUBSTITUTE(SUBSTITUTE(TRIM(A1772),".",""),"/",""),"-","")," ",""),"(",""),")",""),"+",""))</f>
      </c>
      <c r="H1772" s="6">
        <f>IF(G1772="","",IF(LEN(G1772)&lt;&gt;14,"ERRO: "&amp;LEN(G1772)&amp;" dígitos",IF(NOT(ISNUMBER(VALUE(G1772))),"ERRO: não numérico",IF(AND(VALUE(MID(G1772,13,1))=IF(MOD(SUMPRODUCT(--MID(G1772,{1,2,3,4,5,6,7,8,9,10,11,12},1),{5,4,3,2,9,8,7,6,5,4,3,2}),11)&lt;2,0,11-MOD(SUMPRODUCT(--MID(G1772,{1,2,3,4,5,6,7,8,9,10,11,12},1),{5,4,3,2,9,8,7,6,5,4,3,2}),11)),VALUE(MID(G1772,14,1))=IF(MOD(SUMPRODUCT(--MID(G1772,{1,2,3,4,5,6,7,8,9,10,11,12,13},1),{6,5,4,3,2,9,8,7,6,5,4,3,2}),11)&lt;2,0,11-MOD(SUMPRODUCT(--MID(G1772,{1,2,3,4,5,6,7,8,9,10,11,12,13},1),{6,5,4,3,2,9,8,7,6,5,4,3,2}),11))),"OK","AVISO: dígito verificador (conferir na org)"))))</f>
      </c>
      <c r="I1772" s="6">
        <f>IF(G1772="","",IF(COUNTIF($G$2:$G$2001,G1772)&gt;1,"DUPLICADO","OK"))</f>
      </c>
      <c r="J1772" s="6">
        <f>IF(COUNTA(A1772:F1772)=0,"",IF(AND(A1772&lt;&gt;"",E1772&lt;&gt;""),"OK","ERRO: faltam "&amp;IF(A1772="","CNPJ; ","")&amp;IF(E1772="","Novo gerente; ","")))</f>
      </c>
      <c r="K1772" s="6">
        <f>IF(COUNTA(A1772:F1772)=0,"",IF(AND(LEFT(H1772,4)&lt;&gt;"ERRO",I1772="OK",J1772="OK"),"OK","REVISAR"))</f>
      </c>
    </row>
    <row r="1773">
      <c r="A1773" s="5"/>
      <c r="B1773" s="4"/>
      <c r="C1773" s="4"/>
      <c r="D1773" s="4"/>
      <c r="E1773" s="5"/>
      <c r="F1773" s="4"/>
      <c r="G1773" s="6">
        <f>IF(A1773="","",SUBSTITUTE(SUBSTITUTE(SUBSTITUTE(SUBSTITUTE(SUBSTITUTE(SUBSTITUTE(SUBSTITUTE(TRIM(A1773),".",""),"/",""),"-","")," ",""),"(",""),")",""),"+",""))</f>
      </c>
      <c r="H1773" s="6">
        <f>IF(G1773="","",IF(LEN(G1773)&lt;&gt;14,"ERRO: "&amp;LEN(G1773)&amp;" dígitos",IF(NOT(ISNUMBER(VALUE(G1773))),"ERRO: não numérico",IF(AND(VALUE(MID(G1773,13,1))=IF(MOD(SUMPRODUCT(--MID(G1773,{1,2,3,4,5,6,7,8,9,10,11,12},1),{5,4,3,2,9,8,7,6,5,4,3,2}),11)&lt;2,0,11-MOD(SUMPRODUCT(--MID(G1773,{1,2,3,4,5,6,7,8,9,10,11,12},1),{5,4,3,2,9,8,7,6,5,4,3,2}),11)),VALUE(MID(G1773,14,1))=IF(MOD(SUMPRODUCT(--MID(G1773,{1,2,3,4,5,6,7,8,9,10,11,12,13},1),{6,5,4,3,2,9,8,7,6,5,4,3,2}),11)&lt;2,0,11-MOD(SUMPRODUCT(--MID(G1773,{1,2,3,4,5,6,7,8,9,10,11,12,13},1),{6,5,4,3,2,9,8,7,6,5,4,3,2}),11))),"OK","AVISO: dígito verificador (conferir na org)"))))</f>
      </c>
      <c r="I1773" s="6">
        <f>IF(G1773="","",IF(COUNTIF($G$2:$G$2001,G1773)&gt;1,"DUPLICADO","OK"))</f>
      </c>
      <c r="J1773" s="6">
        <f>IF(COUNTA(A1773:F1773)=0,"",IF(AND(A1773&lt;&gt;"",E1773&lt;&gt;""),"OK","ERRO: faltam "&amp;IF(A1773="","CNPJ; ","")&amp;IF(E1773="","Novo gerente; ","")))</f>
      </c>
      <c r="K1773" s="6">
        <f>IF(COUNTA(A1773:F1773)=0,"",IF(AND(LEFT(H1773,4)&lt;&gt;"ERRO",I1773="OK",J1773="OK"),"OK","REVISAR"))</f>
      </c>
    </row>
    <row r="1774">
      <c r="A1774" s="5"/>
      <c r="B1774" s="4"/>
      <c r="C1774" s="4"/>
      <c r="D1774" s="4"/>
      <c r="E1774" s="5"/>
      <c r="F1774" s="4"/>
      <c r="G1774" s="6">
        <f>IF(A1774="","",SUBSTITUTE(SUBSTITUTE(SUBSTITUTE(SUBSTITUTE(SUBSTITUTE(SUBSTITUTE(SUBSTITUTE(TRIM(A1774),".",""),"/",""),"-","")," ",""),"(",""),")",""),"+",""))</f>
      </c>
      <c r="H1774" s="6">
        <f>IF(G1774="","",IF(LEN(G1774)&lt;&gt;14,"ERRO: "&amp;LEN(G1774)&amp;" dígitos",IF(NOT(ISNUMBER(VALUE(G1774))),"ERRO: não numérico",IF(AND(VALUE(MID(G1774,13,1))=IF(MOD(SUMPRODUCT(--MID(G1774,{1,2,3,4,5,6,7,8,9,10,11,12},1),{5,4,3,2,9,8,7,6,5,4,3,2}),11)&lt;2,0,11-MOD(SUMPRODUCT(--MID(G1774,{1,2,3,4,5,6,7,8,9,10,11,12},1),{5,4,3,2,9,8,7,6,5,4,3,2}),11)),VALUE(MID(G1774,14,1))=IF(MOD(SUMPRODUCT(--MID(G1774,{1,2,3,4,5,6,7,8,9,10,11,12,13},1),{6,5,4,3,2,9,8,7,6,5,4,3,2}),11)&lt;2,0,11-MOD(SUMPRODUCT(--MID(G1774,{1,2,3,4,5,6,7,8,9,10,11,12,13},1),{6,5,4,3,2,9,8,7,6,5,4,3,2}),11))),"OK","AVISO: dígito verificador (conferir na org)"))))</f>
      </c>
      <c r="I1774" s="6">
        <f>IF(G1774="","",IF(COUNTIF($G$2:$G$2001,G1774)&gt;1,"DUPLICADO","OK"))</f>
      </c>
      <c r="J1774" s="6">
        <f>IF(COUNTA(A1774:F1774)=0,"",IF(AND(A1774&lt;&gt;"",E1774&lt;&gt;""),"OK","ERRO: faltam "&amp;IF(A1774="","CNPJ; ","")&amp;IF(E1774="","Novo gerente; ","")))</f>
      </c>
      <c r="K1774" s="6">
        <f>IF(COUNTA(A1774:F1774)=0,"",IF(AND(LEFT(H1774,4)&lt;&gt;"ERRO",I1774="OK",J1774="OK"),"OK","REVISAR"))</f>
      </c>
    </row>
    <row r="1775">
      <c r="A1775" s="5"/>
      <c r="B1775" s="4"/>
      <c r="C1775" s="4"/>
      <c r="D1775" s="4"/>
      <c r="E1775" s="5"/>
      <c r="F1775" s="4"/>
      <c r="G1775" s="6">
        <f>IF(A1775="","",SUBSTITUTE(SUBSTITUTE(SUBSTITUTE(SUBSTITUTE(SUBSTITUTE(SUBSTITUTE(SUBSTITUTE(TRIM(A1775),".",""),"/",""),"-","")," ",""),"(",""),")",""),"+",""))</f>
      </c>
      <c r="H1775" s="6">
        <f>IF(G1775="","",IF(LEN(G1775)&lt;&gt;14,"ERRO: "&amp;LEN(G1775)&amp;" dígitos",IF(NOT(ISNUMBER(VALUE(G1775))),"ERRO: não numérico",IF(AND(VALUE(MID(G1775,13,1))=IF(MOD(SUMPRODUCT(--MID(G1775,{1,2,3,4,5,6,7,8,9,10,11,12},1),{5,4,3,2,9,8,7,6,5,4,3,2}),11)&lt;2,0,11-MOD(SUMPRODUCT(--MID(G1775,{1,2,3,4,5,6,7,8,9,10,11,12},1),{5,4,3,2,9,8,7,6,5,4,3,2}),11)),VALUE(MID(G1775,14,1))=IF(MOD(SUMPRODUCT(--MID(G1775,{1,2,3,4,5,6,7,8,9,10,11,12,13},1),{6,5,4,3,2,9,8,7,6,5,4,3,2}),11)&lt;2,0,11-MOD(SUMPRODUCT(--MID(G1775,{1,2,3,4,5,6,7,8,9,10,11,12,13},1),{6,5,4,3,2,9,8,7,6,5,4,3,2}),11))),"OK","AVISO: dígito verificador (conferir na org)"))))</f>
      </c>
      <c r="I1775" s="6">
        <f>IF(G1775="","",IF(COUNTIF($G$2:$G$2001,G1775)&gt;1,"DUPLICADO","OK"))</f>
      </c>
      <c r="J1775" s="6">
        <f>IF(COUNTA(A1775:F1775)=0,"",IF(AND(A1775&lt;&gt;"",E1775&lt;&gt;""),"OK","ERRO: faltam "&amp;IF(A1775="","CNPJ; ","")&amp;IF(E1775="","Novo gerente; ","")))</f>
      </c>
      <c r="K1775" s="6">
        <f>IF(COUNTA(A1775:F1775)=0,"",IF(AND(LEFT(H1775,4)&lt;&gt;"ERRO",I1775="OK",J1775="OK"),"OK","REVISAR"))</f>
      </c>
    </row>
    <row r="1776">
      <c r="A1776" s="5"/>
      <c r="B1776" s="4"/>
      <c r="C1776" s="4"/>
      <c r="D1776" s="4"/>
      <c r="E1776" s="5"/>
      <c r="F1776" s="4"/>
      <c r="G1776" s="6">
        <f>IF(A1776="","",SUBSTITUTE(SUBSTITUTE(SUBSTITUTE(SUBSTITUTE(SUBSTITUTE(SUBSTITUTE(SUBSTITUTE(TRIM(A1776),".",""),"/",""),"-","")," ",""),"(",""),")",""),"+",""))</f>
      </c>
      <c r="H1776" s="6">
        <f>IF(G1776="","",IF(LEN(G1776)&lt;&gt;14,"ERRO: "&amp;LEN(G1776)&amp;" dígitos",IF(NOT(ISNUMBER(VALUE(G1776))),"ERRO: não numérico",IF(AND(VALUE(MID(G1776,13,1))=IF(MOD(SUMPRODUCT(--MID(G1776,{1,2,3,4,5,6,7,8,9,10,11,12},1),{5,4,3,2,9,8,7,6,5,4,3,2}),11)&lt;2,0,11-MOD(SUMPRODUCT(--MID(G1776,{1,2,3,4,5,6,7,8,9,10,11,12},1),{5,4,3,2,9,8,7,6,5,4,3,2}),11)),VALUE(MID(G1776,14,1))=IF(MOD(SUMPRODUCT(--MID(G1776,{1,2,3,4,5,6,7,8,9,10,11,12,13},1),{6,5,4,3,2,9,8,7,6,5,4,3,2}),11)&lt;2,0,11-MOD(SUMPRODUCT(--MID(G1776,{1,2,3,4,5,6,7,8,9,10,11,12,13},1),{6,5,4,3,2,9,8,7,6,5,4,3,2}),11))),"OK","AVISO: dígito verificador (conferir na org)"))))</f>
      </c>
      <c r="I1776" s="6">
        <f>IF(G1776="","",IF(COUNTIF($G$2:$G$2001,G1776)&gt;1,"DUPLICADO","OK"))</f>
      </c>
      <c r="J1776" s="6">
        <f>IF(COUNTA(A1776:F1776)=0,"",IF(AND(A1776&lt;&gt;"",E1776&lt;&gt;""),"OK","ERRO: faltam "&amp;IF(A1776="","CNPJ; ","")&amp;IF(E1776="","Novo gerente; ","")))</f>
      </c>
      <c r="K1776" s="6">
        <f>IF(COUNTA(A1776:F1776)=0,"",IF(AND(LEFT(H1776,4)&lt;&gt;"ERRO",I1776="OK",J1776="OK"),"OK","REVISAR"))</f>
      </c>
    </row>
    <row r="1777">
      <c r="A1777" s="5"/>
      <c r="B1777" s="4"/>
      <c r="C1777" s="4"/>
      <c r="D1777" s="4"/>
      <c r="E1777" s="5"/>
      <c r="F1777" s="4"/>
      <c r="G1777" s="6">
        <f>IF(A1777="","",SUBSTITUTE(SUBSTITUTE(SUBSTITUTE(SUBSTITUTE(SUBSTITUTE(SUBSTITUTE(SUBSTITUTE(TRIM(A1777),".",""),"/",""),"-","")," ",""),"(",""),")",""),"+",""))</f>
      </c>
      <c r="H1777" s="6">
        <f>IF(G1777="","",IF(LEN(G1777)&lt;&gt;14,"ERRO: "&amp;LEN(G1777)&amp;" dígitos",IF(NOT(ISNUMBER(VALUE(G1777))),"ERRO: não numérico",IF(AND(VALUE(MID(G1777,13,1))=IF(MOD(SUMPRODUCT(--MID(G1777,{1,2,3,4,5,6,7,8,9,10,11,12},1),{5,4,3,2,9,8,7,6,5,4,3,2}),11)&lt;2,0,11-MOD(SUMPRODUCT(--MID(G1777,{1,2,3,4,5,6,7,8,9,10,11,12},1),{5,4,3,2,9,8,7,6,5,4,3,2}),11)),VALUE(MID(G1777,14,1))=IF(MOD(SUMPRODUCT(--MID(G1777,{1,2,3,4,5,6,7,8,9,10,11,12,13},1),{6,5,4,3,2,9,8,7,6,5,4,3,2}),11)&lt;2,0,11-MOD(SUMPRODUCT(--MID(G1777,{1,2,3,4,5,6,7,8,9,10,11,12,13},1),{6,5,4,3,2,9,8,7,6,5,4,3,2}),11))),"OK","AVISO: dígito verificador (conferir na org)"))))</f>
      </c>
      <c r="I1777" s="6">
        <f>IF(G1777="","",IF(COUNTIF($G$2:$G$2001,G1777)&gt;1,"DUPLICADO","OK"))</f>
      </c>
      <c r="J1777" s="6">
        <f>IF(COUNTA(A1777:F1777)=0,"",IF(AND(A1777&lt;&gt;"",E1777&lt;&gt;""),"OK","ERRO: faltam "&amp;IF(A1777="","CNPJ; ","")&amp;IF(E1777="","Novo gerente; ","")))</f>
      </c>
      <c r="K1777" s="6">
        <f>IF(COUNTA(A1777:F1777)=0,"",IF(AND(LEFT(H1777,4)&lt;&gt;"ERRO",I1777="OK",J1777="OK"),"OK","REVISAR"))</f>
      </c>
    </row>
    <row r="1778">
      <c r="A1778" s="5"/>
      <c r="B1778" s="4"/>
      <c r="C1778" s="4"/>
      <c r="D1778" s="4"/>
      <c r="E1778" s="5"/>
      <c r="F1778" s="4"/>
      <c r="G1778" s="6">
        <f>IF(A1778="","",SUBSTITUTE(SUBSTITUTE(SUBSTITUTE(SUBSTITUTE(SUBSTITUTE(SUBSTITUTE(SUBSTITUTE(TRIM(A1778),".",""),"/",""),"-","")," ",""),"(",""),")",""),"+",""))</f>
      </c>
      <c r="H1778" s="6">
        <f>IF(G1778="","",IF(LEN(G1778)&lt;&gt;14,"ERRO: "&amp;LEN(G1778)&amp;" dígitos",IF(NOT(ISNUMBER(VALUE(G1778))),"ERRO: não numérico",IF(AND(VALUE(MID(G1778,13,1))=IF(MOD(SUMPRODUCT(--MID(G1778,{1,2,3,4,5,6,7,8,9,10,11,12},1),{5,4,3,2,9,8,7,6,5,4,3,2}),11)&lt;2,0,11-MOD(SUMPRODUCT(--MID(G1778,{1,2,3,4,5,6,7,8,9,10,11,12},1),{5,4,3,2,9,8,7,6,5,4,3,2}),11)),VALUE(MID(G1778,14,1))=IF(MOD(SUMPRODUCT(--MID(G1778,{1,2,3,4,5,6,7,8,9,10,11,12,13},1),{6,5,4,3,2,9,8,7,6,5,4,3,2}),11)&lt;2,0,11-MOD(SUMPRODUCT(--MID(G1778,{1,2,3,4,5,6,7,8,9,10,11,12,13},1),{6,5,4,3,2,9,8,7,6,5,4,3,2}),11))),"OK","AVISO: dígito verificador (conferir na org)"))))</f>
      </c>
      <c r="I1778" s="6">
        <f>IF(G1778="","",IF(COUNTIF($G$2:$G$2001,G1778)&gt;1,"DUPLICADO","OK"))</f>
      </c>
      <c r="J1778" s="6">
        <f>IF(COUNTA(A1778:F1778)=0,"",IF(AND(A1778&lt;&gt;"",E1778&lt;&gt;""),"OK","ERRO: faltam "&amp;IF(A1778="","CNPJ; ","")&amp;IF(E1778="","Novo gerente; ","")))</f>
      </c>
      <c r="K1778" s="6">
        <f>IF(COUNTA(A1778:F1778)=0,"",IF(AND(LEFT(H1778,4)&lt;&gt;"ERRO",I1778="OK",J1778="OK"),"OK","REVISAR"))</f>
      </c>
    </row>
    <row r="1779">
      <c r="A1779" s="5"/>
      <c r="B1779" s="4"/>
      <c r="C1779" s="4"/>
      <c r="D1779" s="4"/>
      <c r="E1779" s="5"/>
      <c r="F1779" s="4"/>
      <c r="G1779" s="6">
        <f>IF(A1779="","",SUBSTITUTE(SUBSTITUTE(SUBSTITUTE(SUBSTITUTE(SUBSTITUTE(SUBSTITUTE(SUBSTITUTE(TRIM(A1779),".",""),"/",""),"-","")," ",""),"(",""),")",""),"+",""))</f>
      </c>
      <c r="H1779" s="6">
        <f>IF(G1779="","",IF(LEN(G1779)&lt;&gt;14,"ERRO: "&amp;LEN(G1779)&amp;" dígitos",IF(NOT(ISNUMBER(VALUE(G1779))),"ERRO: não numérico",IF(AND(VALUE(MID(G1779,13,1))=IF(MOD(SUMPRODUCT(--MID(G1779,{1,2,3,4,5,6,7,8,9,10,11,12},1),{5,4,3,2,9,8,7,6,5,4,3,2}),11)&lt;2,0,11-MOD(SUMPRODUCT(--MID(G1779,{1,2,3,4,5,6,7,8,9,10,11,12},1),{5,4,3,2,9,8,7,6,5,4,3,2}),11)),VALUE(MID(G1779,14,1))=IF(MOD(SUMPRODUCT(--MID(G1779,{1,2,3,4,5,6,7,8,9,10,11,12,13},1),{6,5,4,3,2,9,8,7,6,5,4,3,2}),11)&lt;2,0,11-MOD(SUMPRODUCT(--MID(G1779,{1,2,3,4,5,6,7,8,9,10,11,12,13},1),{6,5,4,3,2,9,8,7,6,5,4,3,2}),11))),"OK","AVISO: dígito verificador (conferir na org)"))))</f>
      </c>
      <c r="I1779" s="6">
        <f>IF(G1779="","",IF(COUNTIF($G$2:$G$2001,G1779)&gt;1,"DUPLICADO","OK"))</f>
      </c>
      <c r="J1779" s="6">
        <f>IF(COUNTA(A1779:F1779)=0,"",IF(AND(A1779&lt;&gt;"",E1779&lt;&gt;""),"OK","ERRO: faltam "&amp;IF(A1779="","CNPJ; ","")&amp;IF(E1779="","Novo gerente; ","")))</f>
      </c>
      <c r="K1779" s="6">
        <f>IF(COUNTA(A1779:F1779)=0,"",IF(AND(LEFT(H1779,4)&lt;&gt;"ERRO",I1779="OK",J1779="OK"),"OK","REVISAR"))</f>
      </c>
    </row>
    <row r="1780">
      <c r="A1780" s="5"/>
      <c r="B1780" s="4"/>
      <c r="C1780" s="4"/>
      <c r="D1780" s="4"/>
      <c r="E1780" s="5"/>
      <c r="F1780" s="4"/>
      <c r="G1780" s="6">
        <f>IF(A1780="","",SUBSTITUTE(SUBSTITUTE(SUBSTITUTE(SUBSTITUTE(SUBSTITUTE(SUBSTITUTE(SUBSTITUTE(TRIM(A1780),".",""),"/",""),"-","")," ",""),"(",""),")",""),"+",""))</f>
      </c>
      <c r="H1780" s="6">
        <f>IF(G1780="","",IF(LEN(G1780)&lt;&gt;14,"ERRO: "&amp;LEN(G1780)&amp;" dígitos",IF(NOT(ISNUMBER(VALUE(G1780))),"ERRO: não numérico",IF(AND(VALUE(MID(G1780,13,1))=IF(MOD(SUMPRODUCT(--MID(G1780,{1,2,3,4,5,6,7,8,9,10,11,12},1),{5,4,3,2,9,8,7,6,5,4,3,2}),11)&lt;2,0,11-MOD(SUMPRODUCT(--MID(G1780,{1,2,3,4,5,6,7,8,9,10,11,12},1),{5,4,3,2,9,8,7,6,5,4,3,2}),11)),VALUE(MID(G1780,14,1))=IF(MOD(SUMPRODUCT(--MID(G1780,{1,2,3,4,5,6,7,8,9,10,11,12,13},1),{6,5,4,3,2,9,8,7,6,5,4,3,2}),11)&lt;2,0,11-MOD(SUMPRODUCT(--MID(G1780,{1,2,3,4,5,6,7,8,9,10,11,12,13},1),{6,5,4,3,2,9,8,7,6,5,4,3,2}),11))),"OK","AVISO: dígito verificador (conferir na org)"))))</f>
      </c>
      <c r="I1780" s="6">
        <f>IF(G1780="","",IF(COUNTIF($G$2:$G$2001,G1780)&gt;1,"DUPLICADO","OK"))</f>
      </c>
      <c r="J1780" s="6">
        <f>IF(COUNTA(A1780:F1780)=0,"",IF(AND(A1780&lt;&gt;"",E1780&lt;&gt;""),"OK","ERRO: faltam "&amp;IF(A1780="","CNPJ; ","")&amp;IF(E1780="","Novo gerente; ","")))</f>
      </c>
      <c r="K1780" s="6">
        <f>IF(COUNTA(A1780:F1780)=0,"",IF(AND(LEFT(H1780,4)&lt;&gt;"ERRO",I1780="OK",J1780="OK"),"OK","REVISAR"))</f>
      </c>
    </row>
    <row r="1781">
      <c r="A1781" s="5"/>
      <c r="B1781" s="4"/>
      <c r="C1781" s="4"/>
      <c r="D1781" s="4"/>
      <c r="E1781" s="5"/>
      <c r="F1781" s="4"/>
      <c r="G1781" s="6">
        <f>IF(A1781="","",SUBSTITUTE(SUBSTITUTE(SUBSTITUTE(SUBSTITUTE(SUBSTITUTE(SUBSTITUTE(SUBSTITUTE(TRIM(A1781),".",""),"/",""),"-","")," ",""),"(",""),")",""),"+",""))</f>
      </c>
      <c r="H1781" s="6">
        <f>IF(G1781="","",IF(LEN(G1781)&lt;&gt;14,"ERRO: "&amp;LEN(G1781)&amp;" dígitos",IF(NOT(ISNUMBER(VALUE(G1781))),"ERRO: não numérico",IF(AND(VALUE(MID(G1781,13,1))=IF(MOD(SUMPRODUCT(--MID(G1781,{1,2,3,4,5,6,7,8,9,10,11,12},1),{5,4,3,2,9,8,7,6,5,4,3,2}),11)&lt;2,0,11-MOD(SUMPRODUCT(--MID(G1781,{1,2,3,4,5,6,7,8,9,10,11,12},1),{5,4,3,2,9,8,7,6,5,4,3,2}),11)),VALUE(MID(G1781,14,1))=IF(MOD(SUMPRODUCT(--MID(G1781,{1,2,3,4,5,6,7,8,9,10,11,12,13},1),{6,5,4,3,2,9,8,7,6,5,4,3,2}),11)&lt;2,0,11-MOD(SUMPRODUCT(--MID(G1781,{1,2,3,4,5,6,7,8,9,10,11,12,13},1),{6,5,4,3,2,9,8,7,6,5,4,3,2}),11))),"OK","AVISO: dígito verificador (conferir na org)"))))</f>
      </c>
      <c r="I1781" s="6">
        <f>IF(G1781="","",IF(COUNTIF($G$2:$G$2001,G1781)&gt;1,"DUPLICADO","OK"))</f>
      </c>
      <c r="J1781" s="6">
        <f>IF(COUNTA(A1781:F1781)=0,"",IF(AND(A1781&lt;&gt;"",E1781&lt;&gt;""),"OK","ERRO: faltam "&amp;IF(A1781="","CNPJ; ","")&amp;IF(E1781="","Novo gerente; ","")))</f>
      </c>
      <c r="K1781" s="6">
        <f>IF(COUNTA(A1781:F1781)=0,"",IF(AND(LEFT(H1781,4)&lt;&gt;"ERRO",I1781="OK",J1781="OK"),"OK","REVISAR"))</f>
      </c>
    </row>
    <row r="1782">
      <c r="A1782" s="5"/>
      <c r="B1782" s="4"/>
      <c r="C1782" s="4"/>
      <c r="D1782" s="4"/>
      <c r="E1782" s="5"/>
      <c r="F1782" s="4"/>
      <c r="G1782" s="6">
        <f>IF(A1782="","",SUBSTITUTE(SUBSTITUTE(SUBSTITUTE(SUBSTITUTE(SUBSTITUTE(SUBSTITUTE(SUBSTITUTE(TRIM(A1782),".",""),"/",""),"-","")," ",""),"(",""),")",""),"+",""))</f>
      </c>
      <c r="H1782" s="6">
        <f>IF(G1782="","",IF(LEN(G1782)&lt;&gt;14,"ERRO: "&amp;LEN(G1782)&amp;" dígitos",IF(NOT(ISNUMBER(VALUE(G1782))),"ERRO: não numérico",IF(AND(VALUE(MID(G1782,13,1))=IF(MOD(SUMPRODUCT(--MID(G1782,{1,2,3,4,5,6,7,8,9,10,11,12},1),{5,4,3,2,9,8,7,6,5,4,3,2}),11)&lt;2,0,11-MOD(SUMPRODUCT(--MID(G1782,{1,2,3,4,5,6,7,8,9,10,11,12},1),{5,4,3,2,9,8,7,6,5,4,3,2}),11)),VALUE(MID(G1782,14,1))=IF(MOD(SUMPRODUCT(--MID(G1782,{1,2,3,4,5,6,7,8,9,10,11,12,13},1),{6,5,4,3,2,9,8,7,6,5,4,3,2}),11)&lt;2,0,11-MOD(SUMPRODUCT(--MID(G1782,{1,2,3,4,5,6,7,8,9,10,11,12,13},1),{6,5,4,3,2,9,8,7,6,5,4,3,2}),11))),"OK","AVISO: dígito verificador (conferir na org)"))))</f>
      </c>
      <c r="I1782" s="6">
        <f>IF(G1782="","",IF(COUNTIF($G$2:$G$2001,G1782)&gt;1,"DUPLICADO","OK"))</f>
      </c>
      <c r="J1782" s="6">
        <f>IF(COUNTA(A1782:F1782)=0,"",IF(AND(A1782&lt;&gt;"",E1782&lt;&gt;""),"OK","ERRO: faltam "&amp;IF(A1782="","CNPJ; ","")&amp;IF(E1782="","Novo gerente; ","")))</f>
      </c>
      <c r="K1782" s="6">
        <f>IF(COUNTA(A1782:F1782)=0,"",IF(AND(LEFT(H1782,4)&lt;&gt;"ERRO",I1782="OK",J1782="OK"),"OK","REVISAR"))</f>
      </c>
    </row>
    <row r="1783">
      <c r="A1783" s="5"/>
      <c r="B1783" s="4"/>
      <c r="C1783" s="4"/>
      <c r="D1783" s="4"/>
      <c r="E1783" s="5"/>
      <c r="F1783" s="4"/>
      <c r="G1783" s="6">
        <f>IF(A1783="","",SUBSTITUTE(SUBSTITUTE(SUBSTITUTE(SUBSTITUTE(SUBSTITUTE(SUBSTITUTE(SUBSTITUTE(TRIM(A1783),".",""),"/",""),"-","")," ",""),"(",""),")",""),"+",""))</f>
      </c>
      <c r="H1783" s="6">
        <f>IF(G1783="","",IF(LEN(G1783)&lt;&gt;14,"ERRO: "&amp;LEN(G1783)&amp;" dígitos",IF(NOT(ISNUMBER(VALUE(G1783))),"ERRO: não numérico",IF(AND(VALUE(MID(G1783,13,1))=IF(MOD(SUMPRODUCT(--MID(G1783,{1,2,3,4,5,6,7,8,9,10,11,12},1),{5,4,3,2,9,8,7,6,5,4,3,2}),11)&lt;2,0,11-MOD(SUMPRODUCT(--MID(G1783,{1,2,3,4,5,6,7,8,9,10,11,12},1),{5,4,3,2,9,8,7,6,5,4,3,2}),11)),VALUE(MID(G1783,14,1))=IF(MOD(SUMPRODUCT(--MID(G1783,{1,2,3,4,5,6,7,8,9,10,11,12,13},1),{6,5,4,3,2,9,8,7,6,5,4,3,2}),11)&lt;2,0,11-MOD(SUMPRODUCT(--MID(G1783,{1,2,3,4,5,6,7,8,9,10,11,12,13},1),{6,5,4,3,2,9,8,7,6,5,4,3,2}),11))),"OK","AVISO: dígito verificador (conferir na org)"))))</f>
      </c>
      <c r="I1783" s="6">
        <f>IF(G1783="","",IF(COUNTIF($G$2:$G$2001,G1783)&gt;1,"DUPLICADO","OK"))</f>
      </c>
      <c r="J1783" s="6">
        <f>IF(COUNTA(A1783:F1783)=0,"",IF(AND(A1783&lt;&gt;"",E1783&lt;&gt;""),"OK","ERRO: faltam "&amp;IF(A1783="","CNPJ; ","")&amp;IF(E1783="","Novo gerente; ","")))</f>
      </c>
      <c r="K1783" s="6">
        <f>IF(COUNTA(A1783:F1783)=0,"",IF(AND(LEFT(H1783,4)&lt;&gt;"ERRO",I1783="OK",J1783="OK"),"OK","REVISAR"))</f>
      </c>
    </row>
    <row r="1784">
      <c r="A1784" s="5"/>
      <c r="B1784" s="4"/>
      <c r="C1784" s="4"/>
      <c r="D1784" s="4"/>
      <c r="E1784" s="5"/>
      <c r="F1784" s="4"/>
      <c r="G1784" s="6">
        <f>IF(A1784="","",SUBSTITUTE(SUBSTITUTE(SUBSTITUTE(SUBSTITUTE(SUBSTITUTE(SUBSTITUTE(SUBSTITUTE(TRIM(A1784),".",""),"/",""),"-","")," ",""),"(",""),")",""),"+",""))</f>
      </c>
      <c r="H1784" s="6">
        <f>IF(G1784="","",IF(LEN(G1784)&lt;&gt;14,"ERRO: "&amp;LEN(G1784)&amp;" dígitos",IF(NOT(ISNUMBER(VALUE(G1784))),"ERRO: não numérico",IF(AND(VALUE(MID(G1784,13,1))=IF(MOD(SUMPRODUCT(--MID(G1784,{1,2,3,4,5,6,7,8,9,10,11,12},1),{5,4,3,2,9,8,7,6,5,4,3,2}),11)&lt;2,0,11-MOD(SUMPRODUCT(--MID(G1784,{1,2,3,4,5,6,7,8,9,10,11,12},1),{5,4,3,2,9,8,7,6,5,4,3,2}),11)),VALUE(MID(G1784,14,1))=IF(MOD(SUMPRODUCT(--MID(G1784,{1,2,3,4,5,6,7,8,9,10,11,12,13},1),{6,5,4,3,2,9,8,7,6,5,4,3,2}),11)&lt;2,0,11-MOD(SUMPRODUCT(--MID(G1784,{1,2,3,4,5,6,7,8,9,10,11,12,13},1),{6,5,4,3,2,9,8,7,6,5,4,3,2}),11))),"OK","AVISO: dígito verificador (conferir na org)"))))</f>
      </c>
      <c r="I1784" s="6">
        <f>IF(G1784="","",IF(COUNTIF($G$2:$G$2001,G1784)&gt;1,"DUPLICADO","OK"))</f>
      </c>
      <c r="J1784" s="6">
        <f>IF(COUNTA(A1784:F1784)=0,"",IF(AND(A1784&lt;&gt;"",E1784&lt;&gt;""),"OK","ERRO: faltam "&amp;IF(A1784="","CNPJ; ","")&amp;IF(E1784="","Novo gerente; ","")))</f>
      </c>
      <c r="K1784" s="6">
        <f>IF(COUNTA(A1784:F1784)=0,"",IF(AND(LEFT(H1784,4)&lt;&gt;"ERRO",I1784="OK",J1784="OK"),"OK","REVISAR"))</f>
      </c>
    </row>
    <row r="1785">
      <c r="A1785" s="5"/>
      <c r="B1785" s="4"/>
      <c r="C1785" s="4"/>
      <c r="D1785" s="4"/>
      <c r="E1785" s="5"/>
      <c r="F1785" s="4"/>
      <c r="G1785" s="6">
        <f>IF(A1785="","",SUBSTITUTE(SUBSTITUTE(SUBSTITUTE(SUBSTITUTE(SUBSTITUTE(SUBSTITUTE(SUBSTITUTE(TRIM(A1785),".",""),"/",""),"-","")," ",""),"(",""),")",""),"+",""))</f>
      </c>
      <c r="H1785" s="6">
        <f>IF(G1785="","",IF(LEN(G1785)&lt;&gt;14,"ERRO: "&amp;LEN(G1785)&amp;" dígitos",IF(NOT(ISNUMBER(VALUE(G1785))),"ERRO: não numérico",IF(AND(VALUE(MID(G1785,13,1))=IF(MOD(SUMPRODUCT(--MID(G1785,{1,2,3,4,5,6,7,8,9,10,11,12},1),{5,4,3,2,9,8,7,6,5,4,3,2}),11)&lt;2,0,11-MOD(SUMPRODUCT(--MID(G1785,{1,2,3,4,5,6,7,8,9,10,11,12},1),{5,4,3,2,9,8,7,6,5,4,3,2}),11)),VALUE(MID(G1785,14,1))=IF(MOD(SUMPRODUCT(--MID(G1785,{1,2,3,4,5,6,7,8,9,10,11,12,13},1),{6,5,4,3,2,9,8,7,6,5,4,3,2}),11)&lt;2,0,11-MOD(SUMPRODUCT(--MID(G1785,{1,2,3,4,5,6,7,8,9,10,11,12,13},1),{6,5,4,3,2,9,8,7,6,5,4,3,2}),11))),"OK","AVISO: dígito verificador (conferir na org)"))))</f>
      </c>
      <c r="I1785" s="6">
        <f>IF(G1785="","",IF(COUNTIF($G$2:$G$2001,G1785)&gt;1,"DUPLICADO","OK"))</f>
      </c>
      <c r="J1785" s="6">
        <f>IF(COUNTA(A1785:F1785)=0,"",IF(AND(A1785&lt;&gt;"",E1785&lt;&gt;""),"OK","ERRO: faltam "&amp;IF(A1785="","CNPJ; ","")&amp;IF(E1785="","Novo gerente; ","")))</f>
      </c>
      <c r="K1785" s="6">
        <f>IF(COUNTA(A1785:F1785)=0,"",IF(AND(LEFT(H1785,4)&lt;&gt;"ERRO",I1785="OK",J1785="OK"),"OK","REVISAR"))</f>
      </c>
    </row>
    <row r="1786">
      <c r="A1786" s="5"/>
      <c r="B1786" s="4"/>
      <c r="C1786" s="4"/>
      <c r="D1786" s="4"/>
      <c r="E1786" s="5"/>
      <c r="F1786" s="4"/>
      <c r="G1786" s="6">
        <f>IF(A1786="","",SUBSTITUTE(SUBSTITUTE(SUBSTITUTE(SUBSTITUTE(SUBSTITUTE(SUBSTITUTE(SUBSTITUTE(TRIM(A1786),".",""),"/",""),"-","")," ",""),"(",""),")",""),"+",""))</f>
      </c>
      <c r="H1786" s="6">
        <f>IF(G1786="","",IF(LEN(G1786)&lt;&gt;14,"ERRO: "&amp;LEN(G1786)&amp;" dígitos",IF(NOT(ISNUMBER(VALUE(G1786))),"ERRO: não numérico",IF(AND(VALUE(MID(G1786,13,1))=IF(MOD(SUMPRODUCT(--MID(G1786,{1,2,3,4,5,6,7,8,9,10,11,12},1),{5,4,3,2,9,8,7,6,5,4,3,2}),11)&lt;2,0,11-MOD(SUMPRODUCT(--MID(G1786,{1,2,3,4,5,6,7,8,9,10,11,12},1),{5,4,3,2,9,8,7,6,5,4,3,2}),11)),VALUE(MID(G1786,14,1))=IF(MOD(SUMPRODUCT(--MID(G1786,{1,2,3,4,5,6,7,8,9,10,11,12,13},1),{6,5,4,3,2,9,8,7,6,5,4,3,2}),11)&lt;2,0,11-MOD(SUMPRODUCT(--MID(G1786,{1,2,3,4,5,6,7,8,9,10,11,12,13},1),{6,5,4,3,2,9,8,7,6,5,4,3,2}),11))),"OK","AVISO: dígito verificador (conferir na org)"))))</f>
      </c>
      <c r="I1786" s="6">
        <f>IF(G1786="","",IF(COUNTIF($G$2:$G$2001,G1786)&gt;1,"DUPLICADO","OK"))</f>
      </c>
      <c r="J1786" s="6">
        <f>IF(COUNTA(A1786:F1786)=0,"",IF(AND(A1786&lt;&gt;"",E1786&lt;&gt;""),"OK","ERRO: faltam "&amp;IF(A1786="","CNPJ; ","")&amp;IF(E1786="","Novo gerente; ","")))</f>
      </c>
      <c r="K1786" s="6">
        <f>IF(COUNTA(A1786:F1786)=0,"",IF(AND(LEFT(H1786,4)&lt;&gt;"ERRO",I1786="OK",J1786="OK"),"OK","REVISAR"))</f>
      </c>
    </row>
    <row r="1787">
      <c r="A1787" s="5"/>
      <c r="B1787" s="4"/>
      <c r="C1787" s="4"/>
      <c r="D1787" s="4"/>
      <c r="E1787" s="5"/>
      <c r="F1787" s="4"/>
      <c r="G1787" s="6">
        <f>IF(A1787="","",SUBSTITUTE(SUBSTITUTE(SUBSTITUTE(SUBSTITUTE(SUBSTITUTE(SUBSTITUTE(SUBSTITUTE(TRIM(A1787),".",""),"/",""),"-","")," ",""),"(",""),")",""),"+",""))</f>
      </c>
      <c r="H1787" s="6">
        <f>IF(G1787="","",IF(LEN(G1787)&lt;&gt;14,"ERRO: "&amp;LEN(G1787)&amp;" dígitos",IF(NOT(ISNUMBER(VALUE(G1787))),"ERRO: não numérico",IF(AND(VALUE(MID(G1787,13,1))=IF(MOD(SUMPRODUCT(--MID(G1787,{1,2,3,4,5,6,7,8,9,10,11,12},1),{5,4,3,2,9,8,7,6,5,4,3,2}),11)&lt;2,0,11-MOD(SUMPRODUCT(--MID(G1787,{1,2,3,4,5,6,7,8,9,10,11,12},1),{5,4,3,2,9,8,7,6,5,4,3,2}),11)),VALUE(MID(G1787,14,1))=IF(MOD(SUMPRODUCT(--MID(G1787,{1,2,3,4,5,6,7,8,9,10,11,12,13},1),{6,5,4,3,2,9,8,7,6,5,4,3,2}),11)&lt;2,0,11-MOD(SUMPRODUCT(--MID(G1787,{1,2,3,4,5,6,7,8,9,10,11,12,13},1),{6,5,4,3,2,9,8,7,6,5,4,3,2}),11))),"OK","AVISO: dígito verificador (conferir na org)"))))</f>
      </c>
      <c r="I1787" s="6">
        <f>IF(G1787="","",IF(COUNTIF($G$2:$G$2001,G1787)&gt;1,"DUPLICADO","OK"))</f>
      </c>
      <c r="J1787" s="6">
        <f>IF(COUNTA(A1787:F1787)=0,"",IF(AND(A1787&lt;&gt;"",E1787&lt;&gt;""),"OK","ERRO: faltam "&amp;IF(A1787="","CNPJ; ","")&amp;IF(E1787="","Novo gerente; ","")))</f>
      </c>
      <c r="K1787" s="6">
        <f>IF(COUNTA(A1787:F1787)=0,"",IF(AND(LEFT(H1787,4)&lt;&gt;"ERRO",I1787="OK",J1787="OK"),"OK","REVISAR"))</f>
      </c>
    </row>
    <row r="1788">
      <c r="A1788" s="5"/>
      <c r="B1788" s="4"/>
      <c r="C1788" s="4"/>
      <c r="D1788" s="4"/>
      <c r="E1788" s="5"/>
      <c r="F1788" s="4"/>
      <c r="G1788" s="6">
        <f>IF(A1788="","",SUBSTITUTE(SUBSTITUTE(SUBSTITUTE(SUBSTITUTE(SUBSTITUTE(SUBSTITUTE(SUBSTITUTE(TRIM(A1788),".",""),"/",""),"-","")," ",""),"(",""),")",""),"+",""))</f>
      </c>
      <c r="H1788" s="6">
        <f>IF(G1788="","",IF(LEN(G1788)&lt;&gt;14,"ERRO: "&amp;LEN(G1788)&amp;" dígitos",IF(NOT(ISNUMBER(VALUE(G1788))),"ERRO: não numérico",IF(AND(VALUE(MID(G1788,13,1))=IF(MOD(SUMPRODUCT(--MID(G1788,{1,2,3,4,5,6,7,8,9,10,11,12},1),{5,4,3,2,9,8,7,6,5,4,3,2}),11)&lt;2,0,11-MOD(SUMPRODUCT(--MID(G1788,{1,2,3,4,5,6,7,8,9,10,11,12},1),{5,4,3,2,9,8,7,6,5,4,3,2}),11)),VALUE(MID(G1788,14,1))=IF(MOD(SUMPRODUCT(--MID(G1788,{1,2,3,4,5,6,7,8,9,10,11,12,13},1),{6,5,4,3,2,9,8,7,6,5,4,3,2}),11)&lt;2,0,11-MOD(SUMPRODUCT(--MID(G1788,{1,2,3,4,5,6,7,8,9,10,11,12,13},1),{6,5,4,3,2,9,8,7,6,5,4,3,2}),11))),"OK","AVISO: dígito verificador (conferir na org)"))))</f>
      </c>
      <c r="I1788" s="6">
        <f>IF(G1788="","",IF(COUNTIF($G$2:$G$2001,G1788)&gt;1,"DUPLICADO","OK"))</f>
      </c>
      <c r="J1788" s="6">
        <f>IF(COUNTA(A1788:F1788)=0,"",IF(AND(A1788&lt;&gt;"",E1788&lt;&gt;""),"OK","ERRO: faltam "&amp;IF(A1788="","CNPJ; ","")&amp;IF(E1788="","Novo gerente; ","")))</f>
      </c>
      <c r="K1788" s="6">
        <f>IF(COUNTA(A1788:F1788)=0,"",IF(AND(LEFT(H1788,4)&lt;&gt;"ERRO",I1788="OK",J1788="OK"),"OK","REVISAR"))</f>
      </c>
    </row>
    <row r="1789">
      <c r="A1789" s="5"/>
      <c r="B1789" s="4"/>
      <c r="C1789" s="4"/>
      <c r="D1789" s="4"/>
      <c r="E1789" s="5"/>
      <c r="F1789" s="4"/>
      <c r="G1789" s="6">
        <f>IF(A1789="","",SUBSTITUTE(SUBSTITUTE(SUBSTITUTE(SUBSTITUTE(SUBSTITUTE(SUBSTITUTE(SUBSTITUTE(TRIM(A1789),".",""),"/",""),"-","")," ",""),"(",""),")",""),"+",""))</f>
      </c>
      <c r="H1789" s="6">
        <f>IF(G1789="","",IF(LEN(G1789)&lt;&gt;14,"ERRO: "&amp;LEN(G1789)&amp;" dígitos",IF(NOT(ISNUMBER(VALUE(G1789))),"ERRO: não numérico",IF(AND(VALUE(MID(G1789,13,1))=IF(MOD(SUMPRODUCT(--MID(G1789,{1,2,3,4,5,6,7,8,9,10,11,12},1),{5,4,3,2,9,8,7,6,5,4,3,2}),11)&lt;2,0,11-MOD(SUMPRODUCT(--MID(G1789,{1,2,3,4,5,6,7,8,9,10,11,12},1),{5,4,3,2,9,8,7,6,5,4,3,2}),11)),VALUE(MID(G1789,14,1))=IF(MOD(SUMPRODUCT(--MID(G1789,{1,2,3,4,5,6,7,8,9,10,11,12,13},1),{6,5,4,3,2,9,8,7,6,5,4,3,2}),11)&lt;2,0,11-MOD(SUMPRODUCT(--MID(G1789,{1,2,3,4,5,6,7,8,9,10,11,12,13},1),{6,5,4,3,2,9,8,7,6,5,4,3,2}),11))),"OK","AVISO: dígito verificador (conferir na org)"))))</f>
      </c>
      <c r="I1789" s="6">
        <f>IF(G1789="","",IF(COUNTIF($G$2:$G$2001,G1789)&gt;1,"DUPLICADO","OK"))</f>
      </c>
      <c r="J1789" s="6">
        <f>IF(COUNTA(A1789:F1789)=0,"",IF(AND(A1789&lt;&gt;"",E1789&lt;&gt;""),"OK","ERRO: faltam "&amp;IF(A1789="","CNPJ; ","")&amp;IF(E1789="","Novo gerente; ","")))</f>
      </c>
      <c r="K1789" s="6">
        <f>IF(COUNTA(A1789:F1789)=0,"",IF(AND(LEFT(H1789,4)&lt;&gt;"ERRO",I1789="OK",J1789="OK"),"OK","REVISAR"))</f>
      </c>
    </row>
    <row r="1790">
      <c r="A1790" s="5"/>
      <c r="B1790" s="4"/>
      <c r="C1790" s="4"/>
      <c r="D1790" s="4"/>
      <c r="E1790" s="5"/>
      <c r="F1790" s="4"/>
      <c r="G1790" s="6">
        <f>IF(A1790="","",SUBSTITUTE(SUBSTITUTE(SUBSTITUTE(SUBSTITUTE(SUBSTITUTE(SUBSTITUTE(SUBSTITUTE(TRIM(A1790),".",""),"/",""),"-","")," ",""),"(",""),")",""),"+",""))</f>
      </c>
      <c r="H1790" s="6">
        <f>IF(G1790="","",IF(LEN(G1790)&lt;&gt;14,"ERRO: "&amp;LEN(G1790)&amp;" dígitos",IF(NOT(ISNUMBER(VALUE(G1790))),"ERRO: não numérico",IF(AND(VALUE(MID(G1790,13,1))=IF(MOD(SUMPRODUCT(--MID(G1790,{1,2,3,4,5,6,7,8,9,10,11,12},1),{5,4,3,2,9,8,7,6,5,4,3,2}),11)&lt;2,0,11-MOD(SUMPRODUCT(--MID(G1790,{1,2,3,4,5,6,7,8,9,10,11,12},1),{5,4,3,2,9,8,7,6,5,4,3,2}),11)),VALUE(MID(G1790,14,1))=IF(MOD(SUMPRODUCT(--MID(G1790,{1,2,3,4,5,6,7,8,9,10,11,12,13},1),{6,5,4,3,2,9,8,7,6,5,4,3,2}),11)&lt;2,0,11-MOD(SUMPRODUCT(--MID(G1790,{1,2,3,4,5,6,7,8,9,10,11,12,13},1),{6,5,4,3,2,9,8,7,6,5,4,3,2}),11))),"OK","AVISO: dígito verificador (conferir na org)"))))</f>
      </c>
      <c r="I1790" s="6">
        <f>IF(G1790="","",IF(COUNTIF($G$2:$G$2001,G1790)&gt;1,"DUPLICADO","OK"))</f>
      </c>
      <c r="J1790" s="6">
        <f>IF(COUNTA(A1790:F1790)=0,"",IF(AND(A1790&lt;&gt;"",E1790&lt;&gt;""),"OK","ERRO: faltam "&amp;IF(A1790="","CNPJ; ","")&amp;IF(E1790="","Novo gerente; ","")))</f>
      </c>
      <c r="K1790" s="6">
        <f>IF(COUNTA(A1790:F1790)=0,"",IF(AND(LEFT(H1790,4)&lt;&gt;"ERRO",I1790="OK",J1790="OK"),"OK","REVISAR"))</f>
      </c>
    </row>
    <row r="1791">
      <c r="A1791" s="5"/>
      <c r="B1791" s="4"/>
      <c r="C1791" s="4"/>
      <c r="D1791" s="4"/>
      <c r="E1791" s="5"/>
      <c r="F1791" s="4"/>
      <c r="G1791" s="6">
        <f>IF(A1791="","",SUBSTITUTE(SUBSTITUTE(SUBSTITUTE(SUBSTITUTE(SUBSTITUTE(SUBSTITUTE(SUBSTITUTE(TRIM(A1791),".",""),"/",""),"-","")," ",""),"(",""),")",""),"+",""))</f>
      </c>
      <c r="H1791" s="6">
        <f>IF(G1791="","",IF(LEN(G1791)&lt;&gt;14,"ERRO: "&amp;LEN(G1791)&amp;" dígitos",IF(NOT(ISNUMBER(VALUE(G1791))),"ERRO: não numérico",IF(AND(VALUE(MID(G1791,13,1))=IF(MOD(SUMPRODUCT(--MID(G1791,{1,2,3,4,5,6,7,8,9,10,11,12},1),{5,4,3,2,9,8,7,6,5,4,3,2}),11)&lt;2,0,11-MOD(SUMPRODUCT(--MID(G1791,{1,2,3,4,5,6,7,8,9,10,11,12},1),{5,4,3,2,9,8,7,6,5,4,3,2}),11)),VALUE(MID(G1791,14,1))=IF(MOD(SUMPRODUCT(--MID(G1791,{1,2,3,4,5,6,7,8,9,10,11,12,13},1),{6,5,4,3,2,9,8,7,6,5,4,3,2}),11)&lt;2,0,11-MOD(SUMPRODUCT(--MID(G1791,{1,2,3,4,5,6,7,8,9,10,11,12,13},1),{6,5,4,3,2,9,8,7,6,5,4,3,2}),11))),"OK","AVISO: dígito verificador (conferir na org)"))))</f>
      </c>
      <c r="I1791" s="6">
        <f>IF(G1791="","",IF(COUNTIF($G$2:$G$2001,G1791)&gt;1,"DUPLICADO","OK"))</f>
      </c>
      <c r="J1791" s="6">
        <f>IF(COUNTA(A1791:F1791)=0,"",IF(AND(A1791&lt;&gt;"",E1791&lt;&gt;""),"OK","ERRO: faltam "&amp;IF(A1791="","CNPJ; ","")&amp;IF(E1791="","Novo gerente; ","")))</f>
      </c>
      <c r="K1791" s="6">
        <f>IF(COUNTA(A1791:F1791)=0,"",IF(AND(LEFT(H1791,4)&lt;&gt;"ERRO",I1791="OK",J1791="OK"),"OK","REVISAR"))</f>
      </c>
    </row>
    <row r="1792">
      <c r="A1792" s="5"/>
      <c r="B1792" s="4"/>
      <c r="C1792" s="4"/>
      <c r="D1792" s="4"/>
      <c r="E1792" s="5"/>
      <c r="F1792" s="4"/>
      <c r="G1792" s="6">
        <f>IF(A1792="","",SUBSTITUTE(SUBSTITUTE(SUBSTITUTE(SUBSTITUTE(SUBSTITUTE(SUBSTITUTE(SUBSTITUTE(TRIM(A1792),".",""),"/",""),"-","")," ",""),"(",""),")",""),"+",""))</f>
      </c>
      <c r="H1792" s="6">
        <f>IF(G1792="","",IF(LEN(G1792)&lt;&gt;14,"ERRO: "&amp;LEN(G1792)&amp;" dígitos",IF(NOT(ISNUMBER(VALUE(G1792))),"ERRO: não numérico",IF(AND(VALUE(MID(G1792,13,1))=IF(MOD(SUMPRODUCT(--MID(G1792,{1,2,3,4,5,6,7,8,9,10,11,12},1),{5,4,3,2,9,8,7,6,5,4,3,2}),11)&lt;2,0,11-MOD(SUMPRODUCT(--MID(G1792,{1,2,3,4,5,6,7,8,9,10,11,12},1),{5,4,3,2,9,8,7,6,5,4,3,2}),11)),VALUE(MID(G1792,14,1))=IF(MOD(SUMPRODUCT(--MID(G1792,{1,2,3,4,5,6,7,8,9,10,11,12,13},1),{6,5,4,3,2,9,8,7,6,5,4,3,2}),11)&lt;2,0,11-MOD(SUMPRODUCT(--MID(G1792,{1,2,3,4,5,6,7,8,9,10,11,12,13},1),{6,5,4,3,2,9,8,7,6,5,4,3,2}),11))),"OK","AVISO: dígito verificador (conferir na org)"))))</f>
      </c>
      <c r="I1792" s="6">
        <f>IF(G1792="","",IF(COUNTIF($G$2:$G$2001,G1792)&gt;1,"DUPLICADO","OK"))</f>
      </c>
      <c r="J1792" s="6">
        <f>IF(COUNTA(A1792:F1792)=0,"",IF(AND(A1792&lt;&gt;"",E1792&lt;&gt;""),"OK","ERRO: faltam "&amp;IF(A1792="","CNPJ; ","")&amp;IF(E1792="","Novo gerente; ","")))</f>
      </c>
      <c r="K1792" s="6">
        <f>IF(COUNTA(A1792:F1792)=0,"",IF(AND(LEFT(H1792,4)&lt;&gt;"ERRO",I1792="OK",J1792="OK"),"OK","REVISAR"))</f>
      </c>
    </row>
    <row r="1793">
      <c r="A1793" s="5"/>
      <c r="B1793" s="4"/>
      <c r="C1793" s="4"/>
      <c r="D1793" s="4"/>
      <c r="E1793" s="5"/>
      <c r="F1793" s="4"/>
      <c r="G1793" s="6">
        <f>IF(A1793="","",SUBSTITUTE(SUBSTITUTE(SUBSTITUTE(SUBSTITUTE(SUBSTITUTE(SUBSTITUTE(SUBSTITUTE(TRIM(A1793),".",""),"/",""),"-","")," ",""),"(",""),")",""),"+",""))</f>
      </c>
      <c r="H1793" s="6">
        <f>IF(G1793="","",IF(LEN(G1793)&lt;&gt;14,"ERRO: "&amp;LEN(G1793)&amp;" dígitos",IF(NOT(ISNUMBER(VALUE(G1793))),"ERRO: não numérico",IF(AND(VALUE(MID(G1793,13,1))=IF(MOD(SUMPRODUCT(--MID(G1793,{1,2,3,4,5,6,7,8,9,10,11,12},1),{5,4,3,2,9,8,7,6,5,4,3,2}),11)&lt;2,0,11-MOD(SUMPRODUCT(--MID(G1793,{1,2,3,4,5,6,7,8,9,10,11,12},1),{5,4,3,2,9,8,7,6,5,4,3,2}),11)),VALUE(MID(G1793,14,1))=IF(MOD(SUMPRODUCT(--MID(G1793,{1,2,3,4,5,6,7,8,9,10,11,12,13},1),{6,5,4,3,2,9,8,7,6,5,4,3,2}),11)&lt;2,0,11-MOD(SUMPRODUCT(--MID(G1793,{1,2,3,4,5,6,7,8,9,10,11,12,13},1),{6,5,4,3,2,9,8,7,6,5,4,3,2}),11))),"OK","AVISO: dígito verificador (conferir na org)"))))</f>
      </c>
      <c r="I1793" s="6">
        <f>IF(G1793="","",IF(COUNTIF($G$2:$G$2001,G1793)&gt;1,"DUPLICADO","OK"))</f>
      </c>
      <c r="J1793" s="6">
        <f>IF(COUNTA(A1793:F1793)=0,"",IF(AND(A1793&lt;&gt;"",E1793&lt;&gt;""),"OK","ERRO: faltam "&amp;IF(A1793="","CNPJ; ","")&amp;IF(E1793="","Novo gerente; ","")))</f>
      </c>
      <c r="K1793" s="6">
        <f>IF(COUNTA(A1793:F1793)=0,"",IF(AND(LEFT(H1793,4)&lt;&gt;"ERRO",I1793="OK",J1793="OK"),"OK","REVISAR"))</f>
      </c>
    </row>
    <row r="1794">
      <c r="A1794" s="5"/>
      <c r="B1794" s="4"/>
      <c r="C1794" s="4"/>
      <c r="D1794" s="4"/>
      <c r="E1794" s="5"/>
      <c r="F1794" s="4"/>
      <c r="G1794" s="6">
        <f>IF(A1794="","",SUBSTITUTE(SUBSTITUTE(SUBSTITUTE(SUBSTITUTE(SUBSTITUTE(SUBSTITUTE(SUBSTITUTE(TRIM(A1794),".",""),"/",""),"-","")," ",""),"(",""),")",""),"+",""))</f>
      </c>
      <c r="H1794" s="6">
        <f>IF(G1794="","",IF(LEN(G1794)&lt;&gt;14,"ERRO: "&amp;LEN(G1794)&amp;" dígitos",IF(NOT(ISNUMBER(VALUE(G1794))),"ERRO: não numérico",IF(AND(VALUE(MID(G1794,13,1))=IF(MOD(SUMPRODUCT(--MID(G1794,{1,2,3,4,5,6,7,8,9,10,11,12},1),{5,4,3,2,9,8,7,6,5,4,3,2}),11)&lt;2,0,11-MOD(SUMPRODUCT(--MID(G1794,{1,2,3,4,5,6,7,8,9,10,11,12},1),{5,4,3,2,9,8,7,6,5,4,3,2}),11)),VALUE(MID(G1794,14,1))=IF(MOD(SUMPRODUCT(--MID(G1794,{1,2,3,4,5,6,7,8,9,10,11,12,13},1),{6,5,4,3,2,9,8,7,6,5,4,3,2}),11)&lt;2,0,11-MOD(SUMPRODUCT(--MID(G1794,{1,2,3,4,5,6,7,8,9,10,11,12,13},1),{6,5,4,3,2,9,8,7,6,5,4,3,2}),11))),"OK","AVISO: dígito verificador (conferir na org)"))))</f>
      </c>
      <c r="I1794" s="6">
        <f>IF(G1794="","",IF(COUNTIF($G$2:$G$2001,G1794)&gt;1,"DUPLICADO","OK"))</f>
      </c>
      <c r="J1794" s="6">
        <f>IF(COUNTA(A1794:F1794)=0,"",IF(AND(A1794&lt;&gt;"",E1794&lt;&gt;""),"OK","ERRO: faltam "&amp;IF(A1794="","CNPJ; ","")&amp;IF(E1794="","Novo gerente; ","")))</f>
      </c>
      <c r="K1794" s="6">
        <f>IF(COUNTA(A1794:F1794)=0,"",IF(AND(LEFT(H1794,4)&lt;&gt;"ERRO",I1794="OK",J1794="OK"),"OK","REVISAR"))</f>
      </c>
    </row>
    <row r="1795">
      <c r="A1795" s="5"/>
      <c r="B1795" s="4"/>
      <c r="C1795" s="4"/>
      <c r="D1795" s="4"/>
      <c r="E1795" s="5"/>
      <c r="F1795" s="4"/>
      <c r="G1795" s="6">
        <f>IF(A1795="","",SUBSTITUTE(SUBSTITUTE(SUBSTITUTE(SUBSTITUTE(SUBSTITUTE(SUBSTITUTE(SUBSTITUTE(TRIM(A1795),".",""),"/",""),"-","")," ",""),"(",""),")",""),"+",""))</f>
      </c>
      <c r="H1795" s="6">
        <f>IF(G1795="","",IF(LEN(G1795)&lt;&gt;14,"ERRO: "&amp;LEN(G1795)&amp;" dígitos",IF(NOT(ISNUMBER(VALUE(G1795))),"ERRO: não numérico",IF(AND(VALUE(MID(G1795,13,1))=IF(MOD(SUMPRODUCT(--MID(G1795,{1,2,3,4,5,6,7,8,9,10,11,12},1),{5,4,3,2,9,8,7,6,5,4,3,2}),11)&lt;2,0,11-MOD(SUMPRODUCT(--MID(G1795,{1,2,3,4,5,6,7,8,9,10,11,12},1),{5,4,3,2,9,8,7,6,5,4,3,2}),11)),VALUE(MID(G1795,14,1))=IF(MOD(SUMPRODUCT(--MID(G1795,{1,2,3,4,5,6,7,8,9,10,11,12,13},1),{6,5,4,3,2,9,8,7,6,5,4,3,2}),11)&lt;2,0,11-MOD(SUMPRODUCT(--MID(G1795,{1,2,3,4,5,6,7,8,9,10,11,12,13},1),{6,5,4,3,2,9,8,7,6,5,4,3,2}),11))),"OK","AVISO: dígito verificador (conferir na org)"))))</f>
      </c>
      <c r="I1795" s="6">
        <f>IF(G1795="","",IF(COUNTIF($G$2:$G$2001,G1795)&gt;1,"DUPLICADO","OK"))</f>
      </c>
      <c r="J1795" s="6">
        <f>IF(COUNTA(A1795:F1795)=0,"",IF(AND(A1795&lt;&gt;"",E1795&lt;&gt;""),"OK","ERRO: faltam "&amp;IF(A1795="","CNPJ; ","")&amp;IF(E1795="","Novo gerente; ","")))</f>
      </c>
      <c r="K1795" s="6">
        <f>IF(COUNTA(A1795:F1795)=0,"",IF(AND(LEFT(H1795,4)&lt;&gt;"ERRO",I1795="OK",J1795="OK"),"OK","REVISAR"))</f>
      </c>
    </row>
    <row r="1796">
      <c r="A1796" s="5"/>
      <c r="B1796" s="4"/>
      <c r="C1796" s="4"/>
      <c r="D1796" s="4"/>
      <c r="E1796" s="5"/>
      <c r="F1796" s="4"/>
      <c r="G1796" s="6">
        <f>IF(A1796="","",SUBSTITUTE(SUBSTITUTE(SUBSTITUTE(SUBSTITUTE(SUBSTITUTE(SUBSTITUTE(SUBSTITUTE(TRIM(A1796),".",""),"/",""),"-","")," ",""),"(",""),")",""),"+",""))</f>
      </c>
      <c r="H1796" s="6">
        <f>IF(G1796="","",IF(LEN(G1796)&lt;&gt;14,"ERRO: "&amp;LEN(G1796)&amp;" dígitos",IF(NOT(ISNUMBER(VALUE(G1796))),"ERRO: não numérico",IF(AND(VALUE(MID(G1796,13,1))=IF(MOD(SUMPRODUCT(--MID(G1796,{1,2,3,4,5,6,7,8,9,10,11,12},1),{5,4,3,2,9,8,7,6,5,4,3,2}),11)&lt;2,0,11-MOD(SUMPRODUCT(--MID(G1796,{1,2,3,4,5,6,7,8,9,10,11,12},1),{5,4,3,2,9,8,7,6,5,4,3,2}),11)),VALUE(MID(G1796,14,1))=IF(MOD(SUMPRODUCT(--MID(G1796,{1,2,3,4,5,6,7,8,9,10,11,12,13},1),{6,5,4,3,2,9,8,7,6,5,4,3,2}),11)&lt;2,0,11-MOD(SUMPRODUCT(--MID(G1796,{1,2,3,4,5,6,7,8,9,10,11,12,13},1),{6,5,4,3,2,9,8,7,6,5,4,3,2}),11))),"OK","AVISO: dígito verificador (conferir na org)"))))</f>
      </c>
      <c r="I1796" s="6">
        <f>IF(G1796="","",IF(COUNTIF($G$2:$G$2001,G1796)&gt;1,"DUPLICADO","OK"))</f>
      </c>
      <c r="J1796" s="6">
        <f>IF(COUNTA(A1796:F1796)=0,"",IF(AND(A1796&lt;&gt;"",E1796&lt;&gt;""),"OK","ERRO: faltam "&amp;IF(A1796="","CNPJ; ","")&amp;IF(E1796="","Novo gerente; ","")))</f>
      </c>
      <c r="K1796" s="6">
        <f>IF(COUNTA(A1796:F1796)=0,"",IF(AND(LEFT(H1796,4)&lt;&gt;"ERRO",I1796="OK",J1796="OK"),"OK","REVISAR"))</f>
      </c>
    </row>
    <row r="1797">
      <c r="A1797" s="5"/>
      <c r="B1797" s="4"/>
      <c r="C1797" s="4"/>
      <c r="D1797" s="4"/>
      <c r="E1797" s="5"/>
      <c r="F1797" s="4"/>
      <c r="G1797" s="6">
        <f>IF(A1797="","",SUBSTITUTE(SUBSTITUTE(SUBSTITUTE(SUBSTITUTE(SUBSTITUTE(SUBSTITUTE(SUBSTITUTE(TRIM(A1797),".",""),"/",""),"-","")," ",""),"(",""),")",""),"+",""))</f>
      </c>
      <c r="H1797" s="6">
        <f>IF(G1797="","",IF(LEN(G1797)&lt;&gt;14,"ERRO: "&amp;LEN(G1797)&amp;" dígitos",IF(NOT(ISNUMBER(VALUE(G1797))),"ERRO: não numérico",IF(AND(VALUE(MID(G1797,13,1))=IF(MOD(SUMPRODUCT(--MID(G1797,{1,2,3,4,5,6,7,8,9,10,11,12},1),{5,4,3,2,9,8,7,6,5,4,3,2}),11)&lt;2,0,11-MOD(SUMPRODUCT(--MID(G1797,{1,2,3,4,5,6,7,8,9,10,11,12},1),{5,4,3,2,9,8,7,6,5,4,3,2}),11)),VALUE(MID(G1797,14,1))=IF(MOD(SUMPRODUCT(--MID(G1797,{1,2,3,4,5,6,7,8,9,10,11,12,13},1),{6,5,4,3,2,9,8,7,6,5,4,3,2}),11)&lt;2,0,11-MOD(SUMPRODUCT(--MID(G1797,{1,2,3,4,5,6,7,8,9,10,11,12,13},1),{6,5,4,3,2,9,8,7,6,5,4,3,2}),11))),"OK","AVISO: dígito verificador (conferir na org)"))))</f>
      </c>
      <c r="I1797" s="6">
        <f>IF(G1797="","",IF(COUNTIF($G$2:$G$2001,G1797)&gt;1,"DUPLICADO","OK"))</f>
      </c>
      <c r="J1797" s="6">
        <f>IF(COUNTA(A1797:F1797)=0,"",IF(AND(A1797&lt;&gt;"",E1797&lt;&gt;""),"OK","ERRO: faltam "&amp;IF(A1797="","CNPJ; ","")&amp;IF(E1797="","Novo gerente; ","")))</f>
      </c>
      <c r="K1797" s="6">
        <f>IF(COUNTA(A1797:F1797)=0,"",IF(AND(LEFT(H1797,4)&lt;&gt;"ERRO",I1797="OK",J1797="OK"),"OK","REVISAR"))</f>
      </c>
    </row>
    <row r="1798">
      <c r="A1798" s="5"/>
      <c r="B1798" s="4"/>
      <c r="C1798" s="4"/>
      <c r="D1798" s="4"/>
      <c r="E1798" s="5"/>
      <c r="F1798" s="4"/>
      <c r="G1798" s="6">
        <f>IF(A1798="","",SUBSTITUTE(SUBSTITUTE(SUBSTITUTE(SUBSTITUTE(SUBSTITUTE(SUBSTITUTE(SUBSTITUTE(TRIM(A1798),".",""),"/",""),"-","")," ",""),"(",""),")",""),"+",""))</f>
      </c>
      <c r="H1798" s="6">
        <f>IF(G1798="","",IF(LEN(G1798)&lt;&gt;14,"ERRO: "&amp;LEN(G1798)&amp;" dígitos",IF(NOT(ISNUMBER(VALUE(G1798))),"ERRO: não numérico",IF(AND(VALUE(MID(G1798,13,1))=IF(MOD(SUMPRODUCT(--MID(G1798,{1,2,3,4,5,6,7,8,9,10,11,12},1),{5,4,3,2,9,8,7,6,5,4,3,2}),11)&lt;2,0,11-MOD(SUMPRODUCT(--MID(G1798,{1,2,3,4,5,6,7,8,9,10,11,12},1),{5,4,3,2,9,8,7,6,5,4,3,2}),11)),VALUE(MID(G1798,14,1))=IF(MOD(SUMPRODUCT(--MID(G1798,{1,2,3,4,5,6,7,8,9,10,11,12,13},1),{6,5,4,3,2,9,8,7,6,5,4,3,2}),11)&lt;2,0,11-MOD(SUMPRODUCT(--MID(G1798,{1,2,3,4,5,6,7,8,9,10,11,12,13},1),{6,5,4,3,2,9,8,7,6,5,4,3,2}),11))),"OK","AVISO: dígito verificador (conferir na org)"))))</f>
      </c>
      <c r="I1798" s="6">
        <f>IF(G1798="","",IF(COUNTIF($G$2:$G$2001,G1798)&gt;1,"DUPLICADO","OK"))</f>
      </c>
      <c r="J1798" s="6">
        <f>IF(COUNTA(A1798:F1798)=0,"",IF(AND(A1798&lt;&gt;"",E1798&lt;&gt;""),"OK","ERRO: faltam "&amp;IF(A1798="","CNPJ; ","")&amp;IF(E1798="","Novo gerente; ","")))</f>
      </c>
      <c r="K1798" s="6">
        <f>IF(COUNTA(A1798:F1798)=0,"",IF(AND(LEFT(H1798,4)&lt;&gt;"ERRO",I1798="OK",J1798="OK"),"OK","REVISAR"))</f>
      </c>
    </row>
    <row r="1799">
      <c r="A1799" s="5"/>
      <c r="B1799" s="4"/>
      <c r="C1799" s="4"/>
      <c r="D1799" s="4"/>
      <c r="E1799" s="5"/>
      <c r="F1799" s="4"/>
      <c r="G1799" s="6">
        <f>IF(A1799="","",SUBSTITUTE(SUBSTITUTE(SUBSTITUTE(SUBSTITUTE(SUBSTITUTE(SUBSTITUTE(SUBSTITUTE(TRIM(A1799),".",""),"/",""),"-","")," ",""),"(",""),")",""),"+",""))</f>
      </c>
      <c r="H1799" s="6">
        <f>IF(G1799="","",IF(LEN(G1799)&lt;&gt;14,"ERRO: "&amp;LEN(G1799)&amp;" dígitos",IF(NOT(ISNUMBER(VALUE(G1799))),"ERRO: não numérico",IF(AND(VALUE(MID(G1799,13,1))=IF(MOD(SUMPRODUCT(--MID(G1799,{1,2,3,4,5,6,7,8,9,10,11,12},1),{5,4,3,2,9,8,7,6,5,4,3,2}),11)&lt;2,0,11-MOD(SUMPRODUCT(--MID(G1799,{1,2,3,4,5,6,7,8,9,10,11,12},1),{5,4,3,2,9,8,7,6,5,4,3,2}),11)),VALUE(MID(G1799,14,1))=IF(MOD(SUMPRODUCT(--MID(G1799,{1,2,3,4,5,6,7,8,9,10,11,12,13},1),{6,5,4,3,2,9,8,7,6,5,4,3,2}),11)&lt;2,0,11-MOD(SUMPRODUCT(--MID(G1799,{1,2,3,4,5,6,7,8,9,10,11,12,13},1),{6,5,4,3,2,9,8,7,6,5,4,3,2}),11))),"OK","AVISO: dígito verificador (conferir na org)"))))</f>
      </c>
      <c r="I1799" s="6">
        <f>IF(G1799="","",IF(COUNTIF($G$2:$G$2001,G1799)&gt;1,"DUPLICADO","OK"))</f>
      </c>
      <c r="J1799" s="6">
        <f>IF(COUNTA(A1799:F1799)=0,"",IF(AND(A1799&lt;&gt;"",E1799&lt;&gt;""),"OK","ERRO: faltam "&amp;IF(A1799="","CNPJ; ","")&amp;IF(E1799="","Novo gerente; ","")))</f>
      </c>
      <c r="K1799" s="6">
        <f>IF(COUNTA(A1799:F1799)=0,"",IF(AND(LEFT(H1799,4)&lt;&gt;"ERRO",I1799="OK",J1799="OK"),"OK","REVISAR"))</f>
      </c>
    </row>
    <row r="1800">
      <c r="A1800" s="5"/>
      <c r="B1800" s="4"/>
      <c r="C1800" s="4"/>
      <c r="D1800" s="4"/>
      <c r="E1800" s="5"/>
      <c r="F1800" s="4"/>
      <c r="G1800" s="6">
        <f>IF(A1800="","",SUBSTITUTE(SUBSTITUTE(SUBSTITUTE(SUBSTITUTE(SUBSTITUTE(SUBSTITUTE(SUBSTITUTE(TRIM(A1800),".",""),"/",""),"-","")," ",""),"(",""),")",""),"+",""))</f>
      </c>
      <c r="H1800" s="6">
        <f>IF(G1800="","",IF(LEN(G1800)&lt;&gt;14,"ERRO: "&amp;LEN(G1800)&amp;" dígitos",IF(NOT(ISNUMBER(VALUE(G1800))),"ERRO: não numérico",IF(AND(VALUE(MID(G1800,13,1))=IF(MOD(SUMPRODUCT(--MID(G1800,{1,2,3,4,5,6,7,8,9,10,11,12},1),{5,4,3,2,9,8,7,6,5,4,3,2}),11)&lt;2,0,11-MOD(SUMPRODUCT(--MID(G1800,{1,2,3,4,5,6,7,8,9,10,11,12},1),{5,4,3,2,9,8,7,6,5,4,3,2}),11)),VALUE(MID(G1800,14,1))=IF(MOD(SUMPRODUCT(--MID(G1800,{1,2,3,4,5,6,7,8,9,10,11,12,13},1),{6,5,4,3,2,9,8,7,6,5,4,3,2}),11)&lt;2,0,11-MOD(SUMPRODUCT(--MID(G1800,{1,2,3,4,5,6,7,8,9,10,11,12,13},1),{6,5,4,3,2,9,8,7,6,5,4,3,2}),11))),"OK","AVISO: dígito verificador (conferir na org)"))))</f>
      </c>
      <c r="I1800" s="6">
        <f>IF(G1800="","",IF(COUNTIF($G$2:$G$2001,G1800)&gt;1,"DUPLICADO","OK"))</f>
      </c>
      <c r="J1800" s="6">
        <f>IF(COUNTA(A1800:F1800)=0,"",IF(AND(A1800&lt;&gt;"",E1800&lt;&gt;""),"OK","ERRO: faltam "&amp;IF(A1800="","CNPJ; ","")&amp;IF(E1800="","Novo gerente; ","")))</f>
      </c>
      <c r="K1800" s="6">
        <f>IF(COUNTA(A1800:F1800)=0,"",IF(AND(LEFT(H1800,4)&lt;&gt;"ERRO",I1800="OK",J1800="OK"),"OK","REVISAR"))</f>
      </c>
    </row>
    <row r="1801">
      <c r="A1801" s="5"/>
      <c r="B1801" s="4"/>
      <c r="C1801" s="4"/>
      <c r="D1801" s="4"/>
      <c r="E1801" s="5"/>
      <c r="F1801" s="4"/>
      <c r="G1801" s="6">
        <f>IF(A1801="","",SUBSTITUTE(SUBSTITUTE(SUBSTITUTE(SUBSTITUTE(SUBSTITUTE(SUBSTITUTE(SUBSTITUTE(TRIM(A1801),".",""),"/",""),"-","")," ",""),"(",""),")",""),"+",""))</f>
      </c>
      <c r="H1801" s="6">
        <f>IF(G1801="","",IF(LEN(G1801)&lt;&gt;14,"ERRO: "&amp;LEN(G1801)&amp;" dígitos",IF(NOT(ISNUMBER(VALUE(G1801))),"ERRO: não numérico",IF(AND(VALUE(MID(G1801,13,1))=IF(MOD(SUMPRODUCT(--MID(G1801,{1,2,3,4,5,6,7,8,9,10,11,12},1),{5,4,3,2,9,8,7,6,5,4,3,2}),11)&lt;2,0,11-MOD(SUMPRODUCT(--MID(G1801,{1,2,3,4,5,6,7,8,9,10,11,12},1),{5,4,3,2,9,8,7,6,5,4,3,2}),11)),VALUE(MID(G1801,14,1))=IF(MOD(SUMPRODUCT(--MID(G1801,{1,2,3,4,5,6,7,8,9,10,11,12,13},1),{6,5,4,3,2,9,8,7,6,5,4,3,2}),11)&lt;2,0,11-MOD(SUMPRODUCT(--MID(G1801,{1,2,3,4,5,6,7,8,9,10,11,12,13},1),{6,5,4,3,2,9,8,7,6,5,4,3,2}),11))),"OK","AVISO: dígito verificador (conferir na org)"))))</f>
      </c>
      <c r="I1801" s="6">
        <f>IF(G1801="","",IF(COUNTIF($G$2:$G$2001,G1801)&gt;1,"DUPLICADO","OK"))</f>
      </c>
      <c r="J1801" s="6">
        <f>IF(COUNTA(A1801:F1801)=0,"",IF(AND(A1801&lt;&gt;"",E1801&lt;&gt;""),"OK","ERRO: faltam "&amp;IF(A1801="","CNPJ; ","")&amp;IF(E1801="","Novo gerente; ","")))</f>
      </c>
      <c r="K1801" s="6">
        <f>IF(COUNTA(A1801:F1801)=0,"",IF(AND(LEFT(H1801,4)&lt;&gt;"ERRO",I1801="OK",J1801="OK"),"OK","REVISAR"))</f>
      </c>
    </row>
    <row r="1802">
      <c r="A1802" s="5"/>
      <c r="B1802" s="4"/>
      <c r="C1802" s="4"/>
      <c r="D1802" s="4"/>
      <c r="E1802" s="5"/>
      <c r="F1802" s="4"/>
      <c r="G1802" s="6">
        <f>IF(A1802="","",SUBSTITUTE(SUBSTITUTE(SUBSTITUTE(SUBSTITUTE(SUBSTITUTE(SUBSTITUTE(SUBSTITUTE(TRIM(A1802),".",""),"/",""),"-","")," ",""),"(",""),")",""),"+",""))</f>
      </c>
      <c r="H1802" s="6">
        <f>IF(G1802="","",IF(LEN(G1802)&lt;&gt;14,"ERRO: "&amp;LEN(G1802)&amp;" dígitos",IF(NOT(ISNUMBER(VALUE(G1802))),"ERRO: não numérico",IF(AND(VALUE(MID(G1802,13,1))=IF(MOD(SUMPRODUCT(--MID(G1802,{1,2,3,4,5,6,7,8,9,10,11,12},1),{5,4,3,2,9,8,7,6,5,4,3,2}),11)&lt;2,0,11-MOD(SUMPRODUCT(--MID(G1802,{1,2,3,4,5,6,7,8,9,10,11,12},1),{5,4,3,2,9,8,7,6,5,4,3,2}),11)),VALUE(MID(G1802,14,1))=IF(MOD(SUMPRODUCT(--MID(G1802,{1,2,3,4,5,6,7,8,9,10,11,12,13},1),{6,5,4,3,2,9,8,7,6,5,4,3,2}),11)&lt;2,0,11-MOD(SUMPRODUCT(--MID(G1802,{1,2,3,4,5,6,7,8,9,10,11,12,13},1),{6,5,4,3,2,9,8,7,6,5,4,3,2}),11))),"OK","AVISO: dígito verificador (conferir na org)"))))</f>
      </c>
      <c r="I1802" s="6">
        <f>IF(G1802="","",IF(COUNTIF($G$2:$G$2001,G1802)&gt;1,"DUPLICADO","OK"))</f>
      </c>
      <c r="J1802" s="6">
        <f>IF(COUNTA(A1802:F1802)=0,"",IF(AND(A1802&lt;&gt;"",E1802&lt;&gt;""),"OK","ERRO: faltam "&amp;IF(A1802="","CNPJ; ","")&amp;IF(E1802="","Novo gerente; ","")))</f>
      </c>
      <c r="K1802" s="6">
        <f>IF(COUNTA(A1802:F1802)=0,"",IF(AND(LEFT(H1802,4)&lt;&gt;"ERRO",I1802="OK",J1802="OK"),"OK","REVISAR"))</f>
      </c>
    </row>
    <row r="1803">
      <c r="A1803" s="5"/>
      <c r="B1803" s="4"/>
      <c r="C1803" s="4"/>
      <c r="D1803" s="4"/>
      <c r="E1803" s="5"/>
      <c r="F1803" s="4"/>
      <c r="G1803" s="6">
        <f>IF(A1803="","",SUBSTITUTE(SUBSTITUTE(SUBSTITUTE(SUBSTITUTE(SUBSTITUTE(SUBSTITUTE(SUBSTITUTE(TRIM(A1803),".",""),"/",""),"-","")," ",""),"(",""),")",""),"+",""))</f>
      </c>
      <c r="H1803" s="6">
        <f>IF(G1803="","",IF(LEN(G1803)&lt;&gt;14,"ERRO: "&amp;LEN(G1803)&amp;" dígitos",IF(NOT(ISNUMBER(VALUE(G1803))),"ERRO: não numérico",IF(AND(VALUE(MID(G1803,13,1))=IF(MOD(SUMPRODUCT(--MID(G1803,{1,2,3,4,5,6,7,8,9,10,11,12},1),{5,4,3,2,9,8,7,6,5,4,3,2}),11)&lt;2,0,11-MOD(SUMPRODUCT(--MID(G1803,{1,2,3,4,5,6,7,8,9,10,11,12},1),{5,4,3,2,9,8,7,6,5,4,3,2}),11)),VALUE(MID(G1803,14,1))=IF(MOD(SUMPRODUCT(--MID(G1803,{1,2,3,4,5,6,7,8,9,10,11,12,13},1),{6,5,4,3,2,9,8,7,6,5,4,3,2}),11)&lt;2,0,11-MOD(SUMPRODUCT(--MID(G1803,{1,2,3,4,5,6,7,8,9,10,11,12,13},1),{6,5,4,3,2,9,8,7,6,5,4,3,2}),11))),"OK","AVISO: dígito verificador (conferir na org)"))))</f>
      </c>
      <c r="I1803" s="6">
        <f>IF(G1803="","",IF(COUNTIF($G$2:$G$2001,G1803)&gt;1,"DUPLICADO","OK"))</f>
      </c>
      <c r="J1803" s="6">
        <f>IF(COUNTA(A1803:F1803)=0,"",IF(AND(A1803&lt;&gt;"",E1803&lt;&gt;""),"OK","ERRO: faltam "&amp;IF(A1803="","CNPJ; ","")&amp;IF(E1803="","Novo gerente; ","")))</f>
      </c>
      <c r="K1803" s="6">
        <f>IF(COUNTA(A1803:F1803)=0,"",IF(AND(LEFT(H1803,4)&lt;&gt;"ERRO",I1803="OK",J1803="OK"),"OK","REVISAR"))</f>
      </c>
    </row>
    <row r="1804">
      <c r="A1804" s="5"/>
      <c r="B1804" s="4"/>
      <c r="C1804" s="4"/>
      <c r="D1804" s="4"/>
      <c r="E1804" s="5"/>
      <c r="F1804" s="4"/>
      <c r="G1804" s="6">
        <f>IF(A1804="","",SUBSTITUTE(SUBSTITUTE(SUBSTITUTE(SUBSTITUTE(SUBSTITUTE(SUBSTITUTE(SUBSTITUTE(TRIM(A1804),".",""),"/",""),"-","")," ",""),"(",""),")",""),"+",""))</f>
      </c>
      <c r="H1804" s="6">
        <f>IF(G1804="","",IF(LEN(G1804)&lt;&gt;14,"ERRO: "&amp;LEN(G1804)&amp;" dígitos",IF(NOT(ISNUMBER(VALUE(G1804))),"ERRO: não numérico",IF(AND(VALUE(MID(G1804,13,1))=IF(MOD(SUMPRODUCT(--MID(G1804,{1,2,3,4,5,6,7,8,9,10,11,12},1),{5,4,3,2,9,8,7,6,5,4,3,2}),11)&lt;2,0,11-MOD(SUMPRODUCT(--MID(G1804,{1,2,3,4,5,6,7,8,9,10,11,12},1),{5,4,3,2,9,8,7,6,5,4,3,2}),11)),VALUE(MID(G1804,14,1))=IF(MOD(SUMPRODUCT(--MID(G1804,{1,2,3,4,5,6,7,8,9,10,11,12,13},1),{6,5,4,3,2,9,8,7,6,5,4,3,2}),11)&lt;2,0,11-MOD(SUMPRODUCT(--MID(G1804,{1,2,3,4,5,6,7,8,9,10,11,12,13},1),{6,5,4,3,2,9,8,7,6,5,4,3,2}),11))),"OK","AVISO: dígito verificador (conferir na org)"))))</f>
      </c>
      <c r="I1804" s="6">
        <f>IF(G1804="","",IF(COUNTIF($G$2:$G$2001,G1804)&gt;1,"DUPLICADO","OK"))</f>
      </c>
      <c r="J1804" s="6">
        <f>IF(COUNTA(A1804:F1804)=0,"",IF(AND(A1804&lt;&gt;"",E1804&lt;&gt;""),"OK","ERRO: faltam "&amp;IF(A1804="","CNPJ; ","")&amp;IF(E1804="","Novo gerente; ","")))</f>
      </c>
      <c r="K1804" s="6">
        <f>IF(COUNTA(A1804:F1804)=0,"",IF(AND(LEFT(H1804,4)&lt;&gt;"ERRO",I1804="OK",J1804="OK"),"OK","REVISAR"))</f>
      </c>
    </row>
    <row r="1805">
      <c r="A1805" s="5"/>
      <c r="B1805" s="4"/>
      <c r="C1805" s="4"/>
      <c r="D1805" s="4"/>
      <c r="E1805" s="5"/>
      <c r="F1805" s="4"/>
      <c r="G1805" s="6">
        <f>IF(A1805="","",SUBSTITUTE(SUBSTITUTE(SUBSTITUTE(SUBSTITUTE(SUBSTITUTE(SUBSTITUTE(SUBSTITUTE(TRIM(A1805),".",""),"/",""),"-","")," ",""),"(",""),")",""),"+",""))</f>
      </c>
      <c r="H1805" s="6">
        <f>IF(G1805="","",IF(LEN(G1805)&lt;&gt;14,"ERRO: "&amp;LEN(G1805)&amp;" dígitos",IF(NOT(ISNUMBER(VALUE(G1805))),"ERRO: não numérico",IF(AND(VALUE(MID(G1805,13,1))=IF(MOD(SUMPRODUCT(--MID(G1805,{1,2,3,4,5,6,7,8,9,10,11,12},1),{5,4,3,2,9,8,7,6,5,4,3,2}),11)&lt;2,0,11-MOD(SUMPRODUCT(--MID(G1805,{1,2,3,4,5,6,7,8,9,10,11,12},1),{5,4,3,2,9,8,7,6,5,4,3,2}),11)),VALUE(MID(G1805,14,1))=IF(MOD(SUMPRODUCT(--MID(G1805,{1,2,3,4,5,6,7,8,9,10,11,12,13},1),{6,5,4,3,2,9,8,7,6,5,4,3,2}),11)&lt;2,0,11-MOD(SUMPRODUCT(--MID(G1805,{1,2,3,4,5,6,7,8,9,10,11,12,13},1),{6,5,4,3,2,9,8,7,6,5,4,3,2}),11))),"OK","AVISO: dígito verificador (conferir na org)"))))</f>
      </c>
      <c r="I1805" s="6">
        <f>IF(G1805="","",IF(COUNTIF($G$2:$G$2001,G1805)&gt;1,"DUPLICADO","OK"))</f>
      </c>
      <c r="J1805" s="6">
        <f>IF(COUNTA(A1805:F1805)=0,"",IF(AND(A1805&lt;&gt;"",E1805&lt;&gt;""),"OK","ERRO: faltam "&amp;IF(A1805="","CNPJ; ","")&amp;IF(E1805="","Novo gerente; ","")))</f>
      </c>
      <c r="K1805" s="6">
        <f>IF(COUNTA(A1805:F1805)=0,"",IF(AND(LEFT(H1805,4)&lt;&gt;"ERRO",I1805="OK",J1805="OK"),"OK","REVISAR"))</f>
      </c>
    </row>
    <row r="1806">
      <c r="A1806" s="5"/>
      <c r="B1806" s="4"/>
      <c r="C1806" s="4"/>
      <c r="D1806" s="4"/>
      <c r="E1806" s="5"/>
      <c r="F1806" s="4"/>
      <c r="G1806" s="6">
        <f>IF(A1806="","",SUBSTITUTE(SUBSTITUTE(SUBSTITUTE(SUBSTITUTE(SUBSTITUTE(SUBSTITUTE(SUBSTITUTE(TRIM(A1806),".",""),"/",""),"-","")," ",""),"(",""),")",""),"+",""))</f>
      </c>
      <c r="H1806" s="6">
        <f>IF(G1806="","",IF(LEN(G1806)&lt;&gt;14,"ERRO: "&amp;LEN(G1806)&amp;" dígitos",IF(NOT(ISNUMBER(VALUE(G1806))),"ERRO: não numérico",IF(AND(VALUE(MID(G1806,13,1))=IF(MOD(SUMPRODUCT(--MID(G1806,{1,2,3,4,5,6,7,8,9,10,11,12},1),{5,4,3,2,9,8,7,6,5,4,3,2}),11)&lt;2,0,11-MOD(SUMPRODUCT(--MID(G1806,{1,2,3,4,5,6,7,8,9,10,11,12},1),{5,4,3,2,9,8,7,6,5,4,3,2}),11)),VALUE(MID(G1806,14,1))=IF(MOD(SUMPRODUCT(--MID(G1806,{1,2,3,4,5,6,7,8,9,10,11,12,13},1),{6,5,4,3,2,9,8,7,6,5,4,3,2}),11)&lt;2,0,11-MOD(SUMPRODUCT(--MID(G1806,{1,2,3,4,5,6,7,8,9,10,11,12,13},1),{6,5,4,3,2,9,8,7,6,5,4,3,2}),11))),"OK","AVISO: dígito verificador (conferir na org)"))))</f>
      </c>
      <c r="I1806" s="6">
        <f>IF(G1806="","",IF(COUNTIF($G$2:$G$2001,G1806)&gt;1,"DUPLICADO","OK"))</f>
      </c>
      <c r="J1806" s="6">
        <f>IF(COUNTA(A1806:F1806)=0,"",IF(AND(A1806&lt;&gt;"",E1806&lt;&gt;""),"OK","ERRO: faltam "&amp;IF(A1806="","CNPJ; ","")&amp;IF(E1806="","Novo gerente; ","")))</f>
      </c>
      <c r="K1806" s="6">
        <f>IF(COUNTA(A1806:F1806)=0,"",IF(AND(LEFT(H1806,4)&lt;&gt;"ERRO",I1806="OK",J1806="OK"),"OK","REVISAR"))</f>
      </c>
    </row>
    <row r="1807">
      <c r="A1807" s="5"/>
      <c r="B1807" s="4"/>
      <c r="C1807" s="4"/>
      <c r="D1807" s="4"/>
      <c r="E1807" s="5"/>
      <c r="F1807" s="4"/>
      <c r="G1807" s="6">
        <f>IF(A1807="","",SUBSTITUTE(SUBSTITUTE(SUBSTITUTE(SUBSTITUTE(SUBSTITUTE(SUBSTITUTE(SUBSTITUTE(TRIM(A1807),".",""),"/",""),"-","")," ",""),"(",""),")",""),"+",""))</f>
      </c>
      <c r="H1807" s="6">
        <f>IF(G1807="","",IF(LEN(G1807)&lt;&gt;14,"ERRO: "&amp;LEN(G1807)&amp;" dígitos",IF(NOT(ISNUMBER(VALUE(G1807))),"ERRO: não numérico",IF(AND(VALUE(MID(G1807,13,1))=IF(MOD(SUMPRODUCT(--MID(G1807,{1,2,3,4,5,6,7,8,9,10,11,12},1),{5,4,3,2,9,8,7,6,5,4,3,2}),11)&lt;2,0,11-MOD(SUMPRODUCT(--MID(G1807,{1,2,3,4,5,6,7,8,9,10,11,12},1),{5,4,3,2,9,8,7,6,5,4,3,2}),11)),VALUE(MID(G1807,14,1))=IF(MOD(SUMPRODUCT(--MID(G1807,{1,2,3,4,5,6,7,8,9,10,11,12,13},1),{6,5,4,3,2,9,8,7,6,5,4,3,2}),11)&lt;2,0,11-MOD(SUMPRODUCT(--MID(G1807,{1,2,3,4,5,6,7,8,9,10,11,12,13},1),{6,5,4,3,2,9,8,7,6,5,4,3,2}),11))),"OK","AVISO: dígito verificador (conferir na org)"))))</f>
      </c>
      <c r="I1807" s="6">
        <f>IF(G1807="","",IF(COUNTIF($G$2:$G$2001,G1807)&gt;1,"DUPLICADO","OK"))</f>
      </c>
      <c r="J1807" s="6">
        <f>IF(COUNTA(A1807:F1807)=0,"",IF(AND(A1807&lt;&gt;"",E1807&lt;&gt;""),"OK","ERRO: faltam "&amp;IF(A1807="","CNPJ; ","")&amp;IF(E1807="","Novo gerente; ","")))</f>
      </c>
      <c r="K1807" s="6">
        <f>IF(COUNTA(A1807:F1807)=0,"",IF(AND(LEFT(H1807,4)&lt;&gt;"ERRO",I1807="OK",J1807="OK"),"OK","REVISAR"))</f>
      </c>
    </row>
    <row r="1808">
      <c r="A1808" s="5"/>
      <c r="B1808" s="4"/>
      <c r="C1808" s="4"/>
      <c r="D1808" s="4"/>
      <c r="E1808" s="5"/>
      <c r="F1808" s="4"/>
      <c r="G1808" s="6">
        <f>IF(A1808="","",SUBSTITUTE(SUBSTITUTE(SUBSTITUTE(SUBSTITUTE(SUBSTITUTE(SUBSTITUTE(SUBSTITUTE(TRIM(A1808),".",""),"/",""),"-","")," ",""),"(",""),")",""),"+",""))</f>
      </c>
      <c r="H1808" s="6">
        <f>IF(G1808="","",IF(LEN(G1808)&lt;&gt;14,"ERRO: "&amp;LEN(G1808)&amp;" dígitos",IF(NOT(ISNUMBER(VALUE(G1808))),"ERRO: não numérico",IF(AND(VALUE(MID(G1808,13,1))=IF(MOD(SUMPRODUCT(--MID(G1808,{1,2,3,4,5,6,7,8,9,10,11,12},1),{5,4,3,2,9,8,7,6,5,4,3,2}),11)&lt;2,0,11-MOD(SUMPRODUCT(--MID(G1808,{1,2,3,4,5,6,7,8,9,10,11,12},1),{5,4,3,2,9,8,7,6,5,4,3,2}),11)),VALUE(MID(G1808,14,1))=IF(MOD(SUMPRODUCT(--MID(G1808,{1,2,3,4,5,6,7,8,9,10,11,12,13},1),{6,5,4,3,2,9,8,7,6,5,4,3,2}),11)&lt;2,0,11-MOD(SUMPRODUCT(--MID(G1808,{1,2,3,4,5,6,7,8,9,10,11,12,13},1),{6,5,4,3,2,9,8,7,6,5,4,3,2}),11))),"OK","AVISO: dígito verificador (conferir na org)"))))</f>
      </c>
      <c r="I1808" s="6">
        <f>IF(G1808="","",IF(COUNTIF($G$2:$G$2001,G1808)&gt;1,"DUPLICADO","OK"))</f>
      </c>
      <c r="J1808" s="6">
        <f>IF(COUNTA(A1808:F1808)=0,"",IF(AND(A1808&lt;&gt;"",E1808&lt;&gt;""),"OK","ERRO: faltam "&amp;IF(A1808="","CNPJ; ","")&amp;IF(E1808="","Novo gerente; ","")))</f>
      </c>
      <c r="K1808" s="6">
        <f>IF(COUNTA(A1808:F1808)=0,"",IF(AND(LEFT(H1808,4)&lt;&gt;"ERRO",I1808="OK",J1808="OK"),"OK","REVISAR"))</f>
      </c>
    </row>
    <row r="1809">
      <c r="A1809" s="5"/>
      <c r="B1809" s="4"/>
      <c r="C1809" s="4"/>
      <c r="D1809" s="4"/>
      <c r="E1809" s="5"/>
      <c r="F1809" s="4"/>
      <c r="G1809" s="6">
        <f>IF(A1809="","",SUBSTITUTE(SUBSTITUTE(SUBSTITUTE(SUBSTITUTE(SUBSTITUTE(SUBSTITUTE(SUBSTITUTE(TRIM(A1809),".",""),"/",""),"-","")," ",""),"(",""),")",""),"+",""))</f>
      </c>
      <c r="H1809" s="6">
        <f>IF(G1809="","",IF(LEN(G1809)&lt;&gt;14,"ERRO: "&amp;LEN(G1809)&amp;" dígitos",IF(NOT(ISNUMBER(VALUE(G1809))),"ERRO: não numérico",IF(AND(VALUE(MID(G1809,13,1))=IF(MOD(SUMPRODUCT(--MID(G1809,{1,2,3,4,5,6,7,8,9,10,11,12},1),{5,4,3,2,9,8,7,6,5,4,3,2}),11)&lt;2,0,11-MOD(SUMPRODUCT(--MID(G1809,{1,2,3,4,5,6,7,8,9,10,11,12},1),{5,4,3,2,9,8,7,6,5,4,3,2}),11)),VALUE(MID(G1809,14,1))=IF(MOD(SUMPRODUCT(--MID(G1809,{1,2,3,4,5,6,7,8,9,10,11,12,13},1),{6,5,4,3,2,9,8,7,6,5,4,3,2}),11)&lt;2,0,11-MOD(SUMPRODUCT(--MID(G1809,{1,2,3,4,5,6,7,8,9,10,11,12,13},1),{6,5,4,3,2,9,8,7,6,5,4,3,2}),11))),"OK","AVISO: dígito verificador (conferir na org)"))))</f>
      </c>
      <c r="I1809" s="6">
        <f>IF(G1809="","",IF(COUNTIF($G$2:$G$2001,G1809)&gt;1,"DUPLICADO","OK"))</f>
      </c>
      <c r="J1809" s="6">
        <f>IF(COUNTA(A1809:F1809)=0,"",IF(AND(A1809&lt;&gt;"",E1809&lt;&gt;""),"OK","ERRO: faltam "&amp;IF(A1809="","CNPJ; ","")&amp;IF(E1809="","Novo gerente; ","")))</f>
      </c>
      <c r="K1809" s="6">
        <f>IF(COUNTA(A1809:F1809)=0,"",IF(AND(LEFT(H1809,4)&lt;&gt;"ERRO",I1809="OK",J1809="OK"),"OK","REVISAR"))</f>
      </c>
    </row>
    <row r="1810">
      <c r="A1810" s="5"/>
      <c r="B1810" s="4"/>
      <c r="C1810" s="4"/>
      <c r="D1810" s="4"/>
      <c r="E1810" s="5"/>
      <c r="F1810" s="4"/>
      <c r="G1810" s="6">
        <f>IF(A1810="","",SUBSTITUTE(SUBSTITUTE(SUBSTITUTE(SUBSTITUTE(SUBSTITUTE(SUBSTITUTE(SUBSTITUTE(TRIM(A1810),".",""),"/",""),"-","")," ",""),"(",""),")",""),"+",""))</f>
      </c>
      <c r="H1810" s="6">
        <f>IF(G1810="","",IF(LEN(G1810)&lt;&gt;14,"ERRO: "&amp;LEN(G1810)&amp;" dígitos",IF(NOT(ISNUMBER(VALUE(G1810))),"ERRO: não numérico",IF(AND(VALUE(MID(G1810,13,1))=IF(MOD(SUMPRODUCT(--MID(G1810,{1,2,3,4,5,6,7,8,9,10,11,12},1),{5,4,3,2,9,8,7,6,5,4,3,2}),11)&lt;2,0,11-MOD(SUMPRODUCT(--MID(G1810,{1,2,3,4,5,6,7,8,9,10,11,12},1),{5,4,3,2,9,8,7,6,5,4,3,2}),11)),VALUE(MID(G1810,14,1))=IF(MOD(SUMPRODUCT(--MID(G1810,{1,2,3,4,5,6,7,8,9,10,11,12,13},1),{6,5,4,3,2,9,8,7,6,5,4,3,2}),11)&lt;2,0,11-MOD(SUMPRODUCT(--MID(G1810,{1,2,3,4,5,6,7,8,9,10,11,12,13},1),{6,5,4,3,2,9,8,7,6,5,4,3,2}),11))),"OK","AVISO: dígito verificador (conferir na org)"))))</f>
      </c>
      <c r="I1810" s="6">
        <f>IF(G1810="","",IF(COUNTIF($G$2:$G$2001,G1810)&gt;1,"DUPLICADO","OK"))</f>
      </c>
      <c r="J1810" s="6">
        <f>IF(COUNTA(A1810:F1810)=0,"",IF(AND(A1810&lt;&gt;"",E1810&lt;&gt;""),"OK","ERRO: faltam "&amp;IF(A1810="","CNPJ; ","")&amp;IF(E1810="","Novo gerente; ","")))</f>
      </c>
      <c r="K1810" s="6">
        <f>IF(COUNTA(A1810:F1810)=0,"",IF(AND(LEFT(H1810,4)&lt;&gt;"ERRO",I1810="OK",J1810="OK"),"OK","REVISAR"))</f>
      </c>
    </row>
    <row r="1811">
      <c r="A1811" s="5"/>
      <c r="B1811" s="4"/>
      <c r="C1811" s="4"/>
      <c r="D1811" s="4"/>
      <c r="E1811" s="5"/>
      <c r="F1811" s="4"/>
      <c r="G1811" s="6">
        <f>IF(A1811="","",SUBSTITUTE(SUBSTITUTE(SUBSTITUTE(SUBSTITUTE(SUBSTITUTE(SUBSTITUTE(SUBSTITUTE(TRIM(A1811),".",""),"/",""),"-","")," ",""),"(",""),")",""),"+",""))</f>
      </c>
      <c r="H1811" s="6">
        <f>IF(G1811="","",IF(LEN(G1811)&lt;&gt;14,"ERRO: "&amp;LEN(G1811)&amp;" dígitos",IF(NOT(ISNUMBER(VALUE(G1811))),"ERRO: não numérico",IF(AND(VALUE(MID(G1811,13,1))=IF(MOD(SUMPRODUCT(--MID(G1811,{1,2,3,4,5,6,7,8,9,10,11,12},1),{5,4,3,2,9,8,7,6,5,4,3,2}),11)&lt;2,0,11-MOD(SUMPRODUCT(--MID(G1811,{1,2,3,4,5,6,7,8,9,10,11,12},1),{5,4,3,2,9,8,7,6,5,4,3,2}),11)),VALUE(MID(G1811,14,1))=IF(MOD(SUMPRODUCT(--MID(G1811,{1,2,3,4,5,6,7,8,9,10,11,12,13},1),{6,5,4,3,2,9,8,7,6,5,4,3,2}),11)&lt;2,0,11-MOD(SUMPRODUCT(--MID(G1811,{1,2,3,4,5,6,7,8,9,10,11,12,13},1),{6,5,4,3,2,9,8,7,6,5,4,3,2}),11))),"OK","AVISO: dígito verificador (conferir na org)"))))</f>
      </c>
      <c r="I1811" s="6">
        <f>IF(G1811="","",IF(COUNTIF($G$2:$G$2001,G1811)&gt;1,"DUPLICADO","OK"))</f>
      </c>
      <c r="J1811" s="6">
        <f>IF(COUNTA(A1811:F1811)=0,"",IF(AND(A1811&lt;&gt;"",E1811&lt;&gt;""),"OK","ERRO: faltam "&amp;IF(A1811="","CNPJ; ","")&amp;IF(E1811="","Novo gerente; ","")))</f>
      </c>
      <c r="K1811" s="6">
        <f>IF(COUNTA(A1811:F1811)=0,"",IF(AND(LEFT(H1811,4)&lt;&gt;"ERRO",I1811="OK",J1811="OK"),"OK","REVISAR"))</f>
      </c>
    </row>
    <row r="1812">
      <c r="A1812" s="5"/>
      <c r="B1812" s="4"/>
      <c r="C1812" s="4"/>
      <c r="D1812" s="4"/>
      <c r="E1812" s="5"/>
      <c r="F1812" s="4"/>
      <c r="G1812" s="6">
        <f>IF(A1812="","",SUBSTITUTE(SUBSTITUTE(SUBSTITUTE(SUBSTITUTE(SUBSTITUTE(SUBSTITUTE(SUBSTITUTE(TRIM(A1812),".",""),"/",""),"-","")," ",""),"(",""),")",""),"+",""))</f>
      </c>
      <c r="H1812" s="6">
        <f>IF(G1812="","",IF(LEN(G1812)&lt;&gt;14,"ERRO: "&amp;LEN(G1812)&amp;" dígitos",IF(NOT(ISNUMBER(VALUE(G1812))),"ERRO: não numérico",IF(AND(VALUE(MID(G1812,13,1))=IF(MOD(SUMPRODUCT(--MID(G1812,{1,2,3,4,5,6,7,8,9,10,11,12},1),{5,4,3,2,9,8,7,6,5,4,3,2}),11)&lt;2,0,11-MOD(SUMPRODUCT(--MID(G1812,{1,2,3,4,5,6,7,8,9,10,11,12},1),{5,4,3,2,9,8,7,6,5,4,3,2}),11)),VALUE(MID(G1812,14,1))=IF(MOD(SUMPRODUCT(--MID(G1812,{1,2,3,4,5,6,7,8,9,10,11,12,13},1),{6,5,4,3,2,9,8,7,6,5,4,3,2}),11)&lt;2,0,11-MOD(SUMPRODUCT(--MID(G1812,{1,2,3,4,5,6,7,8,9,10,11,12,13},1),{6,5,4,3,2,9,8,7,6,5,4,3,2}),11))),"OK","AVISO: dígito verificador (conferir na org)"))))</f>
      </c>
      <c r="I1812" s="6">
        <f>IF(G1812="","",IF(COUNTIF($G$2:$G$2001,G1812)&gt;1,"DUPLICADO","OK"))</f>
      </c>
      <c r="J1812" s="6">
        <f>IF(COUNTA(A1812:F1812)=0,"",IF(AND(A1812&lt;&gt;"",E1812&lt;&gt;""),"OK","ERRO: faltam "&amp;IF(A1812="","CNPJ; ","")&amp;IF(E1812="","Novo gerente; ","")))</f>
      </c>
      <c r="K1812" s="6">
        <f>IF(COUNTA(A1812:F1812)=0,"",IF(AND(LEFT(H1812,4)&lt;&gt;"ERRO",I1812="OK",J1812="OK"),"OK","REVISAR"))</f>
      </c>
    </row>
    <row r="1813">
      <c r="A1813" s="5"/>
      <c r="B1813" s="4"/>
      <c r="C1813" s="4"/>
      <c r="D1813" s="4"/>
      <c r="E1813" s="5"/>
      <c r="F1813" s="4"/>
      <c r="G1813" s="6">
        <f>IF(A1813="","",SUBSTITUTE(SUBSTITUTE(SUBSTITUTE(SUBSTITUTE(SUBSTITUTE(SUBSTITUTE(SUBSTITUTE(TRIM(A1813),".",""),"/",""),"-","")," ",""),"(",""),")",""),"+",""))</f>
      </c>
      <c r="H1813" s="6">
        <f>IF(G1813="","",IF(LEN(G1813)&lt;&gt;14,"ERRO: "&amp;LEN(G1813)&amp;" dígitos",IF(NOT(ISNUMBER(VALUE(G1813))),"ERRO: não numérico",IF(AND(VALUE(MID(G1813,13,1))=IF(MOD(SUMPRODUCT(--MID(G1813,{1,2,3,4,5,6,7,8,9,10,11,12},1),{5,4,3,2,9,8,7,6,5,4,3,2}),11)&lt;2,0,11-MOD(SUMPRODUCT(--MID(G1813,{1,2,3,4,5,6,7,8,9,10,11,12},1),{5,4,3,2,9,8,7,6,5,4,3,2}),11)),VALUE(MID(G1813,14,1))=IF(MOD(SUMPRODUCT(--MID(G1813,{1,2,3,4,5,6,7,8,9,10,11,12,13},1),{6,5,4,3,2,9,8,7,6,5,4,3,2}),11)&lt;2,0,11-MOD(SUMPRODUCT(--MID(G1813,{1,2,3,4,5,6,7,8,9,10,11,12,13},1),{6,5,4,3,2,9,8,7,6,5,4,3,2}),11))),"OK","AVISO: dígito verificador (conferir na org)"))))</f>
      </c>
      <c r="I1813" s="6">
        <f>IF(G1813="","",IF(COUNTIF($G$2:$G$2001,G1813)&gt;1,"DUPLICADO","OK"))</f>
      </c>
      <c r="J1813" s="6">
        <f>IF(COUNTA(A1813:F1813)=0,"",IF(AND(A1813&lt;&gt;"",E1813&lt;&gt;""),"OK","ERRO: faltam "&amp;IF(A1813="","CNPJ; ","")&amp;IF(E1813="","Novo gerente; ","")))</f>
      </c>
      <c r="K1813" s="6">
        <f>IF(COUNTA(A1813:F1813)=0,"",IF(AND(LEFT(H1813,4)&lt;&gt;"ERRO",I1813="OK",J1813="OK"),"OK","REVISAR"))</f>
      </c>
    </row>
    <row r="1814">
      <c r="A1814" s="5"/>
      <c r="B1814" s="4"/>
      <c r="C1814" s="4"/>
      <c r="D1814" s="4"/>
      <c r="E1814" s="5"/>
      <c r="F1814" s="4"/>
      <c r="G1814" s="6">
        <f>IF(A1814="","",SUBSTITUTE(SUBSTITUTE(SUBSTITUTE(SUBSTITUTE(SUBSTITUTE(SUBSTITUTE(SUBSTITUTE(TRIM(A1814),".",""),"/",""),"-","")," ",""),"(",""),")",""),"+",""))</f>
      </c>
      <c r="H1814" s="6">
        <f>IF(G1814="","",IF(LEN(G1814)&lt;&gt;14,"ERRO: "&amp;LEN(G1814)&amp;" dígitos",IF(NOT(ISNUMBER(VALUE(G1814))),"ERRO: não numérico",IF(AND(VALUE(MID(G1814,13,1))=IF(MOD(SUMPRODUCT(--MID(G1814,{1,2,3,4,5,6,7,8,9,10,11,12},1),{5,4,3,2,9,8,7,6,5,4,3,2}),11)&lt;2,0,11-MOD(SUMPRODUCT(--MID(G1814,{1,2,3,4,5,6,7,8,9,10,11,12},1),{5,4,3,2,9,8,7,6,5,4,3,2}),11)),VALUE(MID(G1814,14,1))=IF(MOD(SUMPRODUCT(--MID(G1814,{1,2,3,4,5,6,7,8,9,10,11,12,13},1),{6,5,4,3,2,9,8,7,6,5,4,3,2}),11)&lt;2,0,11-MOD(SUMPRODUCT(--MID(G1814,{1,2,3,4,5,6,7,8,9,10,11,12,13},1),{6,5,4,3,2,9,8,7,6,5,4,3,2}),11))),"OK","AVISO: dígito verificador (conferir na org)"))))</f>
      </c>
      <c r="I1814" s="6">
        <f>IF(G1814="","",IF(COUNTIF($G$2:$G$2001,G1814)&gt;1,"DUPLICADO","OK"))</f>
      </c>
      <c r="J1814" s="6">
        <f>IF(COUNTA(A1814:F1814)=0,"",IF(AND(A1814&lt;&gt;"",E1814&lt;&gt;""),"OK","ERRO: faltam "&amp;IF(A1814="","CNPJ; ","")&amp;IF(E1814="","Novo gerente; ","")))</f>
      </c>
      <c r="K1814" s="6">
        <f>IF(COUNTA(A1814:F1814)=0,"",IF(AND(LEFT(H1814,4)&lt;&gt;"ERRO",I1814="OK",J1814="OK"),"OK","REVISAR"))</f>
      </c>
    </row>
    <row r="1815">
      <c r="A1815" s="5"/>
      <c r="B1815" s="4"/>
      <c r="C1815" s="4"/>
      <c r="D1815" s="4"/>
      <c r="E1815" s="5"/>
      <c r="F1815" s="4"/>
      <c r="G1815" s="6">
        <f>IF(A1815="","",SUBSTITUTE(SUBSTITUTE(SUBSTITUTE(SUBSTITUTE(SUBSTITUTE(SUBSTITUTE(SUBSTITUTE(TRIM(A1815),".",""),"/",""),"-","")," ",""),"(",""),")",""),"+",""))</f>
      </c>
      <c r="H1815" s="6">
        <f>IF(G1815="","",IF(LEN(G1815)&lt;&gt;14,"ERRO: "&amp;LEN(G1815)&amp;" dígitos",IF(NOT(ISNUMBER(VALUE(G1815))),"ERRO: não numérico",IF(AND(VALUE(MID(G1815,13,1))=IF(MOD(SUMPRODUCT(--MID(G1815,{1,2,3,4,5,6,7,8,9,10,11,12},1),{5,4,3,2,9,8,7,6,5,4,3,2}),11)&lt;2,0,11-MOD(SUMPRODUCT(--MID(G1815,{1,2,3,4,5,6,7,8,9,10,11,12},1),{5,4,3,2,9,8,7,6,5,4,3,2}),11)),VALUE(MID(G1815,14,1))=IF(MOD(SUMPRODUCT(--MID(G1815,{1,2,3,4,5,6,7,8,9,10,11,12,13},1),{6,5,4,3,2,9,8,7,6,5,4,3,2}),11)&lt;2,0,11-MOD(SUMPRODUCT(--MID(G1815,{1,2,3,4,5,6,7,8,9,10,11,12,13},1),{6,5,4,3,2,9,8,7,6,5,4,3,2}),11))),"OK","AVISO: dígito verificador (conferir na org)"))))</f>
      </c>
      <c r="I1815" s="6">
        <f>IF(G1815="","",IF(COUNTIF($G$2:$G$2001,G1815)&gt;1,"DUPLICADO","OK"))</f>
      </c>
      <c r="J1815" s="6">
        <f>IF(COUNTA(A1815:F1815)=0,"",IF(AND(A1815&lt;&gt;"",E1815&lt;&gt;""),"OK","ERRO: faltam "&amp;IF(A1815="","CNPJ; ","")&amp;IF(E1815="","Novo gerente; ","")))</f>
      </c>
      <c r="K1815" s="6">
        <f>IF(COUNTA(A1815:F1815)=0,"",IF(AND(LEFT(H1815,4)&lt;&gt;"ERRO",I1815="OK",J1815="OK"),"OK","REVISAR"))</f>
      </c>
    </row>
    <row r="1816">
      <c r="A1816" s="5"/>
      <c r="B1816" s="4"/>
      <c r="C1816" s="4"/>
      <c r="D1816" s="4"/>
      <c r="E1816" s="5"/>
      <c r="F1816" s="4"/>
      <c r="G1816" s="6">
        <f>IF(A1816="","",SUBSTITUTE(SUBSTITUTE(SUBSTITUTE(SUBSTITUTE(SUBSTITUTE(SUBSTITUTE(SUBSTITUTE(TRIM(A1816),".",""),"/",""),"-","")," ",""),"(",""),")",""),"+",""))</f>
      </c>
      <c r="H1816" s="6">
        <f>IF(G1816="","",IF(LEN(G1816)&lt;&gt;14,"ERRO: "&amp;LEN(G1816)&amp;" dígitos",IF(NOT(ISNUMBER(VALUE(G1816))),"ERRO: não numérico",IF(AND(VALUE(MID(G1816,13,1))=IF(MOD(SUMPRODUCT(--MID(G1816,{1,2,3,4,5,6,7,8,9,10,11,12},1),{5,4,3,2,9,8,7,6,5,4,3,2}),11)&lt;2,0,11-MOD(SUMPRODUCT(--MID(G1816,{1,2,3,4,5,6,7,8,9,10,11,12},1),{5,4,3,2,9,8,7,6,5,4,3,2}),11)),VALUE(MID(G1816,14,1))=IF(MOD(SUMPRODUCT(--MID(G1816,{1,2,3,4,5,6,7,8,9,10,11,12,13},1),{6,5,4,3,2,9,8,7,6,5,4,3,2}),11)&lt;2,0,11-MOD(SUMPRODUCT(--MID(G1816,{1,2,3,4,5,6,7,8,9,10,11,12,13},1),{6,5,4,3,2,9,8,7,6,5,4,3,2}),11))),"OK","AVISO: dígito verificador (conferir na org)"))))</f>
      </c>
      <c r="I1816" s="6">
        <f>IF(G1816="","",IF(COUNTIF($G$2:$G$2001,G1816)&gt;1,"DUPLICADO","OK"))</f>
      </c>
      <c r="J1816" s="6">
        <f>IF(COUNTA(A1816:F1816)=0,"",IF(AND(A1816&lt;&gt;"",E1816&lt;&gt;""),"OK","ERRO: faltam "&amp;IF(A1816="","CNPJ; ","")&amp;IF(E1816="","Novo gerente; ","")))</f>
      </c>
      <c r="K1816" s="6">
        <f>IF(COUNTA(A1816:F1816)=0,"",IF(AND(LEFT(H1816,4)&lt;&gt;"ERRO",I1816="OK",J1816="OK"),"OK","REVISAR"))</f>
      </c>
    </row>
    <row r="1817">
      <c r="A1817" s="5"/>
      <c r="B1817" s="4"/>
      <c r="C1817" s="4"/>
      <c r="D1817" s="4"/>
      <c r="E1817" s="5"/>
      <c r="F1817" s="4"/>
      <c r="G1817" s="6">
        <f>IF(A1817="","",SUBSTITUTE(SUBSTITUTE(SUBSTITUTE(SUBSTITUTE(SUBSTITUTE(SUBSTITUTE(SUBSTITUTE(TRIM(A1817),".",""),"/",""),"-","")," ",""),"(",""),")",""),"+",""))</f>
      </c>
      <c r="H1817" s="6">
        <f>IF(G1817="","",IF(LEN(G1817)&lt;&gt;14,"ERRO: "&amp;LEN(G1817)&amp;" dígitos",IF(NOT(ISNUMBER(VALUE(G1817))),"ERRO: não numérico",IF(AND(VALUE(MID(G1817,13,1))=IF(MOD(SUMPRODUCT(--MID(G1817,{1,2,3,4,5,6,7,8,9,10,11,12},1),{5,4,3,2,9,8,7,6,5,4,3,2}),11)&lt;2,0,11-MOD(SUMPRODUCT(--MID(G1817,{1,2,3,4,5,6,7,8,9,10,11,12},1),{5,4,3,2,9,8,7,6,5,4,3,2}),11)),VALUE(MID(G1817,14,1))=IF(MOD(SUMPRODUCT(--MID(G1817,{1,2,3,4,5,6,7,8,9,10,11,12,13},1),{6,5,4,3,2,9,8,7,6,5,4,3,2}),11)&lt;2,0,11-MOD(SUMPRODUCT(--MID(G1817,{1,2,3,4,5,6,7,8,9,10,11,12,13},1),{6,5,4,3,2,9,8,7,6,5,4,3,2}),11))),"OK","AVISO: dígito verificador (conferir na org)"))))</f>
      </c>
      <c r="I1817" s="6">
        <f>IF(G1817="","",IF(COUNTIF($G$2:$G$2001,G1817)&gt;1,"DUPLICADO","OK"))</f>
      </c>
      <c r="J1817" s="6">
        <f>IF(COUNTA(A1817:F1817)=0,"",IF(AND(A1817&lt;&gt;"",E1817&lt;&gt;""),"OK","ERRO: faltam "&amp;IF(A1817="","CNPJ; ","")&amp;IF(E1817="","Novo gerente; ","")))</f>
      </c>
      <c r="K1817" s="6">
        <f>IF(COUNTA(A1817:F1817)=0,"",IF(AND(LEFT(H1817,4)&lt;&gt;"ERRO",I1817="OK",J1817="OK"),"OK","REVISAR"))</f>
      </c>
    </row>
    <row r="1818">
      <c r="A1818" s="5"/>
      <c r="B1818" s="4"/>
      <c r="C1818" s="4"/>
      <c r="D1818" s="4"/>
      <c r="E1818" s="5"/>
      <c r="F1818" s="4"/>
      <c r="G1818" s="6">
        <f>IF(A1818="","",SUBSTITUTE(SUBSTITUTE(SUBSTITUTE(SUBSTITUTE(SUBSTITUTE(SUBSTITUTE(SUBSTITUTE(TRIM(A1818),".",""),"/",""),"-","")," ",""),"(",""),")",""),"+",""))</f>
      </c>
      <c r="H1818" s="6">
        <f>IF(G1818="","",IF(LEN(G1818)&lt;&gt;14,"ERRO: "&amp;LEN(G1818)&amp;" dígitos",IF(NOT(ISNUMBER(VALUE(G1818))),"ERRO: não numérico",IF(AND(VALUE(MID(G1818,13,1))=IF(MOD(SUMPRODUCT(--MID(G1818,{1,2,3,4,5,6,7,8,9,10,11,12},1),{5,4,3,2,9,8,7,6,5,4,3,2}),11)&lt;2,0,11-MOD(SUMPRODUCT(--MID(G1818,{1,2,3,4,5,6,7,8,9,10,11,12},1),{5,4,3,2,9,8,7,6,5,4,3,2}),11)),VALUE(MID(G1818,14,1))=IF(MOD(SUMPRODUCT(--MID(G1818,{1,2,3,4,5,6,7,8,9,10,11,12,13},1),{6,5,4,3,2,9,8,7,6,5,4,3,2}),11)&lt;2,0,11-MOD(SUMPRODUCT(--MID(G1818,{1,2,3,4,5,6,7,8,9,10,11,12,13},1),{6,5,4,3,2,9,8,7,6,5,4,3,2}),11))),"OK","AVISO: dígito verificador (conferir na org)"))))</f>
      </c>
      <c r="I1818" s="6">
        <f>IF(G1818="","",IF(COUNTIF($G$2:$G$2001,G1818)&gt;1,"DUPLICADO","OK"))</f>
      </c>
      <c r="J1818" s="6">
        <f>IF(COUNTA(A1818:F1818)=0,"",IF(AND(A1818&lt;&gt;"",E1818&lt;&gt;""),"OK","ERRO: faltam "&amp;IF(A1818="","CNPJ; ","")&amp;IF(E1818="","Novo gerente; ","")))</f>
      </c>
      <c r="K1818" s="6">
        <f>IF(COUNTA(A1818:F1818)=0,"",IF(AND(LEFT(H1818,4)&lt;&gt;"ERRO",I1818="OK",J1818="OK"),"OK","REVISAR"))</f>
      </c>
    </row>
    <row r="1819">
      <c r="A1819" s="5"/>
      <c r="B1819" s="4"/>
      <c r="C1819" s="4"/>
      <c r="D1819" s="4"/>
      <c r="E1819" s="5"/>
      <c r="F1819" s="4"/>
      <c r="G1819" s="6">
        <f>IF(A1819="","",SUBSTITUTE(SUBSTITUTE(SUBSTITUTE(SUBSTITUTE(SUBSTITUTE(SUBSTITUTE(SUBSTITUTE(TRIM(A1819),".",""),"/",""),"-","")," ",""),"(",""),")",""),"+",""))</f>
      </c>
      <c r="H1819" s="6">
        <f>IF(G1819="","",IF(LEN(G1819)&lt;&gt;14,"ERRO: "&amp;LEN(G1819)&amp;" dígitos",IF(NOT(ISNUMBER(VALUE(G1819))),"ERRO: não numérico",IF(AND(VALUE(MID(G1819,13,1))=IF(MOD(SUMPRODUCT(--MID(G1819,{1,2,3,4,5,6,7,8,9,10,11,12},1),{5,4,3,2,9,8,7,6,5,4,3,2}),11)&lt;2,0,11-MOD(SUMPRODUCT(--MID(G1819,{1,2,3,4,5,6,7,8,9,10,11,12},1),{5,4,3,2,9,8,7,6,5,4,3,2}),11)),VALUE(MID(G1819,14,1))=IF(MOD(SUMPRODUCT(--MID(G1819,{1,2,3,4,5,6,7,8,9,10,11,12,13},1),{6,5,4,3,2,9,8,7,6,5,4,3,2}),11)&lt;2,0,11-MOD(SUMPRODUCT(--MID(G1819,{1,2,3,4,5,6,7,8,9,10,11,12,13},1),{6,5,4,3,2,9,8,7,6,5,4,3,2}),11))),"OK","AVISO: dígito verificador (conferir na org)"))))</f>
      </c>
      <c r="I1819" s="6">
        <f>IF(G1819="","",IF(COUNTIF($G$2:$G$2001,G1819)&gt;1,"DUPLICADO","OK"))</f>
      </c>
      <c r="J1819" s="6">
        <f>IF(COUNTA(A1819:F1819)=0,"",IF(AND(A1819&lt;&gt;"",E1819&lt;&gt;""),"OK","ERRO: faltam "&amp;IF(A1819="","CNPJ; ","")&amp;IF(E1819="","Novo gerente; ","")))</f>
      </c>
      <c r="K1819" s="6">
        <f>IF(COUNTA(A1819:F1819)=0,"",IF(AND(LEFT(H1819,4)&lt;&gt;"ERRO",I1819="OK",J1819="OK"),"OK","REVISAR"))</f>
      </c>
    </row>
    <row r="1820">
      <c r="A1820" s="5"/>
      <c r="B1820" s="4"/>
      <c r="C1820" s="4"/>
      <c r="D1820" s="4"/>
      <c r="E1820" s="5"/>
      <c r="F1820" s="4"/>
      <c r="G1820" s="6">
        <f>IF(A1820="","",SUBSTITUTE(SUBSTITUTE(SUBSTITUTE(SUBSTITUTE(SUBSTITUTE(SUBSTITUTE(SUBSTITUTE(TRIM(A1820),".",""),"/",""),"-","")," ",""),"(",""),")",""),"+",""))</f>
      </c>
      <c r="H1820" s="6">
        <f>IF(G1820="","",IF(LEN(G1820)&lt;&gt;14,"ERRO: "&amp;LEN(G1820)&amp;" dígitos",IF(NOT(ISNUMBER(VALUE(G1820))),"ERRO: não numérico",IF(AND(VALUE(MID(G1820,13,1))=IF(MOD(SUMPRODUCT(--MID(G1820,{1,2,3,4,5,6,7,8,9,10,11,12},1),{5,4,3,2,9,8,7,6,5,4,3,2}),11)&lt;2,0,11-MOD(SUMPRODUCT(--MID(G1820,{1,2,3,4,5,6,7,8,9,10,11,12},1),{5,4,3,2,9,8,7,6,5,4,3,2}),11)),VALUE(MID(G1820,14,1))=IF(MOD(SUMPRODUCT(--MID(G1820,{1,2,3,4,5,6,7,8,9,10,11,12,13},1),{6,5,4,3,2,9,8,7,6,5,4,3,2}),11)&lt;2,0,11-MOD(SUMPRODUCT(--MID(G1820,{1,2,3,4,5,6,7,8,9,10,11,12,13},1),{6,5,4,3,2,9,8,7,6,5,4,3,2}),11))),"OK","AVISO: dígito verificador (conferir na org)"))))</f>
      </c>
      <c r="I1820" s="6">
        <f>IF(G1820="","",IF(COUNTIF($G$2:$G$2001,G1820)&gt;1,"DUPLICADO","OK"))</f>
      </c>
      <c r="J1820" s="6">
        <f>IF(COUNTA(A1820:F1820)=0,"",IF(AND(A1820&lt;&gt;"",E1820&lt;&gt;""),"OK","ERRO: faltam "&amp;IF(A1820="","CNPJ; ","")&amp;IF(E1820="","Novo gerente; ","")))</f>
      </c>
      <c r="K1820" s="6">
        <f>IF(COUNTA(A1820:F1820)=0,"",IF(AND(LEFT(H1820,4)&lt;&gt;"ERRO",I1820="OK",J1820="OK"),"OK","REVISAR"))</f>
      </c>
    </row>
    <row r="1821">
      <c r="A1821" s="5"/>
      <c r="B1821" s="4"/>
      <c r="C1821" s="4"/>
      <c r="D1821" s="4"/>
      <c r="E1821" s="5"/>
      <c r="F1821" s="4"/>
      <c r="G1821" s="6">
        <f>IF(A1821="","",SUBSTITUTE(SUBSTITUTE(SUBSTITUTE(SUBSTITUTE(SUBSTITUTE(SUBSTITUTE(SUBSTITUTE(TRIM(A1821),".",""),"/",""),"-","")," ",""),"(",""),")",""),"+",""))</f>
      </c>
      <c r="H1821" s="6">
        <f>IF(G1821="","",IF(LEN(G1821)&lt;&gt;14,"ERRO: "&amp;LEN(G1821)&amp;" dígitos",IF(NOT(ISNUMBER(VALUE(G1821))),"ERRO: não numérico",IF(AND(VALUE(MID(G1821,13,1))=IF(MOD(SUMPRODUCT(--MID(G1821,{1,2,3,4,5,6,7,8,9,10,11,12},1),{5,4,3,2,9,8,7,6,5,4,3,2}),11)&lt;2,0,11-MOD(SUMPRODUCT(--MID(G1821,{1,2,3,4,5,6,7,8,9,10,11,12},1),{5,4,3,2,9,8,7,6,5,4,3,2}),11)),VALUE(MID(G1821,14,1))=IF(MOD(SUMPRODUCT(--MID(G1821,{1,2,3,4,5,6,7,8,9,10,11,12,13},1),{6,5,4,3,2,9,8,7,6,5,4,3,2}),11)&lt;2,0,11-MOD(SUMPRODUCT(--MID(G1821,{1,2,3,4,5,6,7,8,9,10,11,12,13},1),{6,5,4,3,2,9,8,7,6,5,4,3,2}),11))),"OK","AVISO: dígito verificador (conferir na org)"))))</f>
      </c>
      <c r="I1821" s="6">
        <f>IF(G1821="","",IF(COUNTIF($G$2:$G$2001,G1821)&gt;1,"DUPLICADO","OK"))</f>
      </c>
      <c r="J1821" s="6">
        <f>IF(COUNTA(A1821:F1821)=0,"",IF(AND(A1821&lt;&gt;"",E1821&lt;&gt;""),"OK","ERRO: faltam "&amp;IF(A1821="","CNPJ; ","")&amp;IF(E1821="","Novo gerente; ","")))</f>
      </c>
      <c r="K1821" s="6">
        <f>IF(COUNTA(A1821:F1821)=0,"",IF(AND(LEFT(H1821,4)&lt;&gt;"ERRO",I1821="OK",J1821="OK"),"OK","REVISAR"))</f>
      </c>
    </row>
    <row r="1822">
      <c r="A1822" s="5"/>
      <c r="B1822" s="4"/>
      <c r="C1822" s="4"/>
      <c r="D1822" s="4"/>
      <c r="E1822" s="5"/>
      <c r="F1822" s="4"/>
      <c r="G1822" s="6">
        <f>IF(A1822="","",SUBSTITUTE(SUBSTITUTE(SUBSTITUTE(SUBSTITUTE(SUBSTITUTE(SUBSTITUTE(SUBSTITUTE(TRIM(A1822),".",""),"/",""),"-","")," ",""),"(",""),")",""),"+",""))</f>
      </c>
      <c r="H1822" s="6">
        <f>IF(G1822="","",IF(LEN(G1822)&lt;&gt;14,"ERRO: "&amp;LEN(G1822)&amp;" dígitos",IF(NOT(ISNUMBER(VALUE(G1822))),"ERRO: não numérico",IF(AND(VALUE(MID(G1822,13,1))=IF(MOD(SUMPRODUCT(--MID(G1822,{1,2,3,4,5,6,7,8,9,10,11,12},1),{5,4,3,2,9,8,7,6,5,4,3,2}),11)&lt;2,0,11-MOD(SUMPRODUCT(--MID(G1822,{1,2,3,4,5,6,7,8,9,10,11,12},1),{5,4,3,2,9,8,7,6,5,4,3,2}),11)),VALUE(MID(G1822,14,1))=IF(MOD(SUMPRODUCT(--MID(G1822,{1,2,3,4,5,6,7,8,9,10,11,12,13},1),{6,5,4,3,2,9,8,7,6,5,4,3,2}),11)&lt;2,0,11-MOD(SUMPRODUCT(--MID(G1822,{1,2,3,4,5,6,7,8,9,10,11,12,13},1),{6,5,4,3,2,9,8,7,6,5,4,3,2}),11))),"OK","AVISO: dígito verificador (conferir na org)"))))</f>
      </c>
      <c r="I1822" s="6">
        <f>IF(G1822="","",IF(COUNTIF($G$2:$G$2001,G1822)&gt;1,"DUPLICADO","OK"))</f>
      </c>
      <c r="J1822" s="6">
        <f>IF(COUNTA(A1822:F1822)=0,"",IF(AND(A1822&lt;&gt;"",E1822&lt;&gt;""),"OK","ERRO: faltam "&amp;IF(A1822="","CNPJ; ","")&amp;IF(E1822="","Novo gerente; ","")))</f>
      </c>
      <c r="K1822" s="6">
        <f>IF(COUNTA(A1822:F1822)=0,"",IF(AND(LEFT(H1822,4)&lt;&gt;"ERRO",I1822="OK",J1822="OK"),"OK","REVISAR"))</f>
      </c>
    </row>
    <row r="1823">
      <c r="A1823" s="5"/>
      <c r="B1823" s="4"/>
      <c r="C1823" s="4"/>
      <c r="D1823" s="4"/>
      <c r="E1823" s="5"/>
      <c r="F1823" s="4"/>
      <c r="G1823" s="6">
        <f>IF(A1823="","",SUBSTITUTE(SUBSTITUTE(SUBSTITUTE(SUBSTITUTE(SUBSTITUTE(SUBSTITUTE(SUBSTITUTE(TRIM(A1823),".",""),"/",""),"-","")," ",""),"(",""),")",""),"+",""))</f>
      </c>
      <c r="H1823" s="6">
        <f>IF(G1823="","",IF(LEN(G1823)&lt;&gt;14,"ERRO: "&amp;LEN(G1823)&amp;" dígitos",IF(NOT(ISNUMBER(VALUE(G1823))),"ERRO: não numérico",IF(AND(VALUE(MID(G1823,13,1))=IF(MOD(SUMPRODUCT(--MID(G1823,{1,2,3,4,5,6,7,8,9,10,11,12},1),{5,4,3,2,9,8,7,6,5,4,3,2}),11)&lt;2,0,11-MOD(SUMPRODUCT(--MID(G1823,{1,2,3,4,5,6,7,8,9,10,11,12},1),{5,4,3,2,9,8,7,6,5,4,3,2}),11)),VALUE(MID(G1823,14,1))=IF(MOD(SUMPRODUCT(--MID(G1823,{1,2,3,4,5,6,7,8,9,10,11,12,13},1),{6,5,4,3,2,9,8,7,6,5,4,3,2}),11)&lt;2,0,11-MOD(SUMPRODUCT(--MID(G1823,{1,2,3,4,5,6,7,8,9,10,11,12,13},1),{6,5,4,3,2,9,8,7,6,5,4,3,2}),11))),"OK","AVISO: dígito verificador (conferir na org)"))))</f>
      </c>
      <c r="I1823" s="6">
        <f>IF(G1823="","",IF(COUNTIF($G$2:$G$2001,G1823)&gt;1,"DUPLICADO","OK"))</f>
      </c>
      <c r="J1823" s="6">
        <f>IF(COUNTA(A1823:F1823)=0,"",IF(AND(A1823&lt;&gt;"",E1823&lt;&gt;""),"OK","ERRO: faltam "&amp;IF(A1823="","CNPJ; ","")&amp;IF(E1823="","Novo gerente; ","")))</f>
      </c>
      <c r="K1823" s="6">
        <f>IF(COUNTA(A1823:F1823)=0,"",IF(AND(LEFT(H1823,4)&lt;&gt;"ERRO",I1823="OK",J1823="OK"),"OK","REVISAR"))</f>
      </c>
    </row>
    <row r="1824">
      <c r="A1824" s="5"/>
      <c r="B1824" s="4"/>
      <c r="C1824" s="4"/>
      <c r="D1824" s="4"/>
      <c r="E1824" s="5"/>
      <c r="F1824" s="4"/>
      <c r="G1824" s="6">
        <f>IF(A1824="","",SUBSTITUTE(SUBSTITUTE(SUBSTITUTE(SUBSTITUTE(SUBSTITUTE(SUBSTITUTE(SUBSTITUTE(TRIM(A1824),".",""),"/",""),"-","")," ",""),"(",""),")",""),"+",""))</f>
      </c>
      <c r="H1824" s="6">
        <f>IF(G1824="","",IF(LEN(G1824)&lt;&gt;14,"ERRO: "&amp;LEN(G1824)&amp;" dígitos",IF(NOT(ISNUMBER(VALUE(G1824))),"ERRO: não numérico",IF(AND(VALUE(MID(G1824,13,1))=IF(MOD(SUMPRODUCT(--MID(G1824,{1,2,3,4,5,6,7,8,9,10,11,12},1),{5,4,3,2,9,8,7,6,5,4,3,2}),11)&lt;2,0,11-MOD(SUMPRODUCT(--MID(G1824,{1,2,3,4,5,6,7,8,9,10,11,12},1),{5,4,3,2,9,8,7,6,5,4,3,2}),11)),VALUE(MID(G1824,14,1))=IF(MOD(SUMPRODUCT(--MID(G1824,{1,2,3,4,5,6,7,8,9,10,11,12,13},1),{6,5,4,3,2,9,8,7,6,5,4,3,2}),11)&lt;2,0,11-MOD(SUMPRODUCT(--MID(G1824,{1,2,3,4,5,6,7,8,9,10,11,12,13},1),{6,5,4,3,2,9,8,7,6,5,4,3,2}),11))),"OK","AVISO: dígito verificador (conferir na org)"))))</f>
      </c>
      <c r="I1824" s="6">
        <f>IF(G1824="","",IF(COUNTIF($G$2:$G$2001,G1824)&gt;1,"DUPLICADO","OK"))</f>
      </c>
      <c r="J1824" s="6">
        <f>IF(COUNTA(A1824:F1824)=0,"",IF(AND(A1824&lt;&gt;"",E1824&lt;&gt;""),"OK","ERRO: faltam "&amp;IF(A1824="","CNPJ; ","")&amp;IF(E1824="","Novo gerente; ","")))</f>
      </c>
      <c r="K1824" s="6">
        <f>IF(COUNTA(A1824:F1824)=0,"",IF(AND(LEFT(H1824,4)&lt;&gt;"ERRO",I1824="OK",J1824="OK"),"OK","REVISAR"))</f>
      </c>
    </row>
    <row r="1825">
      <c r="A1825" s="5"/>
      <c r="B1825" s="4"/>
      <c r="C1825" s="4"/>
      <c r="D1825" s="4"/>
      <c r="E1825" s="5"/>
      <c r="F1825" s="4"/>
      <c r="G1825" s="6">
        <f>IF(A1825="","",SUBSTITUTE(SUBSTITUTE(SUBSTITUTE(SUBSTITUTE(SUBSTITUTE(SUBSTITUTE(SUBSTITUTE(TRIM(A1825),".",""),"/",""),"-","")," ",""),"(",""),")",""),"+",""))</f>
      </c>
      <c r="H1825" s="6">
        <f>IF(G1825="","",IF(LEN(G1825)&lt;&gt;14,"ERRO: "&amp;LEN(G1825)&amp;" dígitos",IF(NOT(ISNUMBER(VALUE(G1825))),"ERRO: não numérico",IF(AND(VALUE(MID(G1825,13,1))=IF(MOD(SUMPRODUCT(--MID(G1825,{1,2,3,4,5,6,7,8,9,10,11,12},1),{5,4,3,2,9,8,7,6,5,4,3,2}),11)&lt;2,0,11-MOD(SUMPRODUCT(--MID(G1825,{1,2,3,4,5,6,7,8,9,10,11,12},1),{5,4,3,2,9,8,7,6,5,4,3,2}),11)),VALUE(MID(G1825,14,1))=IF(MOD(SUMPRODUCT(--MID(G1825,{1,2,3,4,5,6,7,8,9,10,11,12,13},1),{6,5,4,3,2,9,8,7,6,5,4,3,2}),11)&lt;2,0,11-MOD(SUMPRODUCT(--MID(G1825,{1,2,3,4,5,6,7,8,9,10,11,12,13},1),{6,5,4,3,2,9,8,7,6,5,4,3,2}),11))),"OK","AVISO: dígito verificador (conferir na org)"))))</f>
      </c>
      <c r="I1825" s="6">
        <f>IF(G1825="","",IF(COUNTIF($G$2:$G$2001,G1825)&gt;1,"DUPLICADO","OK"))</f>
      </c>
      <c r="J1825" s="6">
        <f>IF(COUNTA(A1825:F1825)=0,"",IF(AND(A1825&lt;&gt;"",E1825&lt;&gt;""),"OK","ERRO: faltam "&amp;IF(A1825="","CNPJ; ","")&amp;IF(E1825="","Novo gerente; ","")))</f>
      </c>
      <c r="K1825" s="6">
        <f>IF(COUNTA(A1825:F1825)=0,"",IF(AND(LEFT(H1825,4)&lt;&gt;"ERRO",I1825="OK",J1825="OK"),"OK","REVISAR"))</f>
      </c>
    </row>
    <row r="1826">
      <c r="A1826" s="5"/>
      <c r="B1826" s="4"/>
      <c r="C1826" s="4"/>
      <c r="D1826" s="4"/>
      <c r="E1826" s="5"/>
      <c r="F1826" s="4"/>
      <c r="G1826" s="6">
        <f>IF(A1826="","",SUBSTITUTE(SUBSTITUTE(SUBSTITUTE(SUBSTITUTE(SUBSTITUTE(SUBSTITUTE(SUBSTITUTE(TRIM(A1826),".",""),"/",""),"-","")," ",""),"(",""),")",""),"+",""))</f>
      </c>
      <c r="H1826" s="6">
        <f>IF(G1826="","",IF(LEN(G1826)&lt;&gt;14,"ERRO: "&amp;LEN(G1826)&amp;" dígitos",IF(NOT(ISNUMBER(VALUE(G1826))),"ERRO: não numérico",IF(AND(VALUE(MID(G1826,13,1))=IF(MOD(SUMPRODUCT(--MID(G1826,{1,2,3,4,5,6,7,8,9,10,11,12},1),{5,4,3,2,9,8,7,6,5,4,3,2}),11)&lt;2,0,11-MOD(SUMPRODUCT(--MID(G1826,{1,2,3,4,5,6,7,8,9,10,11,12},1),{5,4,3,2,9,8,7,6,5,4,3,2}),11)),VALUE(MID(G1826,14,1))=IF(MOD(SUMPRODUCT(--MID(G1826,{1,2,3,4,5,6,7,8,9,10,11,12,13},1),{6,5,4,3,2,9,8,7,6,5,4,3,2}),11)&lt;2,0,11-MOD(SUMPRODUCT(--MID(G1826,{1,2,3,4,5,6,7,8,9,10,11,12,13},1),{6,5,4,3,2,9,8,7,6,5,4,3,2}),11))),"OK","AVISO: dígito verificador (conferir na org)"))))</f>
      </c>
      <c r="I1826" s="6">
        <f>IF(G1826="","",IF(COUNTIF($G$2:$G$2001,G1826)&gt;1,"DUPLICADO","OK"))</f>
      </c>
      <c r="J1826" s="6">
        <f>IF(COUNTA(A1826:F1826)=0,"",IF(AND(A1826&lt;&gt;"",E1826&lt;&gt;""),"OK","ERRO: faltam "&amp;IF(A1826="","CNPJ; ","")&amp;IF(E1826="","Novo gerente; ","")))</f>
      </c>
      <c r="K1826" s="6">
        <f>IF(COUNTA(A1826:F1826)=0,"",IF(AND(LEFT(H1826,4)&lt;&gt;"ERRO",I1826="OK",J1826="OK"),"OK","REVISAR"))</f>
      </c>
    </row>
    <row r="1827">
      <c r="A1827" s="5"/>
      <c r="B1827" s="4"/>
      <c r="C1827" s="4"/>
      <c r="D1827" s="4"/>
      <c r="E1827" s="5"/>
      <c r="F1827" s="4"/>
      <c r="G1827" s="6">
        <f>IF(A1827="","",SUBSTITUTE(SUBSTITUTE(SUBSTITUTE(SUBSTITUTE(SUBSTITUTE(SUBSTITUTE(SUBSTITUTE(TRIM(A1827),".",""),"/",""),"-","")," ",""),"(",""),")",""),"+",""))</f>
      </c>
      <c r="H1827" s="6">
        <f>IF(G1827="","",IF(LEN(G1827)&lt;&gt;14,"ERRO: "&amp;LEN(G1827)&amp;" dígitos",IF(NOT(ISNUMBER(VALUE(G1827))),"ERRO: não numérico",IF(AND(VALUE(MID(G1827,13,1))=IF(MOD(SUMPRODUCT(--MID(G1827,{1,2,3,4,5,6,7,8,9,10,11,12},1),{5,4,3,2,9,8,7,6,5,4,3,2}),11)&lt;2,0,11-MOD(SUMPRODUCT(--MID(G1827,{1,2,3,4,5,6,7,8,9,10,11,12},1),{5,4,3,2,9,8,7,6,5,4,3,2}),11)),VALUE(MID(G1827,14,1))=IF(MOD(SUMPRODUCT(--MID(G1827,{1,2,3,4,5,6,7,8,9,10,11,12,13},1),{6,5,4,3,2,9,8,7,6,5,4,3,2}),11)&lt;2,0,11-MOD(SUMPRODUCT(--MID(G1827,{1,2,3,4,5,6,7,8,9,10,11,12,13},1),{6,5,4,3,2,9,8,7,6,5,4,3,2}),11))),"OK","AVISO: dígito verificador (conferir na org)"))))</f>
      </c>
      <c r="I1827" s="6">
        <f>IF(G1827="","",IF(COUNTIF($G$2:$G$2001,G1827)&gt;1,"DUPLICADO","OK"))</f>
      </c>
      <c r="J1827" s="6">
        <f>IF(COUNTA(A1827:F1827)=0,"",IF(AND(A1827&lt;&gt;"",E1827&lt;&gt;""),"OK","ERRO: faltam "&amp;IF(A1827="","CNPJ; ","")&amp;IF(E1827="","Novo gerente; ","")))</f>
      </c>
      <c r="K1827" s="6">
        <f>IF(COUNTA(A1827:F1827)=0,"",IF(AND(LEFT(H1827,4)&lt;&gt;"ERRO",I1827="OK",J1827="OK"),"OK","REVISAR"))</f>
      </c>
    </row>
    <row r="1828">
      <c r="A1828" s="5"/>
      <c r="B1828" s="4"/>
      <c r="C1828" s="4"/>
      <c r="D1828" s="4"/>
      <c r="E1828" s="5"/>
      <c r="F1828" s="4"/>
      <c r="G1828" s="6">
        <f>IF(A1828="","",SUBSTITUTE(SUBSTITUTE(SUBSTITUTE(SUBSTITUTE(SUBSTITUTE(SUBSTITUTE(SUBSTITUTE(TRIM(A1828),".",""),"/",""),"-","")," ",""),"(",""),")",""),"+",""))</f>
      </c>
      <c r="H1828" s="6">
        <f>IF(G1828="","",IF(LEN(G1828)&lt;&gt;14,"ERRO: "&amp;LEN(G1828)&amp;" dígitos",IF(NOT(ISNUMBER(VALUE(G1828))),"ERRO: não numérico",IF(AND(VALUE(MID(G1828,13,1))=IF(MOD(SUMPRODUCT(--MID(G1828,{1,2,3,4,5,6,7,8,9,10,11,12},1),{5,4,3,2,9,8,7,6,5,4,3,2}),11)&lt;2,0,11-MOD(SUMPRODUCT(--MID(G1828,{1,2,3,4,5,6,7,8,9,10,11,12},1),{5,4,3,2,9,8,7,6,5,4,3,2}),11)),VALUE(MID(G1828,14,1))=IF(MOD(SUMPRODUCT(--MID(G1828,{1,2,3,4,5,6,7,8,9,10,11,12,13},1),{6,5,4,3,2,9,8,7,6,5,4,3,2}),11)&lt;2,0,11-MOD(SUMPRODUCT(--MID(G1828,{1,2,3,4,5,6,7,8,9,10,11,12,13},1),{6,5,4,3,2,9,8,7,6,5,4,3,2}),11))),"OK","AVISO: dígito verificador (conferir na org)"))))</f>
      </c>
      <c r="I1828" s="6">
        <f>IF(G1828="","",IF(COUNTIF($G$2:$G$2001,G1828)&gt;1,"DUPLICADO","OK"))</f>
      </c>
      <c r="J1828" s="6">
        <f>IF(COUNTA(A1828:F1828)=0,"",IF(AND(A1828&lt;&gt;"",E1828&lt;&gt;""),"OK","ERRO: faltam "&amp;IF(A1828="","CNPJ; ","")&amp;IF(E1828="","Novo gerente; ","")))</f>
      </c>
      <c r="K1828" s="6">
        <f>IF(COUNTA(A1828:F1828)=0,"",IF(AND(LEFT(H1828,4)&lt;&gt;"ERRO",I1828="OK",J1828="OK"),"OK","REVISAR"))</f>
      </c>
    </row>
    <row r="1829">
      <c r="A1829" s="5"/>
      <c r="B1829" s="4"/>
      <c r="C1829" s="4"/>
      <c r="D1829" s="4"/>
      <c r="E1829" s="5"/>
      <c r="F1829" s="4"/>
      <c r="G1829" s="6">
        <f>IF(A1829="","",SUBSTITUTE(SUBSTITUTE(SUBSTITUTE(SUBSTITUTE(SUBSTITUTE(SUBSTITUTE(SUBSTITUTE(TRIM(A1829),".",""),"/",""),"-","")," ",""),"(",""),")",""),"+",""))</f>
      </c>
      <c r="H1829" s="6">
        <f>IF(G1829="","",IF(LEN(G1829)&lt;&gt;14,"ERRO: "&amp;LEN(G1829)&amp;" dígitos",IF(NOT(ISNUMBER(VALUE(G1829))),"ERRO: não numérico",IF(AND(VALUE(MID(G1829,13,1))=IF(MOD(SUMPRODUCT(--MID(G1829,{1,2,3,4,5,6,7,8,9,10,11,12},1),{5,4,3,2,9,8,7,6,5,4,3,2}),11)&lt;2,0,11-MOD(SUMPRODUCT(--MID(G1829,{1,2,3,4,5,6,7,8,9,10,11,12},1),{5,4,3,2,9,8,7,6,5,4,3,2}),11)),VALUE(MID(G1829,14,1))=IF(MOD(SUMPRODUCT(--MID(G1829,{1,2,3,4,5,6,7,8,9,10,11,12,13},1),{6,5,4,3,2,9,8,7,6,5,4,3,2}),11)&lt;2,0,11-MOD(SUMPRODUCT(--MID(G1829,{1,2,3,4,5,6,7,8,9,10,11,12,13},1),{6,5,4,3,2,9,8,7,6,5,4,3,2}),11))),"OK","AVISO: dígito verificador (conferir na org)"))))</f>
      </c>
      <c r="I1829" s="6">
        <f>IF(G1829="","",IF(COUNTIF($G$2:$G$2001,G1829)&gt;1,"DUPLICADO","OK"))</f>
      </c>
      <c r="J1829" s="6">
        <f>IF(COUNTA(A1829:F1829)=0,"",IF(AND(A1829&lt;&gt;"",E1829&lt;&gt;""),"OK","ERRO: faltam "&amp;IF(A1829="","CNPJ; ","")&amp;IF(E1829="","Novo gerente; ","")))</f>
      </c>
      <c r="K1829" s="6">
        <f>IF(COUNTA(A1829:F1829)=0,"",IF(AND(LEFT(H1829,4)&lt;&gt;"ERRO",I1829="OK",J1829="OK"),"OK","REVISAR"))</f>
      </c>
    </row>
    <row r="1830">
      <c r="A1830" s="5"/>
      <c r="B1830" s="4"/>
      <c r="C1830" s="4"/>
      <c r="D1830" s="4"/>
      <c r="E1830" s="5"/>
      <c r="F1830" s="4"/>
      <c r="G1830" s="6">
        <f>IF(A1830="","",SUBSTITUTE(SUBSTITUTE(SUBSTITUTE(SUBSTITUTE(SUBSTITUTE(SUBSTITUTE(SUBSTITUTE(TRIM(A1830),".",""),"/",""),"-","")," ",""),"(",""),")",""),"+",""))</f>
      </c>
      <c r="H1830" s="6">
        <f>IF(G1830="","",IF(LEN(G1830)&lt;&gt;14,"ERRO: "&amp;LEN(G1830)&amp;" dígitos",IF(NOT(ISNUMBER(VALUE(G1830))),"ERRO: não numérico",IF(AND(VALUE(MID(G1830,13,1))=IF(MOD(SUMPRODUCT(--MID(G1830,{1,2,3,4,5,6,7,8,9,10,11,12},1),{5,4,3,2,9,8,7,6,5,4,3,2}),11)&lt;2,0,11-MOD(SUMPRODUCT(--MID(G1830,{1,2,3,4,5,6,7,8,9,10,11,12},1),{5,4,3,2,9,8,7,6,5,4,3,2}),11)),VALUE(MID(G1830,14,1))=IF(MOD(SUMPRODUCT(--MID(G1830,{1,2,3,4,5,6,7,8,9,10,11,12,13},1),{6,5,4,3,2,9,8,7,6,5,4,3,2}),11)&lt;2,0,11-MOD(SUMPRODUCT(--MID(G1830,{1,2,3,4,5,6,7,8,9,10,11,12,13},1),{6,5,4,3,2,9,8,7,6,5,4,3,2}),11))),"OK","AVISO: dígito verificador (conferir na org)"))))</f>
      </c>
      <c r="I1830" s="6">
        <f>IF(G1830="","",IF(COUNTIF($G$2:$G$2001,G1830)&gt;1,"DUPLICADO","OK"))</f>
      </c>
      <c r="J1830" s="6">
        <f>IF(COUNTA(A1830:F1830)=0,"",IF(AND(A1830&lt;&gt;"",E1830&lt;&gt;""),"OK","ERRO: faltam "&amp;IF(A1830="","CNPJ; ","")&amp;IF(E1830="","Novo gerente; ","")))</f>
      </c>
      <c r="K1830" s="6">
        <f>IF(COUNTA(A1830:F1830)=0,"",IF(AND(LEFT(H1830,4)&lt;&gt;"ERRO",I1830="OK",J1830="OK"),"OK","REVISAR"))</f>
      </c>
    </row>
    <row r="1831">
      <c r="A1831" s="5"/>
      <c r="B1831" s="4"/>
      <c r="C1831" s="4"/>
      <c r="D1831" s="4"/>
      <c r="E1831" s="5"/>
      <c r="F1831" s="4"/>
      <c r="G1831" s="6">
        <f>IF(A1831="","",SUBSTITUTE(SUBSTITUTE(SUBSTITUTE(SUBSTITUTE(SUBSTITUTE(SUBSTITUTE(SUBSTITUTE(TRIM(A1831),".",""),"/",""),"-","")," ",""),"(",""),")",""),"+",""))</f>
      </c>
      <c r="H1831" s="6">
        <f>IF(G1831="","",IF(LEN(G1831)&lt;&gt;14,"ERRO: "&amp;LEN(G1831)&amp;" dígitos",IF(NOT(ISNUMBER(VALUE(G1831))),"ERRO: não numérico",IF(AND(VALUE(MID(G1831,13,1))=IF(MOD(SUMPRODUCT(--MID(G1831,{1,2,3,4,5,6,7,8,9,10,11,12},1),{5,4,3,2,9,8,7,6,5,4,3,2}),11)&lt;2,0,11-MOD(SUMPRODUCT(--MID(G1831,{1,2,3,4,5,6,7,8,9,10,11,12},1),{5,4,3,2,9,8,7,6,5,4,3,2}),11)),VALUE(MID(G1831,14,1))=IF(MOD(SUMPRODUCT(--MID(G1831,{1,2,3,4,5,6,7,8,9,10,11,12,13},1),{6,5,4,3,2,9,8,7,6,5,4,3,2}),11)&lt;2,0,11-MOD(SUMPRODUCT(--MID(G1831,{1,2,3,4,5,6,7,8,9,10,11,12,13},1),{6,5,4,3,2,9,8,7,6,5,4,3,2}),11))),"OK","AVISO: dígito verificador (conferir na org)"))))</f>
      </c>
      <c r="I1831" s="6">
        <f>IF(G1831="","",IF(COUNTIF($G$2:$G$2001,G1831)&gt;1,"DUPLICADO","OK"))</f>
      </c>
      <c r="J1831" s="6">
        <f>IF(COUNTA(A1831:F1831)=0,"",IF(AND(A1831&lt;&gt;"",E1831&lt;&gt;""),"OK","ERRO: faltam "&amp;IF(A1831="","CNPJ; ","")&amp;IF(E1831="","Novo gerente; ","")))</f>
      </c>
      <c r="K1831" s="6">
        <f>IF(COUNTA(A1831:F1831)=0,"",IF(AND(LEFT(H1831,4)&lt;&gt;"ERRO",I1831="OK",J1831="OK"),"OK","REVISAR"))</f>
      </c>
    </row>
    <row r="1832">
      <c r="A1832" s="5"/>
      <c r="B1832" s="4"/>
      <c r="C1832" s="4"/>
      <c r="D1832" s="4"/>
      <c r="E1832" s="5"/>
      <c r="F1832" s="4"/>
      <c r="G1832" s="6">
        <f>IF(A1832="","",SUBSTITUTE(SUBSTITUTE(SUBSTITUTE(SUBSTITUTE(SUBSTITUTE(SUBSTITUTE(SUBSTITUTE(TRIM(A1832),".",""),"/",""),"-","")," ",""),"(",""),")",""),"+",""))</f>
      </c>
      <c r="H1832" s="6">
        <f>IF(G1832="","",IF(LEN(G1832)&lt;&gt;14,"ERRO: "&amp;LEN(G1832)&amp;" dígitos",IF(NOT(ISNUMBER(VALUE(G1832))),"ERRO: não numérico",IF(AND(VALUE(MID(G1832,13,1))=IF(MOD(SUMPRODUCT(--MID(G1832,{1,2,3,4,5,6,7,8,9,10,11,12},1),{5,4,3,2,9,8,7,6,5,4,3,2}),11)&lt;2,0,11-MOD(SUMPRODUCT(--MID(G1832,{1,2,3,4,5,6,7,8,9,10,11,12},1),{5,4,3,2,9,8,7,6,5,4,3,2}),11)),VALUE(MID(G1832,14,1))=IF(MOD(SUMPRODUCT(--MID(G1832,{1,2,3,4,5,6,7,8,9,10,11,12,13},1),{6,5,4,3,2,9,8,7,6,5,4,3,2}),11)&lt;2,0,11-MOD(SUMPRODUCT(--MID(G1832,{1,2,3,4,5,6,7,8,9,10,11,12,13},1),{6,5,4,3,2,9,8,7,6,5,4,3,2}),11))),"OK","AVISO: dígito verificador (conferir na org)"))))</f>
      </c>
      <c r="I1832" s="6">
        <f>IF(G1832="","",IF(COUNTIF($G$2:$G$2001,G1832)&gt;1,"DUPLICADO","OK"))</f>
      </c>
      <c r="J1832" s="6">
        <f>IF(COUNTA(A1832:F1832)=0,"",IF(AND(A1832&lt;&gt;"",E1832&lt;&gt;""),"OK","ERRO: faltam "&amp;IF(A1832="","CNPJ; ","")&amp;IF(E1832="","Novo gerente; ","")))</f>
      </c>
      <c r="K1832" s="6">
        <f>IF(COUNTA(A1832:F1832)=0,"",IF(AND(LEFT(H1832,4)&lt;&gt;"ERRO",I1832="OK",J1832="OK"),"OK","REVISAR"))</f>
      </c>
    </row>
    <row r="1833">
      <c r="A1833" s="5"/>
      <c r="B1833" s="4"/>
      <c r="C1833" s="4"/>
      <c r="D1833" s="4"/>
      <c r="E1833" s="5"/>
      <c r="F1833" s="4"/>
      <c r="G1833" s="6">
        <f>IF(A1833="","",SUBSTITUTE(SUBSTITUTE(SUBSTITUTE(SUBSTITUTE(SUBSTITUTE(SUBSTITUTE(SUBSTITUTE(TRIM(A1833),".",""),"/",""),"-","")," ",""),"(",""),")",""),"+",""))</f>
      </c>
      <c r="H1833" s="6">
        <f>IF(G1833="","",IF(LEN(G1833)&lt;&gt;14,"ERRO: "&amp;LEN(G1833)&amp;" dígitos",IF(NOT(ISNUMBER(VALUE(G1833))),"ERRO: não numérico",IF(AND(VALUE(MID(G1833,13,1))=IF(MOD(SUMPRODUCT(--MID(G1833,{1,2,3,4,5,6,7,8,9,10,11,12},1),{5,4,3,2,9,8,7,6,5,4,3,2}),11)&lt;2,0,11-MOD(SUMPRODUCT(--MID(G1833,{1,2,3,4,5,6,7,8,9,10,11,12},1),{5,4,3,2,9,8,7,6,5,4,3,2}),11)),VALUE(MID(G1833,14,1))=IF(MOD(SUMPRODUCT(--MID(G1833,{1,2,3,4,5,6,7,8,9,10,11,12,13},1),{6,5,4,3,2,9,8,7,6,5,4,3,2}),11)&lt;2,0,11-MOD(SUMPRODUCT(--MID(G1833,{1,2,3,4,5,6,7,8,9,10,11,12,13},1),{6,5,4,3,2,9,8,7,6,5,4,3,2}),11))),"OK","AVISO: dígito verificador (conferir na org)"))))</f>
      </c>
      <c r="I1833" s="6">
        <f>IF(G1833="","",IF(COUNTIF($G$2:$G$2001,G1833)&gt;1,"DUPLICADO","OK"))</f>
      </c>
      <c r="J1833" s="6">
        <f>IF(COUNTA(A1833:F1833)=0,"",IF(AND(A1833&lt;&gt;"",E1833&lt;&gt;""),"OK","ERRO: faltam "&amp;IF(A1833="","CNPJ; ","")&amp;IF(E1833="","Novo gerente; ","")))</f>
      </c>
      <c r="K1833" s="6">
        <f>IF(COUNTA(A1833:F1833)=0,"",IF(AND(LEFT(H1833,4)&lt;&gt;"ERRO",I1833="OK",J1833="OK"),"OK","REVISAR"))</f>
      </c>
    </row>
    <row r="1834">
      <c r="A1834" s="5"/>
      <c r="B1834" s="4"/>
      <c r="C1834" s="4"/>
      <c r="D1834" s="4"/>
      <c r="E1834" s="5"/>
      <c r="F1834" s="4"/>
      <c r="G1834" s="6">
        <f>IF(A1834="","",SUBSTITUTE(SUBSTITUTE(SUBSTITUTE(SUBSTITUTE(SUBSTITUTE(SUBSTITUTE(SUBSTITUTE(TRIM(A1834),".",""),"/",""),"-","")," ",""),"(",""),")",""),"+",""))</f>
      </c>
      <c r="H1834" s="6">
        <f>IF(G1834="","",IF(LEN(G1834)&lt;&gt;14,"ERRO: "&amp;LEN(G1834)&amp;" dígitos",IF(NOT(ISNUMBER(VALUE(G1834))),"ERRO: não numérico",IF(AND(VALUE(MID(G1834,13,1))=IF(MOD(SUMPRODUCT(--MID(G1834,{1,2,3,4,5,6,7,8,9,10,11,12},1),{5,4,3,2,9,8,7,6,5,4,3,2}),11)&lt;2,0,11-MOD(SUMPRODUCT(--MID(G1834,{1,2,3,4,5,6,7,8,9,10,11,12},1),{5,4,3,2,9,8,7,6,5,4,3,2}),11)),VALUE(MID(G1834,14,1))=IF(MOD(SUMPRODUCT(--MID(G1834,{1,2,3,4,5,6,7,8,9,10,11,12,13},1),{6,5,4,3,2,9,8,7,6,5,4,3,2}),11)&lt;2,0,11-MOD(SUMPRODUCT(--MID(G1834,{1,2,3,4,5,6,7,8,9,10,11,12,13},1),{6,5,4,3,2,9,8,7,6,5,4,3,2}),11))),"OK","AVISO: dígito verificador (conferir na org)"))))</f>
      </c>
      <c r="I1834" s="6">
        <f>IF(G1834="","",IF(COUNTIF($G$2:$G$2001,G1834)&gt;1,"DUPLICADO","OK"))</f>
      </c>
      <c r="J1834" s="6">
        <f>IF(COUNTA(A1834:F1834)=0,"",IF(AND(A1834&lt;&gt;"",E1834&lt;&gt;""),"OK","ERRO: faltam "&amp;IF(A1834="","CNPJ; ","")&amp;IF(E1834="","Novo gerente; ","")))</f>
      </c>
      <c r="K1834" s="6">
        <f>IF(COUNTA(A1834:F1834)=0,"",IF(AND(LEFT(H1834,4)&lt;&gt;"ERRO",I1834="OK",J1834="OK"),"OK","REVISAR"))</f>
      </c>
    </row>
    <row r="1835">
      <c r="A1835" s="5"/>
      <c r="B1835" s="4"/>
      <c r="C1835" s="4"/>
      <c r="D1835" s="4"/>
      <c r="E1835" s="5"/>
      <c r="F1835" s="4"/>
      <c r="G1835" s="6">
        <f>IF(A1835="","",SUBSTITUTE(SUBSTITUTE(SUBSTITUTE(SUBSTITUTE(SUBSTITUTE(SUBSTITUTE(SUBSTITUTE(TRIM(A1835),".",""),"/",""),"-","")," ",""),"(",""),")",""),"+",""))</f>
      </c>
      <c r="H1835" s="6">
        <f>IF(G1835="","",IF(LEN(G1835)&lt;&gt;14,"ERRO: "&amp;LEN(G1835)&amp;" dígitos",IF(NOT(ISNUMBER(VALUE(G1835))),"ERRO: não numérico",IF(AND(VALUE(MID(G1835,13,1))=IF(MOD(SUMPRODUCT(--MID(G1835,{1,2,3,4,5,6,7,8,9,10,11,12},1),{5,4,3,2,9,8,7,6,5,4,3,2}),11)&lt;2,0,11-MOD(SUMPRODUCT(--MID(G1835,{1,2,3,4,5,6,7,8,9,10,11,12},1),{5,4,3,2,9,8,7,6,5,4,3,2}),11)),VALUE(MID(G1835,14,1))=IF(MOD(SUMPRODUCT(--MID(G1835,{1,2,3,4,5,6,7,8,9,10,11,12,13},1),{6,5,4,3,2,9,8,7,6,5,4,3,2}),11)&lt;2,0,11-MOD(SUMPRODUCT(--MID(G1835,{1,2,3,4,5,6,7,8,9,10,11,12,13},1),{6,5,4,3,2,9,8,7,6,5,4,3,2}),11))),"OK","AVISO: dígito verificador (conferir na org)"))))</f>
      </c>
      <c r="I1835" s="6">
        <f>IF(G1835="","",IF(COUNTIF($G$2:$G$2001,G1835)&gt;1,"DUPLICADO","OK"))</f>
      </c>
      <c r="J1835" s="6">
        <f>IF(COUNTA(A1835:F1835)=0,"",IF(AND(A1835&lt;&gt;"",E1835&lt;&gt;""),"OK","ERRO: faltam "&amp;IF(A1835="","CNPJ; ","")&amp;IF(E1835="","Novo gerente; ","")))</f>
      </c>
      <c r="K1835" s="6">
        <f>IF(COUNTA(A1835:F1835)=0,"",IF(AND(LEFT(H1835,4)&lt;&gt;"ERRO",I1835="OK",J1835="OK"),"OK","REVISAR"))</f>
      </c>
    </row>
    <row r="1836">
      <c r="A1836" s="5"/>
      <c r="B1836" s="4"/>
      <c r="C1836" s="4"/>
      <c r="D1836" s="4"/>
      <c r="E1836" s="5"/>
      <c r="F1836" s="4"/>
      <c r="G1836" s="6">
        <f>IF(A1836="","",SUBSTITUTE(SUBSTITUTE(SUBSTITUTE(SUBSTITUTE(SUBSTITUTE(SUBSTITUTE(SUBSTITUTE(TRIM(A1836),".",""),"/",""),"-","")," ",""),"(",""),")",""),"+",""))</f>
      </c>
      <c r="H1836" s="6">
        <f>IF(G1836="","",IF(LEN(G1836)&lt;&gt;14,"ERRO: "&amp;LEN(G1836)&amp;" dígitos",IF(NOT(ISNUMBER(VALUE(G1836))),"ERRO: não numérico",IF(AND(VALUE(MID(G1836,13,1))=IF(MOD(SUMPRODUCT(--MID(G1836,{1,2,3,4,5,6,7,8,9,10,11,12},1),{5,4,3,2,9,8,7,6,5,4,3,2}),11)&lt;2,0,11-MOD(SUMPRODUCT(--MID(G1836,{1,2,3,4,5,6,7,8,9,10,11,12},1),{5,4,3,2,9,8,7,6,5,4,3,2}),11)),VALUE(MID(G1836,14,1))=IF(MOD(SUMPRODUCT(--MID(G1836,{1,2,3,4,5,6,7,8,9,10,11,12,13},1),{6,5,4,3,2,9,8,7,6,5,4,3,2}),11)&lt;2,0,11-MOD(SUMPRODUCT(--MID(G1836,{1,2,3,4,5,6,7,8,9,10,11,12,13},1),{6,5,4,3,2,9,8,7,6,5,4,3,2}),11))),"OK","AVISO: dígito verificador (conferir na org)"))))</f>
      </c>
      <c r="I1836" s="6">
        <f>IF(G1836="","",IF(COUNTIF($G$2:$G$2001,G1836)&gt;1,"DUPLICADO","OK"))</f>
      </c>
      <c r="J1836" s="6">
        <f>IF(COUNTA(A1836:F1836)=0,"",IF(AND(A1836&lt;&gt;"",E1836&lt;&gt;""),"OK","ERRO: faltam "&amp;IF(A1836="","CNPJ; ","")&amp;IF(E1836="","Novo gerente; ","")))</f>
      </c>
      <c r="K1836" s="6">
        <f>IF(COUNTA(A1836:F1836)=0,"",IF(AND(LEFT(H1836,4)&lt;&gt;"ERRO",I1836="OK",J1836="OK"),"OK","REVISAR"))</f>
      </c>
    </row>
    <row r="1837">
      <c r="A1837" s="5"/>
      <c r="B1837" s="4"/>
      <c r="C1837" s="4"/>
      <c r="D1837" s="4"/>
      <c r="E1837" s="5"/>
      <c r="F1837" s="4"/>
      <c r="G1837" s="6">
        <f>IF(A1837="","",SUBSTITUTE(SUBSTITUTE(SUBSTITUTE(SUBSTITUTE(SUBSTITUTE(SUBSTITUTE(SUBSTITUTE(TRIM(A1837),".",""),"/",""),"-","")," ",""),"(",""),")",""),"+",""))</f>
      </c>
      <c r="H1837" s="6">
        <f>IF(G1837="","",IF(LEN(G1837)&lt;&gt;14,"ERRO: "&amp;LEN(G1837)&amp;" dígitos",IF(NOT(ISNUMBER(VALUE(G1837))),"ERRO: não numérico",IF(AND(VALUE(MID(G1837,13,1))=IF(MOD(SUMPRODUCT(--MID(G1837,{1,2,3,4,5,6,7,8,9,10,11,12},1),{5,4,3,2,9,8,7,6,5,4,3,2}),11)&lt;2,0,11-MOD(SUMPRODUCT(--MID(G1837,{1,2,3,4,5,6,7,8,9,10,11,12},1),{5,4,3,2,9,8,7,6,5,4,3,2}),11)),VALUE(MID(G1837,14,1))=IF(MOD(SUMPRODUCT(--MID(G1837,{1,2,3,4,5,6,7,8,9,10,11,12,13},1),{6,5,4,3,2,9,8,7,6,5,4,3,2}),11)&lt;2,0,11-MOD(SUMPRODUCT(--MID(G1837,{1,2,3,4,5,6,7,8,9,10,11,12,13},1),{6,5,4,3,2,9,8,7,6,5,4,3,2}),11))),"OK","AVISO: dígito verificador (conferir na org)"))))</f>
      </c>
      <c r="I1837" s="6">
        <f>IF(G1837="","",IF(COUNTIF($G$2:$G$2001,G1837)&gt;1,"DUPLICADO","OK"))</f>
      </c>
      <c r="J1837" s="6">
        <f>IF(COUNTA(A1837:F1837)=0,"",IF(AND(A1837&lt;&gt;"",E1837&lt;&gt;""),"OK","ERRO: faltam "&amp;IF(A1837="","CNPJ; ","")&amp;IF(E1837="","Novo gerente; ","")))</f>
      </c>
      <c r="K1837" s="6">
        <f>IF(COUNTA(A1837:F1837)=0,"",IF(AND(LEFT(H1837,4)&lt;&gt;"ERRO",I1837="OK",J1837="OK"),"OK","REVISAR"))</f>
      </c>
    </row>
    <row r="1838">
      <c r="A1838" s="5"/>
      <c r="B1838" s="4"/>
      <c r="C1838" s="4"/>
      <c r="D1838" s="4"/>
      <c r="E1838" s="5"/>
      <c r="F1838" s="4"/>
      <c r="G1838" s="6">
        <f>IF(A1838="","",SUBSTITUTE(SUBSTITUTE(SUBSTITUTE(SUBSTITUTE(SUBSTITUTE(SUBSTITUTE(SUBSTITUTE(TRIM(A1838),".",""),"/",""),"-","")," ",""),"(",""),")",""),"+",""))</f>
      </c>
      <c r="H1838" s="6">
        <f>IF(G1838="","",IF(LEN(G1838)&lt;&gt;14,"ERRO: "&amp;LEN(G1838)&amp;" dígitos",IF(NOT(ISNUMBER(VALUE(G1838))),"ERRO: não numérico",IF(AND(VALUE(MID(G1838,13,1))=IF(MOD(SUMPRODUCT(--MID(G1838,{1,2,3,4,5,6,7,8,9,10,11,12},1),{5,4,3,2,9,8,7,6,5,4,3,2}),11)&lt;2,0,11-MOD(SUMPRODUCT(--MID(G1838,{1,2,3,4,5,6,7,8,9,10,11,12},1),{5,4,3,2,9,8,7,6,5,4,3,2}),11)),VALUE(MID(G1838,14,1))=IF(MOD(SUMPRODUCT(--MID(G1838,{1,2,3,4,5,6,7,8,9,10,11,12,13},1),{6,5,4,3,2,9,8,7,6,5,4,3,2}),11)&lt;2,0,11-MOD(SUMPRODUCT(--MID(G1838,{1,2,3,4,5,6,7,8,9,10,11,12,13},1),{6,5,4,3,2,9,8,7,6,5,4,3,2}),11))),"OK","AVISO: dígito verificador (conferir na org)"))))</f>
      </c>
      <c r="I1838" s="6">
        <f>IF(G1838="","",IF(COUNTIF($G$2:$G$2001,G1838)&gt;1,"DUPLICADO","OK"))</f>
      </c>
      <c r="J1838" s="6">
        <f>IF(COUNTA(A1838:F1838)=0,"",IF(AND(A1838&lt;&gt;"",E1838&lt;&gt;""),"OK","ERRO: faltam "&amp;IF(A1838="","CNPJ; ","")&amp;IF(E1838="","Novo gerente; ","")))</f>
      </c>
      <c r="K1838" s="6">
        <f>IF(COUNTA(A1838:F1838)=0,"",IF(AND(LEFT(H1838,4)&lt;&gt;"ERRO",I1838="OK",J1838="OK"),"OK","REVISAR"))</f>
      </c>
    </row>
    <row r="1839">
      <c r="A1839" s="5"/>
      <c r="B1839" s="4"/>
      <c r="C1839" s="4"/>
      <c r="D1839" s="4"/>
      <c r="E1839" s="5"/>
      <c r="F1839" s="4"/>
      <c r="G1839" s="6">
        <f>IF(A1839="","",SUBSTITUTE(SUBSTITUTE(SUBSTITUTE(SUBSTITUTE(SUBSTITUTE(SUBSTITUTE(SUBSTITUTE(TRIM(A1839),".",""),"/",""),"-","")," ",""),"(",""),")",""),"+",""))</f>
      </c>
      <c r="H1839" s="6">
        <f>IF(G1839="","",IF(LEN(G1839)&lt;&gt;14,"ERRO: "&amp;LEN(G1839)&amp;" dígitos",IF(NOT(ISNUMBER(VALUE(G1839))),"ERRO: não numérico",IF(AND(VALUE(MID(G1839,13,1))=IF(MOD(SUMPRODUCT(--MID(G1839,{1,2,3,4,5,6,7,8,9,10,11,12},1),{5,4,3,2,9,8,7,6,5,4,3,2}),11)&lt;2,0,11-MOD(SUMPRODUCT(--MID(G1839,{1,2,3,4,5,6,7,8,9,10,11,12},1),{5,4,3,2,9,8,7,6,5,4,3,2}),11)),VALUE(MID(G1839,14,1))=IF(MOD(SUMPRODUCT(--MID(G1839,{1,2,3,4,5,6,7,8,9,10,11,12,13},1),{6,5,4,3,2,9,8,7,6,5,4,3,2}),11)&lt;2,0,11-MOD(SUMPRODUCT(--MID(G1839,{1,2,3,4,5,6,7,8,9,10,11,12,13},1),{6,5,4,3,2,9,8,7,6,5,4,3,2}),11))),"OK","AVISO: dígito verificador (conferir na org)"))))</f>
      </c>
      <c r="I1839" s="6">
        <f>IF(G1839="","",IF(COUNTIF($G$2:$G$2001,G1839)&gt;1,"DUPLICADO","OK"))</f>
      </c>
      <c r="J1839" s="6">
        <f>IF(COUNTA(A1839:F1839)=0,"",IF(AND(A1839&lt;&gt;"",E1839&lt;&gt;""),"OK","ERRO: faltam "&amp;IF(A1839="","CNPJ; ","")&amp;IF(E1839="","Novo gerente; ","")))</f>
      </c>
      <c r="K1839" s="6">
        <f>IF(COUNTA(A1839:F1839)=0,"",IF(AND(LEFT(H1839,4)&lt;&gt;"ERRO",I1839="OK",J1839="OK"),"OK","REVISAR"))</f>
      </c>
    </row>
    <row r="1840">
      <c r="A1840" s="5"/>
      <c r="B1840" s="4"/>
      <c r="C1840" s="4"/>
      <c r="D1840" s="4"/>
      <c r="E1840" s="5"/>
      <c r="F1840" s="4"/>
      <c r="G1840" s="6">
        <f>IF(A1840="","",SUBSTITUTE(SUBSTITUTE(SUBSTITUTE(SUBSTITUTE(SUBSTITUTE(SUBSTITUTE(SUBSTITUTE(TRIM(A1840),".",""),"/",""),"-","")," ",""),"(",""),")",""),"+",""))</f>
      </c>
      <c r="H1840" s="6">
        <f>IF(G1840="","",IF(LEN(G1840)&lt;&gt;14,"ERRO: "&amp;LEN(G1840)&amp;" dígitos",IF(NOT(ISNUMBER(VALUE(G1840))),"ERRO: não numérico",IF(AND(VALUE(MID(G1840,13,1))=IF(MOD(SUMPRODUCT(--MID(G1840,{1,2,3,4,5,6,7,8,9,10,11,12},1),{5,4,3,2,9,8,7,6,5,4,3,2}),11)&lt;2,0,11-MOD(SUMPRODUCT(--MID(G1840,{1,2,3,4,5,6,7,8,9,10,11,12},1),{5,4,3,2,9,8,7,6,5,4,3,2}),11)),VALUE(MID(G1840,14,1))=IF(MOD(SUMPRODUCT(--MID(G1840,{1,2,3,4,5,6,7,8,9,10,11,12,13},1),{6,5,4,3,2,9,8,7,6,5,4,3,2}),11)&lt;2,0,11-MOD(SUMPRODUCT(--MID(G1840,{1,2,3,4,5,6,7,8,9,10,11,12,13},1),{6,5,4,3,2,9,8,7,6,5,4,3,2}),11))),"OK","AVISO: dígito verificador (conferir na org)"))))</f>
      </c>
      <c r="I1840" s="6">
        <f>IF(G1840="","",IF(COUNTIF($G$2:$G$2001,G1840)&gt;1,"DUPLICADO","OK"))</f>
      </c>
      <c r="J1840" s="6">
        <f>IF(COUNTA(A1840:F1840)=0,"",IF(AND(A1840&lt;&gt;"",E1840&lt;&gt;""),"OK","ERRO: faltam "&amp;IF(A1840="","CNPJ; ","")&amp;IF(E1840="","Novo gerente; ","")))</f>
      </c>
      <c r="K1840" s="6">
        <f>IF(COUNTA(A1840:F1840)=0,"",IF(AND(LEFT(H1840,4)&lt;&gt;"ERRO",I1840="OK",J1840="OK"),"OK","REVISAR"))</f>
      </c>
    </row>
    <row r="1841">
      <c r="A1841" s="5"/>
      <c r="B1841" s="4"/>
      <c r="C1841" s="4"/>
      <c r="D1841" s="4"/>
      <c r="E1841" s="5"/>
      <c r="F1841" s="4"/>
      <c r="G1841" s="6">
        <f>IF(A1841="","",SUBSTITUTE(SUBSTITUTE(SUBSTITUTE(SUBSTITUTE(SUBSTITUTE(SUBSTITUTE(SUBSTITUTE(TRIM(A1841),".",""),"/",""),"-","")," ",""),"(",""),")",""),"+",""))</f>
      </c>
      <c r="H1841" s="6">
        <f>IF(G1841="","",IF(LEN(G1841)&lt;&gt;14,"ERRO: "&amp;LEN(G1841)&amp;" dígitos",IF(NOT(ISNUMBER(VALUE(G1841))),"ERRO: não numérico",IF(AND(VALUE(MID(G1841,13,1))=IF(MOD(SUMPRODUCT(--MID(G1841,{1,2,3,4,5,6,7,8,9,10,11,12},1),{5,4,3,2,9,8,7,6,5,4,3,2}),11)&lt;2,0,11-MOD(SUMPRODUCT(--MID(G1841,{1,2,3,4,5,6,7,8,9,10,11,12},1),{5,4,3,2,9,8,7,6,5,4,3,2}),11)),VALUE(MID(G1841,14,1))=IF(MOD(SUMPRODUCT(--MID(G1841,{1,2,3,4,5,6,7,8,9,10,11,12,13},1),{6,5,4,3,2,9,8,7,6,5,4,3,2}),11)&lt;2,0,11-MOD(SUMPRODUCT(--MID(G1841,{1,2,3,4,5,6,7,8,9,10,11,12,13},1),{6,5,4,3,2,9,8,7,6,5,4,3,2}),11))),"OK","AVISO: dígito verificador (conferir na org)"))))</f>
      </c>
      <c r="I1841" s="6">
        <f>IF(G1841="","",IF(COUNTIF($G$2:$G$2001,G1841)&gt;1,"DUPLICADO","OK"))</f>
      </c>
      <c r="J1841" s="6">
        <f>IF(COUNTA(A1841:F1841)=0,"",IF(AND(A1841&lt;&gt;"",E1841&lt;&gt;""),"OK","ERRO: faltam "&amp;IF(A1841="","CNPJ; ","")&amp;IF(E1841="","Novo gerente; ","")))</f>
      </c>
      <c r="K1841" s="6">
        <f>IF(COUNTA(A1841:F1841)=0,"",IF(AND(LEFT(H1841,4)&lt;&gt;"ERRO",I1841="OK",J1841="OK"),"OK","REVISAR"))</f>
      </c>
    </row>
    <row r="1842">
      <c r="A1842" s="5"/>
      <c r="B1842" s="4"/>
      <c r="C1842" s="4"/>
      <c r="D1842" s="4"/>
      <c r="E1842" s="5"/>
      <c r="F1842" s="4"/>
      <c r="G1842" s="6">
        <f>IF(A1842="","",SUBSTITUTE(SUBSTITUTE(SUBSTITUTE(SUBSTITUTE(SUBSTITUTE(SUBSTITUTE(SUBSTITUTE(TRIM(A1842),".",""),"/",""),"-","")," ",""),"(",""),")",""),"+",""))</f>
      </c>
      <c r="H1842" s="6">
        <f>IF(G1842="","",IF(LEN(G1842)&lt;&gt;14,"ERRO: "&amp;LEN(G1842)&amp;" dígitos",IF(NOT(ISNUMBER(VALUE(G1842))),"ERRO: não numérico",IF(AND(VALUE(MID(G1842,13,1))=IF(MOD(SUMPRODUCT(--MID(G1842,{1,2,3,4,5,6,7,8,9,10,11,12},1),{5,4,3,2,9,8,7,6,5,4,3,2}),11)&lt;2,0,11-MOD(SUMPRODUCT(--MID(G1842,{1,2,3,4,5,6,7,8,9,10,11,12},1),{5,4,3,2,9,8,7,6,5,4,3,2}),11)),VALUE(MID(G1842,14,1))=IF(MOD(SUMPRODUCT(--MID(G1842,{1,2,3,4,5,6,7,8,9,10,11,12,13},1),{6,5,4,3,2,9,8,7,6,5,4,3,2}),11)&lt;2,0,11-MOD(SUMPRODUCT(--MID(G1842,{1,2,3,4,5,6,7,8,9,10,11,12,13},1),{6,5,4,3,2,9,8,7,6,5,4,3,2}),11))),"OK","AVISO: dígito verificador (conferir na org)"))))</f>
      </c>
      <c r="I1842" s="6">
        <f>IF(G1842="","",IF(COUNTIF($G$2:$G$2001,G1842)&gt;1,"DUPLICADO","OK"))</f>
      </c>
      <c r="J1842" s="6">
        <f>IF(COUNTA(A1842:F1842)=0,"",IF(AND(A1842&lt;&gt;"",E1842&lt;&gt;""),"OK","ERRO: faltam "&amp;IF(A1842="","CNPJ; ","")&amp;IF(E1842="","Novo gerente; ","")))</f>
      </c>
      <c r="K1842" s="6">
        <f>IF(COUNTA(A1842:F1842)=0,"",IF(AND(LEFT(H1842,4)&lt;&gt;"ERRO",I1842="OK",J1842="OK"),"OK","REVISAR"))</f>
      </c>
    </row>
    <row r="1843">
      <c r="A1843" s="5"/>
      <c r="B1843" s="4"/>
      <c r="C1843" s="4"/>
      <c r="D1843" s="4"/>
      <c r="E1843" s="5"/>
      <c r="F1843" s="4"/>
      <c r="G1843" s="6">
        <f>IF(A1843="","",SUBSTITUTE(SUBSTITUTE(SUBSTITUTE(SUBSTITUTE(SUBSTITUTE(SUBSTITUTE(SUBSTITUTE(TRIM(A1843),".",""),"/",""),"-","")," ",""),"(",""),")",""),"+",""))</f>
      </c>
      <c r="H1843" s="6">
        <f>IF(G1843="","",IF(LEN(G1843)&lt;&gt;14,"ERRO: "&amp;LEN(G1843)&amp;" dígitos",IF(NOT(ISNUMBER(VALUE(G1843))),"ERRO: não numérico",IF(AND(VALUE(MID(G1843,13,1))=IF(MOD(SUMPRODUCT(--MID(G1843,{1,2,3,4,5,6,7,8,9,10,11,12},1),{5,4,3,2,9,8,7,6,5,4,3,2}),11)&lt;2,0,11-MOD(SUMPRODUCT(--MID(G1843,{1,2,3,4,5,6,7,8,9,10,11,12},1),{5,4,3,2,9,8,7,6,5,4,3,2}),11)),VALUE(MID(G1843,14,1))=IF(MOD(SUMPRODUCT(--MID(G1843,{1,2,3,4,5,6,7,8,9,10,11,12,13},1),{6,5,4,3,2,9,8,7,6,5,4,3,2}),11)&lt;2,0,11-MOD(SUMPRODUCT(--MID(G1843,{1,2,3,4,5,6,7,8,9,10,11,12,13},1),{6,5,4,3,2,9,8,7,6,5,4,3,2}),11))),"OK","AVISO: dígito verificador (conferir na org)"))))</f>
      </c>
      <c r="I1843" s="6">
        <f>IF(G1843="","",IF(COUNTIF($G$2:$G$2001,G1843)&gt;1,"DUPLICADO","OK"))</f>
      </c>
      <c r="J1843" s="6">
        <f>IF(COUNTA(A1843:F1843)=0,"",IF(AND(A1843&lt;&gt;"",E1843&lt;&gt;""),"OK","ERRO: faltam "&amp;IF(A1843="","CNPJ; ","")&amp;IF(E1843="","Novo gerente; ","")))</f>
      </c>
      <c r="K1843" s="6">
        <f>IF(COUNTA(A1843:F1843)=0,"",IF(AND(LEFT(H1843,4)&lt;&gt;"ERRO",I1843="OK",J1843="OK"),"OK","REVISAR"))</f>
      </c>
    </row>
    <row r="1844">
      <c r="A1844" s="5"/>
      <c r="B1844" s="4"/>
      <c r="C1844" s="4"/>
      <c r="D1844" s="4"/>
      <c r="E1844" s="5"/>
      <c r="F1844" s="4"/>
      <c r="G1844" s="6">
        <f>IF(A1844="","",SUBSTITUTE(SUBSTITUTE(SUBSTITUTE(SUBSTITUTE(SUBSTITUTE(SUBSTITUTE(SUBSTITUTE(TRIM(A1844),".",""),"/",""),"-","")," ",""),"(",""),")",""),"+",""))</f>
      </c>
      <c r="H1844" s="6">
        <f>IF(G1844="","",IF(LEN(G1844)&lt;&gt;14,"ERRO: "&amp;LEN(G1844)&amp;" dígitos",IF(NOT(ISNUMBER(VALUE(G1844))),"ERRO: não numérico",IF(AND(VALUE(MID(G1844,13,1))=IF(MOD(SUMPRODUCT(--MID(G1844,{1,2,3,4,5,6,7,8,9,10,11,12},1),{5,4,3,2,9,8,7,6,5,4,3,2}),11)&lt;2,0,11-MOD(SUMPRODUCT(--MID(G1844,{1,2,3,4,5,6,7,8,9,10,11,12},1),{5,4,3,2,9,8,7,6,5,4,3,2}),11)),VALUE(MID(G1844,14,1))=IF(MOD(SUMPRODUCT(--MID(G1844,{1,2,3,4,5,6,7,8,9,10,11,12,13},1),{6,5,4,3,2,9,8,7,6,5,4,3,2}),11)&lt;2,0,11-MOD(SUMPRODUCT(--MID(G1844,{1,2,3,4,5,6,7,8,9,10,11,12,13},1),{6,5,4,3,2,9,8,7,6,5,4,3,2}),11))),"OK","AVISO: dígito verificador (conferir na org)"))))</f>
      </c>
      <c r="I1844" s="6">
        <f>IF(G1844="","",IF(COUNTIF($G$2:$G$2001,G1844)&gt;1,"DUPLICADO","OK"))</f>
      </c>
      <c r="J1844" s="6">
        <f>IF(COUNTA(A1844:F1844)=0,"",IF(AND(A1844&lt;&gt;"",E1844&lt;&gt;""),"OK","ERRO: faltam "&amp;IF(A1844="","CNPJ; ","")&amp;IF(E1844="","Novo gerente; ","")))</f>
      </c>
      <c r="K1844" s="6">
        <f>IF(COUNTA(A1844:F1844)=0,"",IF(AND(LEFT(H1844,4)&lt;&gt;"ERRO",I1844="OK",J1844="OK"),"OK","REVISAR"))</f>
      </c>
    </row>
    <row r="1845">
      <c r="A1845" s="5"/>
      <c r="B1845" s="4"/>
      <c r="C1845" s="4"/>
      <c r="D1845" s="4"/>
      <c r="E1845" s="5"/>
      <c r="F1845" s="4"/>
      <c r="G1845" s="6">
        <f>IF(A1845="","",SUBSTITUTE(SUBSTITUTE(SUBSTITUTE(SUBSTITUTE(SUBSTITUTE(SUBSTITUTE(SUBSTITUTE(TRIM(A1845),".",""),"/",""),"-","")," ",""),"(",""),")",""),"+",""))</f>
      </c>
      <c r="H1845" s="6">
        <f>IF(G1845="","",IF(LEN(G1845)&lt;&gt;14,"ERRO: "&amp;LEN(G1845)&amp;" dígitos",IF(NOT(ISNUMBER(VALUE(G1845))),"ERRO: não numérico",IF(AND(VALUE(MID(G1845,13,1))=IF(MOD(SUMPRODUCT(--MID(G1845,{1,2,3,4,5,6,7,8,9,10,11,12},1),{5,4,3,2,9,8,7,6,5,4,3,2}),11)&lt;2,0,11-MOD(SUMPRODUCT(--MID(G1845,{1,2,3,4,5,6,7,8,9,10,11,12},1),{5,4,3,2,9,8,7,6,5,4,3,2}),11)),VALUE(MID(G1845,14,1))=IF(MOD(SUMPRODUCT(--MID(G1845,{1,2,3,4,5,6,7,8,9,10,11,12,13},1),{6,5,4,3,2,9,8,7,6,5,4,3,2}),11)&lt;2,0,11-MOD(SUMPRODUCT(--MID(G1845,{1,2,3,4,5,6,7,8,9,10,11,12,13},1),{6,5,4,3,2,9,8,7,6,5,4,3,2}),11))),"OK","AVISO: dígito verificador (conferir na org)"))))</f>
      </c>
      <c r="I1845" s="6">
        <f>IF(G1845="","",IF(COUNTIF($G$2:$G$2001,G1845)&gt;1,"DUPLICADO","OK"))</f>
      </c>
      <c r="J1845" s="6">
        <f>IF(COUNTA(A1845:F1845)=0,"",IF(AND(A1845&lt;&gt;"",E1845&lt;&gt;""),"OK","ERRO: faltam "&amp;IF(A1845="","CNPJ; ","")&amp;IF(E1845="","Novo gerente; ","")))</f>
      </c>
      <c r="K1845" s="6">
        <f>IF(COUNTA(A1845:F1845)=0,"",IF(AND(LEFT(H1845,4)&lt;&gt;"ERRO",I1845="OK",J1845="OK"),"OK","REVISAR"))</f>
      </c>
    </row>
    <row r="1846">
      <c r="A1846" s="5"/>
      <c r="B1846" s="4"/>
      <c r="C1846" s="4"/>
      <c r="D1846" s="4"/>
      <c r="E1846" s="5"/>
      <c r="F1846" s="4"/>
      <c r="G1846" s="6">
        <f>IF(A1846="","",SUBSTITUTE(SUBSTITUTE(SUBSTITUTE(SUBSTITUTE(SUBSTITUTE(SUBSTITUTE(SUBSTITUTE(TRIM(A1846),".",""),"/",""),"-","")," ",""),"(",""),")",""),"+",""))</f>
      </c>
      <c r="H1846" s="6">
        <f>IF(G1846="","",IF(LEN(G1846)&lt;&gt;14,"ERRO: "&amp;LEN(G1846)&amp;" dígitos",IF(NOT(ISNUMBER(VALUE(G1846))),"ERRO: não numérico",IF(AND(VALUE(MID(G1846,13,1))=IF(MOD(SUMPRODUCT(--MID(G1846,{1,2,3,4,5,6,7,8,9,10,11,12},1),{5,4,3,2,9,8,7,6,5,4,3,2}),11)&lt;2,0,11-MOD(SUMPRODUCT(--MID(G1846,{1,2,3,4,5,6,7,8,9,10,11,12},1),{5,4,3,2,9,8,7,6,5,4,3,2}),11)),VALUE(MID(G1846,14,1))=IF(MOD(SUMPRODUCT(--MID(G1846,{1,2,3,4,5,6,7,8,9,10,11,12,13},1),{6,5,4,3,2,9,8,7,6,5,4,3,2}),11)&lt;2,0,11-MOD(SUMPRODUCT(--MID(G1846,{1,2,3,4,5,6,7,8,9,10,11,12,13},1),{6,5,4,3,2,9,8,7,6,5,4,3,2}),11))),"OK","AVISO: dígito verificador (conferir na org)"))))</f>
      </c>
      <c r="I1846" s="6">
        <f>IF(G1846="","",IF(COUNTIF($G$2:$G$2001,G1846)&gt;1,"DUPLICADO","OK"))</f>
      </c>
      <c r="J1846" s="6">
        <f>IF(COUNTA(A1846:F1846)=0,"",IF(AND(A1846&lt;&gt;"",E1846&lt;&gt;""),"OK","ERRO: faltam "&amp;IF(A1846="","CNPJ; ","")&amp;IF(E1846="","Novo gerente; ","")))</f>
      </c>
      <c r="K1846" s="6">
        <f>IF(COUNTA(A1846:F1846)=0,"",IF(AND(LEFT(H1846,4)&lt;&gt;"ERRO",I1846="OK",J1846="OK"),"OK","REVISAR"))</f>
      </c>
    </row>
    <row r="1847">
      <c r="A1847" s="5"/>
      <c r="B1847" s="4"/>
      <c r="C1847" s="4"/>
      <c r="D1847" s="4"/>
      <c r="E1847" s="5"/>
      <c r="F1847" s="4"/>
      <c r="G1847" s="6">
        <f>IF(A1847="","",SUBSTITUTE(SUBSTITUTE(SUBSTITUTE(SUBSTITUTE(SUBSTITUTE(SUBSTITUTE(SUBSTITUTE(TRIM(A1847),".",""),"/",""),"-","")," ",""),"(",""),")",""),"+",""))</f>
      </c>
      <c r="H1847" s="6">
        <f>IF(G1847="","",IF(LEN(G1847)&lt;&gt;14,"ERRO: "&amp;LEN(G1847)&amp;" dígitos",IF(NOT(ISNUMBER(VALUE(G1847))),"ERRO: não numérico",IF(AND(VALUE(MID(G1847,13,1))=IF(MOD(SUMPRODUCT(--MID(G1847,{1,2,3,4,5,6,7,8,9,10,11,12},1),{5,4,3,2,9,8,7,6,5,4,3,2}),11)&lt;2,0,11-MOD(SUMPRODUCT(--MID(G1847,{1,2,3,4,5,6,7,8,9,10,11,12},1),{5,4,3,2,9,8,7,6,5,4,3,2}),11)),VALUE(MID(G1847,14,1))=IF(MOD(SUMPRODUCT(--MID(G1847,{1,2,3,4,5,6,7,8,9,10,11,12,13},1),{6,5,4,3,2,9,8,7,6,5,4,3,2}),11)&lt;2,0,11-MOD(SUMPRODUCT(--MID(G1847,{1,2,3,4,5,6,7,8,9,10,11,12,13},1),{6,5,4,3,2,9,8,7,6,5,4,3,2}),11))),"OK","AVISO: dígito verificador (conferir na org)"))))</f>
      </c>
      <c r="I1847" s="6">
        <f>IF(G1847="","",IF(COUNTIF($G$2:$G$2001,G1847)&gt;1,"DUPLICADO","OK"))</f>
      </c>
      <c r="J1847" s="6">
        <f>IF(COUNTA(A1847:F1847)=0,"",IF(AND(A1847&lt;&gt;"",E1847&lt;&gt;""),"OK","ERRO: faltam "&amp;IF(A1847="","CNPJ; ","")&amp;IF(E1847="","Novo gerente; ","")))</f>
      </c>
      <c r="K1847" s="6">
        <f>IF(COUNTA(A1847:F1847)=0,"",IF(AND(LEFT(H1847,4)&lt;&gt;"ERRO",I1847="OK",J1847="OK"),"OK","REVISAR"))</f>
      </c>
    </row>
    <row r="1848">
      <c r="A1848" s="5"/>
      <c r="B1848" s="4"/>
      <c r="C1848" s="4"/>
      <c r="D1848" s="4"/>
      <c r="E1848" s="5"/>
      <c r="F1848" s="4"/>
      <c r="G1848" s="6">
        <f>IF(A1848="","",SUBSTITUTE(SUBSTITUTE(SUBSTITUTE(SUBSTITUTE(SUBSTITUTE(SUBSTITUTE(SUBSTITUTE(TRIM(A1848),".",""),"/",""),"-","")," ",""),"(",""),")",""),"+",""))</f>
      </c>
      <c r="H1848" s="6">
        <f>IF(G1848="","",IF(LEN(G1848)&lt;&gt;14,"ERRO: "&amp;LEN(G1848)&amp;" dígitos",IF(NOT(ISNUMBER(VALUE(G1848))),"ERRO: não numérico",IF(AND(VALUE(MID(G1848,13,1))=IF(MOD(SUMPRODUCT(--MID(G1848,{1,2,3,4,5,6,7,8,9,10,11,12},1),{5,4,3,2,9,8,7,6,5,4,3,2}),11)&lt;2,0,11-MOD(SUMPRODUCT(--MID(G1848,{1,2,3,4,5,6,7,8,9,10,11,12},1),{5,4,3,2,9,8,7,6,5,4,3,2}),11)),VALUE(MID(G1848,14,1))=IF(MOD(SUMPRODUCT(--MID(G1848,{1,2,3,4,5,6,7,8,9,10,11,12,13},1),{6,5,4,3,2,9,8,7,6,5,4,3,2}),11)&lt;2,0,11-MOD(SUMPRODUCT(--MID(G1848,{1,2,3,4,5,6,7,8,9,10,11,12,13},1),{6,5,4,3,2,9,8,7,6,5,4,3,2}),11))),"OK","AVISO: dígito verificador (conferir na org)"))))</f>
      </c>
      <c r="I1848" s="6">
        <f>IF(G1848="","",IF(COUNTIF($G$2:$G$2001,G1848)&gt;1,"DUPLICADO","OK"))</f>
      </c>
      <c r="J1848" s="6">
        <f>IF(COUNTA(A1848:F1848)=0,"",IF(AND(A1848&lt;&gt;"",E1848&lt;&gt;""),"OK","ERRO: faltam "&amp;IF(A1848="","CNPJ; ","")&amp;IF(E1848="","Novo gerente; ","")))</f>
      </c>
      <c r="K1848" s="6">
        <f>IF(COUNTA(A1848:F1848)=0,"",IF(AND(LEFT(H1848,4)&lt;&gt;"ERRO",I1848="OK",J1848="OK"),"OK","REVISAR"))</f>
      </c>
    </row>
    <row r="1849">
      <c r="A1849" s="5"/>
      <c r="B1849" s="4"/>
      <c r="C1849" s="4"/>
      <c r="D1849" s="4"/>
      <c r="E1849" s="5"/>
      <c r="F1849" s="4"/>
      <c r="G1849" s="6">
        <f>IF(A1849="","",SUBSTITUTE(SUBSTITUTE(SUBSTITUTE(SUBSTITUTE(SUBSTITUTE(SUBSTITUTE(SUBSTITUTE(TRIM(A1849),".",""),"/",""),"-","")," ",""),"(",""),")",""),"+",""))</f>
      </c>
      <c r="H1849" s="6">
        <f>IF(G1849="","",IF(LEN(G1849)&lt;&gt;14,"ERRO: "&amp;LEN(G1849)&amp;" dígitos",IF(NOT(ISNUMBER(VALUE(G1849))),"ERRO: não numérico",IF(AND(VALUE(MID(G1849,13,1))=IF(MOD(SUMPRODUCT(--MID(G1849,{1,2,3,4,5,6,7,8,9,10,11,12},1),{5,4,3,2,9,8,7,6,5,4,3,2}),11)&lt;2,0,11-MOD(SUMPRODUCT(--MID(G1849,{1,2,3,4,5,6,7,8,9,10,11,12},1),{5,4,3,2,9,8,7,6,5,4,3,2}),11)),VALUE(MID(G1849,14,1))=IF(MOD(SUMPRODUCT(--MID(G1849,{1,2,3,4,5,6,7,8,9,10,11,12,13},1),{6,5,4,3,2,9,8,7,6,5,4,3,2}),11)&lt;2,0,11-MOD(SUMPRODUCT(--MID(G1849,{1,2,3,4,5,6,7,8,9,10,11,12,13},1),{6,5,4,3,2,9,8,7,6,5,4,3,2}),11))),"OK","AVISO: dígito verificador (conferir na org)"))))</f>
      </c>
      <c r="I1849" s="6">
        <f>IF(G1849="","",IF(COUNTIF($G$2:$G$2001,G1849)&gt;1,"DUPLICADO","OK"))</f>
      </c>
      <c r="J1849" s="6">
        <f>IF(COUNTA(A1849:F1849)=0,"",IF(AND(A1849&lt;&gt;"",E1849&lt;&gt;""),"OK","ERRO: faltam "&amp;IF(A1849="","CNPJ; ","")&amp;IF(E1849="","Novo gerente; ","")))</f>
      </c>
      <c r="K1849" s="6">
        <f>IF(COUNTA(A1849:F1849)=0,"",IF(AND(LEFT(H1849,4)&lt;&gt;"ERRO",I1849="OK",J1849="OK"),"OK","REVISAR"))</f>
      </c>
    </row>
    <row r="1850">
      <c r="A1850" s="5"/>
      <c r="B1850" s="4"/>
      <c r="C1850" s="4"/>
      <c r="D1850" s="4"/>
      <c r="E1850" s="5"/>
      <c r="F1850" s="4"/>
      <c r="G1850" s="6">
        <f>IF(A1850="","",SUBSTITUTE(SUBSTITUTE(SUBSTITUTE(SUBSTITUTE(SUBSTITUTE(SUBSTITUTE(SUBSTITUTE(TRIM(A1850),".",""),"/",""),"-","")," ",""),"(",""),")",""),"+",""))</f>
      </c>
      <c r="H1850" s="6">
        <f>IF(G1850="","",IF(LEN(G1850)&lt;&gt;14,"ERRO: "&amp;LEN(G1850)&amp;" dígitos",IF(NOT(ISNUMBER(VALUE(G1850))),"ERRO: não numérico",IF(AND(VALUE(MID(G1850,13,1))=IF(MOD(SUMPRODUCT(--MID(G1850,{1,2,3,4,5,6,7,8,9,10,11,12},1),{5,4,3,2,9,8,7,6,5,4,3,2}),11)&lt;2,0,11-MOD(SUMPRODUCT(--MID(G1850,{1,2,3,4,5,6,7,8,9,10,11,12},1),{5,4,3,2,9,8,7,6,5,4,3,2}),11)),VALUE(MID(G1850,14,1))=IF(MOD(SUMPRODUCT(--MID(G1850,{1,2,3,4,5,6,7,8,9,10,11,12,13},1),{6,5,4,3,2,9,8,7,6,5,4,3,2}),11)&lt;2,0,11-MOD(SUMPRODUCT(--MID(G1850,{1,2,3,4,5,6,7,8,9,10,11,12,13},1),{6,5,4,3,2,9,8,7,6,5,4,3,2}),11))),"OK","AVISO: dígito verificador (conferir na org)"))))</f>
      </c>
      <c r="I1850" s="6">
        <f>IF(G1850="","",IF(COUNTIF($G$2:$G$2001,G1850)&gt;1,"DUPLICADO","OK"))</f>
      </c>
      <c r="J1850" s="6">
        <f>IF(COUNTA(A1850:F1850)=0,"",IF(AND(A1850&lt;&gt;"",E1850&lt;&gt;""),"OK","ERRO: faltam "&amp;IF(A1850="","CNPJ; ","")&amp;IF(E1850="","Novo gerente; ","")))</f>
      </c>
      <c r="K1850" s="6">
        <f>IF(COUNTA(A1850:F1850)=0,"",IF(AND(LEFT(H1850,4)&lt;&gt;"ERRO",I1850="OK",J1850="OK"),"OK","REVISAR"))</f>
      </c>
    </row>
    <row r="1851">
      <c r="A1851" s="5"/>
      <c r="B1851" s="4"/>
      <c r="C1851" s="4"/>
      <c r="D1851" s="4"/>
      <c r="E1851" s="5"/>
      <c r="F1851" s="4"/>
      <c r="G1851" s="6">
        <f>IF(A1851="","",SUBSTITUTE(SUBSTITUTE(SUBSTITUTE(SUBSTITUTE(SUBSTITUTE(SUBSTITUTE(SUBSTITUTE(TRIM(A1851),".",""),"/",""),"-","")," ",""),"(",""),")",""),"+",""))</f>
      </c>
      <c r="H1851" s="6">
        <f>IF(G1851="","",IF(LEN(G1851)&lt;&gt;14,"ERRO: "&amp;LEN(G1851)&amp;" dígitos",IF(NOT(ISNUMBER(VALUE(G1851))),"ERRO: não numérico",IF(AND(VALUE(MID(G1851,13,1))=IF(MOD(SUMPRODUCT(--MID(G1851,{1,2,3,4,5,6,7,8,9,10,11,12},1),{5,4,3,2,9,8,7,6,5,4,3,2}),11)&lt;2,0,11-MOD(SUMPRODUCT(--MID(G1851,{1,2,3,4,5,6,7,8,9,10,11,12},1),{5,4,3,2,9,8,7,6,5,4,3,2}),11)),VALUE(MID(G1851,14,1))=IF(MOD(SUMPRODUCT(--MID(G1851,{1,2,3,4,5,6,7,8,9,10,11,12,13},1),{6,5,4,3,2,9,8,7,6,5,4,3,2}),11)&lt;2,0,11-MOD(SUMPRODUCT(--MID(G1851,{1,2,3,4,5,6,7,8,9,10,11,12,13},1),{6,5,4,3,2,9,8,7,6,5,4,3,2}),11))),"OK","AVISO: dígito verificador (conferir na org)"))))</f>
      </c>
      <c r="I1851" s="6">
        <f>IF(G1851="","",IF(COUNTIF($G$2:$G$2001,G1851)&gt;1,"DUPLICADO","OK"))</f>
      </c>
      <c r="J1851" s="6">
        <f>IF(COUNTA(A1851:F1851)=0,"",IF(AND(A1851&lt;&gt;"",E1851&lt;&gt;""),"OK","ERRO: faltam "&amp;IF(A1851="","CNPJ; ","")&amp;IF(E1851="","Novo gerente; ","")))</f>
      </c>
      <c r="K1851" s="6">
        <f>IF(COUNTA(A1851:F1851)=0,"",IF(AND(LEFT(H1851,4)&lt;&gt;"ERRO",I1851="OK",J1851="OK"),"OK","REVISAR"))</f>
      </c>
    </row>
    <row r="1852">
      <c r="A1852" s="5"/>
      <c r="B1852" s="4"/>
      <c r="C1852" s="4"/>
      <c r="D1852" s="4"/>
      <c r="E1852" s="5"/>
      <c r="F1852" s="4"/>
      <c r="G1852" s="6">
        <f>IF(A1852="","",SUBSTITUTE(SUBSTITUTE(SUBSTITUTE(SUBSTITUTE(SUBSTITUTE(SUBSTITUTE(SUBSTITUTE(TRIM(A1852),".",""),"/",""),"-","")," ",""),"(",""),")",""),"+",""))</f>
      </c>
      <c r="H1852" s="6">
        <f>IF(G1852="","",IF(LEN(G1852)&lt;&gt;14,"ERRO: "&amp;LEN(G1852)&amp;" dígitos",IF(NOT(ISNUMBER(VALUE(G1852))),"ERRO: não numérico",IF(AND(VALUE(MID(G1852,13,1))=IF(MOD(SUMPRODUCT(--MID(G1852,{1,2,3,4,5,6,7,8,9,10,11,12},1),{5,4,3,2,9,8,7,6,5,4,3,2}),11)&lt;2,0,11-MOD(SUMPRODUCT(--MID(G1852,{1,2,3,4,5,6,7,8,9,10,11,12},1),{5,4,3,2,9,8,7,6,5,4,3,2}),11)),VALUE(MID(G1852,14,1))=IF(MOD(SUMPRODUCT(--MID(G1852,{1,2,3,4,5,6,7,8,9,10,11,12,13},1),{6,5,4,3,2,9,8,7,6,5,4,3,2}),11)&lt;2,0,11-MOD(SUMPRODUCT(--MID(G1852,{1,2,3,4,5,6,7,8,9,10,11,12,13},1),{6,5,4,3,2,9,8,7,6,5,4,3,2}),11))),"OK","AVISO: dígito verificador (conferir na org)"))))</f>
      </c>
      <c r="I1852" s="6">
        <f>IF(G1852="","",IF(COUNTIF($G$2:$G$2001,G1852)&gt;1,"DUPLICADO","OK"))</f>
      </c>
      <c r="J1852" s="6">
        <f>IF(COUNTA(A1852:F1852)=0,"",IF(AND(A1852&lt;&gt;"",E1852&lt;&gt;""),"OK","ERRO: faltam "&amp;IF(A1852="","CNPJ; ","")&amp;IF(E1852="","Novo gerente; ","")))</f>
      </c>
      <c r="K1852" s="6">
        <f>IF(COUNTA(A1852:F1852)=0,"",IF(AND(LEFT(H1852,4)&lt;&gt;"ERRO",I1852="OK",J1852="OK"),"OK","REVISAR"))</f>
      </c>
    </row>
    <row r="1853">
      <c r="A1853" s="5"/>
      <c r="B1853" s="4"/>
      <c r="C1853" s="4"/>
      <c r="D1853" s="4"/>
      <c r="E1853" s="5"/>
      <c r="F1853" s="4"/>
      <c r="G1853" s="6">
        <f>IF(A1853="","",SUBSTITUTE(SUBSTITUTE(SUBSTITUTE(SUBSTITUTE(SUBSTITUTE(SUBSTITUTE(SUBSTITUTE(TRIM(A1853),".",""),"/",""),"-","")," ",""),"(",""),")",""),"+",""))</f>
      </c>
      <c r="H1853" s="6">
        <f>IF(G1853="","",IF(LEN(G1853)&lt;&gt;14,"ERRO: "&amp;LEN(G1853)&amp;" dígitos",IF(NOT(ISNUMBER(VALUE(G1853))),"ERRO: não numérico",IF(AND(VALUE(MID(G1853,13,1))=IF(MOD(SUMPRODUCT(--MID(G1853,{1,2,3,4,5,6,7,8,9,10,11,12},1),{5,4,3,2,9,8,7,6,5,4,3,2}),11)&lt;2,0,11-MOD(SUMPRODUCT(--MID(G1853,{1,2,3,4,5,6,7,8,9,10,11,12},1),{5,4,3,2,9,8,7,6,5,4,3,2}),11)),VALUE(MID(G1853,14,1))=IF(MOD(SUMPRODUCT(--MID(G1853,{1,2,3,4,5,6,7,8,9,10,11,12,13},1),{6,5,4,3,2,9,8,7,6,5,4,3,2}),11)&lt;2,0,11-MOD(SUMPRODUCT(--MID(G1853,{1,2,3,4,5,6,7,8,9,10,11,12,13},1),{6,5,4,3,2,9,8,7,6,5,4,3,2}),11))),"OK","AVISO: dígito verificador (conferir na org)"))))</f>
      </c>
      <c r="I1853" s="6">
        <f>IF(G1853="","",IF(COUNTIF($G$2:$G$2001,G1853)&gt;1,"DUPLICADO","OK"))</f>
      </c>
      <c r="J1853" s="6">
        <f>IF(COUNTA(A1853:F1853)=0,"",IF(AND(A1853&lt;&gt;"",E1853&lt;&gt;""),"OK","ERRO: faltam "&amp;IF(A1853="","CNPJ; ","")&amp;IF(E1853="","Novo gerente; ","")))</f>
      </c>
      <c r="K1853" s="6">
        <f>IF(COUNTA(A1853:F1853)=0,"",IF(AND(LEFT(H1853,4)&lt;&gt;"ERRO",I1853="OK",J1853="OK"),"OK","REVISAR"))</f>
      </c>
    </row>
    <row r="1854">
      <c r="A1854" s="5"/>
      <c r="B1854" s="4"/>
      <c r="C1854" s="4"/>
      <c r="D1854" s="4"/>
      <c r="E1854" s="5"/>
      <c r="F1854" s="4"/>
      <c r="G1854" s="6">
        <f>IF(A1854="","",SUBSTITUTE(SUBSTITUTE(SUBSTITUTE(SUBSTITUTE(SUBSTITUTE(SUBSTITUTE(SUBSTITUTE(TRIM(A1854),".",""),"/",""),"-","")," ",""),"(",""),")",""),"+",""))</f>
      </c>
      <c r="H1854" s="6">
        <f>IF(G1854="","",IF(LEN(G1854)&lt;&gt;14,"ERRO: "&amp;LEN(G1854)&amp;" dígitos",IF(NOT(ISNUMBER(VALUE(G1854))),"ERRO: não numérico",IF(AND(VALUE(MID(G1854,13,1))=IF(MOD(SUMPRODUCT(--MID(G1854,{1,2,3,4,5,6,7,8,9,10,11,12},1),{5,4,3,2,9,8,7,6,5,4,3,2}),11)&lt;2,0,11-MOD(SUMPRODUCT(--MID(G1854,{1,2,3,4,5,6,7,8,9,10,11,12},1),{5,4,3,2,9,8,7,6,5,4,3,2}),11)),VALUE(MID(G1854,14,1))=IF(MOD(SUMPRODUCT(--MID(G1854,{1,2,3,4,5,6,7,8,9,10,11,12,13},1),{6,5,4,3,2,9,8,7,6,5,4,3,2}),11)&lt;2,0,11-MOD(SUMPRODUCT(--MID(G1854,{1,2,3,4,5,6,7,8,9,10,11,12,13},1),{6,5,4,3,2,9,8,7,6,5,4,3,2}),11))),"OK","AVISO: dígito verificador (conferir na org)"))))</f>
      </c>
      <c r="I1854" s="6">
        <f>IF(G1854="","",IF(COUNTIF($G$2:$G$2001,G1854)&gt;1,"DUPLICADO","OK"))</f>
      </c>
      <c r="J1854" s="6">
        <f>IF(COUNTA(A1854:F1854)=0,"",IF(AND(A1854&lt;&gt;"",E1854&lt;&gt;""),"OK","ERRO: faltam "&amp;IF(A1854="","CNPJ; ","")&amp;IF(E1854="","Novo gerente; ","")))</f>
      </c>
      <c r="K1854" s="6">
        <f>IF(COUNTA(A1854:F1854)=0,"",IF(AND(LEFT(H1854,4)&lt;&gt;"ERRO",I1854="OK",J1854="OK"),"OK","REVISAR"))</f>
      </c>
    </row>
    <row r="1855">
      <c r="A1855" s="5"/>
      <c r="B1855" s="4"/>
      <c r="C1855" s="4"/>
      <c r="D1855" s="4"/>
      <c r="E1855" s="5"/>
      <c r="F1855" s="4"/>
      <c r="G1855" s="6">
        <f>IF(A1855="","",SUBSTITUTE(SUBSTITUTE(SUBSTITUTE(SUBSTITUTE(SUBSTITUTE(SUBSTITUTE(SUBSTITUTE(TRIM(A1855),".",""),"/",""),"-","")," ",""),"(",""),")",""),"+",""))</f>
      </c>
      <c r="H1855" s="6">
        <f>IF(G1855="","",IF(LEN(G1855)&lt;&gt;14,"ERRO: "&amp;LEN(G1855)&amp;" dígitos",IF(NOT(ISNUMBER(VALUE(G1855))),"ERRO: não numérico",IF(AND(VALUE(MID(G1855,13,1))=IF(MOD(SUMPRODUCT(--MID(G1855,{1,2,3,4,5,6,7,8,9,10,11,12},1),{5,4,3,2,9,8,7,6,5,4,3,2}),11)&lt;2,0,11-MOD(SUMPRODUCT(--MID(G1855,{1,2,3,4,5,6,7,8,9,10,11,12},1),{5,4,3,2,9,8,7,6,5,4,3,2}),11)),VALUE(MID(G1855,14,1))=IF(MOD(SUMPRODUCT(--MID(G1855,{1,2,3,4,5,6,7,8,9,10,11,12,13},1),{6,5,4,3,2,9,8,7,6,5,4,3,2}),11)&lt;2,0,11-MOD(SUMPRODUCT(--MID(G1855,{1,2,3,4,5,6,7,8,9,10,11,12,13},1),{6,5,4,3,2,9,8,7,6,5,4,3,2}),11))),"OK","AVISO: dígito verificador (conferir na org)"))))</f>
      </c>
      <c r="I1855" s="6">
        <f>IF(G1855="","",IF(COUNTIF($G$2:$G$2001,G1855)&gt;1,"DUPLICADO","OK"))</f>
      </c>
      <c r="J1855" s="6">
        <f>IF(COUNTA(A1855:F1855)=0,"",IF(AND(A1855&lt;&gt;"",E1855&lt;&gt;""),"OK","ERRO: faltam "&amp;IF(A1855="","CNPJ; ","")&amp;IF(E1855="","Novo gerente; ","")))</f>
      </c>
      <c r="K1855" s="6">
        <f>IF(COUNTA(A1855:F1855)=0,"",IF(AND(LEFT(H1855,4)&lt;&gt;"ERRO",I1855="OK",J1855="OK"),"OK","REVISAR"))</f>
      </c>
    </row>
    <row r="1856">
      <c r="A1856" s="5"/>
      <c r="B1856" s="4"/>
      <c r="C1856" s="4"/>
      <c r="D1856" s="4"/>
      <c r="E1856" s="5"/>
      <c r="F1856" s="4"/>
      <c r="G1856" s="6">
        <f>IF(A1856="","",SUBSTITUTE(SUBSTITUTE(SUBSTITUTE(SUBSTITUTE(SUBSTITUTE(SUBSTITUTE(SUBSTITUTE(TRIM(A1856),".",""),"/",""),"-","")," ",""),"(",""),")",""),"+",""))</f>
      </c>
      <c r="H1856" s="6">
        <f>IF(G1856="","",IF(LEN(G1856)&lt;&gt;14,"ERRO: "&amp;LEN(G1856)&amp;" dígitos",IF(NOT(ISNUMBER(VALUE(G1856))),"ERRO: não numérico",IF(AND(VALUE(MID(G1856,13,1))=IF(MOD(SUMPRODUCT(--MID(G1856,{1,2,3,4,5,6,7,8,9,10,11,12},1),{5,4,3,2,9,8,7,6,5,4,3,2}),11)&lt;2,0,11-MOD(SUMPRODUCT(--MID(G1856,{1,2,3,4,5,6,7,8,9,10,11,12},1),{5,4,3,2,9,8,7,6,5,4,3,2}),11)),VALUE(MID(G1856,14,1))=IF(MOD(SUMPRODUCT(--MID(G1856,{1,2,3,4,5,6,7,8,9,10,11,12,13},1),{6,5,4,3,2,9,8,7,6,5,4,3,2}),11)&lt;2,0,11-MOD(SUMPRODUCT(--MID(G1856,{1,2,3,4,5,6,7,8,9,10,11,12,13},1),{6,5,4,3,2,9,8,7,6,5,4,3,2}),11))),"OK","AVISO: dígito verificador (conferir na org)"))))</f>
      </c>
      <c r="I1856" s="6">
        <f>IF(G1856="","",IF(COUNTIF($G$2:$G$2001,G1856)&gt;1,"DUPLICADO","OK"))</f>
      </c>
      <c r="J1856" s="6">
        <f>IF(COUNTA(A1856:F1856)=0,"",IF(AND(A1856&lt;&gt;"",E1856&lt;&gt;""),"OK","ERRO: faltam "&amp;IF(A1856="","CNPJ; ","")&amp;IF(E1856="","Novo gerente; ","")))</f>
      </c>
      <c r="K1856" s="6">
        <f>IF(COUNTA(A1856:F1856)=0,"",IF(AND(LEFT(H1856,4)&lt;&gt;"ERRO",I1856="OK",J1856="OK"),"OK","REVISAR"))</f>
      </c>
    </row>
    <row r="1857">
      <c r="A1857" s="5"/>
      <c r="B1857" s="4"/>
      <c r="C1857" s="4"/>
      <c r="D1857" s="4"/>
      <c r="E1857" s="5"/>
      <c r="F1857" s="4"/>
      <c r="G1857" s="6">
        <f>IF(A1857="","",SUBSTITUTE(SUBSTITUTE(SUBSTITUTE(SUBSTITUTE(SUBSTITUTE(SUBSTITUTE(SUBSTITUTE(TRIM(A1857),".",""),"/",""),"-","")," ",""),"(",""),")",""),"+",""))</f>
      </c>
      <c r="H1857" s="6">
        <f>IF(G1857="","",IF(LEN(G1857)&lt;&gt;14,"ERRO: "&amp;LEN(G1857)&amp;" dígitos",IF(NOT(ISNUMBER(VALUE(G1857))),"ERRO: não numérico",IF(AND(VALUE(MID(G1857,13,1))=IF(MOD(SUMPRODUCT(--MID(G1857,{1,2,3,4,5,6,7,8,9,10,11,12},1),{5,4,3,2,9,8,7,6,5,4,3,2}),11)&lt;2,0,11-MOD(SUMPRODUCT(--MID(G1857,{1,2,3,4,5,6,7,8,9,10,11,12},1),{5,4,3,2,9,8,7,6,5,4,3,2}),11)),VALUE(MID(G1857,14,1))=IF(MOD(SUMPRODUCT(--MID(G1857,{1,2,3,4,5,6,7,8,9,10,11,12,13},1),{6,5,4,3,2,9,8,7,6,5,4,3,2}),11)&lt;2,0,11-MOD(SUMPRODUCT(--MID(G1857,{1,2,3,4,5,6,7,8,9,10,11,12,13},1),{6,5,4,3,2,9,8,7,6,5,4,3,2}),11))),"OK","AVISO: dígito verificador (conferir na org)"))))</f>
      </c>
      <c r="I1857" s="6">
        <f>IF(G1857="","",IF(COUNTIF($G$2:$G$2001,G1857)&gt;1,"DUPLICADO","OK"))</f>
      </c>
      <c r="J1857" s="6">
        <f>IF(COUNTA(A1857:F1857)=0,"",IF(AND(A1857&lt;&gt;"",E1857&lt;&gt;""),"OK","ERRO: faltam "&amp;IF(A1857="","CNPJ; ","")&amp;IF(E1857="","Novo gerente; ","")))</f>
      </c>
      <c r="K1857" s="6">
        <f>IF(COUNTA(A1857:F1857)=0,"",IF(AND(LEFT(H1857,4)&lt;&gt;"ERRO",I1857="OK",J1857="OK"),"OK","REVISAR"))</f>
      </c>
    </row>
    <row r="1858">
      <c r="A1858" s="5"/>
      <c r="B1858" s="4"/>
      <c r="C1858" s="4"/>
      <c r="D1858" s="4"/>
      <c r="E1858" s="5"/>
      <c r="F1858" s="4"/>
      <c r="G1858" s="6">
        <f>IF(A1858="","",SUBSTITUTE(SUBSTITUTE(SUBSTITUTE(SUBSTITUTE(SUBSTITUTE(SUBSTITUTE(SUBSTITUTE(TRIM(A1858),".",""),"/",""),"-","")," ",""),"(",""),")",""),"+",""))</f>
      </c>
      <c r="H1858" s="6">
        <f>IF(G1858="","",IF(LEN(G1858)&lt;&gt;14,"ERRO: "&amp;LEN(G1858)&amp;" dígitos",IF(NOT(ISNUMBER(VALUE(G1858))),"ERRO: não numérico",IF(AND(VALUE(MID(G1858,13,1))=IF(MOD(SUMPRODUCT(--MID(G1858,{1,2,3,4,5,6,7,8,9,10,11,12},1),{5,4,3,2,9,8,7,6,5,4,3,2}),11)&lt;2,0,11-MOD(SUMPRODUCT(--MID(G1858,{1,2,3,4,5,6,7,8,9,10,11,12},1),{5,4,3,2,9,8,7,6,5,4,3,2}),11)),VALUE(MID(G1858,14,1))=IF(MOD(SUMPRODUCT(--MID(G1858,{1,2,3,4,5,6,7,8,9,10,11,12,13},1),{6,5,4,3,2,9,8,7,6,5,4,3,2}),11)&lt;2,0,11-MOD(SUMPRODUCT(--MID(G1858,{1,2,3,4,5,6,7,8,9,10,11,12,13},1),{6,5,4,3,2,9,8,7,6,5,4,3,2}),11))),"OK","AVISO: dígito verificador (conferir na org)"))))</f>
      </c>
      <c r="I1858" s="6">
        <f>IF(G1858="","",IF(COUNTIF($G$2:$G$2001,G1858)&gt;1,"DUPLICADO","OK"))</f>
      </c>
      <c r="J1858" s="6">
        <f>IF(COUNTA(A1858:F1858)=0,"",IF(AND(A1858&lt;&gt;"",E1858&lt;&gt;""),"OK","ERRO: faltam "&amp;IF(A1858="","CNPJ; ","")&amp;IF(E1858="","Novo gerente; ","")))</f>
      </c>
      <c r="K1858" s="6">
        <f>IF(COUNTA(A1858:F1858)=0,"",IF(AND(LEFT(H1858,4)&lt;&gt;"ERRO",I1858="OK",J1858="OK"),"OK","REVISAR"))</f>
      </c>
    </row>
    <row r="1859">
      <c r="A1859" s="5"/>
      <c r="B1859" s="4"/>
      <c r="C1859" s="4"/>
      <c r="D1859" s="4"/>
      <c r="E1859" s="5"/>
      <c r="F1859" s="4"/>
      <c r="G1859" s="6">
        <f>IF(A1859="","",SUBSTITUTE(SUBSTITUTE(SUBSTITUTE(SUBSTITUTE(SUBSTITUTE(SUBSTITUTE(SUBSTITUTE(TRIM(A1859),".",""),"/",""),"-","")," ",""),"(",""),")",""),"+",""))</f>
      </c>
      <c r="H1859" s="6">
        <f>IF(G1859="","",IF(LEN(G1859)&lt;&gt;14,"ERRO: "&amp;LEN(G1859)&amp;" dígitos",IF(NOT(ISNUMBER(VALUE(G1859))),"ERRO: não numérico",IF(AND(VALUE(MID(G1859,13,1))=IF(MOD(SUMPRODUCT(--MID(G1859,{1,2,3,4,5,6,7,8,9,10,11,12},1),{5,4,3,2,9,8,7,6,5,4,3,2}),11)&lt;2,0,11-MOD(SUMPRODUCT(--MID(G1859,{1,2,3,4,5,6,7,8,9,10,11,12},1),{5,4,3,2,9,8,7,6,5,4,3,2}),11)),VALUE(MID(G1859,14,1))=IF(MOD(SUMPRODUCT(--MID(G1859,{1,2,3,4,5,6,7,8,9,10,11,12,13},1),{6,5,4,3,2,9,8,7,6,5,4,3,2}),11)&lt;2,0,11-MOD(SUMPRODUCT(--MID(G1859,{1,2,3,4,5,6,7,8,9,10,11,12,13},1),{6,5,4,3,2,9,8,7,6,5,4,3,2}),11))),"OK","AVISO: dígito verificador (conferir na org)"))))</f>
      </c>
      <c r="I1859" s="6">
        <f>IF(G1859="","",IF(COUNTIF($G$2:$G$2001,G1859)&gt;1,"DUPLICADO","OK"))</f>
      </c>
      <c r="J1859" s="6">
        <f>IF(COUNTA(A1859:F1859)=0,"",IF(AND(A1859&lt;&gt;"",E1859&lt;&gt;""),"OK","ERRO: faltam "&amp;IF(A1859="","CNPJ; ","")&amp;IF(E1859="","Novo gerente; ","")))</f>
      </c>
      <c r="K1859" s="6">
        <f>IF(COUNTA(A1859:F1859)=0,"",IF(AND(LEFT(H1859,4)&lt;&gt;"ERRO",I1859="OK",J1859="OK"),"OK","REVISAR"))</f>
      </c>
    </row>
    <row r="1860">
      <c r="A1860" s="5"/>
      <c r="B1860" s="4"/>
      <c r="C1860" s="4"/>
      <c r="D1860" s="4"/>
      <c r="E1860" s="5"/>
      <c r="F1860" s="4"/>
      <c r="G1860" s="6">
        <f>IF(A1860="","",SUBSTITUTE(SUBSTITUTE(SUBSTITUTE(SUBSTITUTE(SUBSTITUTE(SUBSTITUTE(SUBSTITUTE(TRIM(A1860),".",""),"/",""),"-","")," ",""),"(",""),")",""),"+",""))</f>
      </c>
      <c r="H1860" s="6">
        <f>IF(G1860="","",IF(LEN(G1860)&lt;&gt;14,"ERRO: "&amp;LEN(G1860)&amp;" dígitos",IF(NOT(ISNUMBER(VALUE(G1860))),"ERRO: não numérico",IF(AND(VALUE(MID(G1860,13,1))=IF(MOD(SUMPRODUCT(--MID(G1860,{1,2,3,4,5,6,7,8,9,10,11,12},1),{5,4,3,2,9,8,7,6,5,4,3,2}),11)&lt;2,0,11-MOD(SUMPRODUCT(--MID(G1860,{1,2,3,4,5,6,7,8,9,10,11,12},1),{5,4,3,2,9,8,7,6,5,4,3,2}),11)),VALUE(MID(G1860,14,1))=IF(MOD(SUMPRODUCT(--MID(G1860,{1,2,3,4,5,6,7,8,9,10,11,12,13},1),{6,5,4,3,2,9,8,7,6,5,4,3,2}),11)&lt;2,0,11-MOD(SUMPRODUCT(--MID(G1860,{1,2,3,4,5,6,7,8,9,10,11,12,13},1),{6,5,4,3,2,9,8,7,6,5,4,3,2}),11))),"OK","AVISO: dígito verificador (conferir na org)"))))</f>
      </c>
      <c r="I1860" s="6">
        <f>IF(G1860="","",IF(COUNTIF($G$2:$G$2001,G1860)&gt;1,"DUPLICADO","OK"))</f>
      </c>
      <c r="J1860" s="6">
        <f>IF(COUNTA(A1860:F1860)=0,"",IF(AND(A1860&lt;&gt;"",E1860&lt;&gt;""),"OK","ERRO: faltam "&amp;IF(A1860="","CNPJ; ","")&amp;IF(E1860="","Novo gerente; ","")))</f>
      </c>
      <c r="K1860" s="6">
        <f>IF(COUNTA(A1860:F1860)=0,"",IF(AND(LEFT(H1860,4)&lt;&gt;"ERRO",I1860="OK",J1860="OK"),"OK","REVISAR"))</f>
      </c>
    </row>
    <row r="1861">
      <c r="A1861" s="5"/>
      <c r="B1861" s="4"/>
      <c r="C1861" s="4"/>
      <c r="D1861" s="4"/>
      <c r="E1861" s="5"/>
      <c r="F1861" s="4"/>
      <c r="G1861" s="6">
        <f>IF(A1861="","",SUBSTITUTE(SUBSTITUTE(SUBSTITUTE(SUBSTITUTE(SUBSTITUTE(SUBSTITUTE(SUBSTITUTE(TRIM(A1861),".",""),"/",""),"-","")," ",""),"(",""),")",""),"+",""))</f>
      </c>
      <c r="H1861" s="6">
        <f>IF(G1861="","",IF(LEN(G1861)&lt;&gt;14,"ERRO: "&amp;LEN(G1861)&amp;" dígitos",IF(NOT(ISNUMBER(VALUE(G1861))),"ERRO: não numérico",IF(AND(VALUE(MID(G1861,13,1))=IF(MOD(SUMPRODUCT(--MID(G1861,{1,2,3,4,5,6,7,8,9,10,11,12},1),{5,4,3,2,9,8,7,6,5,4,3,2}),11)&lt;2,0,11-MOD(SUMPRODUCT(--MID(G1861,{1,2,3,4,5,6,7,8,9,10,11,12},1),{5,4,3,2,9,8,7,6,5,4,3,2}),11)),VALUE(MID(G1861,14,1))=IF(MOD(SUMPRODUCT(--MID(G1861,{1,2,3,4,5,6,7,8,9,10,11,12,13},1),{6,5,4,3,2,9,8,7,6,5,4,3,2}),11)&lt;2,0,11-MOD(SUMPRODUCT(--MID(G1861,{1,2,3,4,5,6,7,8,9,10,11,12,13},1),{6,5,4,3,2,9,8,7,6,5,4,3,2}),11))),"OK","AVISO: dígito verificador (conferir na org)"))))</f>
      </c>
      <c r="I1861" s="6">
        <f>IF(G1861="","",IF(COUNTIF($G$2:$G$2001,G1861)&gt;1,"DUPLICADO","OK"))</f>
      </c>
      <c r="J1861" s="6">
        <f>IF(COUNTA(A1861:F1861)=0,"",IF(AND(A1861&lt;&gt;"",E1861&lt;&gt;""),"OK","ERRO: faltam "&amp;IF(A1861="","CNPJ; ","")&amp;IF(E1861="","Novo gerente; ","")))</f>
      </c>
      <c r="K1861" s="6">
        <f>IF(COUNTA(A1861:F1861)=0,"",IF(AND(LEFT(H1861,4)&lt;&gt;"ERRO",I1861="OK",J1861="OK"),"OK","REVISAR"))</f>
      </c>
    </row>
    <row r="1862">
      <c r="A1862" s="5"/>
      <c r="B1862" s="4"/>
      <c r="C1862" s="4"/>
      <c r="D1862" s="4"/>
      <c r="E1862" s="5"/>
      <c r="F1862" s="4"/>
      <c r="G1862" s="6">
        <f>IF(A1862="","",SUBSTITUTE(SUBSTITUTE(SUBSTITUTE(SUBSTITUTE(SUBSTITUTE(SUBSTITUTE(SUBSTITUTE(TRIM(A1862),".",""),"/",""),"-","")," ",""),"(",""),")",""),"+",""))</f>
      </c>
      <c r="H1862" s="6">
        <f>IF(G1862="","",IF(LEN(G1862)&lt;&gt;14,"ERRO: "&amp;LEN(G1862)&amp;" dígitos",IF(NOT(ISNUMBER(VALUE(G1862))),"ERRO: não numérico",IF(AND(VALUE(MID(G1862,13,1))=IF(MOD(SUMPRODUCT(--MID(G1862,{1,2,3,4,5,6,7,8,9,10,11,12},1),{5,4,3,2,9,8,7,6,5,4,3,2}),11)&lt;2,0,11-MOD(SUMPRODUCT(--MID(G1862,{1,2,3,4,5,6,7,8,9,10,11,12},1),{5,4,3,2,9,8,7,6,5,4,3,2}),11)),VALUE(MID(G1862,14,1))=IF(MOD(SUMPRODUCT(--MID(G1862,{1,2,3,4,5,6,7,8,9,10,11,12,13},1),{6,5,4,3,2,9,8,7,6,5,4,3,2}),11)&lt;2,0,11-MOD(SUMPRODUCT(--MID(G1862,{1,2,3,4,5,6,7,8,9,10,11,12,13},1),{6,5,4,3,2,9,8,7,6,5,4,3,2}),11))),"OK","AVISO: dígito verificador (conferir na org)"))))</f>
      </c>
      <c r="I1862" s="6">
        <f>IF(G1862="","",IF(COUNTIF($G$2:$G$2001,G1862)&gt;1,"DUPLICADO","OK"))</f>
      </c>
      <c r="J1862" s="6">
        <f>IF(COUNTA(A1862:F1862)=0,"",IF(AND(A1862&lt;&gt;"",E1862&lt;&gt;""),"OK","ERRO: faltam "&amp;IF(A1862="","CNPJ; ","")&amp;IF(E1862="","Novo gerente; ","")))</f>
      </c>
      <c r="K1862" s="6">
        <f>IF(COUNTA(A1862:F1862)=0,"",IF(AND(LEFT(H1862,4)&lt;&gt;"ERRO",I1862="OK",J1862="OK"),"OK","REVISAR"))</f>
      </c>
    </row>
    <row r="1863">
      <c r="A1863" s="5"/>
      <c r="B1863" s="4"/>
      <c r="C1863" s="4"/>
      <c r="D1863" s="4"/>
      <c r="E1863" s="5"/>
      <c r="F1863" s="4"/>
      <c r="G1863" s="6">
        <f>IF(A1863="","",SUBSTITUTE(SUBSTITUTE(SUBSTITUTE(SUBSTITUTE(SUBSTITUTE(SUBSTITUTE(SUBSTITUTE(TRIM(A1863),".",""),"/",""),"-","")," ",""),"(",""),")",""),"+",""))</f>
      </c>
      <c r="H1863" s="6">
        <f>IF(G1863="","",IF(LEN(G1863)&lt;&gt;14,"ERRO: "&amp;LEN(G1863)&amp;" dígitos",IF(NOT(ISNUMBER(VALUE(G1863))),"ERRO: não numérico",IF(AND(VALUE(MID(G1863,13,1))=IF(MOD(SUMPRODUCT(--MID(G1863,{1,2,3,4,5,6,7,8,9,10,11,12},1),{5,4,3,2,9,8,7,6,5,4,3,2}),11)&lt;2,0,11-MOD(SUMPRODUCT(--MID(G1863,{1,2,3,4,5,6,7,8,9,10,11,12},1),{5,4,3,2,9,8,7,6,5,4,3,2}),11)),VALUE(MID(G1863,14,1))=IF(MOD(SUMPRODUCT(--MID(G1863,{1,2,3,4,5,6,7,8,9,10,11,12,13},1),{6,5,4,3,2,9,8,7,6,5,4,3,2}),11)&lt;2,0,11-MOD(SUMPRODUCT(--MID(G1863,{1,2,3,4,5,6,7,8,9,10,11,12,13},1),{6,5,4,3,2,9,8,7,6,5,4,3,2}),11))),"OK","AVISO: dígito verificador (conferir na org)"))))</f>
      </c>
      <c r="I1863" s="6">
        <f>IF(G1863="","",IF(COUNTIF($G$2:$G$2001,G1863)&gt;1,"DUPLICADO","OK"))</f>
      </c>
      <c r="J1863" s="6">
        <f>IF(COUNTA(A1863:F1863)=0,"",IF(AND(A1863&lt;&gt;"",E1863&lt;&gt;""),"OK","ERRO: faltam "&amp;IF(A1863="","CNPJ; ","")&amp;IF(E1863="","Novo gerente; ","")))</f>
      </c>
      <c r="K1863" s="6">
        <f>IF(COUNTA(A1863:F1863)=0,"",IF(AND(LEFT(H1863,4)&lt;&gt;"ERRO",I1863="OK",J1863="OK"),"OK","REVISAR"))</f>
      </c>
    </row>
    <row r="1864">
      <c r="A1864" s="5"/>
      <c r="B1864" s="4"/>
      <c r="C1864" s="4"/>
      <c r="D1864" s="4"/>
      <c r="E1864" s="5"/>
      <c r="F1864" s="4"/>
      <c r="G1864" s="6">
        <f>IF(A1864="","",SUBSTITUTE(SUBSTITUTE(SUBSTITUTE(SUBSTITUTE(SUBSTITUTE(SUBSTITUTE(SUBSTITUTE(TRIM(A1864),".",""),"/",""),"-","")," ",""),"(",""),")",""),"+",""))</f>
      </c>
      <c r="H1864" s="6">
        <f>IF(G1864="","",IF(LEN(G1864)&lt;&gt;14,"ERRO: "&amp;LEN(G1864)&amp;" dígitos",IF(NOT(ISNUMBER(VALUE(G1864))),"ERRO: não numérico",IF(AND(VALUE(MID(G1864,13,1))=IF(MOD(SUMPRODUCT(--MID(G1864,{1,2,3,4,5,6,7,8,9,10,11,12},1),{5,4,3,2,9,8,7,6,5,4,3,2}),11)&lt;2,0,11-MOD(SUMPRODUCT(--MID(G1864,{1,2,3,4,5,6,7,8,9,10,11,12},1),{5,4,3,2,9,8,7,6,5,4,3,2}),11)),VALUE(MID(G1864,14,1))=IF(MOD(SUMPRODUCT(--MID(G1864,{1,2,3,4,5,6,7,8,9,10,11,12,13},1),{6,5,4,3,2,9,8,7,6,5,4,3,2}),11)&lt;2,0,11-MOD(SUMPRODUCT(--MID(G1864,{1,2,3,4,5,6,7,8,9,10,11,12,13},1),{6,5,4,3,2,9,8,7,6,5,4,3,2}),11))),"OK","AVISO: dígito verificador (conferir na org)"))))</f>
      </c>
      <c r="I1864" s="6">
        <f>IF(G1864="","",IF(COUNTIF($G$2:$G$2001,G1864)&gt;1,"DUPLICADO","OK"))</f>
      </c>
      <c r="J1864" s="6">
        <f>IF(COUNTA(A1864:F1864)=0,"",IF(AND(A1864&lt;&gt;"",E1864&lt;&gt;""),"OK","ERRO: faltam "&amp;IF(A1864="","CNPJ; ","")&amp;IF(E1864="","Novo gerente; ","")))</f>
      </c>
      <c r="K1864" s="6">
        <f>IF(COUNTA(A1864:F1864)=0,"",IF(AND(LEFT(H1864,4)&lt;&gt;"ERRO",I1864="OK",J1864="OK"),"OK","REVISAR"))</f>
      </c>
    </row>
    <row r="1865">
      <c r="A1865" s="5"/>
      <c r="B1865" s="4"/>
      <c r="C1865" s="4"/>
      <c r="D1865" s="4"/>
      <c r="E1865" s="5"/>
      <c r="F1865" s="4"/>
      <c r="G1865" s="6">
        <f>IF(A1865="","",SUBSTITUTE(SUBSTITUTE(SUBSTITUTE(SUBSTITUTE(SUBSTITUTE(SUBSTITUTE(SUBSTITUTE(TRIM(A1865),".",""),"/",""),"-","")," ",""),"(",""),")",""),"+",""))</f>
      </c>
      <c r="H1865" s="6">
        <f>IF(G1865="","",IF(LEN(G1865)&lt;&gt;14,"ERRO: "&amp;LEN(G1865)&amp;" dígitos",IF(NOT(ISNUMBER(VALUE(G1865))),"ERRO: não numérico",IF(AND(VALUE(MID(G1865,13,1))=IF(MOD(SUMPRODUCT(--MID(G1865,{1,2,3,4,5,6,7,8,9,10,11,12},1),{5,4,3,2,9,8,7,6,5,4,3,2}),11)&lt;2,0,11-MOD(SUMPRODUCT(--MID(G1865,{1,2,3,4,5,6,7,8,9,10,11,12},1),{5,4,3,2,9,8,7,6,5,4,3,2}),11)),VALUE(MID(G1865,14,1))=IF(MOD(SUMPRODUCT(--MID(G1865,{1,2,3,4,5,6,7,8,9,10,11,12,13},1),{6,5,4,3,2,9,8,7,6,5,4,3,2}),11)&lt;2,0,11-MOD(SUMPRODUCT(--MID(G1865,{1,2,3,4,5,6,7,8,9,10,11,12,13},1),{6,5,4,3,2,9,8,7,6,5,4,3,2}),11))),"OK","AVISO: dígito verificador (conferir na org)"))))</f>
      </c>
      <c r="I1865" s="6">
        <f>IF(G1865="","",IF(COUNTIF($G$2:$G$2001,G1865)&gt;1,"DUPLICADO","OK"))</f>
      </c>
      <c r="J1865" s="6">
        <f>IF(COUNTA(A1865:F1865)=0,"",IF(AND(A1865&lt;&gt;"",E1865&lt;&gt;""),"OK","ERRO: faltam "&amp;IF(A1865="","CNPJ; ","")&amp;IF(E1865="","Novo gerente; ","")))</f>
      </c>
      <c r="K1865" s="6">
        <f>IF(COUNTA(A1865:F1865)=0,"",IF(AND(LEFT(H1865,4)&lt;&gt;"ERRO",I1865="OK",J1865="OK"),"OK","REVISAR"))</f>
      </c>
    </row>
    <row r="1866">
      <c r="A1866" s="5"/>
      <c r="B1866" s="4"/>
      <c r="C1866" s="4"/>
      <c r="D1866" s="4"/>
      <c r="E1866" s="5"/>
      <c r="F1866" s="4"/>
      <c r="G1866" s="6">
        <f>IF(A1866="","",SUBSTITUTE(SUBSTITUTE(SUBSTITUTE(SUBSTITUTE(SUBSTITUTE(SUBSTITUTE(SUBSTITUTE(TRIM(A1866),".",""),"/",""),"-","")," ",""),"(",""),")",""),"+",""))</f>
      </c>
      <c r="H1866" s="6">
        <f>IF(G1866="","",IF(LEN(G1866)&lt;&gt;14,"ERRO: "&amp;LEN(G1866)&amp;" dígitos",IF(NOT(ISNUMBER(VALUE(G1866))),"ERRO: não numérico",IF(AND(VALUE(MID(G1866,13,1))=IF(MOD(SUMPRODUCT(--MID(G1866,{1,2,3,4,5,6,7,8,9,10,11,12},1),{5,4,3,2,9,8,7,6,5,4,3,2}),11)&lt;2,0,11-MOD(SUMPRODUCT(--MID(G1866,{1,2,3,4,5,6,7,8,9,10,11,12},1),{5,4,3,2,9,8,7,6,5,4,3,2}),11)),VALUE(MID(G1866,14,1))=IF(MOD(SUMPRODUCT(--MID(G1866,{1,2,3,4,5,6,7,8,9,10,11,12,13},1),{6,5,4,3,2,9,8,7,6,5,4,3,2}),11)&lt;2,0,11-MOD(SUMPRODUCT(--MID(G1866,{1,2,3,4,5,6,7,8,9,10,11,12,13},1),{6,5,4,3,2,9,8,7,6,5,4,3,2}),11))),"OK","AVISO: dígito verificador (conferir na org)"))))</f>
      </c>
      <c r="I1866" s="6">
        <f>IF(G1866="","",IF(COUNTIF($G$2:$G$2001,G1866)&gt;1,"DUPLICADO","OK"))</f>
      </c>
      <c r="J1866" s="6">
        <f>IF(COUNTA(A1866:F1866)=0,"",IF(AND(A1866&lt;&gt;"",E1866&lt;&gt;""),"OK","ERRO: faltam "&amp;IF(A1866="","CNPJ; ","")&amp;IF(E1866="","Novo gerente; ","")))</f>
      </c>
      <c r="K1866" s="6">
        <f>IF(COUNTA(A1866:F1866)=0,"",IF(AND(LEFT(H1866,4)&lt;&gt;"ERRO",I1866="OK",J1866="OK"),"OK","REVISAR"))</f>
      </c>
    </row>
    <row r="1867">
      <c r="A1867" s="5"/>
      <c r="B1867" s="4"/>
      <c r="C1867" s="4"/>
      <c r="D1867" s="4"/>
      <c r="E1867" s="5"/>
      <c r="F1867" s="4"/>
      <c r="G1867" s="6">
        <f>IF(A1867="","",SUBSTITUTE(SUBSTITUTE(SUBSTITUTE(SUBSTITUTE(SUBSTITUTE(SUBSTITUTE(SUBSTITUTE(TRIM(A1867),".",""),"/",""),"-","")," ",""),"(",""),")",""),"+",""))</f>
      </c>
      <c r="H1867" s="6">
        <f>IF(G1867="","",IF(LEN(G1867)&lt;&gt;14,"ERRO: "&amp;LEN(G1867)&amp;" dígitos",IF(NOT(ISNUMBER(VALUE(G1867))),"ERRO: não numérico",IF(AND(VALUE(MID(G1867,13,1))=IF(MOD(SUMPRODUCT(--MID(G1867,{1,2,3,4,5,6,7,8,9,10,11,12},1),{5,4,3,2,9,8,7,6,5,4,3,2}),11)&lt;2,0,11-MOD(SUMPRODUCT(--MID(G1867,{1,2,3,4,5,6,7,8,9,10,11,12},1),{5,4,3,2,9,8,7,6,5,4,3,2}),11)),VALUE(MID(G1867,14,1))=IF(MOD(SUMPRODUCT(--MID(G1867,{1,2,3,4,5,6,7,8,9,10,11,12,13},1),{6,5,4,3,2,9,8,7,6,5,4,3,2}),11)&lt;2,0,11-MOD(SUMPRODUCT(--MID(G1867,{1,2,3,4,5,6,7,8,9,10,11,12,13},1),{6,5,4,3,2,9,8,7,6,5,4,3,2}),11))),"OK","AVISO: dígito verificador (conferir na org)"))))</f>
      </c>
      <c r="I1867" s="6">
        <f>IF(G1867="","",IF(COUNTIF($G$2:$G$2001,G1867)&gt;1,"DUPLICADO","OK"))</f>
      </c>
      <c r="J1867" s="6">
        <f>IF(COUNTA(A1867:F1867)=0,"",IF(AND(A1867&lt;&gt;"",E1867&lt;&gt;""),"OK","ERRO: faltam "&amp;IF(A1867="","CNPJ; ","")&amp;IF(E1867="","Novo gerente; ","")))</f>
      </c>
      <c r="K1867" s="6">
        <f>IF(COUNTA(A1867:F1867)=0,"",IF(AND(LEFT(H1867,4)&lt;&gt;"ERRO",I1867="OK",J1867="OK"),"OK","REVISAR"))</f>
      </c>
    </row>
    <row r="1868">
      <c r="A1868" s="5"/>
      <c r="B1868" s="4"/>
      <c r="C1868" s="4"/>
      <c r="D1868" s="4"/>
      <c r="E1868" s="5"/>
      <c r="F1868" s="4"/>
      <c r="G1868" s="6">
        <f>IF(A1868="","",SUBSTITUTE(SUBSTITUTE(SUBSTITUTE(SUBSTITUTE(SUBSTITUTE(SUBSTITUTE(SUBSTITUTE(TRIM(A1868),".",""),"/",""),"-","")," ",""),"(",""),")",""),"+",""))</f>
      </c>
      <c r="H1868" s="6">
        <f>IF(G1868="","",IF(LEN(G1868)&lt;&gt;14,"ERRO: "&amp;LEN(G1868)&amp;" dígitos",IF(NOT(ISNUMBER(VALUE(G1868))),"ERRO: não numérico",IF(AND(VALUE(MID(G1868,13,1))=IF(MOD(SUMPRODUCT(--MID(G1868,{1,2,3,4,5,6,7,8,9,10,11,12},1),{5,4,3,2,9,8,7,6,5,4,3,2}),11)&lt;2,0,11-MOD(SUMPRODUCT(--MID(G1868,{1,2,3,4,5,6,7,8,9,10,11,12},1),{5,4,3,2,9,8,7,6,5,4,3,2}),11)),VALUE(MID(G1868,14,1))=IF(MOD(SUMPRODUCT(--MID(G1868,{1,2,3,4,5,6,7,8,9,10,11,12,13},1),{6,5,4,3,2,9,8,7,6,5,4,3,2}),11)&lt;2,0,11-MOD(SUMPRODUCT(--MID(G1868,{1,2,3,4,5,6,7,8,9,10,11,12,13},1),{6,5,4,3,2,9,8,7,6,5,4,3,2}),11))),"OK","AVISO: dígito verificador (conferir na org)"))))</f>
      </c>
      <c r="I1868" s="6">
        <f>IF(G1868="","",IF(COUNTIF($G$2:$G$2001,G1868)&gt;1,"DUPLICADO","OK"))</f>
      </c>
      <c r="J1868" s="6">
        <f>IF(COUNTA(A1868:F1868)=0,"",IF(AND(A1868&lt;&gt;"",E1868&lt;&gt;""),"OK","ERRO: faltam "&amp;IF(A1868="","CNPJ; ","")&amp;IF(E1868="","Novo gerente; ","")))</f>
      </c>
      <c r="K1868" s="6">
        <f>IF(COUNTA(A1868:F1868)=0,"",IF(AND(LEFT(H1868,4)&lt;&gt;"ERRO",I1868="OK",J1868="OK"),"OK","REVISAR"))</f>
      </c>
    </row>
    <row r="1869">
      <c r="A1869" s="5"/>
      <c r="B1869" s="4"/>
      <c r="C1869" s="4"/>
      <c r="D1869" s="4"/>
      <c r="E1869" s="5"/>
      <c r="F1869" s="4"/>
      <c r="G1869" s="6">
        <f>IF(A1869="","",SUBSTITUTE(SUBSTITUTE(SUBSTITUTE(SUBSTITUTE(SUBSTITUTE(SUBSTITUTE(SUBSTITUTE(TRIM(A1869),".",""),"/",""),"-","")," ",""),"(",""),")",""),"+",""))</f>
      </c>
      <c r="H1869" s="6">
        <f>IF(G1869="","",IF(LEN(G1869)&lt;&gt;14,"ERRO: "&amp;LEN(G1869)&amp;" dígitos",IF(NOT(ISNUMBER(VALUE(G1869))),"ERRO: não numérico",IF(AND(VALUE(MID(G1869,13,1))=IF(MOD(SUMPRODUCT(--MID(G1869,{1,2,3,4,5,6,7,8,9,10,11,12},1),{5,4,3,2,9,8,7,6,5,4,3,2}),11)&lt;2,0,11-MOD(SUMPRODUCT(--MID(G1869,{1,2,3,4,5,6,7,8,9,10,11,12},1),{5,4,3,2,9,8,7,6,5,4,3,2}),11)),VALUE(MID(G1869,14,1))=IF(MOD(SUMPRODUCT(--MID(G1869,{1,2,3,4,5,6,7,8,9,10,11,12,13},1),{6,5,4,3,2,9,8,7,6,5,4,3,2}),11)&lt;2,0,11-MOD(SUMPRODUCT(--MID(G1869,{1,2,3,4,5,6,7,8,9,10,11,12,13},1),{6,5,4,3,2,9,8,7,6,5,4,3,2}),11))),"OK","AVISO: dígito verificador (conferir na org)"))))</f>
      </c>
      <c r="I1869" s="6">
        <f>IF(G1869="","",IF(COUNTIF($G$2:$G$2001,G1869)&gt;1,"DUPLICADO","OK"))</f>
      </c>
      <c r="J1869" s="6">
        <f>IF(COUNTA(A1869:F1869)=0,"",IF(AND(A1869&lt;&gt;"",E1869&lt;&gt;""),"OK","ERRO: faltam "&amp;IF(A1869="","CNPJ; ","")&amp;IF(E1869="","Novo gerente; ","")))</f>
      </c>
      <c r="K1869" s="6">
        <f>IF(COUNTA(A1869:F1869)=0,"",IF(AND(LEFT(H1869,4)&lt;&gt;"ERRO",I1869="OK",J1869="OK"),"OK","REVISAR"))</f>
      </c>
    </row>
    <row r="1870">
      <c r="A1870" s="5"/>
      <c r="B1870" s="4"/>
      <c r="C1870" s="4"/>
      <c r="D1870" s="4"/>
      <c r="E1870" s="5"/>
      <c r="F1870" s="4"/>
      <c r="G1870" s="6">
        <f>IF(A1870="","",SUBSTITUTE(SUBSTITUTE(SUBSTITUTE(SUBSTITUTE(SUBSTITUTE(SUBSTITUTE(SUBSTITUTE(TRIM(A1870),".",""),"/",""),"-","")," ",""),"(",""),")",""),"+",""))</f>
      </c>
      <c r="H1870" s="6">
        <f>IF(G1870="","",IF(LEN(G1870)&lt;&gt;14,"ERRO: "&amp;LEN(G1870)&amp;" dígitos",IF(NOT(ISNUMBER(VALUE(G1870))),"ERRO: não numérico",IF(AND(VALUE(MID(G1870,13,1))=IF(MOD(SUMPRODUCT(--MID(G1870,{1,2,3,4,5,6,7,8,9,10,11,12},1),{5,4,3,2,9,8,7,6,5,4,3,2}),11)&lt;2,0,11-MOD(SUMPRODUCT(--MID(G1870,{1,2,3,4,5,6,7,8,9,10,11,12},1),{5,4,3,2,9,8,7,6,5,4,3,2}),11)),VALUE(MID(G1870,14,1))=IF(MOD(SUMPRODUCT(--MID(G1870,{1,2,3,4,5,6,7,8,9,10,11,12,13},1),{6,5,4,3,2,9,8,7,6,5,4,3,2}),11)&lt;2,0,11-MOD(SUMPRODUCT(--MID(G1870,{1,2,3,4,5,6,7,8,9,10,11,12,13},1),{6,5,4,3,2,9,8,7,6,5,4,3,2}),11))),"OK","AVISO: dígito verificador (conferir na org)"))))</f>
      </c>
      <c r="I1870" s="6">
        <f>IF(G1870="","",IF(COUNTIF($G$2:$G$2001,G1870)&gt;1,"DUPLICADO","OK"))</f>
      </c>
      <c r="J1870" s="6">
        <f>IF(COUNTA(A1870:F1870)=0,"",IF(AND(A1870&lt;&gt;"",E1870&lt;&gt;""),"OK","ERRO: faltam "&amp;IF(A1870="","CNPJ; ","")&amp;IF(E1870="","Novo gerente; ","")))</f>
      </c>
      <c r="K1870" s="6">
        <f>IF(COUNTA(A1870:F1870)=0,"",IF(AND(LEFT(H1870,4)&lt;&gt;"ERRO",I1870="OK",J1870="OK"),"OK","REVISAR"))</f>
      </c>
    </row>
    <row r="1871">
      <c r="A1871" s="5"/>
      <c r="B1871" s="4"/>
      <c r="C1871" s="4"/>
      <c r="D1871" s="4"/>
      <c r="E1871" s="5"/>
      <c r="F1871" s="4"/>
      <c r="G1871" s="6">
        <f>IF(A1871="","",SUBSTITUTE(SUBSTITUTE(SUBSTITUTE(SUBSTITUTE(SUBSTITUTE(SUBSTITUTE(SUBSTITUTE(TRIM(A1871),".",""),"/",""),"-","")," ",""),"(",""),")",""),"+",""))</f>
      </c>
      <c r="H1871" s="6">
        <f>IF(G1871="","",IF(LEN(G1871)&lt;&gt;14,"ERRO: "&amp;LEN(G1871)&amp;" dígitos",IF(NOT(ISNUMBER(VALUE(G1871))),"ERRO: não numérico",IF(AND(VALUE(MID(G1871,13,1))=IF(MOD(SUMPRODUCT(--MID(G1871,{1,2,3,4,5,6,7,8,9,10,11,12},1),{5,4,3,2,9,8,7,6,5,4,3,2}),11)&lt;2,0,11-MOD(SUMPRODUCT(--MID(G1871,{1,2,3,4,5,6,7,8,9,10,11,12},1),{5,4,3,2,9,8,7,6,5,4,3,2}),11)),VALUE(MID(G1871,14,1))=IF(MOD(SUMPRODUCT(--MID(G1871,{1,2,3,4,5,6,7,8,9,10,11,12,13},1),{6,5,4,3,2,9,8,7,6,5,4,3,2}),11)&lt;2,0,11-MOD(SUMPRODUCT(--MID(G1871,{1,2,3,4,5,6,7,8,9,10,11,12,13},1),{6,5,4,3,2,9,8,7,6,5,4,3,2}),11))),"OK","AVISO: dígito verificador (conferir na org)"))))</f>
      </c>
      <c r="I1871" s="6">
        <f>IF(G1871="","",IF(COUNTIF($G$2:$G$2001,G1871)&gt;1,"DUPLICADO","OK"))</f>
      </c>
      <c r="J1871" s="6">
        <f>IF(COUNTA(A1871:F1871)=0,"",IF(AND(A1871&lt;&gt;"",E1871&lt;&gt;""),"OK","ERRO: faltam "&amp;IF(A1871="","CNPJ; ","")&amp;IF(E1871="","Novo gerente; ","")))</f>
      </c>
      <c r="K1871" s="6">
        <f>IF(COUNTA(A1871:F1871)=0,"",IF(AND(LEFT(H1871,4)&lt;&gt;"ERRO",I1871="OK",J1871="OK"),"OK","REVISAR"))</f>
      </c>
    </row>
    <row r="1872">
      <c r="A1872" s="5"/>
      <c r="B1872" s="4"/>
      <c r="C1872" s="4"/>
      <c r="D1872" s="4"/>
      <c r="E1872" s="5"/>
      <c r="F1872" s="4"/>
      <c r="G1872" s="6">
        <f>IF(A1872="","",SUBSTITUTE(SUBSTITUTE(SUBSTITUTE(SUBSTITUTE(SUBSTITUTE(SUBSTITUTE(SUBSTITUTE(TRIM(A1872),".",""),"/",""),"-","")," ",""),"(",""),")",""),"+",""))</f>
      </c>
      <c r="H1872" s="6">
        <f>IF(G1872="","",IF(LEN(G1872)&lt;&gt;14,"ERRO: "&amp;LEN(G1872)&amp;" dígitos",IF(NOT(ISNUMBER(VALUE(G1872))),"ERRO: não numérico",IF(AND(VALUE(MID(G1872,13,1))=IF(MOD(SUMPRODUCT(--MID(G1872,{1,2,3,4,5,6,7,8,9,10,11,12},1),{5,4,3,2,9,8,7,6,5,4,3,2}),11)&lt;2,0,11-MOD(SUMPRODUCT(--MID(G1872,{1,2,3,4,5,6,7,8,9,10,11,12},1),{5,4,3,2,9,8,7,6,5,4,3,2}),11)),VALUE(MID(G1872,14,1))=IF(MOD(SUMPRODUCT(--MID(G1872,{1,2,3,4,5,6,7,8,9,10,11,12,13},1),{6,5,4,3,2,9,8,7,6,5,4,3,2}),11)&lt;2,0,11-MOD(SUMPRODUCT(--MID(G1872,{1,2,3,4,5,6,7,8,9,10,11,12,13},1),{6,5,4,3,2,9,8,7,6,5,4,3,2}),11))),"OK","AVISO: dígito verificador (conferir na org)"))))</f>
      </c>
      <c r="I1872" s="6">
        <f>IF(G1872="","",IF(COUNTIF($G$2:$G$2001,G1872)&gt;1,"DUPLICADO","OK"))</f>
      </c>
      <c r="J1872" s="6">
        <f>IF(COUNTA(A1872:F1872)=0,"",IF(AND(A1872&lt;&gt;"",E1872&lt;&gt;""),"OK","ERRO: faltam "&amp;IF(A1872="","CNPJ; ","")&amp;IF(E1872="","Novo gerente; ","")))</f>
      </c>
      <c r="K1872" s="6">
        <f>IF(COUNTA(A1872:F1872)=0,"",IF(AND(LEFT(H1872,4)&lt;&gt;"ERRO",I1872="OK",J1872="OK"),"OK","REVISAR"))</f>
      </c>
    </row>
    <row r="1873">
      <c r="A1873" s="5"/>
      <c r="B1873" s="4"/>
      <c r="C1873" s="4"/>
      <c r="D1873" s="4"/>
      <c r="E1873" s="5"/>
      <c r="F1873" s="4"/>
      <c r="G1873" s="6">
        <f>IF(A1873="","",SUBSTITUTE(SUBSTITUTE(SUBSTITUTE(SUBSTITUTE(SUBSTITUTE(SUBSTITUTE(SUBSTITUTE(TRIM(A1873),".",""),"/",""),"-","")," ",""),"(",""),")",""),"+",""))</f>
      </c>
      <c r="H1873" s="6">
        <f>IF(G1873="","",IF(LEN(G1873)&lt;&gt;14,"ERRO: "&amp;LEN(G1873)&amp;" dígitos",IF(NOT(ISNUMBER(VALUE(G1873))),"ERRO: não numérico",IF(AND(VALUE(MID(G1873,13,1))=IF(MOD(SUMPRODUCT(--MID(G1873,{1,2,3,4,5,6,7,8,9,10,11,12},1),{5,4,3,2,9,8,7,6,5,4,3,2}),11)&lt;2,0,11-MOD(SUMPRODUCT(--MID(G1873,{1,2,3,4,5,6,7,8,9,10,11,12},1),{5,4,3,2,9,8,7,6,5,4,3,2}),11)),VALUE(MID(G1873,14,1))=IF(MOD(SUMPRODUCT(--MID(G1873,{1,2,3,4,5,6,7,8,9,10,11,12,13},1),{6,5,4,3,2,9,8,7,6,5,4,3,2}),11)&lt;2,0,11-MOD(SUMPRODUCT(--MID(G1873,{1,2,3,4,5,6,7,8,9,10,11,12,13},1),{6,5,4,3,2,9,8,7,6,5,4,3,2}),11))),"OK","AVISO: dígito verificador (conferir na org)"))))</f>
      </c>
      <c r="I1873" s="6">
        <f>IF(G1873="","",IF(COUNTIF($G$2:$G$2001,G1873)&gt;1,"DUPLICADO","OK"))</f>
      </c>
      <c r="J1873" s="6">
        <f>IF(COUNTA(A1873:F1873)=0,"",IF(AND(A1873&lt;&gt;"",E1873&lt;&gt;""),"OK","ERRO: faltam "&amp;IF(A1873="","CNPJ; ","")&amp;IF(E1873="","Novo gerente; ","")))</f>
      </c>
      <c r="K1873" s="6">
        <f>IF(COUNTA(A1873:F1873)=0,"",IF(AND(LEFT(H1873,4)&lt;&gt;"ERRO",I1873="OK",J1873="OK"),"OK","REVISAR"))</f>
      </c>
    </row>
    <row r="1874">
      <c r="A1874" s="5"/>
      <c r="B1874" s="4"/>
      <c r="C1874" s="4"/>
      <c r="D1874" s="4"/>
      <c r="E1874" s="5"/>
      <c r="F1874" s="4"/>
      <c r="G1874" s="6">
        <f>IF(A1874="","",SUBSTITUTE(SUBSTITUTE(SUBSTITUTE(SUBSTITUTE(SUBSTITUTE(SUBSTITUTE(SUBSTITUTE(TRIM(A1874),".",""),"/",""),"-","")," ",""),"(",""),")",""),"+",""))</f>
      </c>
      <c r="H1874" s="6">
        <f>IF(G1874="","",IF(LEN(G1874)&lt;&gt;14,"ERRO: "&amp;LEN(G1874)&amp;" dígitos",IF(NOT(ISNUMBER(VALUE(G1874))),"ERRO: não numérico",IF(AND(VALUE(MID(G1874,13,1))=IF(MOD(SUMPRODUCT(--MID(G1874,{1,2,3,4,5,6,7,8,9,10,11,12},1),{5,4,3,2,9,8,7,6,5,4,3,2}),11)&lt;2,0,11-MOD(SUMPRODUCT(--MID(G1874,{1,2,3,4,5,6,7,8,9,10,11,12},1),{5,4,3,2,9,8,7,6,5,4,3,2}),11)),VALUE(MID(G1874,14,1))=IF(MOD(SUMPRODUCT(--MID(G1874,{1,2,3,4,5,6,7,8,9,10,11,12,13},1),{6,5,4,3,2,9,8,7,6,5,4,3,2}),11)&lt;2,0,11-MOD(SUMPRODUCT(--MID(G1874,{1,2,3,4,5,6,7,8,9,10,11,12,13},1),{6,5,4,3,2,9,8,7,6,5,4,3,2}),11))),"OK","AVISO: dígito verificador (conferir na org)"))))</f>
      </c>
      <c r="I1874" s="6">
        <f>IF(G1874="","",IF(COUNTIF($G$2:$G$2001,G1874)&gt;1,"DUPLICADO","OK"))</f>
      </c>
      <c r="J1874" s="6">
        <f>IF(COUNTA(A1874:F1874)=0,"",IF(AND(A1874&lt;&gt;"",E1874&lt;&gt;""),"OK","ERRO: faltam "&amp;IF(A1874="","CNPJ; ","")&amp;IF(E1874="","Novo gerente; ","")))</f>
      </c>
      <c r="K1874" s="6">
        <f>IF(COUNTA(A1874:F1874)=0,"",IF(AND(LEFT(H1874,4)&lt;&gt;"ERRO",I1874="OK",J1874="OK"),"OK","REVISAR"))</f>
      </c>
    </row>
    <row r="1875">
      <c r="A1875" s="5"/>
      <c r="B1875" s="4"/>
      <c r="C1875" s="4"/>
      <c r="D1875" s="4"/>
      <c r="E1875" s="5"/>
      <c r="F1875" s="4"/>
      <c r="G1875" s="6">
        <f>IF(A1875="","",SUBSTITUTE(SUBSTITUTE(SUBSTITUTE(SUBSTITUTE(SUBSTITUTE(SUBSTITUTE(SUBSTITUTE(TRIM(A1875),".",""),"/",""),"-","")," ",""),"(",""),")",""),"+",""))</f>
      </c>
      <c r="H1875" s="6">
        <f>IF(G1875="","",IF(LEN(G1875)&lt;&gt;14,"ERRO: "&amp;LEN(G1875)&amp;" dígitos",IF(NOT(ISNUMBER(VALUE(G1875))),"ERRO: não numérico",IF(AND(VALUE(MID(G1875,13,1))=IF(MOD(SUMPRODUCT(--MID(G1875,{1,2,3,4,5,6,7,8,9,10,11,12},1),{5,4,3,2,9,8,7,6,5,4,3,2}),11)&lt;2,0,11-MOD(SUMPRODUCT(--MID(G1875,{1,2,3,4,5,6,7,8,9,10,11,12},1),{5,4,3,2,9,8,7,6,5,4,3,2}),11)),VALUE(MID(G1875,14,1))=IF(MOD(SUMPRODUCT(--MID(G1875,{1,2,3,4,5,6,7,8,9,10,11,12,13},1),{6,5,4,3,2,9,8,7,6,5,4,3,2}),11)&lt;2,0,11-MOD(SUMPRODUCT(--MID(G1875,{1,2,3,4,5,6,7,8,9,10,11,12,13},1),{6,5,4,3,2,9,8,7,6,5,4,3,2}),11))),"OK","AVISO: dígito verificador (conferir na org)"))))</f>
      </c>
      <c r="I1875" s="6">
        <f>IF(G1875="","",IF(COUNTIF($G$2:$G$2001,G1875)&gt;1,"DUPLICADO","OK"))</f>
      </c>
      <c r="J1875" s="6">
        <f>IF(COUNTA(A1875:F1875)=0,"",IF(AND(A1875&lt;&gt;"",E1875&lt;&gt;""),"OK","ERRO: faltam "&amp;IF(A1875="","CNPJ; ","")&amp;IF(E1875="","Novo gerente; ","")))</f>
      </c>
      <c r="K1875" s="6">
        <f>IF(COUNTA(A1875:F1875)=0,"",IF(AND(LEFT(H1875,4)&lt;&gt;"ERRO",I1875="OK",J1875="OK"),"OK","REVISAR"))</f>
      </c>
    </row>
    <row r="1876">
      <c r="A1876" s="5"/>
      <c r="B1876" s="4"/>
      <c r="C1876" s="4"/>
      <c r="D1876" s="4"/>
      <c r="E1876" s="5"/>
      <c r="F1876" s="4"/>
      <c r="G1876" s="6">
        <f>IF(A1876="","",SUBSTITUTE(SUBSTITUTE(SUBSTITUTE(SUBSTITUTE(SUBSTITUTE(SUBSTITUTE(SUBSTITUTE(TRIM(A1876),".",""),"/",""),"-","")," ",""),"(",""),")",""),"+",""))</f>
      </c>
      <c r="H1876" s="6">
        <f>IF(G1876="","",IF(LEN(G1876)&lt;&gt;14,"ERRO: "&amp;LEN(G1876)&amp;" dígitos",IF(NOT(ISNUMBER(VALUE(G1876))),"ERRO: não numérico",IF(AND(VALUE(MID(G1876,13,1))=IF(MOD(SUMPRODUCT(--MID(G1876,{1,2,3,4,5,6,7,8,9,10,11,12},1),{5,4,3,2,9,8,7,6,5,4,3,2}),11)&lt;2,0,11-MOD(SUMPRODUCT(--MID(G1876,{1,2,3,4,5,6,7,8,9,10,11,12},1),{5,4,3,2,9,8,7,6,5,4,3,2}),11)),VALUE(MID(G1876,14,1))=IF(MOD(SUMPRODUCT(--MID(G1876,{1,2,3,4,5,6,7,8,9,10,11,12,13},1),{6,5,4,3,2,9,8,7,6,5,4,3,2}),11)&lt;2,0,11-MOD(SUMPRODUCT(--MID(G1876,{1,2,3,4,5,6,7,8,9,10,11,12,13},1),{6,5,4,3,2,9,8,7,6,5,4,3,2}),11))),"OK","AVISO: dígito verificador (conferir na org)"))))</f>
      </c>
      <c r="I1876" s="6">
        <f>IF(G1876="","",IF(COUNTIF($G$2:$G$2001,G1876)&gt;1,"DUPLICADO","OK"))</f>
      </c>
      <c r="J1876" s="6">
        <f>IF(COUNTA(A1876:F1876)=0,"",IF(AND(A1876&lt;&gt;"",E1876&lt;&gt;""),"OK","ERRO: faltam "&amp;IF(A1876="","CNPJ; ","")&amp;IF(E1876="","Novo gerente; ","")))</f>
      </c>
      <c r="K1876" s="6">
        <f>IF(COUNTA(A1876:F1876)=0,"",IF(AND(LEFT(H1876,4)&lt;&gt;"ERRO",I1876="OK",J1876="OK"),"OK","REVISAR"))</f>
      </c>
    </row>
    <row r="1877">
      <c r="A1877" s="5"/>
      <c r="B1877" s="4"/>
      <c r="C1877" s="4"/>
      <c r="D1877" s="4"/>
      <c r="E1877" s="5"/>
      <c r="F1877" s="4"/>
      <c r="G1877" s="6">
        <f>IF(A1877="","",SUBSTITUTE(SUBSTITUTE(SUBSTITUTE(SUBSTITUTE(SUBSTITUTE(SUBSTITUTE(SUBSTITUTE(TRIM(A1877),".",""),"/",""),"-","")," ",""),"(",""),")",""),"+",""))</f>
      </c>
      <c r="H1877" s="6">
        <f>IF(G1877="","",IF(LEN(G1877)&lt;&gt;14,"ERRO: "&amp;LEN(G1877)&amp;" dígitos",IF(NOT(ISNUMBER(VALUE(G1877))),"ERRO: não numérico",IF(AND(VALUE(MID(G1877,13,1))=IF(MOD(SUMPRODUCT(--MID(G1877,{1,2,3,4,5,6,7,8,9,10,11,12},1),{5,4,3,2,9,8,7,6,5,4,3,2}),11)&lt;2,0,11-MOD(SUMPRODUCT(--MID(G1877,{1,2,3,4,5,6,7,8,9,10,11,12},1),{5,4,3,2,9,8,7,6,5,4,3,2}),11)),VALUE(MID(G1877,14,1))=IF(MOD(SUMPRODUCT(--MID(G1877,{1,2,3,4,5,6,7,8,9,10,11,12,13},1),{6,5,4,3,2,9,8,7,6,5,4,3,2}),11)&lt;2,0,11-MOD(SUMPRODUCT(--MID(G1877,{1,2,3,4,5,6,7,8,9,10,11,12,13},1),{6,5,4,3,2,9,8,7,6,5,4,3,2}),11))),"OK","AVISO: dígito verificador (conferir na org)"))))</f>
      </c>
      <c r="I1877" s="6">
        <f>IF(G1877="","",IF(COUNTIF($G$2:$G$2001,G1877)&gt;1,"DUPLICADO","OK"))</f>
      </c>
      <c r="J1877" s="6">
        <f>IF(COUNTA(A1877:F1877)=0,"",IF(AND(A1877&lt;&gt;"",E1877&lt;&gt;""),"OK","ERRO: faltam "&amp;IF(A1877="","CNPJ; ","")&amp;IF(E1877="","Novo gerente; ","")))</f>
      </c>
      <c r="K1877" s="6">
        <f>IF(COUNTA(A1877:F1877)=0,"",IF(AND(LEFT(H1877,4)&lt;&gt;"ERRO",I1877="OK",J1877="OK"),"OK","REVISAR"))</f>
      </c>
    </row>
    <row r="1878">
      <c r="A1878" s="5"/>
      <c r="B1878" s="4"/>
      <c r="C1878" s="4"/>
      <c r="D1878" s="4"/>
      <c r="E1878" s="5"/>
      <c r="F1878" s="4"/>
      <c r="G1878" s="6">
        <f>IF(A1878="","",SUBSTITUTE(SUBSTITUTE(SUBSTITUTE(SUBSTITUTE(SUBSTITUTE(SUBSTITUTE(SUBSTITUTE(TRIM(A1878),".",""),"/",""),"-","")," ",""),"(",""),")",""),"+",""))</f>
      </c>
      <c r="H1878" s="6">
        <f>IF(G1878="","",IF(LEN(G1878)&lt;&gt;14,"ERRO: "&amp;LEN(G1878)&amp;" dígitos",IF(NOT(ISNUMBER(VALUE(G1878))),"ERRO: não numérico",IF(AND(VALUE(MID(G1878,13,1))=IF(MOD(SUMPRODUCT(--MID(G1878,{1,2,3,4,5,6,7,8,9,10,11,12},1),{5,4,3,2,9,8,7,6,5,4,3,2}),11)&lt;2,0,11-MOD(SUMPRODUCT(--MID(G1878,{1,2,3,4,5,6,7,8,9,10,11,12},1),{5,4,3,2,9,8,7,6,5,4,3,2}),11)),VALUE(MID(G1878,14,1))=IF(MOD(SUMPRODUCT(--MID(G1878,{1,2,3,4,5,6,7,8,9,10,11,12,13},1),{6,5,4,3,2,9,8,7,6,5,4,3,2}),11)&lt;2,0,11-MOD(SUMPRODUCT(--MID(G1878,{1,2,3,4,5,6,7,8,9,10,11,12,13},1),{6,5,4,3,2,9,8,7,6,5,4,3,2}),11))),"OK","AVISO: dígito verificador (conferir na org)"))))</f>
      </c>
      <c r="I1878" s="6">
        <f>IF(G1878="","",IF(COUNTIF($G$2:$G$2001,G1878)&gt;1,"DUPLICADO","OK"))</f>
      </c>
      <c r="J1878" s="6">
        <f>IF(COUNTA(A1878:F1878)=0,"",IF(AND(A1878&lt;&gt;"",E1878&lt;&gt;""),"OK","ERRO: faltam "&amp;IF(A1878="","CNPJ; ","")&amp;IF(E1878="","Novo gerente; ","")))</f>
      </c>
      <c r="K1878" s="6">
        <f>IF(COUNTA(A1878:F1878)=0,"",IF(AND(LEFT(H1878,4)&lt;&gt;"ERRO",I1878="OK",J1878="OK"),"OK","REVISAR"))</f>
      </c>
    </row>
    <row r="1879">
      <c r="A1879" s="5"/>
      <c r="B1879" s="4"/>
      <c r="C1879" s="4"/>
      <c r="D1879" s="4"/>
      <c r="E1879" s="5"/>
      <c r="F1879" s="4"/>
      <c r="G1879" s="6">
        <f>IF(A1879="","",SUBSTITUTE(SUBSTITUTE(SUBSTITUTE(SUBSTITUTE(SUBSTITUTE(SUBSTITUTE(SUBSTITUTE(TRIM(A1879),".",""),"/",""),"-","")," ",""),"(",""),")",""),"+",""))</f>
      </c>
      <c r="H1879" s="6">
        <f>IF(G1879="","",IF(LEN(G1879)&lt;&gt;14,"ERRO: "&amp;LEN(G1879)&amp;" dígitos",IF(NOT(ISNUMBER(VALUE(G1879))),"ERRO: não numérico",IF(AND(VALUE(MID(G1879,13,1))=IF(MOD(SUMPRODUCT(--MID(G1879,{1,2,3,4,5,6,7,8,9,10,11,12},1),{5,4,3,2,9,8,7,6,5,4,3,2}),11)&lt;2,0,11-MOD(SUMPRODUCT(--MID(G1879,{1,2,3,4,5,6,7,8,9,10,11,12},1),{5,4,3,2,9,8,7,6,5,4,3,2}),11)),VALUE(MID(G1879,14,1))=IF(MOD(SUMPRODUCT(--MID(G1879,{1,2,3,4,5,6,7,8,9,10,11,12,13},1),{6,5,4,3,2,9,8,7,6,5,4,3,2}),11)&lt;2,0,11-MOD(SUMPRODUCT(--MID(G1879,{1,2,3,4,5,6,7,8,9,10,11,12,13},1),{6,5,4,3,2,9,8,7,6,5,4,3,2}),11))),"OK","AVISO: dígito verificador (conferir na org)"))))</f>
      </c>
      <c r="I1879" s="6">
        <f>IF(G1879="","",IF(COUNTIF($G$2:$G$2001,G1879)&gt;1,"DUPLICADO","OK"))</f>
      </c>
      <c r="J1879" s="6">
        <f>IF(COUNTA(A1879:F1879)=0,"",IF(AND(A1879&lt;&gt;"",E1879&lt;&gt;""),"OK","ERRO: faltam "&amp;IF(A1879="","CNPJ; ","")&amp;IF(E1879="","Novo gerente; ","")))</f>
      </c>
      <c r="K1879" s="6">
        <f>IF(COUNTA(A1879:F1879)=0,"",IF(AND(LEFT(H1879,4)&lt;&gt;"ERRO",I1879="OK",J1879="OK"),"OK","REVISAR"))</f>
      </c>
    </row>
    <row r="1880">
      <c r="A1880" s="5"/>
      <c r="B1880" s="4"/>
      <c r="C1880" s="4"/>
      <c r="D1880" s="4"/>
      <c r="E1880" s="5"/>
      <c r="F1880" s="4"/>
      <c r="G1880" s="6">
        <f>IF(A1880="","",SUBSTITUTE(SUBSTITUTE(SUBSTITUTE(SUBSTITUTE(SUBSTITUTE(SUBSTITUTE(SUBSTITUTE(TRIM(A1880),".",""),"/",""),"-","")," ",""),"(",""),")",""),"+",""))</f>
      </c>
      <c r="H1880" s="6">
        <f>IF(G1880="","",IF(LEN(G1880)&lt;&gt;14,"ERRO: "&amp;LEN(G1880)&amp;" dígitos",IF(NOT(ISNUMBER(VALUE(G1880))),"ERRO: não numérico",IF(AND(VALUE(MID(G1880,13,1))=IF(MOD(SUMPRODUCT(--MID(G1880,{1,2,3,4,5,6,7,8,9,10,11,12},1),{5,4,3,2,9,8,7,6,5,4,3,2}),11)&lt;2,0,11-MOD(SUMPRODUCT(--MID(G1880,{1,2,3,4,5,6,7,8,9,10,11,12},1),{5,4,3,2,9,8,7,6,5,4,3,2}),11)),VALUE(MID(G1880,14,1))=IF(MOD(SUMPRODUCT(--MID(G1880,{1,2,3,4,5,6,7,8,9,10,11,12,13},1),{6,5,4,3,2,9,8,7,6,5,4,3,2}),11)&lt;2,0,11-MOD(SUMPRODUCT(--MID(G1880,{1,2,3,4,5,6,7,8,9,10,11,12,13},1),{6,5,4,3,2,9,8,7,6,5,4,3,2}),11))),"OK","AVISO: dígito verificador (conferir na org)"))))</f>
      </c>
      <c r="I1880" s="6">
        <f>IF(G1880="","",IF(COUNTIF($G$2:$G$2001,G1880)&gt;1,"DUPLICADO","OK"))</f>
      </c>
      <c r="J1880" s="6">
        <f>IF(COUNTA(A1880:F1880)=0,"",IF(AND(A1880&lt;&gt;"",E1880&lt;&gt;""),"OK","ERRO: faltam "&amp;IF(A1880="","CNPJ; ","")&amp;IF(E1880="","Novo gerente; ","")))</f>
      </c>
      <c r="K1880" s="6">
        <f>IF(COUNTA(A1880:F1880)=0,"",IF(AND(LEFT(H1880,4)&lt;&gt;"ERRO",I1880="OK",J1880="OK"),"OK","REVISAR"))</f>
      </c>
    </row>
    <row r="1881">
      <c r="A1881" s="5"/>
      <c r="B1881" s="4"/>
      <c r="C1881" s="4"/>
      <c r="D1881" s="4"/>
      <c r="E1881" s="5"/>
      <c r="F1881" s="4"/>
      <c r="G1881" s="6">
        <f>IF(A1881="","",SUBSTITUTE(SUBSTITUTE(SUBSTITUTE(SUBSTITUTE(SUBSTITUTE(SUBSTITUTE(SUBSTITUTE(TRIM(A1881),".",""),"/",""),"-","")," ",""),"(",""),")",""),"+",""))</f>
      </c>
      <c r="H1881" s="6">
        <f>IF(G1881="","",IF(LEN(G1881)&lt;&gt;14,"ERRO: "&amp;LEN(G1881)&amp;" dígitos",IF(NOT(ISNUMBER(VALUE(G1881))),"ERRO: não numérico",IF(AND(VALUE(MID(G1881,13,1))=IF(MOD(SUMPRODUCT(--MID(G1881,{1,2,3,4,5,6,7,8,9,10,11,12},1),{5,4,3,2,9,8,7,6,5,4,3,2}),11)&lt;2,0,11-MOD(SUMPRODUCT(--MID(G1881,{1,2,3,4,5,6,7,8,9,10,11,12},1),{5,4,3,2,9,8,7,6,5,4,3,2}),11)),VALUE(MID(G1881,14,1))=IF(MOD(SUMPRODUCT(--MID(G1881,{1,2,3,4,5,6,7,8,9,10,11,12,13},1),{6,5,4,3,2,9,8,7,6,5,4,3,2}),11)&lt;2,0,11-MOD(SUMPRODUCT(--MID(G1881,{1,2,3,4,5,6,7,8,9,10,11,12,13},1),{6,5,4,3,2,9,8,7,6,5,4,3,2}),11))),"OK","AVISO: dígito verificador (conferir na org)"))))</f>
      </c>
      <c r="I1881" s="6">
        <f>IF(G1881="","",IF(COUNTIF($G$2:$G$2001,G1881)&gt;1,"DUPLICADO","OK"))</f>
      </c>
      <c r="J1881" s="6">
        <f>IF(COUNTA(A1881:F1881)=0,"",IF(AND(A1881&lt;&gt;"",E1881&lt;&gt;""),"OK","ERRO: faltam "&amp;IF(A1881="","CNPJ; ","")&amp;IF(E1881="","Novo gerente; ","")))</f>
      </c>
      <c r="K1881" s="6">
        <f>IF(COUNTA(A1881:F1881)=0,"",IF(AND(LEFT(H1881,4)&lt;&gt;"ERRO",I1881="OK",J1881="OK"),"OK","REVISAR"))</f>
      </c>
    </row>
    <row r="1882">
      <c r="A1882" s="5"/>
      <c r="B1882" s="4"/>
      <c r="C1882" s="4"/>
      <c r="D1882" s="4"/>
      <c r="E1882" s="5"/>
      <c r="F1882" s="4"/>
      <c r="G1882" s="6">
        <f>IF(A1882="","",SUBSTITUTE(SUBSTITUTE(SUBSTITUTE(SUBSTITUTE(SUBSTITUTE(SUBSTITUTE(SUBSTITUTE(TRIM(A1882),".",""),"/",""),"-","")," ",""),"(",""),")",""),"+",""))</f>
      </c>
      <c r="H1882" s="6">
        <f>IF(G1882="","",IF(LEN(G1882)&lt;&gt;14,"ERRO: "&amp;LEN(G1882)&amp;" dígitos",IF(NOT(ISNUMBER(VALUE(G1882))),"ERRO: não numérico",IF(AND(VALUE(MID(G1882,13,1))=IF(MOD(SUMPRODUCT(--MID(G1882,{1,2,3,4,5,6,7,8,9,10,11,12},1),{5,4,3,2,9,8,7,6,5,4,3,2}),11)&lt;2,0,11-MOD(SUMPRODUCT(--MID(G1882,{1,2,3,4,5,6,7,8,9,10,11,12},1),{5,4,3,2,9,8,7,6,5,4,3,2}),11)),VALUE(MID(G1882,14,1))=IF(MOD(SUMPRODUCT(--MID(G1882,{1,2,3,4,5,6,7,8,9,10,11,12,13},1),{6,5,4,3,2,9,8,7,6,5,4,3,2}),11)&lt;2,0,11-MOD(SUMPRODUCT(--MID(G1882,{1,2,3,4,5,6,7,8,9,10,11,12,13},1),{6,5,4,3,2,9,8,7,6,5,4,3,2}),11))),"OK","AVISO: dígito verificador (conferir na org)"))))</f>
      </c>
      <c r="I1882" s="6">
        <f>IF(G1882="","",IF(COUNTIF($G$2:$G$2001,G1882)&gt;1,"DUPLICADO","OK"))</f>
      </c>
      <c r="J1882" s="6">
        <f>IF(COUNTA(A1882:F1882)=0,"",IF(AND(A1882&lt;&gt;"",E1882&lt;&gt;""),"OK","ERRO: faltam "&amp;IF(A1882="","CNPJ; ","")&amp;IF(E1882="","Novo gerente; ","")))</f>
      </c>
      <c r="K1882" s="6">
        <f>IF(COUNTA(A1882:F1882)=0,"",IF(AND(LEFT(H1882,4)&lt;&gt;"ERRO",I1882="OK",J1882="OK"),"OK","REVISAR"))</f>
      </c>
    </row>
    <row r="1883">
      <c r="A1883" s="5"/>
      <c r="B1883" s="4"/>
      <c r="C1883" s="4"/>
      <c r="D1883" s="4"/>
      <c r="E1883" s="5"/>
      <c r="F1883" s="4"/>
      <c r="G1883" s="6">
        <f>IF(A1883="","",SUBSTITUTE(SUBSTITUTE(SUBSTITUTE(SUBSTITUTE(SUBSTITUTE(SUBSTITUTE(SUBSTITUTE(TRIM(A1883),".",""),"/",""),"-","")," ",""),"(",""),")",""),"+",""))</f>
      </c>
      <c r="H1883" s="6">
        <f>IF(G1883="","",IF(LEN(G1883)&lt;&gt;14,"ERRO: "&amp;LEN(G1883)&amp;" dígitos",IF(NOT(ISNUMBER(VALUE(G1883))),"ERRO: não numérico",IF(AND(VALUE(MID(G1883,13,1))=IF(MOD(SUMPRODUCT(--MID(G1883,{1,2,3,4,5,6,7,8,9,10,11,12},1),{5,4,3,2,9,8,7,6,5,4,3,2}),11)&lt;2,0,11-MOD(SUMPRODUCT(--MID(G1883,{1,2,3,4,5,6,7,8,9,10,11,12},1),{5,4,3,2,9,8,7,6,5,4,3,2}),11)),VALUE(MID(G1883,14,1))=IF(MOD(SUMPRODUCT(--MID(G1883,{1,2,3,4,5,6,7,8,9,10,11,12,13},1),{6,5,4,3,2,9,8,7,6,5,4,3,2}),11)&lt;2,0,11-MOD(SUMPRODUCT(--MID(G1883,{1,2,3,4,5,6,7,8,9,10,11,12,13},1),{6,5,4,3,2,9,8,7,6,5,4,3,2}),11))),"OK","AVISO: dígito verificador (conferir na org)"))))</f>
      </c>
      <c r="I1883" s="6">
        <f>IF(G1883="","",IF(COUNTIF($G$2:$G$2001,G1883)&gt;1,"DUPLICADO","OK"))</f>
      </c>
      <c r="J1883" s="6">
        <f>IF(COUNTA(A1883:F1883)=0,"",IF(AND(A1883&lt;&gt;"",E1883&lt;&gt;""),"OK","ERRO: faltam "&amp;IF(A1883="","CNPJ; ","")&amp;IF(E1883="","Novo gerente; ","")))</f>
      </c>
      <c r="K1883" s="6">
        <f>IF(COUNTA(A1883:F1883)=0,"",IF(AND(LEFT(H1883,4)&lt;&gt;"ERRO",I1883="OK",J1883="OK"),"OK","REVISAR"))</f>
      </c>
    </row>
    <row r="1884">
      <c r="A1884" s="5"/>
      <c r="B1884" s="4"/>
      <c r="C1884" s="4"/>
      <c r="D1884" s="4"/>
      <c r="E1884" s="5"/>
      <c r="F1884" s="4"/>
      <c r="G1884" s="6">
        <f>IF(A1884="","",SUBSTITUTE(SUBSTITUTE(SUBSTITUTE(SUBSTITUTE(SUBSTITUTE(SUBSTITUTE(SUBSTITUTE(TRIM(A1884),".",""),"/",""),"-","")," ",""),"(",""),")",""),"+",""))</f>
      </c>
      <c r="H1884" s="6">
        <f>IF(G1884="","",IF(LEN(G1884)&lt;&gt;14,"ERRO: "&amp;LEN(G1884)&amp;" dígitos",IF(NOT(ISNUMBER(VALUE(G1884))),"ERRO: não numérico",IF(AND(VALUE(MID(G1884,13,1))=IF(MOD(SUMPRODUCT(--MID(G1884,{1,2,3,4,5,6,7,8,9,10,11,12},1),{5,4,3,2,9,8,7,6,5,4,3,2}),11)&lt;2,0,11-MOD(SUMPRODUCT(--MID(G1884,{1,2,3,4,5,6,7,8,9,10,11,12},1),{5,4,3,2,9,8,7,6,5,4,3,2}),11)),VALUE(MID(G1884,14,1))=IF(MOD(SUMPRODUCT(--MID(G1884,{1,2,3,4,5,6,7,8,9,10,11,12,13},1),{6,5,4,3,2,9,8,7,6,5,4,3,2}),11)&lt;2,0,11-MOD(SUMPRODUCT(--MID(G1884,{1,2,3,4,5,6,7,8,9,10,11,12,13},1),{6,5,4,3,2,9,8,7,6,5,4,3,2}),11))),"OK","AVISO: dígito verificador (conferir na org)"))))</f>
      </c>
      <c r="I1884" s="6">
        <f>IF(G1884="","",IF(COUNTIF($G$2:$G$2001,G1884)&gt;1,"DUPLICADO","OK"))</f>
      </c>
      <c r="J1884" s="6">
        <f>IF(COUNTA(A1884:F1884)=0,"",IF(AND(A1884&lt;&gt;"",E1884&lt;&gt;""),"OK","ERRO: faltam "&amp;IF(A1884="","CNPJ; ","")&amp;IF(E1884="","Novo gerente; ","")))</f>
      </c>
      <c r="K1884" s="6">
        <f>IF(COUNTA(A1884:F1884)=0,"",IF(AND(LEFT(H1884,4)&lt;&gt;"ERRO",I1884="OK",J1884="OK"),"OK","REVISAR"))</f>
      </c>
    </row>
    <row r="1885">
      <c r="A1885" s="5"/>
      <c r="B1885" s="4"/>
      <c r="C1885" s="4"/>
      <c r="D1885" s="4"/>
      <c r="E1885" s="5"/>
      <c r="F1885" s="4"/>
      <c r="G1885" s="6">
        <f>IF(A1885="","",SUBSTITUTE(SUBSTITUTE(SUBSTITUTE(SUBSTITUTE(SUBSTITUTE(SUBSTITUTE(SUBSTITUTE(TRIM(A1885),".",""),"/",""),"-","")," ",""),"(",""),")",""),"+",""))</f>
      </c>
      <c r="H1885" s="6">
        <f>IF(G1885="","",IF(LEN(G1885)&lt;&gt;14,"ERRO: "&amp;LEN(G1885)&amp;" dígitos",IF(NOT(ISNUMBER(VALUE(G1885))),"ERRO: não numérico",IF(AND(VALUE(MID(G1885,13,1))=IF(MOD(SUMPRODUCT(--MID(G1885,{1,2,3,4,5,6,7,8,9,10,11,12},1),{5,4,3,2,9,8,7,6,5,4,3,2}),11)&lt;2,0,11-MOD(SUMPRODUCT(--MID(G1885,{1,2,3,4,5,6,7,8,9,10,11,12},1),{5,4,3,2,9,8,7,6,5,4,3,2}),11)),VALUE(MID(G1885,14,1))=IF(MOD(SUMPRODUCT(--MID(G1885,{1,2,3,4,5,6,7,8,9,10,11,12,13},1),{6,5,4,3,2,9,8,7,6,5,4,3,2}),11)&lt;2,0,11-MOD(SUMPRODUCT(--MID(G1885,{1,2,3,4,5,6,7,8,9,10,11,12,13},1),{6,5,4,3,2,9,8,7,6,5,4,3,2}),11))),"OK","AVISO: dígito verificador (conferir na org)"))))</f>
      </c>
      <c r="I1885" s="6">
        <f>IF(G1885="","",IF(COUNTIF($G$2:$G$2001,G1885)&gt;1,"DUPLICADO","OK"))</f>
      </c>
      <c r="J1885" s="6">
        <f>IF(COUNTA(A1885:F1885)=0,"",IF(AND(A1885&lt;&gt;"",E1885&lt;&gt;""),"OK","ERRO: faltam "&amp;IF(A1885="","CNPJ; ","")&amp;IF(E1885="","Novo gerente; ","")))</f>
      </c>
      <c r="K1885" s="6">
        <f>IF(COUNTA(A1885:F1885)=0,"",IF(AND(LEFT(H1885,4)&lt;&gt;"ERRO",I1885="OK",J1885="OK"),"OK","REVISAR"))</f>
      </c>
    </row>
    <row r="1886">
      <c r="A1886" s="5"/>
      <c r="B1886" s="4"/>
      <c r="C1886" s="4"/>
      <c r="D1886" s="4"/>
      <c r="E1886" s="5"/>
      <c r="F1886" s="4"/>
      <c r="G1886" s="6">
        <f>IF(A1886="","",SUBSTITUTE(SUBSTITUTE(SUBSTITUTE(SUBSTITUTE(SUBSTITUTE(SUBSTITUTE(SUBSTITUTE(TRIM(A1886),".",""),"/",""),"-","")," ",""),"(",""),")",""),"+",""))</f>
      </c>
      <c r="H1886" s="6">
        <f>IF(G1886="","",IF(LEN(G1886)&lt;&gt;14,"ERRO: "&amp;LEN(G1886)&amp;" dígitos",IF(NOT(ISNUMBER(VALUE(G1886))),"ERRO: não numérico",IF(AND(VALUE(MID(G1886,13,1))=IF(MOD(SUMPRODUCT(--MID(G1886,{1,2,3,4,5,6,7,8,9,10,11,12},1),{5,4,3,2,9,8,7,6,5,4,3,2}),11)&lt;2,0,11-MOD(SUMPRODUCT(--MID(G1886,{1,2,3,4,5,6,7,8,9,10,11,12},1),{5,4,3,2,9,8,7,6,5,4,3,2}),11)),VALUE(MID(G1886,14,1))=IF(MOD(SUMPRODUCT(--MID(G1886,{1,2,3,4,5,6,7,8,9,10,11,12,13},1),{6,5,4,3,2,9,8,7,6,5,4,3,2}),11)&lt;2,0,11-MOD(SUMPRODUCT(--MID(G1886,{1,2,3,4,5,6,7,8,9,10,11,12,13},1),{6,5,4,3,2,9,8,7,6,5,4,3,2}),11))),"OK","AVISO: dígito verificador (conferir na org)"))))</f>
      </c>
      <c r="I1886" s="6">
        <f>IF(G1886="","",IF(COUNTIF($G$2:$G$2001,G1886)&gt;1,"DUPLICADO","OK"))</f>
      </c>
      <c r="J1886" s="6">
        <f>IF(COUNTA(A1886:F1886)=0,"",IF(AND(A1886&lt;&gt;"",E1886&lt;&gt;""),"OK","ERRO: faltam "&amp;IF(A1886="","CNPJ; ","")&amp;IF(E1886="","Novo gerente; ","")))</f>
      </c>
      <c r="K1886" s="6">
        <f>IF(COUNTA(A1886:F1886)=0,"",IF(AND(LEFT(H1886,4)&lt;&gt;"ERRO",I1886="OK",J1886="OK"),"OK","REVISAR"))</f>
      </c>
    </row>
    <row r="1887">
      <c r="A1887" s="5"/>
      <c r="B1887" s="4"/>
      <c r="C1887" s="4"/>
      <c r="D1887" s="4"/>
      <c r="E1887" s="5"/>
      <c r="F1887" s="4"/>
      <c r="G1887" s="6">
        <f>IF(A1887="","",SUBSTITUTE(SUBSTITUTE(SUBSTITUTE(SUBSTITUTE(SUBSTITUTE(SUBSTITUTE(SUBSTITUTE(TRIM(A1887),".",""),"/",""),"-","")," ",""),"(",""),")",""),"+",""))</f>
      </c>
      <c r="H1887" s="6">
        <f>IF(G1887="","",IF(LEN(G1887)&lt;&gt;14,"ERRO: "&amp;LEN(G1887)&amp;" dígitos",IF(NOT(ISNUMBER(VALUE(G1887))),"ERRO: não numérico",IF(AND(VALUE(MID(G1887,13,1))=IF(MOD(SUMPRODUCT(--MID(G1887,{1,2,3,4,5,6,7,8,9,10,11,12},1),{5,4,3,2,9,8,7,6,5,4,3,2}),11)&lt;2,0,11-MOD(SUMPRODUCT(--MID(G1887,{1,2,3,4,5,6,7,8,9,10,11,12},1),{5,4,3,2,9,8,7,6,5,4,3,2}),11)),VALUE(MID(G1887,14,1))=IF(MOD(SUMPRODUCT(--MID(G1887,{1,2,3,4,5,6,7,8,9,10,11,12,13},1),{6,5,4,3,2,9,8,7,6,5,4,3,2}),11)&lt;2,0,11-MOD(SUMPRODUCT(--MID(G1887,{1,2,3,4,5,6,7,8,9,10,11,12,13},1),{6,5,4,3,2,9,8,7,6,5,4,3,2}),11))),"OK","AVISO: dígito verificador (conferir na org)"))))</f>
      </c>
      <c r="I1887" s="6">
        <f>IF(G1887="","",IF(COUNTIF($G$2:$G$2001,G1887)&gt;1,"DUPLICADO","OK"))</f>
      </c>
      <c r="J1887" s="6">
        <f>IF(COUNTA(A1887:F1887)=0,"",IF(AND(A1887&lt;&gt;"",E1887&lt;&gt;""),"OK","ERRO: faltam "&amp;IF(A1887="","CNPJ; ","")&amp;IF(E1887="","Novo gerente; ","")))</f>
      </c>
      <c r="K1887" s="6">
        <f>IF(COUNTA(A1887:F1887)=0,"",IF(AND(LEFT(H1887,4)&lt;&gt;"ERRO",I1887="OK",J1887="OK"),"OK","REVISAR"))</f>
      </c>
    </row>
    <row r="1888">
      <c r="A1888" s="5"/>
      <c r="B1888" s="4"/>
      <c r="C1888" s="4"/>
      <c r="D1888" s="4"/>
      <c r="E1888" s="5"/>
      <c r="F1888" s="4"/>
      <c r="G1888" s="6">
        <f>IF(A1888="","",SUBSTITUTE(SUBSTITUTE(SUBSTITUTE(SUBSTITUTE(SUBSTITUTE(SUBSTITUTE(SUBSTITUTE(TRIM(A1888),".",""),"/",""),"-","")," ",""),"(",""),")",""),"+",""))</f>
      </c>
      <c r="H1888" s="6">
        <f>IF(G1888="","",IF(LEN(G1888)&lt;&gt;14,"ERRO: "&amp;LEN(G1888)&amp;" dígitos",IF(NOT(ISNUMBER(VALUE(G1888))),"ERRO: não numérico",IF(AND(VALUE(MID(G1888,13,1))=IF(MOD(SUMPRODUCT(--MID(G1888,{1,2,3,4,5,6,7,8,9,10,11,12},1),{5,4,3,2,9,8,7,6,5,4,3,2}),11)&lt;2,0,11-MOD(SUMPRODUCT(--MID(G1888,{1,2,3,4,5,6,7,8,9,10,11,12},1),{5,4,3,2,9,8,7,6,5,4,3,2}),11)),VALUE(MID(G1888,14,1))=IF(MOD(SUMPRODUCT(--MID(G1888,{1,2,3,4,5,6,7,8,9,10,11,12,13},1),{6,5,4,3,2,9,8,7,6,5,4,3,2}),11)&lt;2,0,11-MOD(SUMPRODUCT(--MID(G1888,{1,2,3,4,5,6,7,8,9,10,11,12,13},1),{6,5,4,3,2,9,8,7,6,5,4,3,2}),11))),"OK","AVISO: dígito verificador (conferir na org)"))))</f>
      </c>
      <c r="I1888" s="6">
        <f>IF(G1888="","",IF(COUNTIF($G$2:$G$2001,G1888)&gt;1,"DUPLICADO","OK"))</f>
      </c>
      <c r="J1888" s="6">
        <f>IF(COUNTA(A1888:F1888)=0,"",IF(AND(A1888&lt;&gt;"",E1888&lt;&gt;""),"OK","ERRO: faltam "&amp;IF(A1888="","CNPJ; ","")&amp;IF(E1888="","Novo gerente; ","")))</f>
      </c>
      <c r="K1888" s="6">
        <f>IF(COUNTA(A1888:F1888)=0,"",IF(AND(LEFT(H1888,4)&lt;&gt;"ERRO",I1888="OK",J1888="OK"),"OK","REVISAR"))</f>
      </c>
    </row>
    <row r="1889">
      <c r="A1889" s="5"/>
      <c r="B1889" s="4"/>
      <c r="C1889" s="4"/>
      <c r="D1889" s="4"/>
      <c r="E1889" s="5"/>
      <c r="F1889" s="4"/>
      <c r="G1889" s="6">
        <f>IF(A1889="","",SUBSTITUTE(SUBSTITUTE(SUBSTITUTE(SUBSTITUTE(SUBSTITUTE(SUBSTITUTE(SUBSTITUTE(TRIM(A1889),".",""),"/",""),"-","")," ",""),"(",""),")",""),"+",""))</f>
      </c>
      <c r="H1889" s="6">
        <f>IF(G1889="","",IF(LEN(G1889)&lt;&gt;14,"ERRO: "&amp;LEN(G1889)&amp;" dígitos",IF(NOT(ISNUMBER(VALUE(G1889))),"ERRO: não numérico",IF(AND(VALUE(MID(G1889,13,1))=IF(MOD(SUMPRODUCT(--MID(G1889,{1,2,3,4,5,6,7,8,9,10,11,12},1),{5,4,3,2,9,8,7,6,5,4,3,2}),11)&lt;2,0,11-MOD(SUMPRODUCT(--MID(G1889,{1,2,3,4,5,6,7,8,9,10,11,12},1),{5,4,3,2,9,8,7,6,5,4,3,2}),11)),VALUE(MID(G1889,14,1))=IF(MOD(SUMPRODUCT(--MID(G1889,{1,2,3,4,5,6,7,8,9,10,11,12,13},1),{6,5,4,3,2,9,8,7,6,5,4,3,2}),11)&lt;2,0,11-MOD(SUMPRODUCT(--MID(G1889,{1,2,3,4,5,6,7,8,9,10,11,12,13},1),{6,5,4,3,2,9,8,7,6,5,4,3,2}),11))),"OK","AVISO: dígito verificador (conferir na org)"))))</f>
      </c>
      <c r="I1889" s="6">
        <f>IF(G1889="","",IF(COUNTIF($G$2:$G$2001,G1889)&gt;1,"DUPLICADO","OK"))</f>
      </c>
      <c r="J1889" s="6">
        <f>IF(COUNTA(A1889:F1889)=0,"",IF(AND(A1889&lt;&gt;"",E1889&lt;&gt;""),"OK","ERRO: faltam "&amp;IF(A1889="","CNPJ; ","")&amp;IF(E1889="","Novo gerente; ","")))</f>
      </c>
      <c r="K1889" s="6">
        <f>IF(COUNTA(A1889:F1889)=0,"",IF(AND(LEFT(H1889,4)&lt;&gt;"ERRO",I1889="OK",J1889="OK"),"OK","REVISAR"))</f>
      </c>
    </row>
    <row r="1890">
      <c r="A1890" s="5"/>
      <c r="B1890" s="4"/>
      <c r="C1890" s="4"/>
      <c r="D1890" s="4"/>
      <c r="E1890" s="5"/>
      <c r="F1890" s="4"/>
      <c r="G1890" s="6">
        <f>IF(A1890="","",SUBSTITUTE(SUBSTITUTE(SUBSTITUTE(SUBSTITUTE(SUBSTITUTE(SUBSTITUTE(SUBSTITUTE(TRIM(A1890),".",""),"/",""),"-","")," ",""),"(",""),")",""),"+",""))</f>
      </c>
      <c r="H1890" s="6">
        <f>IF(G1890="","",IF(LEN(G1890)&lt;&gt;14,"ERRO: "&amp;LEN(G1890)&amp;" dígitos",IF(NOT(ISNUMBER(VALUE(G1890))),"ERRO: não numérico",IF(AND(VALUE(MID(G1890,13,1))=IF(MOD(SUMPRODUCT(--MID(G1890,{1,2,3,4,5,6,7,8,9,10,11,12},1),{5,4,3,2,9,8,7,6,5,4,3,2}),11)&lt;2,0,11-MOD(SUMPRODUCT(--MID(G1890,{1,2,3,4,5,6,7,8,9,10,11,12},1),{5,4,3,2,9,8,7,6,5,4,3,2}),11)),VALUE(MID(G1890,14,1))=IF(MOD(SUMPRODUCT(--MID(G1890,{1,2,3,4,5,6,7,8,9,10,11,12,13},1),{6,5,4,3,2,9,8,7,6,5,4,3,2}),11)&lt;2,0,11-MOD(SUMPRODUCT(--MID(G1890,{1,2,3,4,5,6,7,8,9,10,11,12,13},1),{6,5,4,3,2,9,8,7,6,5,4,3,2}),11))),"OK","AVISO: dígito verificador (conferir na org)"))))</f>
      </c>
      <c r="I1890" s="6">
        <f>IF(G1890="","",IF(COUNTIF($G$2:$G$2001,G1890)&gt;1,"DUPLICADO","OK"))</f>
      </c>
      <c r="J1890" s="6">
        <f>IF(COUNTA(A1890:F1890)=0,"",IF(AND(A1890&lt;&gt;"",E1890&lt;&gt;""),"OK","ERRO: faltam "&amp;IF(A1890="","CNPJ; ","")&amp;IF(E1890="","Novo gerente; ","")))</f>
      </c>
      <c r="K1890" s="6">
        <f>IF(COUNTA(A1890:F1890)=0,"",IF(AND(LEFT(H1890,4)&lt;&gt;"ERRO",I1890="OK",J1890="OK"),"OK","REVISAR"))</f>
      </c>
    </row>
    <row r="1891">
      <c r="A1891" s="5"/>
      <c r="B1891" s="4"/>
      <c r="C1891" s="4"/>
      <c r="D1891" s="4"/>
      <c r="E1891" s="5"/>
      <c r="F1891" s="4"/>
      <c r="G1891" s="6">
        <f>IF(A1891="","",SUBSTITUTE(SUBSTITUTE(SUBSTITUTE(SUBSTITUTE(SUBSTITUTE(SUBSTITUTE(SUBSTITUTE(TRIM(A1891),".",""),"/",""),"-","")," ",""),"(",""),")",""),"+",""))</f>
      </c>
      <c r="H1891" s="6">
        <f>IF(G1891="","",IF(LEN(G1891)&lt;&gt;14,"ERRO: "&amp;LEN(G1891)&amp;" dígitos",IF(NOT(ISNUMBER(VALUE(G1891))),"ERRO: não numérico",IF(AND(VALUE(MID(G1891,13,1))=IF(MOD(SUMPRODUCT(--MID(G1891,{1,2,3,4,5,6,7,8,9,10,11,12},1),{5,4,3,2,9,8,7,6,5,4,3,2}),11)&lt;2,0,11-MOD(SUMPRODUCT(--MID(G1891,{1,2,3,4,5,6,7,8,9,10,11,12},1),{5,4,3,2,9,8,7,6,5,4,3,2}),11)),VALUE(MID(G1891,14,1))=IF(MOD(SUMPRODUCT(--MID(G1891,{1,2,3,4,5,6,7,8,9,10,11,12,13},1),{6,5,4,3,2,9,8,7,6,5,4,3,2}),11)&lt;2,0,11-MOD(SUMPRODUCT(--MID(G1891,{1,2,3,4,5,6,7,8,9,10,11,12,13},1),{6,5,4,3,2,9,8,7,6,5,4,3,2}),11))),"OK","AVISO: dígito verificador (conferir na org)"))))</f>
      </c>
      <c r="I1891" s="6">
        <f>IF(G1891="","",IF(COUNTIF($G$2:$G$2001,G1891)&gt;1,"DUPLICADO","OK"))</f>
      </c>
      <c r="J1891" s="6">
        <f>IF(COUNTA(A1891:F1891)=0,"",IF(AND(A1891&lt;&gt;"",E1891&lt;&gt;""),"OK","ERRO: faltam "&amp;IF(A1891="","CNPJ; ","")&amp;IF(E1891="","Novo gerente; ","")))</f>
      </c>
      <c r="K1891" s="6">
        <f>IF(COUNTA(A1891:F1891)=0,"",IF(AND(LEFT(H1891,4)&lt;&gt;"ERRO",I1891="OK",J1891="OK"),"OK","REVISAR"))</f>
      </c>
    </row>
    <row r="1892">
      <c r="A1892" s="5"/>
      <c r="B1892" s="4"/>
      <c r="C1892" s="4"/>
      <c r="D1892" s="4"/>
      <c r="E1892" s="5"/>
      <c r="F1892" s="4"/>
      <c r="G1892" s="6">
        <f>IF(A1892="","",SUBSTITUTE(SUBSTITUTE(SUBSTITUTE(SUBSTITUTE(SUBSTITUTE(SUBSTITUTE(SUBSTITUTE(TRIM(A1892),".",""),"/",""),"-","")," ",""),"(",""),")",""),"+",""))</f>
      </c>
      <c r="H1892" s="6">
        <f>IF(G1892="","",IF(LEN(G1892)&lt;&gt;14,"ERRO: "&amp;LEN(G1892)&amp;" dígitos",IF(NOT(ISNUMBER(VALUE(G1892))),"ERRO: não numérico",IF(AND(VALUE(MID(G1892,13,1))=IF(MOD(SUMPRODUCT(--MID(G1892,{1,2,3,4,5,6,7,8,9,10,11,12},1),{5,4,3,2,9,8,7,6,5,4,3,2}),11)&lt;2,0,11-MOD(SUMPRODUCT(--MID(G1892,{1,2,3,4,5,6,7,8,9,10,11,12},1),{5,4,3,2,9,8,7,6,5,4,3,2}),11)),VALUE(MID(G1892,14,1))=IF(MOD(SUMPRODUCT(--MID(G1892,{1,2,3,4,5,6,7,8,9,10,11,12,13},1),{6,5,4,3,2,9,8,7,6,5,4,3,2}),11)&lt;2,0,11-MOD(SUMPRODUCT(--MID(G1892,{1,2,3,4,5,6,7,8,9,10,11,12,13},1),{6,5,4,3,2,9,8,7,6,5,4,3,2}),11))),"OK","AVISO: dígito verificador (conferir na org)"))))</f>
      </c>
      <c r="I1892" s="6">
        <f>IF(G1892="","",IF(COUNTIF($G$2:$G$2001,G1892)&gt;1,"DUPLICADO","OK"))</f>
      </c>
      <c r="J1892" s="6">
        <f>IF(COUNTA(A1892:F1892)=0,"",IF(AND(A1892&lt;&gt;"",E1892&lt;&gt;""),"OK","ERRO: faltam "&amp;IF(A1892="","CNPJ; ","")&amp;IF(E1892="","Novo gerente; ","")))</f>
      </c>
      <c r="K1892" s="6">
        <f>IF(COUNTA(A1892:F1892)=0,"",IF(AND(LEFT(H1892,4)&lt;&gt;"ERRO",I1892="OK",J1892="OK"),"OK","REVISAR"))</f>
      </c>
    </row>
    <row r="1893">
      <c r="A1893" s="5"/>
      <c r="B1893" s="4"/>
      <c r="C1893" s="4"/>
      <c r="D1893" s="4"/>
      <c r="E1893" s="5"/>
      <c r="F1893" s="4"/>
      <c r="G1893" s="6">
        <f>IF(A1893="","",SUBSTITUTE(SUBSTITUTE(SUBSTITUTE(SUBSTITUTE(SUBSTITUTE(SUBSTITUTE(SUBSTITUTE(TRIM(A1893),".",""),"/",""),"-","")," ",""),"(",""),")",""),"+",""))</f>
      </c>
      <c r="H1893" s="6">
        <f>IF(G1893="","",IF(LEN(G1893)&lt;&gt;14,"ERRO: "&amp;LEN(G1893)&amp;" dígitos",IF(NOT(ISNUMBER(VALUE(G1893))),"ERRO: não numérico",IF(AND(VALUE(MID(G1893,13,1))=IF(MOD(SUMPRODUCT(--MID(G1893,{1,2,3,4,5,6,7,8,9,10,11,12},1),{5,4,3,2,9,8,7,6,5,4,3,2}),11)&lt;2,0,11-MOD(SUMPRODUCT(--MID(G1893,{1,2,3,4,5,6,7,8,9,10,11,12},1),{5,4,3,2,9,8,7,6,5,4,3,2}),11)),VALUE(MID(G1893,14,1))=IF(MOD(SUMPRODUCT(--MID(G1893,{1,2,3,4,5,6,7,8,9,10,11,12,13},1),{6,5,4,3,2,9,8,7,6,5,4,3,2}),11)&lt;2,0,11-MOD(SUMPRODUCT(--MID(G1893,{1,2,3,4,5,6,7,8,9,10,11,12,13},1),{6,5,4,3,2,9,8,7,6,5,4,3,2}),11))),"OK","AVISO: dígito verificador (conferir na org)"))))</f>
      </c>
      <c r="I1893" s="6">
        <f>IF(G1893="","",IF(COUNTIF($G$2:$G$2001,G1893)&gt;1,"DUPLICADO","OK"))</f>
      </c>
      <c r="J1893" s="6">
        <f>IF(COUNTA(A1893:F1893)=0,"",IF(AND(A1893&lt;&gt;"",E1893&lt;&gt;""),"OK","ERRO: faltam "&amp;IF(A1893="","CNPJ; ","")&amp;IF(E1893="","Novo gerente; ","")))</f>
      </c>
      <c r="K1893" s="6">
        <f>IF(COUNTA(A1893:F1893)=0,"",IF(AND(LEFT(H1893,4)&lt;&gt;"ERRO",I1893="OK",J1893="OK"),"OK","REVISAR"))</f>
      </c>
    </row>
    <row r="1894">
      <c r="A1894" s="5"/>
      <c r="B1894" s="4"/>
      <c r="C1894" s="4"/>
      <c r="D1894" s="4"/>
      <c r="E1894" s="5"/>
      <c r="F1894" s="4"/>
      <c r="G1894" s="6">
        <f>IF(A1894="","",SUBSTITUTE(SUBSTITUTE(SUBSTITUTE(SUBSTITUTE(SUBSTITUTE(SUBSTITUTE(SUBSTITUTE(TRIM(A1894),".",""),"/",""),"-","")," ",""),"(",""),")",""),"+",""))</f>
      </c>
      <c r="H1894" s="6">
        <f>IF(G1894="","",IF(LEN(G1894)&lt;&gt;14,"ERRO: "&amp;LEN(G1894)&amp;" dígitos",IF(NOT(ISNUMBER(VALUE(G1894))),"ERRO: não numérico",IF(AND(VALUE(MID(G1894,13,1))=IF(MOD(SUMPRODUCT(--MID(G1894,{1,2,3,4,5,6,7,8,9,10,11,12},1),{5,4,3,2,9,8,7,6,5,4,3,2}),11)&lt;2,0,11-MOD(SUMPRODUCT(--MID(G1894,{1,2,3,4,5,6,7,8,9,10,11,12},1),{5,4,3,2,9,8,7,6,5,4,3,2}),11)),VALUE(MID(G1894,14,1))=IF(MOD(SUMPRODUCT(--MID(G1894,{1,2,3,4,5,6,7,8,9,10,11,12,13},1),{6,5,4,3,2,9,8,7,6,5,4,3,2}),11)&lt;2,0,11-MOD(SUMPRODUCT(--MID(G1894,{1,2,3,4,5,6,7,8,9,10,11,12,13},1),{6,5,4,3,2,9,8,7,6,5,4,3,2}),11))),"OK","AVISO: dígito verificador (conferir na org)"))))</f>
      </c>
      <c r="I1894" s="6">
        <f>IF(G1894="","",IF(COUNTIF($G$2:$G$2001,G1894)&gt;1,"DUPLICADO","OK"))</f>
      </c>
      <c r="J1894" s="6">
        <f>IF(COUNTA(A1894:F1894)=0,"",IF(AND(A1894&lt;&gt;"",E1894&lt;&gt;""),"OK","ERRO: faltam "&amp;IF(A1894="","CNPJ; ","")&amp;IF(E1894="","Novo gerente; ","")))</f>
      </c>
      <c r="K1894" s="6">
        <f>IF(COUNTA(A1894:F1894)=0,"",IF(AND(LEFT(H1894,4)&lt;&gt;"ERRO",I1894="OK",J1894="OK"),"OK","REVISAR"))</f>
      </c>
    </row>
    <row r="1895">
      <c r="A1895" s="5"/>
      <c r="B1895" s="4"/>
      <c r="C1895" s="4"/>
      <c r="D1895" s="4"/>
      <c r="E1895" s="5"/>
      <c r="F1895" s="4"/>
      <c r="G1895" s="6">
        <f>IF(A1895="","",SUBSTITUTE(SUBSTITUTE(SUBSTITUTE(SUBSTITUTE(SUBSTITUTE(SUBSTITUTE(SUBSTITUTE(TRIM(A1895),".",""),"/",""),"-","")," ",""),"(",""),")",""),"+",""))</f>
      </c>
      <c r="H1895" s="6">
        <f>IF(G1895="","",IF(LEN(G1895)&lt;&gt;14,"ERRO: "&amp;LEN(G1895)&amp;" dígitos",IF(NOT(ISNUMBER(VALUE(G1895))),"ERRO: não numérico",IF(AND(VALUE(MID(G1895,13,1))=IF(MOD(SUMPRODUCT(--MID(G1895,{1,2,3,4,5,6,7,8,9,10,11,12},1),{5,4,3,2,9,8,7,6,5,4,3,2}),11)&lt;2,0,11-MOD(SUMPRODUCT(--MID(G1895,{1,2,3,4,5,6,7,8,9,10,11,12},1),{5,4,3,2,9,8,7,6,5,4,3,2}),11)),VALUE(MID(G1895,14,1))=IF(MOD(SUMPRODUCT(--MID(G1895,{1,2,3,4,5,6,7,8,9,10,11,12,13},1),{6,5,4,3,2,9,8,7,6,5,4,3,2}),11)&lt;2,0,11-MOD(SUMPRODUCT(--MID(G1895,{1,2,3,4,5,6,7,8,9,10,11,12,13},1),{6,5,4,3,2,9,8,7,6,5,4,3,2}),11))),"OK","AVISO: dígito verificador (conferir na org)"))))</f>
      </c>
      <c r="I1895" s="6">
        <f>IF(G1895="","",IF(COUNTIF($G$2:$G$2001,G1895)&gt;1,"DUPLICADO","OK"))</f>
      </c>
      <c r="J1895" s="6">
        <f>IF(COUNTA(A1895:F1895)=0,"",IF(AND(A1895&lt;&gt;"",E1895&lt;&gt;""),"OK","ERRO: faltam "&amp;IF(A1895="","CNPJ; ","")&amp;IF(E1895="","Novo gerente; ","")))</f>
      </c>
      <c r="K1895" s="6">
        <f>IF(COUNTA(A1895:F1895)=0,"",IF(AND(LEFT(H1895,4)&lt;&gt;"ERRO",I1895="OK",J1895="OK"),"OK","REVISAR"))</f>
      </c>
    </row>
    <row r="1896">
      <c r="A1896" s="5"/>
      <c r="B1896" s="4"/>
      <c r="C1896" s="4"/>
      <c r="D1896" s="4"/>
      <c r="E1896" s="5"/>
      <c r="F1896" s="4"/>
      <c r="G1896" s="6">
        <f>IF(A1896="","",SUBSTITUTE(SUBSTITUTE(SUBSTITUTE(SUBSTITUTE(SUBSTITUTE(SUBSTITUTE(SUBSTITUTE(TRIM(A1896),".",""),"/",""),"-","")," ",""),"(",""),")",""),"+",""))</f>
      </c>
      <c r="H1896" s="6">
        <f>IF(G1896="","",IF(LEN(G1896)&lt;&gt;14,"ERRO: "&amp;LEN(G1896)&amp;" dígitos",IF(NOT(ISNUMBER(VALUE(G1896))),"ERRO: não numérico",IF(AND(VALUE(MID(G1896,13,1))=IF(MOD(SUMPRODUCT(--MID(G1896,{1,2,3,4,5,6,7,8,9,10,11,12},1),{5,4,3,2,9,8,7,6,5,4,3,2}),11)&lt;2,0,11-MOD(SUMPRODUCT(--MID(G1896,{1,2,3,4,5,6,7,8,9,10,11,12},1),{5,4,3,2,9,8,7,6,5,4,3,2}),11)),VALUE(MID(G1896,14,1))=IF(MOD(SUMPRODUCT(--MID(G1896,{1,2,3,4,5,6,7,8,9,10,11,12,13},1),{6,5,4,3,2,9,8,7,6,5,4,3,2}),11)&lt;2,0,11-MOD(SUMPRODUCT(--MID(G1896,{1,2,3,4,5,6,7,8,9,10,11,12,13},1),{6,5,4,3,2,9,8,7,6,5,4,3,2}),11))),"OK","AVISO: dígito verificador (conferir na org)"))))</f>
      </c>
      <c r="I1896" s="6">
        <f>IF(G1896="","",IF(COUNTIF($G$2:$G$2001,G1896)&gt;1,"DUPLICADO","OK"))</f>
      </c>
      <c r="J1896" s="6">
        <f>IF(COUNTA(A1896:F1896)=0,"",IF(AND(A1896&lt;&gt;"",E1896&lt;&gt;""),"OK","ERRO: faltam "&amp;IF(A1896="","CNPJ; ","")&amp;IF(E1896="","Novo gerente; ","")))</f>
      </c>
      <c r="K1896" s="6">
        <f>IF(COUNTA(A1896:F1896)=0,"",IF(AND(LEFT(H1896,4)&lt;&gt;"ERRO",I1896="OK",J1896="OK"),"OK","REVISAR"))</f>
      </c>
    </row>
    <row r="1897">
      <c r="A1897" s="5"/>
      <c r="B1897" s="4"/>
      <c r="C1897" s="4"/>
      <c r="D1897" s="4"/>
      <c r="E1897" s="5"/>
      <c r="F1897" s="4"/>
      <c r="G1897" s="6">
        <f>IF(A1897="","",SUBSTITUTE(SUBSTITUTE(SUBSTITUTE(SUBSTITUTE(SUBSTITUTE(SUBSTITUTE(SUBSTITUTE(TRIM(A1897),".",""),"/",""),"-","")," ",""),"(",""),")",""),"+",""))</f>
      </c>
      <c r="H1897" s="6">
        <f>IF(G1897="","",IF(LEN(G1897)&lt;&gt;14,"ERRO: "&amp;LEN(G1897)&amp;" dígitos",IF(NOT(ISNUMBER(VALUE(G1897))),"ERRO: não numérico",IF(AND(VALUE(MID(G1897,13,1))=IF(MOD(SUMPRODUCT(--MID(G1897,{1,2,3,4,5,6,7,8,9,10,11,12},1),{5,4,3,2,9,8,7,6,5,4,3,2}),11)&lt;2,0,11-MOD(SUMPRODUCT(--MID(G1897,{1,2,3,4,5,6,7,8,9,10,11,12},1),{5,4,3,2,9,8,7,6,5,4,3,2}),11)),VALUE(MID(G1897,14,1))=IF(MOD(SUMPRODUCT(--MID(G1897,{1,2,3,4,5,6,7,8,9,10,11,12,13},1),{6,5,4,3,2,9,8,7,6,5,4,3,2}),11)&lt;2,0,11-MOD(SUMPRODUCT(--MID(G1897,{1,2,3,4,5,6,7,8,9,10,11,12,13},1),{6,5,4,3,2,9,8,7,6,5,4,3,2}),11))),"OK","AVISO: dígito verificador (conferir na org)"))))</f>
      </c>
      <c r="I1897" s="6">
        <f>IF(G1897="","",IF(COUNTIF($G$2:$G$2001,G1897)&gt;1,"DUPLICADO","OK"))</f>
      </c>
      <c r="J1897" s="6">
        <f>IF(COUNTA(A1897:F1897)=0,"",IF(AND(A1897&lt;&gt;"",E1897&lt;&gt;""),"OK","ERRO: faltam "&amp;IF(A1897="","CNPJ; ","")&amp;IF(E1897="","Novo gerente; ","")))</f>
      </c>
      <c r="K1897" s="6">
        <f>IF(COUNTA(A1897:F1897)=0,"",IF(AND(LEFT(H1897,4)&lt;&gt;"ERRO",I1897="OK",J1897="OK"),"OK","REVISAR"))</f>
      </c>
    </row>
    <row r="1898">
      <c r="A1898" s="5"/>
      <c r="B1898" s="4"/>
      <c r="C1898" s="4"/>
      <c r="D1898" s="4"/>
      <c r="E1898" s="5"/>
      <c r="F1898" s="4"/>
      <c r="G1898" s="6">
        <f>IF(A1898="","",SUBSTITUTE(SUBSTITUTE(SUBSTITUTE(SUBSTITUTE(SUBSTITUTE(SUBSTITUTE(SUBSTITUTE(TRIM(A1898),".",""),"/",""),"-","")," ",""),"(",""),")",""),"+",""))</f>
      </c>
      <c r="H1898" s="6">
        <f>IF(G1898="","",IF(LEN(G1898)&lt;&gt;14,"ERRO: "&amp;LEN(G1898)&amp;" dígitos",IF(NOT(ISNUMBER(VALUE(G1898))),"ERRO: não numérico",IF(AND(VALUE(MID(G1898,13,1))=IF(MOD(SUMPRODUCT(--MID(G1898,{1,2,3,4,5,6,7,8,9,10,11,12},1),{5,4,3,2,9,8,7,6,5,4,3,2}),11)&lt;2,0,11-MOD(SUMPRODUCT(--MID(G1898,{1,2,3,4,5,6,7,8,9,10,11,12},1),{5,4,3,2,9,8,7,6,5,4,3,2}),11)),VALUE(MID(G1898,14,1))=IF(MOD(SUMPRODUCT(--MID(G1898,{1,2,3,4,5,6,7,8,9,10,11,12,13},1),{6,5,4,3,2,9,8,7,6,5,4,3,2}),11)&lt;2,0,11-MOD(SUMPRODUCT(--MID(G1898,{1,2,3,4,5,6,7,8,9,10,11,12,13},1),{6,5,4,3,2,9,8,7,6,5,4,3,2}),11))),"OK","AVISO: dígito verificador (conferir na org)"))))</f>
      </c>
      <c r="I1898" s="6">
        <f>IF(G1898="","",IF(COUNTIF($G$2:$G$2001,G1898)&gt;1,"DUPLICADO","OK"))</f>
      </c>
      <c r="J1898" s="6">
        <f>IF(COUNTA(A1898:F1898)=0,"",IF(AND(A1898&lt;&gt;"",E1898&lt;&gt;""),"OK","ERRO: faltam "&amp;IF(A1898="","CNPJ; ","")&amp;IF(E1898="","Novo gerente; ","")))</f>
      </c>
      <c r="K1898" s="6">
        <f>IF(COUNTA(A1898:F1898)=0,"",IF(AND(LEFT(H1898,4)&lt;&gt;"ERRO",I1898="OK",J1898="OK"),"OK","REVISAR"))</f>
      </c>
    </row>
    <row r="1899">
      <c r="A1899" s="5"/>
      <c r="B1899" s="4"/>
      <c r="C1899" s="4"/>
      <c r="D1899" s="4"/>
      <c r="E1899" s="5"/>
      <c r="F1899" s="4"/>
      <c r="G1899" s="6">
        <f>IF(A1899="","",SUBSTITUTE(SUBSTITUTE(SUBSTITUTE(SUBSTITUTE(SUBSTITUTE(SUBSTITUTE(SUBSTITUTE(TRIM(A1899),".",""),"/",""),"-","")," ",""),"(",""),")",""),"+",""))</f>
      </c>
      <c r="H1899" s="6">
        <f>IF(G1899="","",IF(LEN(G1899)&lt;&gt;14,"ERRO: "&amp;LEN(G1899)&amp;" dígitos",IF(NOT(ISNUMBER(VALUE(G1899))),"ERRO: não numérico",IF(AND(VALUE(MID(G1899,13,1))=IF(MOD(SUMPRODUCT(--MID(G1899,{1,2,3,4,5,6,7,8,9,10,11,12},1),{5,4,3,2,9,8,7,6,5,4,3,2}),11)&lt;2,0,11-MOD(SUMPRODUCT(--MID(G1899,{1,2,3,4,5,6,7,8,9,10,11,12},1),{5,4,3,2,9,8,7,6,5,4,3,2}),11)),VALUE(MID(G1899,14,1))=IF(MOD(SUMPRODUCT(--MID(G1899,{1,2,3,4,5,6,7,8,9,10,11,12,13},1),{6,5,4,3,2,9,8,7,6,5,4,3,2}),11)&lt;2,0,11-MOD(SUMPRODUCT(--MID(G1899,{1,2,3,4,5,6,7,8,9,10,11,12,13},1),{6,5,4,3,2,9,8,7,6,5,4,3,2}),11))),"OK","AVISO: dígito verificador (conferir na org)"))))</f>
      </c>
      <c r="I1899" s="6">
        <f>IF(G1899="","",IF(COUNTIF($G$2:$G$2001,G1899)&gt;1,"DUPLICADO","OK"))</f>
      </c>
      <c r="J1899" s="6">
        <f>IF(COUNTA(A1899:F1899)=0,"",IF(AND(A1899&lt;&gt;"",E1899&lt;&gt;""),"OK","ERRO: faltam "&amp;IF(A1899="","CNPJ; ","")&amp;IF(E1899="","Novo gerente; ","")))</f>
      </c>
      <c r="K1899" s="6">
        <f>IF(COUNTA(A1899:F1899)=0,"",IF(AND(LEFT(H1899,4)&lt;&gt;"ERRO",I1899="OK",J1899="OK"),"OK","REVISAR"))</f>
      </c>
    </row>
    <row r="1900">
      <c r="A1900" s="5"/>
      <c r="B1900" s="4"/>
      <c r="C1900" s="4"/>
      <c r="D1900" s="4"/>
      <c r="E1900" s="5"/>
      <c r="F1900" s="4"/>
      <c r="G1900" s="6">
        <f>IF(A1900="","",SUBSTITUTE(SUBSTITUTE(SUBSTITUTE(SUBSTITUTE(SUBSTITUTE(SUBSTITUTE(SUBSTITUTE(TRIM(A1900),".",""),"/",""),"-","")," ",""),"(",""),")",""),"+",""))</f>
      </c>
      <c r="H1900" s="6">
        <f>IF(G1900="","",IF(LEN(G1900)&lt;&gt;14,"ERRO: "&amp;LEN(G1900)&amp;" dígitos",IF(NOT(ISNUMBER(VALUE(G1900))),"ERRO: não numérico",IF(AND(VALUE(MID(G1900,13,1))=IF(MOD(SUMPRODUCT(--MID(G1900,{1,2,3,4,5,6,7,8,9,10,11,12},1),{5,4,3,2,9,8,7,6,5,4,3,2}),11)&lt;2,0,11-MOD(SUMPRODUCT(--MID(G1900,{1,2,3,4,5,6,7,8,9,10,11,12},1),{5,4,3,2,9,8,7,6,5,4,3,2}),11)),VALUE(MID(G1900,14,1))=IF(MOD(SUMPRODUCT(--MID(G1900,{1,2,3,4,5,6,7,8,9,10,11,12,13},1),{6,5,4,3,2,9,8,7,6,5,4,3,2}),11)&lt;2,0,11-MOD(SUMPRODUCT(--MID(G1900,{1,2,3,4,5,6,7,8,9,10,11,12,13},1),{6,5,4,3,2,9,8,7,6,5,4,3,2}),11))),"OK","AVISO: dígito verificador (conferir na org)"))))</f>
      </c>
      <c r="I1900" s="6">
        <f>IF(G1900="","",IF(COUNTIF($G$2:$G$2001,G1900)&gt;1,"DUPLICADO","OK"))</f>
      </c>
      <c r="J1900" s="6">
        <f>IF(COUNTA(A1900:F1900)=0,"",IF(AND(A1900&lt;&gt;"",E1900&lt;&gt;""),"OK","ERRO: faltam "&amp;IF(A1900="","CNPJ; ","")&amp;IF(E1900="","Novo gerente; ","")))</f>
      </c>
      <c r="K1900" s="6">
        <f>IF(COUNTA(A1900:F1900)=0,"",IF(AND(LEFT(H1900,4)&lt;&gt;"ERRO",I1900="OK",J1900="OK"),"OK","REVISAR"))</f>
      </c>
    </row>
    <row r="1901">
      <c r="A1901" s="5"/>
      <c r="B1901" s="4"/>
      <c r="C1901" s="4"/>
      <c r="D1901" s="4"/>
      <c r="E1901" s="5"/>
      <c r="F1901" s="4"/>
      <c r="G1901" s="6">
        <f>IF(A1901="","",SUBSTITUTE(SUBSTITUTE(SUBSTITUTE(SUBSTITUTE(SUBSTITUTE(SUBSTITUTE(SUBSTITUTE(TRIM(A1901),".",""),"/",""),"-","")," ",""),"(",""),")",""),"+",""))</f>
      </c>
      <c r="H1901" s="6">
        <f>IF(G1901="","",IF(LEN(G1901)&lt;&gt;14,"ERRO: "&amp;LEN(G1901)&amp;" dígitos",IF(NOT(ISNUMBER(VALUE(G1901))),"ERRO: não numérico",IF(AND(VALUE(MID(G1901,13,1))=IF(MOD(SUMPRODUCT(--MID(G1901,{1,2,3,4,5,6,7,8,9,10,11,12},1),{5,4,3,2,9,8,7,6,5,4,3,2}),11)&lt;2,0,11-MOD(SUMPRODUCT(--MID(G1901,{1,2,3,4,5,6,7,8,9,10,11,12},1),{5,4,3,2,9,8,7,6,5,4,3,2}),11)),VALUE(MID(G1901,14,1))=IF(MOD(SUMPRODUCT(--MID(G1901,{1,2,3,4,5,6,7,8,9,10,11,12,13},1),{6,5,4,3,2,9,8,7,6,5,4,3,2}),11)&lt;2,0,11-MOD(SUMPRODUCT(--MID(G1901,{1,2,3,4,5,6,7,8,9,10,11,12,13},1),{6,5,4,3,2,9,8,7,6,5,4,3,2}),11))),"OK","AVISO: dígito verificador (conferir na org)"))))</f>
      </c>
      <c r="I1901" s="6">
        <f>IF(G1901="","",IF(COUNTIF($G$2:$G$2001,G1901)&gt;1,"DUPLICADO","OK"))</f>
      </c>
      <c r="J1901" s="6">
        <f>IF(COUNTA(A1901:F1901)=0,"",IF(AND(A1901&lt;&gt;"",E1901&lt;&gt;""),"OK","ERRO: faltam "&amp;IF(A1901="","CNPJ; ","")&amp;IF(E1901="","Novo gerente; ","")))</f>
      </c>
      <c r="K1901" s="6">
        <f>IF(COUNTA(A1901:F1901)=0,"",IF(AND(LEFT(H1901,4)&lt;&gt;"ERRO",I1901="OK",J1901="OK"),"OK","REVISAR"))</f>
      </c>
    </row>
    <row r="1902">
      <c r="A1902" s="5"/>
      <c r="B1902" s="4"/>
      <c r="C1902" s="4"/>
      <c r="D1902" s="4"/>
      <c r="E1902" s="5"/>
      <c r="F1902" s="4"/>
      <c r="G1902" s="6">
        <f>IF(A1902="","",SUBSTITUTE(SUBSTITUTE(SUBSTITUTE(SUBSTITUTE(SUBSTITUTE(SUBSTITUTE(SUBSTITUTE(TRIM(A1902),".",""),"/",""),"-","")," ",""),"(",""),")",""),"+",""))</f>
      </c>
      <c r="H1902" s="6">
        <f>IF(G1902="","",IF(LEN(G1902)&lt;&gt;14,"ERRO: "&amp;LEN(G1902)&amp;" dígitos",IF(NOT(ISNUMBER(VALUE(G1902))),"ERRO: não numérico",IF(AND(VALUE(MID(G1902,13,1))=IF(MOD(SUMPRODUCT(--MID(G1902,{1,2,3,4,5,6,7,8,9,10,11,12},1),{5,4,3,2,9,8,7,6,5,4,3,2}),11)&lt;2,0,11-MOD(SUMPRODUCT(--MID(G1902,{1,2,3,4,5,6,7,8,9,10,11,12},1),{5,4,3,2,9,8,7,6,5,4,3,2}),11)),VALUE(MID(G1902,14,1))=IF(MOD(SUMPRODUCT(--MID(G1902,{1,2,3,4,5,6,7,8,9,10,11,12,13},1),{6,5,4,3,2,9,8,7,6,5,4,3,2}),11)&lt;2,0,11-MOD(SUMPRODUCT(--MID(G1902,{1,2,3,4,5,6,7,8,9,10,11,12,13},1),{6,5,4,3,2,9,8,7,6,5,4,3,2}),11))),"OK","AVISO: dígito verificador (conferir na org)"))))</f>
      </c>
      <c r="I1902" s="6">
        <f>IF(G1902="","",IF(COUNTIF($G$2:$G$2001,G1902)&gt;1,"DUPLICADO","OK"))</f>
      </c>
      <c r="J1902" s="6">
        <f>IF(COUNTA(A1902:F1902)=0,"",IF(AND(A1902&lt;&gt;"",E1902&lt;&gt;""),"OK","ERRO: faltam "&amp;IF(A1902="","CNPJ; ","")&amp;IF(E1902="","Novo gerente; ","")))</f>
      </c>
      <c r="K1902" s="6">
        <f>IF(COUNTA(A1902:F1902)=0,"",IF(AND(LEFT(H1902,4)&lt;&gt;"ERRO",I1902="OK",J1902="OK"),"OK","REVISAR"))</f>
      </c>
    </row>
    <row r="1903">
      <c r="A1903" s="5"/>
      <c r="B1903" s="4"/>
      <c r="C1903" s="4"/>
      <c r="D1903" s="4"/>
      <c r="E1903" s="5"/>
      <c r="F1903" s="4"/>
      <c r="G1903" s="6">
        <f>IF(A1903="","",SUBSTITUTE(SUBSTITUTE(SUBSTITUTE(SUBSTITUTE(SUBSTITUTE(SUBSTITUTE(SUBSTITUTE(TRIM(A1903),".",""),"/",""),"-","")," ",""),"(",""),")",""),"+",""))</f>
      </c>
      <c r="H1903" s="6">
        <f>IF(G1903="","",IF(LEN(G1903)&lt;&gt;14,"ERRO: "&amp;LEN(G1903)&amp;" dígitos",IF(NOT(ISNUMBER(VALUE(G1903))),"ERRO: não numérico",IF(AND(VALUE(MID(G1903,13,1))=IF(MOD(SUMPRODUCT(--MID(G1903,{1,2,3,4,5,6,7,8,9,10,11,12},1),{5,4,3,2,9,8,7,6,5,4,3,2}),11)&lt;2,0,11-MOD(SUMPRODUCT(--MID(G1903,{1,2,3,4,5,6,7,8,9,10,11,12},1),{5,4,3,2,9,8,7,6,5,4,3,2}),11)),VALUE(MID(G1903,14,1))=IF(MOD(SUMPRODUCT(--MID(G1903,{1,2,3,4,5,6,7,8,9,10,11,12,13},1),{6,5,4,3,2,9,8,7,6,5,4,3,2}),11)&lt;2,0,11-MOD(SUMPRODUCT(--MID(G1903,{1,2,3,4,5,6,7,8,9,10,11,12,13},1),{6,5,4,3,2,9,8,7,6,5,4,3,2}),11))),"OK","AVISO: dígito verificador (conferir na org)"))))</f>
      </c>
      <c r="I1903" s="6">
        <f>IF(G1903="","",IF(COUNTIF($G$2:$G$2001,G1903)&gt;1,"DUPLICADO","OK"))</f>
      </c>
      <c r="J1903" s="6">
        <f>IF(COUNTA(A1903:F1903)=0,"",IF(AND(A1903&lt;&gt;"",E1903&lt;&gt;""),"OK","ERRO: faltam "&amp;IF(A1903="","CNPJ; ","")&amp;IF(E1903="","Novo gerente; ","")))</f>
      </c>
      <c r="K1903" s="6">
        <f>IF(COUNTA(A1903:F1903)=0,"",IF(AND(LEFT(H1903,4)&lt;&gt;"ERRO",I1903="OK",J1903="OK"),"OK","REVISAR"))</f>
      </c>
    </row>
    <row r="1904">
      <c r="A1904" s="5"/>
      <c r="B1904" s="4"/>
      <c r="C1904" s="4"/>
      <c r="D1904" s="4"/>
      <c r="E1904" s="5"/>
      <c r="F1904" s="4"/>
      <c r="G1904" s="6">
        <f>IF(A1904="","",SUBSTITUTE(SUBSTITUTE(SUBSTITUTE(SUBSTITUTE(SUBSTITUTE(SUBSTITUTE(SUBSTITUTE(TRIM(A1904),".",""),"/",""),"-","")," ",""),"(",""),")",""),"+",""))</f>
      </c>
      <c r="H1904" s="6">
        <f>IF(G1904="","",IF(LEN(G1904)&lt;&gt;14,"ERRO: "&amp;LEN(G1904)&amp;" dígitos",IF(NOT(ISNUMBER(VALUE(G1904))),"ERRO: não numérico",IF(AND(VALUE(MID(G1904,13,1))=IF(MOD(SUMPRODUCT(--MID(G1904,{1,2,3,4,5,6,7,8,9,10,11,12},1),{5,4,3,2,9,8,7,6,5,4,3,2}),11)&lt;2,0,11-MOD(SUMPRODUCT(--MID(G1904,{1,2,3,4,5,6,7,8,9,10,11,12},1),{5,4,3,2,9,8,7,6,5,4,3,2}),11)),VALUE(MID(G1904,14,1))=IF(MOD(SUMPRODUCT(--MID(G1904,{1,2,3,4,5,6,7,8,9,10,11,12,13},1),{6,5,4,3,2,9,8,7,6,5,4,3,2}),11)&lt;2,0,11-MOD(SUMPRODUCT(--MID(G1904,{1,2,3,4,5,6,7,8,9,10,11,12,13},1),{6,5,4,3,2,9,8,7,6,5,4,3,2}),11))),"OK","AVISO: dígito verificador (conferir na org)"))))</f>
      </c>
      <c r="I1904" s="6">
        <f>IF(G1904="","",IF(COUNTIF($G$2:$G$2001,G1904)&gt;1,"DUPLICADO","OK"))</f>
      </c>
      <c r="J1904" s="6">
        <f>IF(COUNTA(A1904:F1904)=0,"",IF(AND(A1904&lt;&gt;"",E1904&lt;&gt;""),"OK","ERRO: faltam "&amp;IF(A1904="","CNPJ; ","")&amp;IF(E1904="","Novo gerente; ","")))</f>
      </c>
      <c r="K1904" s="6">
        <f>IF(COUNTA(A1904:F1904)=0,"",IF(AND(LEFT(H1904,4)&lt;&gt;"ERRO",I1904="OK",J1904="OK"),"OK","REVISAR"))</f>
      </c>
    </row>
    <row r="1905">
      <c r="A1905" s="5"/>
      <c r="B1905" s="4"/>
      <c r="C1905" s="4"/>
      <c r="D1905" s="4"/>
      <c r="E1905" s="5"/>
      <c r="F1905" s="4"/>
      <c r="G1905" s="6">
        <f>IF(A1905="","",SUBSTITUTE(SUBSTITUTE(SUBSTITUTE(SUBSTITUTE(SUBSTITUTE(SUBSTITUTE(SUBSTITUTE(TRIM(A1905),".",""),"/",""),"-","")," ",""),"(",""),")",""),"+",""))</f>
      </c>
      <c r="H1905" s="6">
        <f>IF(G1905="","",IF(LEN(G1905)&lt;&gt;14,"ERRO: "&amp;LEN(G1905)&amp;" dígitos",IF(NOT(ISNUMBER(VALUE(G1905))),"ERRO: não numérico",IF(AND(VALUE(MID(G1905,13,1))=IF(MOD(SUMPRODUCT(--MID(G1905,{1,2,3,4,5,6,7,8,9,10,11,12},1),{5,4,3,2,9,8,7,6,5,4,3,2}),11)&lt;2,0,11-MOD(SUMPRODUCT(--MID(G1905,{1,2,3,4,5,6,7,8,9,10,11,12},1),{5,4,3,2,9,8,7,6,5,4,3,2}),11)),VALUE(MID(G1905,14,1))=IF(MOD(SUMPRODUCT(--MID(G1905,{1,2,3,4,5,6,7,8,9,10,11,12,13},1),{6,5,4,3,2,9,8,7,6,5,4,3,2}),11)&lt;2,0,11-MOD(SUMPRODUCT(--MID(G1905,{1,2,3,4,5,6,7,8,9,10,11,12,13},1),{6,5,4,3,2,9,8,7,6,5,4,3,2}),11))),"OK","AVISO: dígito verificador (conferir na org)"))))</f>
      </c>
      <c r="I1905" s="6">
        <f>IF(G1905="","",IF(COUNTIF($G$2:$G$2001,G1905)&gt;1,"DUPLICADO","OK"))</f>
      </c>
      <c r="J1905" s="6">
        <f>IF(COUNTA(A1905:F1905)=0,"",IF(AND(A1905&lt;&gt;"",E1905&lt;&gt;""),"OK","ERRO: faltam "&amp;IF(A1905="","CNPJ; ","")&amp;IF(E1905="","Novo gerente; ","")))</f>
      </c>
      <c r="K1905" s="6">
        <f>IF(COUNTA(A1905:F1905)=0,"",IF(AND(LEFT(H1905,4)&lt;&gt;"ERRO",I1905="OK",J1905="OK"),"OK","REVISAR"))</f>
      </c>
    </row>
    <row r="1906">
      <c r="A1906" s="5"/>
      <c r="B1906" s="4"/>
      <c r="C1906" s="4"/>
      <c r="D1906" s="4"/>
      <c r="E1906" s="5"/>
      <c r="F1906" s="4"/>
      <c r="G1906" s="6">
        <f>IF(A1906="","",SUBSTITUTE(SUBSTITUTE(SUBSTITUTE(SUBSTITUTE(SUBSTITUTE(SUBSTITUTE(SUBSTITUTE(TRIM(A1906),".",""),"/",""),"-","")," ",""),"(",""),")",""),"+",""))</f>
      </c>
      <c r="H1906" s="6">
        <f>IF(G1906="","",IF(LEN(G1906)&lt;&gt;14,"ERRO: "&amp;LEN(G1906)&amp;" dígitos",IF(NOT(ISNUMBER(VALUE(G1906))),"ERRO: não numérico",IF(AND(VALUE(MID(G1906,13,1))=IF(MOD(SUMPRODUCT(--MID(G1906,{1,2,3,4,5,6,7,8,9,10,11,12},1),{5,4,3,2,9,8,7,6,5,4,3,2}),11)&lt;2,0,11-MOD(SUMPRODUCT(--MID(G1906,{1,2,3,4,5,6,7,8,9,10,11,12},1),{5,4,3,2,9,8,7,6,5,4,3,2}),11)),VALUE(MID(G1906,14,1))=IF(MOD(SUMPRODUCT(--MID(G1906,{1,2,3,4,5,6,7,8,9,10,11,12,13},1),{6,5,4,3,2,9,8,7,6,5,4,3,2}),11)&lt;2,0,11-MOD(SUMPRODUCT(--MID(G1906,{1,2,3,4,5,6,7,8,9,10,11,12,13},1),{6,5,4,3,2,9,8,7,6,5,4,3,2}),11))),"OK","AVISO: dígito verificador (conferir na org)"))))</f>
      </c>
      <c r="I1906" s="6">
        <f>IF(G1906="","",IF(COUNTIF($G$2:$G$2001,G1906)&gt;1,"DUPLICADO","OK"))</f>
      </c>
      <c r="J1906" s="6">
        <f>IF(COUNTA(A1906:F1906)=0,"",IF(AND(A1906&lt;&gt;"",E1906&lt;&gt;""),"OK","ERRO: faltam "&amp;IF(A1906="","CNPJ; ","")&amp;IF(E1906="","Novo gerente; ","")))</f>
      </c>
      <c r="K1906" s="6">
        <f>IF(COUNTA(A1906:F1906)=0,"",IF(AND(LEFT(H1906,4)&lt;&gt;"ERRO",I1906="OK",J1906="OK"),"OK","REVISAR"))</f>
      </c>
    </row>
    <row r="1907">
      <c r="A1907" s="5"/>
      <c r="B1907" s="4"/>
      <c r="C1907" s="4"/>
      <c r="D1907" s="4"/>
      <c r="E1907" s="5"/>
      <c r="F1907" s="4"/>
      <c r="G1907" s="6">
        <f>IF(A1907="","",SUBSTITUTE(SUBSTITUTE(SUBSTITUTE(SUBSTITUTE(SUBSTITUTE(SUBSTITUTE(SUBSTITUTE(TRIM(A1907),".",""),"/",""),"-","")," ",""),"(",""),")",""),"+",""))</f>
      </c>
      <c r="H1907" s="6">
        <f>IF(G1907="","",IF(LEN(G1907)&lt;&gt;14,"ERRO: "&amp;LEN(G1907)&amp;" dígitos",IF(NOT(ISNUMBER(VALUE(G1907))),"ERRO: não numérico",IF(AND(VALUE(MID(G1907,13,1))=IF(MOD(SUMPRODUCT(--MID(G1907,{1,2,3,4,5,6,7,8,9,10,11,12},1),{5,4,3,2,9,8,7,6,5,4,3,2}),11)&lt;2,0,11-MOD(SUMPRODUCT(--MID(G1907,{1,2,3,4,5,6,7,8,9,10,11,12},1),{5,4,3,2,9,8,7,6,5,4,3,2}),11)),VALUE(MID(G1907,14,1))=IF(MOD(SUMPRODUCT(--MID(G1907,{1,2,3,4,5,6,7,8,9,10,11,12,13},1),{6,5,4,3,2,9,8,7,6,5,4,3,2}),11)&lt;2,0,11-MOD(SUMPRODUCT(--MID(G1907,{1,2,3,4,5,6,7,8,9,10,11,12,13},1),{6,5,4,3,2,9,8,7,6,5,4,3,2}),11))),"OK","AVISO: dígito verificador (conferir na org)"))))</f>
      </c>
      <c r="I1907" s="6">
        <f>IF(G1907="","",IF(COUNTIF($G$2:$G$2001,G1907)&gt;1,"DUPLICADO","OK"))</f>
      </c>
      <c r="J1907" s="6">
        <f>IF(COUNTA(A1907:F1907)=0,"",IF(AND(A1907&lt;&gt;"",E1907&lt;&gt;""),"OK","ERRO: faltam "&amp;IF(A1907="","CNPJ; ","")&amp;IF(E1907="","Novo gerente; ","")))</f>
      </c>
      <c r="K1907" s="6">
        <f>IF(COUNTA(A1907:F1907)=0,"",IF(AND(LEFT(H1907,4)&lt;&gt;"ERRO",I1907="OK",J1907="OK"),"OK","REVISAR"))</f>
      </c>
    </row>
    <row r="1908">
      <c r="A1908" s="5"/>
      <c r="B1908" s="4"/>
      <c r="C1908" s="4"/>
      <c r="D1908" s="4"/>
      <c r="E1908" s="5"/>
      <c r="F1908" s="4"/>
      <c r="G1908" s="6">
        <f>IF(A1908="","",SUBSTITUTE(SUBSTITUTE(SUBSTITUTE(SUBSTITUTE(SUBSTITUTE(SUBSTITUTE(SUBSTITUTE(TRIM(A1908),".",""),"/",""),"-","")," ",""),"(",""),")",""),"+",""))</f>
      </c>
      <c r="H1908" s="6">
        <f>IF(G1908="","",IF(LEN(G1908)&lt;&gt;14,"ERRO: "&amp;LEN(G1908)&amp;" dígitos",IF(NOT(ISNUMBER(VALUE(G1908))),"ERRO: não numérico",IF(AND(VALUE(MID(G1908,13,1))=IF(MOD(SUMPRODUCT(--MID(G1908,{1,2,3,4,5,6,7,8,9,10,11,12},1),{5,4,3,2,9,8,7,6,5,4,3,2}),11)&lt;2,0,11-MOD(SUMPRODUCT(--MID(G1908,{1,2,3,4,5,6,7,8,9,10,11,12},1),{5,4,3,2,9,8,7,6,5,4,3,2}),11)),VALUE(MID(G1908,14,1))=IF(MOD(SUMPRODUCT(--MID(G1908,{1,2,3,4,5,6,7,8,9,10,11,12,13},1),{6,5,4,3,2,9,8,7,6,5,4,3,2}),11)&lt;2,0,11-MOD(SUMPRODUCT(--MID(G1908,{1,2,3,4,5,6,7,8,9,10,11,12,13},1),{6,5,4,3,2,9,8,7,6,5,4,3,2}),11))),"OK","AVISO: dígito verificador (conferir na org)"))))</f>
      </c>
      <c r="I1908" s="6">
        <f>IF(G1908="","",IF(COUNTIF($G$2:$G$2001,G1908)&gt;1,"DUPLICADO","OK"))</f>
      </c>
      <c r="J1908" s="6">
        <f>IF(COUNTA(A1908:F1908)=0,"",IF(AND(A1908&lt;&gt;"",E1908&lt;&gt;""),"OK","ERRO: faltam "&amp;IF(A1908="","CNPJ; ","")&amp;IF(E1908="","Novo gerente; ","")))</f>
      </c>
      <c r="K1908" s="6">
        <f>IF(COUNTA(A1908:F1908)=0,"",IF(AND(LEFT(H1908,4)&lt;&gt;"ERRO",I1908="OK",J1908="OK"),"OK","REVISAR"))</f>
      </c>
    </row>
    <row r="1909">
      <c r="A1909" s="5"/>
      <c r="B1909" s="4"/>
      <c r="C1909" s="4"/>
      <c r="D1909" s="4"/>
      <c r="E1909" s="5"/>
      <c r="F1909" s="4"/>
      <c r="G1909" s="6">
        <f>IF(A1909="","",SUBSTITUTE(SUBSTITUTE(SUBSTITUTE(SUBSTITUTE(SUBSTITUTE(SUBSTITUTE(SUBSTITUTE(TRIM(A1909),".",""),"/",""),"-","")," ",""),"(",""),")",""),"+",""))</f>
      </c>
      <c r="H1909" s="6">
        <f>IF(G1909="","",IF(LEN(G1909)&lt;&gt;14,"ERRO: "&amp;LEN(G1909)&amp;" dígitos",IF(NOT(ISNUMBER(VALUE(G1909))),"ERRO: não numérico",IF(AND(VALUE(MID(G1909,13,1))=IF(MOD(SUMPRODUCT(--MID(G1909,{1,2,3,4,5,6,7,8,9,10,11,12},1),{5,4,3,2,9,8,7,6,5,4,3,2}),11)&lt;2,0,11-MOD(SUMPRODUCT(--MID(G1909,{1,2,3,4,5,6,7,8,9,10,11,12},1),{5,4,3,2,9,8,7,6,5,4,3,2}),11)),VALUE(MID(G1909,14,1))=IF(MOD(SUMPRODUCT(--MID(G1909,{1,2,3,4,5,6,7,8,9,10,11,12,13},1),{6,5,4,3,2,9,8,7,6,5,4,3,2}),11)&lt;2,0,11-MOD(SUMPRODUCT(--MID(G1909,{1,2,3,4,5,6,7,8,9,10,11,12,13},1),{6,5,4,3,2,9,8,7,6,5,4,3,2}),11))),"OK","AVISO: dígito verificador (conferir na org)"))))</f>
      </c>
      <c r="I1909" s="6">
        <f>IF(G1909="","",IF(COUNTIF($G$2:$G$2001,G1909)&gt;1,"DUPLICADO","OK"))</f>
      </c>
      <c r="J1909" s="6">
        <f>IF(COUNTA(A1909:F1909)=0,"",IF(AND(A1909&lt;&gt;"",E1909&lt;&gt;""),"OK","ERRO: faltam "&amp;IF(A1909="","CNPJ; ","")&amp;IF(E1909="","Novo gerente; ","")))</f>
      </c>
      <c r="K1909" s="6">
        <f>IF(COUNTA(A1909:F1909)=0,"",IF(AND(LEFT(H1909,4)&lt;&gt;"ERRO",I1909="OK",J1909="OK"),"OK","REVISAR"))</f>
      </c>
    </row>
    <row r="1910">
      <c r="A1910" s="5"/>
      <c r="B1910" s="4"/>
      <c r="C1910" s="4"/>
      <c r="D1910" s="4"/>
      <c r="E1910" s="5"/>
      <c r="F1910" s="4"/>
      <c r="G1910" s="6">
        <f>IF(A1910="","",SUBSTITUTE(SUBSTITUTE(SUBSTITUTE(SUBSTITUTE(SUBSTITUTE(SUBSTITUTE(SUBSTITUTE(TRIM(A1910),".",""),"/",""),"-","")," ",""),"(",""),")",""),"+",""))</f>
      </c>
      <c r="H1910" s="6">
        <f>IF(G1910="","",IF(LEN(G1910)&lt;&gt;14,"ERRO: "&amp;LEN(G1910)&amp;" dígitos",IF(NOT(ISNUMBER(VALUE(G1910))),"ERRO: não numérico",IF(AND(VALUE(MID(G1910,13,1))=IF(MOD(SUMPRODUCT(--MID(G1910,{1,2,3,4,5,6,7,8,9,10,11,12},1),{5,4,3,2,9,8,7,6,5,4,3,2}),11)&lt;2,0,11-MOD(SUMPRODUCT(--MID(G1910,{1,2,3,4,5,6,7,8,9,10,11,12},1),{5,4,3,2,9,8,7,6,5,4,3,2}),11)),VALUE(MID(G1910,14,1))=IF(MOD(SUMPRODUCT(--MID(G1910,{1,2,3,4,5,6,7,8,9,10,11,12,13},1),{6,5,4,3,2,9,8,7,6,5,4,3,2}),11)&lt;2,0,11-MOD(SUMPRODUCT(--MID(G1910,{1,2,3,4,5,6,7,8,9,10,11,12,13},1),{6,5,4,3,2,9,8,7,6,5,4,3,2}),11))),"OK","AVISO: dígito verificador (conferir na org)"))))</f>
      </c>
      <c r="I1910" s="6">
        <f>IF(G1910="","",IF(COUNTIF($G$2:$G$2001,G1910)&gt;1,"DUPLICADO","OK"))</f>
      </c>
      <c r="J1910" s="6">
        <f>IF(COUNTA(A1910:F1910)=0,"",IF(AND(A1910&lt;&gt;"",E1910&lt;&gt;""),"OK","ERRO: faltam "&amp;IF(A1910="","CNPJ; ","")&amp;IF(E1910="","Novo gerente; ","")))</f>
      </c>
      <c r="K1910" s="6">
        <f>IF(COUNTA(A1910:F1910)=0,"",IF(AND(LEFT(H1910,4)&lt;&gt;"ERRO",I1910="OK",J1910="OK"),"OK","REVISAR"))</f>
      </c>
    </row>
    <row r="1911">
      <c r="A1911" s="5"/>
      <c r="B1911" s="4"/>
      <c r="C1911" s="4"/>
      <c r="D1911" s="4"/>
      <c r="E1911" s="5"/>
      <c r="F1911" s="4"/>
      <c r="G1911" s="6">
        <f>IF(A1911="","",SUBSTITUTE(SUBSTITUTE(SUBSTITUTE(SUBSTITUTE(SUBSTITUTE(SUBSTITUTE(SUBSTITUTE(TRIM(A1911),".",""),"/",""),"-","")," ",""),"(",""),")",""),"+",""))</f>
      </c>
      <c r="H1911" s="6">
        <f>IF(G1911="","",IF(LEN(G1911)&lt;&gt;14,"ERRO: "&amp;LEN(G1911)&amp;" dígitos",IF(NOT(ISNUMBER(VALUE(G1911))),"ERRO: não numérico",IF(AND(VALUE(MID(G1911,13,1))=IF(MOD(SUMPRODUCT(--MID(G1911,{1,2,3,4,5,6,7,8,9,10,11,12},1),{5,4,3,2,9,8,7,6,5,4,3,2}),11)&lt;2,0,11-MOD(SUMPRODUCT(--MID(G1911,{1,2,3,4,5,6,7,8,9,10,11,12},1),{5,4,3,2,9,8,7,6,5,4,3,2}),11)),VALUE(MID(G1911,14,1))=IF(MOD(SUMPRODUCT(--MID(G1911,{1,2,3,4,5,6,7,8,9,10,11,12,13},1),{6,5,4,3,2,9,8,7,6,5,4,3,2}),11)&lt;2,0,11-MOD(SUMPRODUCT(--MID(G1911,{1,2,3,4,5,6,7,8,9,10,11,12,13},1),{6,5,4,3,2,9,8,7,6,5,4,3,2}),11))),"OK","AVISO: dígito verificador (conferir na org)"))))</f>
      </c>
      <c r="I1911" s="6">
        <f>IF(G1911="","",IF(COUNTIF($G$2:$G$2001,G1911)&gt;1,"DUPLICADO","OK"))</f>
      </c>
      <c r="J1911" s="6">
        <f>IF(COUNTA(A1911:F1911)=0,"",IF(AND(A1911&lt;&gt;"",E1911&lt;&gt;""),"OK","ERRO: faltam "&amp;IF(A1911="","CNPJ; ","")&amp;IF(E1911="","Novo gerente; ","")))</f>
      </c>
      <c r="K1911" s="6">
        <f>IF(COUNTA(A1911:F1911)=0,"",IF(AND(LEFT(H1911,4)&lt;&gt;"ERRO",I1911="OK",J1911="OK"),"OK","REVISAR"))</f>
      </c>
    </row>
    <row r="1912">
      <c r="A1912" s="5"/>
      <c r="B1912" s="4"/>
      <c r="C1912" s="4"/>
      <c r="D1912" s="4"/>
      <c r="E1912" s="5"/>
      <c r="F1912" s="4"/>
      <c r="G1912" s="6">
        <f>IF(A1912="","",SUBSTITUTE(SUBSTITUTE(SUBSTITUTE(SUBSTITUTE(SUBSTITUTE(SUBSTITUTE(SUBSTITUTE(TRIM(A1912),".",""),"/",""),"-","")," ",""),"(",""),")",""),"+",""))</f>
      </c>
      <c r="H1912" s="6">
        <f>IF(G1912="","",IF(LEN(G1912)&lt;&gt;14,"ERRO: "&amp;LEN(G1912)&amp;" dígitos",IF(NOT(ISNUMBER(VALUE(G1912))),"ERRO: não numérico",IF(AND(VALUE(MID(G1912,13,1))=IF(MOD(SUMPRODUCT(--MID(G1912,{1,2,3,4,5,6,7,8,9,10,11,12},1),{5,4,3,2,9,8,7,6,5,4,3,2}),11)&lt;2,0,11-MOD(SUMPRODUCT(--MID(G1912,{1,2,3,4,5,6,7,8,9,10,11,12},1),{5,4,3,2,9,8,7,6,5,4,3,2}),11)),VALUE(MID(G1912,14,1))=IF(MOD(SUMPRODUCT(--MID(G1912,{1,2,3,4,5,6,7,8,9,10,11,12,13},1),{6,5,4,3,2,9,8,7,6,5,4,3,2}),11)&lt;2,0,11-MOD(SUMPRODUCT(--MID(G1912,{1,2,3,4,5,6,7,8,9,10,11,12,13},1),{6,5,4,3,2,9,8,7,6,5,4,3,2}),11))),"OK","AVISO: dígito verificador (conferir na org)"))))</f>
      </c>
      <c r="I1912" s="6">
        <f>IF(G1912="","",IF(COUNTIF($G$2:$G$2001,G1912)&gt;1,"DUPLICADO","OK"))</f>
      </c>
      <c r="J1912" s="6">
        <f>IF(COUNTA(A1912:F1912)=0,"",IF(AND(A1912&lt;&gt;"",E1912&lt;&gt;""),"OK","ERRO: faltam "&amp;IF(A1912="","CNPJ; ","")&amp;IF(E1912="","Novo gerente; ","")))</f>
      </c>
      <c r="K1912" s="6">
        <f>IF(COUNTA(A1912:F1912)=0,"",IF(AND(LEFT(H1912,4)&lt;&gt;"ERRO",I1912="OK",J1912="OK"),"OK","REVISAR"))</f>
      </c>
    </row>
    <row r="1913">
      <c r="A1913" s="5"/>
      <c r="B1913" s="4"/>
      <c r="C1913" s="4"/>
      <c r="D1913" s="4"/>
      <c r="E1913" s="5"/>
      <c r="F1913" s="4"/>
      <c r="G1913" s="6">
        <f>IF(A1913="","",SUBSTITUTE(SUBSTITUTE(SUBSTITUTE(SUBSTITUTE(SUBSTITUTE(SUBSTITUTE(SUBSTITUTE(TRIM(A1913),".",""),"/",""),"-","")," ",""),"(",""),")",""),"+",""))</f>
      </c>
      <c r="H1913" s="6">
        <f>IF(G1913="","",IF(LEN(G1913)&lt;&gt;14,"ERRO: "&amp;LEN(G1913)&amp;" dígitos",IF(NOT(ISNUMBER(VALUE(G1913))),"ERRO: não numérico",IF(AND(VALUE(MID(G1913,13,1))=IF(MOD(SUMPRODUCT(--MID(G1913,{1,2,3,4,5,6,7,8,9,10,11,12},1),{5,4,3,2,9,8,7,6,5,4,3,2}),11)&lt;2,0,11-MOD(SUMPRODUCT(--MID(G1913,{1,2,3,4,5,6,7,8,9,10,11,12},1),{5,4,3,2,9,8,7,6,5,4,3,2}),11)),VALUE(MID(G1913,14,1))=IF(MOD(SUMPRODUCT(--MID(G1913,{1,2,3,4,5,6,7,8,9,10,11,12,13},1),{6,5,4,3,2,9,8,7,6,5,4,3,2}),11)&lt;2,0,11-MOD(SUMPRODUCT(--MID(G1913,{1,2,3,4,5,6,7,8,9,10,11,12,13},1),{6,5,4,3,2,9,8,7,6,5,4,3,2}),11))),"OK","AVISO: dígito verificador (conferir na org)"))))</f>
      </c>
      <c r="I1913" s="6">
        <f>IF(G1913="","",IF(COUNTIF($G$2:$G$2001,G1913)&gt;1,"DUPLICADO","OK"))</f>
      </c>
      <c r="J1913" s="6">
        <f>IF(COUNTA(A1913:F1913)=0,"",IF(AND(A1913&lt;&gt;"",E1913&lt;&gt;""),"OK","ERRO: faltam "&amp;IF(A1913="","CNPJ; ","")&amp;IF(E1913="","Novo gerente; ","")))</f>
      </c>
      <c r="K1913" s="6">
        <f>IF(COUNTA(A1913:F1913)=0,"",IF(AND(LEFT(H1913,4)&lt;&gt;"ERRO",I1913="OK",J1913="OK"),"OK","REVISAR"))</f>
      </c>
    </row>
    <row r="1914">
      <c r="A1914" s="5"/>
      <c r="B1914" s="4"/>
      <c r="C1914" s="4"/>
      <c r="D1914" s="4"/>
      <c r="E1914" s="5"/>
      <c r="F1914" s="4"/>
      <c r="G1914" s="6">
        <f>IF(A1914="","",SUBSTITUTE(SUBSTITUTE(SUBSTITUTE(SUBSTITUTE(SUBSTITUTE(SUBSTITUTE(SUBSTITUTE(TRIM(A1914),".",""),"/",""),"-","")," ",""),"(",""),")",""),"+",""))</f>
      </c>
      <c r="H1914" s="6">
        <f>IF(G1914="","",IF(LEN(G1914)&lt;&gt;14,"ERRO: "&amp;LEN(G1914)&amp;" dígitos",IF(NOT(ISNUMBER(VALUE(G1914))),"ERRO: não numérico",IF(AND(VALUE(MID(G1914,13,1))=IF(MOD(SUMPRODUCT(--MID(G1914,{1,2,3,4,5,6,7,8,9,10,11,12},1),{5,4,3,2,9,8,7,6,5,4,3,2}),11)&lt;2,0,11-MOD(SUMPRODUCT(--MID(G1914,{1,2,3,4,5,6,7,8,9,10,11,12},1),{5,4,3,2,9,8,7,6,5,4,3,2}),11)),VALUE(MID(G1914,14,1))=IF(MOD(SUMPRODUCT(--MID(G1914,{1,2,3,4,5,6,7,8,9,10,11,12,13},1),{6,5,4,3,2,9,8,7,6,5,4,3,2}),11)&lt;2,0,11-MOD(SUMPRODUCT(--MID(G1914,{1,2,3,4,5,6,7,8,9,10,11,12,13},1),{6,5,4,3,2,9,8,7,6,5,4,3,2}),11))),"OK","AVISO: dígito verificador (conferir na org)"))))</f>
      </c>
      <c r="I1914" s="6">
        <f>IF(G1914="","",IF(COUNTIF($G$2:$G$2001,G1914)&gt;1,"DUPLICADO","OK"))</f>
      </c>
      <c r="J1914" s="6">
        <f>IF(COUNTA(A1914:F1914)=0,"",IF(AND(A1914&lt;&gt;"",E1914&lt;&gt;""),"OK","ERRO: faltam "&amp;IF(A1914="","CNPJ; ","")&amp;IF(E1914="","Novo gerente; ","")))</f>
      </c>
      <c r="K1914" s="6">
        <f>IF(COUNTA(A1914:F1914)=0,"",IF(AND(LEFT(H1914,4)&lt;&gt;"ERRO",I1914="OK",J1914="OK"),"OK","REVISAR"))</f>
      </c>
    </row>
    <row r="1915">
      <c r="A1915" s="5"/>
      <c r="B1915" s="4"/>
      <c r="C1915" s="4"/>
      <c r="D1915" s="4"/>
      <c r="E1915" s="5"/>
      <c r="F1915" s="4"/>
      <c r="G1915" s="6">
        <f>IF(A1915="","",SUBSTITUTE(SUBSTITUTE(SUBSTITUTE(SUBSTITUTE(SUBSTITUTE(SUBSTITUTE(SUBSTITUTE(TRIM(A1915),".",""),"/",""),"-","")," ",""),"(",""),")",""),"+",""))</f>
      </c>
      <c r="H1915" s="6">
        <f>IF(G1915="","",IF(LEN(G1915)&lt;&gt;14,"ERRO: "&amp;LEN(G1915)&amp;" dígitos",IF(NOT(ISNUMBER(VALUE(G1915))),"ERRO: não numérico",IF(AND(VALUE(MID(G1915,13,1))=IF(MOD(SUMPRODUCT(--MID(G1915,{1,2,3,4,5,6,7,8,9,10,11,12},1),{5,4,3,2,9,8,7,6,5,4,3,2}),11)&lt;2,0,11-MOD(SUMPRODUCT(--MID(G1915,{1,2,3,4,5,6,7,8,9,10,11,12},1),{5,4,3,2,9,8,7,6,5,4,3,2}),11)),VALUE(MID(G1915,14,1))=IF(MOD(SUMPRODUCT(--MID(G1915,{1,2,3,4,5,6,7,8,9,10,11,12,13},1),{6,5,4,3,2,9,8,7,6,5,4,3,2}),11)&lt;2,0,11-MOD(SUMPRODUCT(--MID(G1915,{1,2,3,4,5,6,7,8,9,10,11,12,13},1),{6,5,4,3,2,9,8,7,6,5,4,3,2}),11))),"OK","AVISO: dígito verificador (conferir na org)"))))</f>
      </c>
      <c r="I1915" s="6">
        <f>IF(G1915="","",IF(COUNTIF($G$2:$G$2001,G1915)&gt;1,"DUPLICADO","OK"))</f>
      </c>
      <c r="J1915" s="6">
        <f>IF(COUNTA(A1915:F1915)=0,"",IF(AND(A1915&lt;&gt;"",E1915&lt;&gt;""),"OK","ERRO: faltam "&amp;IF(A1915="","CNPJ; ","")&amp;IF(E1915="","Novo gerente; ","")))</f>
      </c>
      <c r="K1915" s="6">
        <f>IF(COUNTA(A1915:F1915)=0,"",IF(AND(LEFT(H1915,4)&lt;&gt;"ERRO",I1915="OK",J1915="OK"),"OK","REVISAR"))</f>
      </c>
    </row>
    <row r="1916">
      <c r="A1916" s="5"/>
      <c r="B1916" s="4"/>
      <c r="C1916" s="4"/>
      <c r="D1916" s="4"/>
      <c r="E1916" s="5"/>
      <c r="F1916" s="4"/>
      <c r="G1916" s="6">
        <f>IF(A1916="","",SUBSTITUTE(SUBSTITUTE(SUBSTITUTE(SUBSTITUTE(SUBSTITUTE(SUBSTITUTE(SUBSTITUTE(TRIM(A1916),".",""),"/",""),"-","")," ",""),"(",""),")",""),"+",""))</f>
      </c>
      <c r="H1916" s="6">
        <f>IF(G1916="","",IF(LEN(G1916)&lt;&gt;14,"ERRO: "&amp;LEN(G1916)&amp;" dígitos",IF(NOT(ISNUMBER(VALUE(G1916))),"ERRO: não numérico",IF(AND(VALUE(MID(G1916,13,1))=IF(MOD(SUMPRODUCT(--MID(G1916,{1,2,3,4,5,6,7,8,9,10,11,12},1),{5,4,3,2,9,8,7,6,5,4,3,2}),11)&lt;2,0,11-MOD(SUMPRODUCT(--MID(G1916,{1,2,3,4,5,6,7,8,9,10,11,12},1),{5,4,3,2,9,8,7,6,5,4,3,2}),11)),VALUE(MID(G1916,14,1))=IF(MOD(SUMPRODUCT(--MID(G1916,{1,2,3,4,5,6,7,8,9,10,11,12,13},1),{6,5,4,3,2,9,8,7,6,5,4,3,2}),11)&lt;2,0,11-MOD(SUMPRODUCT(--MID(G1916,{1,2,3,4,5,6,7,8,9,10,11,12,13},1),{6,5,4,3,2,9,8,7,6,5,4,3,2}),11))),"OK","AVISO: dígito verificador (conferir na org)"))))</f>
      </c>
      <c r="I1916" s="6">
        <f>IF(G1916="","",IF(COUNTIF($G$2:$G$2001,G1916)&gt;1,"DUPLICADO","OK"))</f>
      </c>
      <c r="J1916" s="6">
        <f>IF(COUNTA(A1916:F1916)=0,"",IF(AND(A1916&lt;&gt;"",E1916&lt;&gt;""),"OK","ERRO: faltam "&amp;IF(A1916="","CNPJ; ","")&amp;IF(E1916="","Novo gerente; ","")))</f>
      </c>
      <c r="K1916" s="6">
        <f>IF(COUNTA(A1916:F1916)=0,"",IF(AND(LEFT(H1916,4)&lt;&gt;"ERRO",I1916="OK",J1916="OK"),"OK","REVISAR"))</f>
      </c>
    </row>
    <row r="1917">
      <c r="A1917" s="5"/>
      <c r="B1917" s="4"/>
      <c r="C1917" s="4"/>
      <c r="D1917" s="4"/>
      <c r="E1917" s="5"/>
      <c r="F1917" s="4"/>
      <c r="G1917" s="6">
        <f>IF(A1917="","",SUBSTITUTE(SUBSTITUTE(SUBSTITUTE(SUBSTITUTE(SUBSTITUTE(SUBSTITUTE(SUBSTITUTE(TRIM(A1917),".",""),"/",""),"-","")," ",""),"(",""),")",""),"+",""))</f>
      </c>
      <c r="H1917" s="6">
        <f>IF(G1917="","",IF(LEN(G1917)&lt;&gt;14,"ERRO: "&amp;LEN(G1917)&amp;" dígitos",IF(NOT(ISNUMBER(VALUE(G1917))),"ERRO: não numérico",IF(AND(VALUE(MID(G1917,13,1))=IF(MOD(SUMPRODUCT(--MID(G1917,{1,2,3,4,5,6,7,8,9,10,11,12},1),{5,4,3,2,9,8,7,6,5,4,3,2}),11)&lt;2,0,11-MOD(SUMPRODUCT(--MID(G1917,{1,2,3,4,5,6,7,8,9,10,11,12},1),{5,4,3,2,9,8,7,6,5,4,3,2}),11)),VALUE(MID(G1917,14,1))=IF(MOD(SUMPRODUCT(--MID(G1917,{1,2,3,4,5,6,7,8,9,10,11,12,13},1),{6,5,4,3,2,9,8,7,6,5,4,3,2}),11)&lt;2,0,11-MOD(SUMPRODUCT(--MID(G1917,{1,2,3,4,5,6,7,8,9,10,11,12,13},1),{6,5,4,3,2,9,8,7,6,5,4,3,2}),11))),"OK","AVISO: dígito verificador (conferir na org)"))))</f>
      </c>
      <c r="I1917" s="6">
        <f>IF(G1917="","",IF(COUNTIF($G$2:$G$2001,G1917)&gt;1,"DUPLICADO","OK"))</f>
      </c>
      <c r="J1917" s="6">
        <f>IF(COUNTA(A1917:F1917)=0,"",IF(AND(A1917&lt;&gt;"",E1917&lt;&gt;""),"OK","ERRO: faltam "&amp;IF(A1917="","CNPJ; ","")&amp;IF(E1917="","Novo gerente; ","")))</f>
      </c>
      <c r="K1917" s="6">
        <f>IF(COUNTA(A1917:F1917)=0,"",IF(AND(LEFT(H1917,4)&lt;&gt;"ERRO",I1917="OK",J1917="OK"),"OK","REVISAR"))</f>
      </c>
    </row>
    <row r="1918">
      <c r="A1918" s="5"/>
      <c r="B1918" s="4"/>
      <c r="C1918" s="4"/>
      <c r="D1918" s="4"/>
      <c r="E1918" s="5"/>
      <c r="F1918" s="4"/>
      <c r="G1918" s="6">
        <f>IF(A1918="","",SUBSTITUTE(SUBSTITUTE(SUBSTITUTE(SUBSTITUTE(SUBSTITUTE(SUBSTITUTE(SUBSTITUTE(TRIM(A1918),".",""),"/",""),"-","")," ",""),"(",""),")",""),"+",""))</f>
      </c>
      <c r="H1918" s="6">
        <f>IF(G1918="","",IF(LEN(G1918)&lt;&gt;14,"ERRO: "&amp;LEN(G1918)&amp;" dígitos",IF(NOT(ISNUMBER(VALUE(G1918))),"ERRO: não numérico",IF(AND(VALUE(MID(G1918,13,1))=IF(MOD(SUMPRODUCT(--MID(G1918,{1,2,3,4,5,6,7,8,9,10,11,12},1),{5,4,3,2,9,8,7,6,5,4,3,2}),11)&lt;2,0,11-MOD(SUMPRODUCT(--MID(G1918,{1,2,3,4,5,6,7,8,9,10,11,12},1),{5,4,3,2,9,8,7,6,5,4,3,2}),11)),VALUE(MID(G1918,14,1))=IF(MOD(SUMPRODUCT(--MID(G1918,{1,2,3,4,5,6,7,8,9,10,11,12,13},1),{6,5,4,3,2,9,8,7,6,5,4,3,2}),11)&lt;2,0,11-MOD(SUMPRODUCT(--MID(G1918,{1,2,3,4,5,6,7,8,9,10,11,12,13},1),{6,5,4,3,2,9,8,7,6,5,4,3,2}),11))),"OK","AVISO: dígito verificador (conferir na org)"))))</f>
      </c>
      <c r="I1918" s="6">
        <f>IF(G1918="","",IF(COUNTIF($G$2:$G$2001,G1918)&gt;1,"DUPLICADO","OK"))</f>
      </c>
      <c r="J1918" s="6">
        <f>IF(COUNTA(A1918:F1918)=0,"",IF(AND(A1918&lt;&gt;"",E1918&lt;&gt;""),"OK","ERRO: faltam "&amp;IF(A1918="","CNPJ; ","")&amp;IF(E1918="","Novo gerente; ","")))</f>
      </c>
      <c r="K1918" s="6">
        <f>IF(COUNTA(A1918:F1918)=0,"",IF(AND(LEFT(H1918,4)&lt;&gt;"ERRO",I1918="OK",J1918="OK"),"OK","REVISAR"))</f>
      </c>
    </row>
    <row r="1919">
      <c r="A1919" s="5"/>
      <c r="B1919" s="4"/>
      <c r="C1919" s="4"/>
      <c r="D1919" s="4"/>
      <c r="E1919" s="5"/>
      <c r="F1919" s="4"/>
      <c r="G1919" s="6">
        <f>IF(A1919="","",SUBSTITUTE(SUBSTITUTE(SUBSTITUTE(SUBSTITUTE(SUBSTITUTE(SUBSTITUTE(SUBSTITUTE(TRIM(A1919),".",""),"/",""),"-","")," ",""),"(",""),")",""),"+",""))</f>
      </c>
      <c r="H1919" s="6">
        <f>IF(G1919="","",IF(LEN(G1919)&lt;&gt;14,"ERRO: "&amp;LEN(G1919)&amp;" dígitos",IF(NOT(ISNUMBER(VALUE(G1919))),"ERRO: não numérico",IF(AND(VALUE(MID(G1919,13,1))=IF(MOD(SUMPRODUCT(--MID(G1919,{1,2,3,4,5,6,7,8,9,10,11,12},1),{5,4,3,2,9,8,7,6,5,4,3,2}),11)&lt;2,0,11-MOD(SUMPRODUCT(--MID(G1919,{1,2,3,4,5,6,7,8,9,10,11,12},1),{5,4,3,2,9,8,7,6,5,4,3,2}),11)),VALUE(MID(G1919,14,1))=IF(MOD(SUMPRODUCT(--MID(G1919,{1,2,3,4,5,6,7,8,9,10,11,12,13},1),{6,5,4,3,2,9,8,7,6,5,4,3,2}),11)&lt;2,0,11-MOD(SUMPRODUCT(--MID(G1919,{1,2,3,4,5,6,7,8,9,10,11,12,13},1),{6,5,4,3,2,9,8,7,6,5,4,3,2}),11))),"OK","AVISO: dígito verificador (conferir na org)"))))</f>
      </c>
      <c r="I1919" s="6">
        <f>IF(G1919="","",IF(COUNTIF($G$2:$G$2001,G1919)&gt;1,"DUPLICADO","OK"))</f>
      </c>
      <c r="J1919" s="6">
        <f>IF(COUNTA(A1919:F1919)=0,"",IF(AND(A1919&lt;&gt;"",E1919&lt;&gt;""),"OK","ERRO: faltam "&amp;IF(A1919="","CNPJ; ","")&amp;IF(E1919="","Novo gerente; ","")))</f>
      </c>
      <c r="K1919" s="6">
        <f>IF(COUNTA(A1919:F1919)=0,"",IF(AND(LEFT(H1919,4)&lt;&gt;"ERRO",I1919="OK",J1919="OK"),"OK","REVISAR"))</f>
      </c>
    </row>
    <row r="1920">
      <c r="A1920" s="5"/>
      <c r="B1920" s="4"/>
      <c r="C1920" s="4"/>
      <c r="D1920" s="4"/>
      <c r="E1920" s="5"/>
      <c r="F1920" s="4"/>
      <c r="G1920" s="6">
        <f>IF(A1920="","",SUBSTITUTE(SUBSTITUTE(SUBSTITUTE(SUBSTITUTE(SUBSTITUTE(SUBSTITUTE(SUBSTITUTE(TRIM(A1920),".",""),"/",""),"-","")," ",""),"(",""),")",""),"+",""))</f>
      </c>
      <c r="H1920" s="6">
        <f>IF(G1920="","",IF(LEN(G1920)&lt;&gt;14,"ERRO: "&amp;LEN(G1920)&amp;" dígitos",IF(NOT(ISNUMBER(VALUE(G1920))),"ERRO: não numérico",IF(AND(VALUE(MID(G1920,13,1))=IF(MOD(SUMPRODUCT(--MID(G1920,{1,2,3,4,5,6,7,8,9,10,11,12},1),{5,4,3,2,9,8,7,6,5,4,3,2}),11)&lt;2,0,11-MOD(SUMPRODUCT(--MID(G1920,{1,2,3,4,5,6,7,8,9,10,11,12},1),{5,4,3,2,9,8,7,6,5,4,3,2}),11)),VALUE(MID(G1920,14,1))=IF(MOD(SUMPRODUCT(--MID(G1920,{1,2,3,4,5,6,7,8,9,10,11,12,13},1),{6,5,4,3,2,9,8,7,6,5,4,3,2}),11)&lt;2,0,11-MOD(SUMPRODUCT(--MID(G1920,{1,2,3,4,5,6,7,8,9,10,11,12,13},1),{6,5,4,3,2,9,8,7,6,5,4,3,2}),11))),"OK","AVISO: dígito verificador (conferir na org)"))))</f>
      </c>
      <c r="I1920" s="6">
        <f>IF(G1920="","",IF(COUNTIF($G$2:$G$2001,G1920)&gt;1,"DUPLICADO","OK"))</f>
      </c>
      <c r="J1920" s="6">
        <f>IF(COUNTA(A1920:F1920)=0,"",IF(AND(A1920&lt;&gt;"",E1920&lt;&gt;""),"OK","ERRO: faltam "&amp;IF(A1920="","CNPJ; ","")&amp;IF(E1920="","Novo gerente; ","")))</f>
      </c>
      <c r="K1920" s="6">
        <f>IF(COUNTA(A1920:F1920)=0,"",IF(AND(LEFT(H1920,4)&lt;&gt;"ERRO",I1920="OK",J1920="OK"),"OK","REVISAR"))</f>
      </c>
    </row>
    <row r="1921">
      <c r="A1921" s="5"/>
      <c r="B1921" s="4"/>
      <c r="C1921" s="4"/>
      <c r="D1921" s="4"/>
      <c r="E1921" s="5"/>
      <c r="F1921" s="4"/>
      <c r="G1921" s="6">
        <f>IF(A1921="","",SUBSTITUTE(SUBSTITUTE(SUBSTITUTE(SUBSTITUTE(SUBSTITUTE(SUBSTITUTE(SUBSTITUTE(TRIM(A1921),".",""),"/",""),"-","")," ",""),"(",""),")",""),"+",""))</f>
      </c>
      <c r="H1921" s="6">
        <f>IF(G1921="","",IF(LEN(G1921)&lt;&gt;14,"ERRO: "&amp;LEN(G1921)&amp;" dígitos",IF(NOT(ISNUMBER(VALUE(G1921))),"ERRO: não numérico",IF(AND(VALUE(MID(G1921,13,1))=IF(MOD(SUMPRODUCT(--MID(G1921,{1,2,3,4,5,6,7,8,9,10,11,12},1),{5,4,3,2,9,8,7,6,5,4,3,2}),11)&lt;2,0,11-MOD(SUMPRODUCT(--MID(G1921,{1,2,3,4,5,6,7,8,9,10,11,12},1),{5,4,3,2,9,8,7,6,5,4,3,2}),11)),VALUE(MID(G1921,14,1))=IF(MOD(SUMPRODUCT(--MID(G1921,{1,2,3,4,5,6,7,8,9,10,11,12,13},1),{6,5,4,3,2,9,8,7,6,5,4,3,2}),11)&lt;2,0,11-MOD(SUMPRODUCT(--MID(G1921,{1,2,3,4,5,6,7,8,9,10,11,12,13},1),{6,5,4,3,2,9,8,7,6,5,4,3,2}),11))),"OK","AVISO: dígito verificador (conferir na org)"))))</f>
      </c>
      <c r="I1921" s="6">
        <f>IF(G1921="","",IF(COUNTIF($G$2:$G$2001,G1921)&gt;1,"DUPLICADO","OK"))</f>
      </c>
      <c r="J1921" s="6">
        <f>IF(COUNTA(A1921:F1921)=0,"",IF(AND(A1921&lt;&gt;"",E1921&lt;&gt;""),"OK","ERRO: faltam "&amp;IF(A1921="","CNPJ; ","")&amp;IF(E1921="","Novo gerente; ","")))</f>
      </c>
      <c r="K1921" s="6">
        <f>IF(COUNTA(A1921:F1921)=0,"",IF(AND(LEFT(H1921,4)&lt;&gt;"ERRO",I1921="OK",J1921="OK"),"OK","REVISAR"))</f>
      </c>
    </row>
    <row r="1922">
      <c r="A1922" s="5"/>
      <c r="B1922" s="4"/>
      <c r="C1922" s="4"/>
      <c r="D1922" s="4"/>
      <c r="E1922" s="5"/>
      <c r="F1922" s="4"/>
      <c r="G1922" s="6">
        <f>IF(A1922="","",SUBSTITUTE(SUBSTITUTE(SUBSTITUTE(SUBSTITUTE(SUBSTITUTE(SUBSTITUTE(SUBSTITUTE(TRIM(A1922),".",""),"/",""),"-","")," ",""),"(",""),")",""),"+",""))</f>
      </c>
      <c r="H1922" s="6">
        <f>IF(G1922="","",IF(LEN(G1922)&lt;&gt;14,"ERRO: "&amp;LEN(G1922)&amp;" dígitos",IF(NOT(ISNUMBER(VALUE(G1922))),"ERRO: não numérico",IF(AND(VALUE(MID(G1922,13,1))=IF(MOD(SUMPRODUCT(--MID(G1922,{1,2,3,4,5,6,7,8,9,10,11,12},1),{5,4,3,2,9,8,7,6,5,4,3,2}),11)&lt;2,0,11-MOD(SUMPRODUCT(--MID(G1922,{1,2,3,4,5,6,7,8,9,10,11,12},1),{5,4,3,2,9,8,7,6,5,4,3,2}),11)),VALUE(MID(G1922,14,1))=IF(MOD(SUMPRODUCT(--MID(G1922,{1,2,3,4,5,6,7,8,9,10,11,12,13},1),{6,5,4,3,2,9,8,7,6,5,4,3,2}),11)&lt;2,0,11-MOD(SUMPRODUCT(--MID(G1922,{1,2,3,4,5,6,7,8,9,10,11,12,13},1),{6,5,4,3,2,9,8,7,6,5,4,3,2}),11))),"OK","AVISO: dígito verificador (conferir na org)"))))</f>
      </c>
      <c r="I1922" s="6">
        <f>IF(G1922="","",IF(COUNTIF($G$2:$G$2001,G1922)&gt;1,"DUPLICADO","OK"))</f>
      </c>
      <c r="J1922" s="6">
        <f>IF(COUNTA(A1922:F1922)=0,"",IF(AND(A1922&lt;&gt;"",E1922&lt;&gt;""),"OK","ERRO: faltam "&amp;IF(A1922="","CNPJ; ","")&amp;IF(E1922="","Novo gerente; ","")))</f>
      </c>
      <c r="K1922" s="6">
        <f>IF(COUNTA(A1922:F1922)=0,"",IF(AND(LEFT(H1922,4)&lt;&gt;"ERRO",I1922="OK",J1922="OK"),"OK","REVISAR"))</f>
      </c>
    </row>
    <row r="1923">
      <c r="A1923" s="5"/>
      <c r="B1923" s="4"/>
      <c r="C1923" s="4"/>
      <c r="D1923" s="4"/>
      <c r="E1923" s="5"/>
      <c r="F1923" s="4"/>
      <c r="G1923" s="6">
        <f>IF(A1923="","",SUBSTITUTE(SUBSTITUTE(SUBSTITUTE(SUBSTITUTE(SUBSTITUTE(SUBSTITUTE(SUBSTITUTE(TRIM(A1923),".",""),"/",""),"-","")," ",""),"(",""),")",""),"+",""))</f>
      </c>
      <c r="H1923" s="6">
        <f>IF(G1923="","",IF(LEN(G1923)&lt;&gt;14,"ERRO: "&amp;LEN(G1923)&amp;" dígitos",IF(NOT(ISNUMBER(VALUE(G1923))),"ERRO: não numérico",IF(AND(VALUE(MID(G1923,13,1))=IF(MOD(SUMPRODUCT(--MID(G1923,{1,2,3,4,5,6,7,8,9,10,11,12},1),{5,4,3,2,9,8,7,6,5,4,3,2}),11)&lt;2,0,11-MOD(SUMPRODUCT(--MID(G1923,{1,2,3,4,5,6,7,8,9,10,11,12},1),{5,4,3,2,9,8,7,6,5,4,3,2}),11)),VALUE(MID(G1923,14,1))=IF(MOD(SUMPRODUCT(--MID(G1923,{1,2,3,4,5,6,7,8,9,10,11,12,13},1),{6,5,4,3,2,9,8,7,6,5,4,3,2}),11)&lt;2,0,11-MOD(SUMPRODUCT(--MID(G1923,{1,2,3,4,5,6,7,8,9,10,11,12,13},1),{6,5,4,3,2,9,8,7,6,5,4,3,2}),11))),"OK","AVISO: dígito verificador (conferir na org)"))))</f>
      </c>
      <c r="I1923" s="6">
        <f>IF(G1923="","",IF(COUNTIF($G$2:$G$2001,G1923)&gt;1,"DUPLICADO","OK"))</f>
      </c>
      <c r="J1923" s="6">
        <f>IF(COUNTA(A1923:F1923)=0,"",IF(AND(A1923&lt;&gt;"",E1923&lt;&gt;""),"OK","ERRO: faltam "&amp;IF(A1923="","CNPJ; ","")&amp;IF(E1923="","Novo gerente; ","")))</f>
      </c>
      <c r="K1923" s="6">
        <f>IF(COUNTA(A1923:F1923)=0,"",IF(AND(LEFT(H1923,4)&lt;&gt;"ERRO",I1923="OK",J1923="OK"),"OK","REVISAR"))</f>
      </c>
    </row>
    <row r="1924">
      <c r="A1924" s="5"/>
      <c r="B1924" s="4"/>
      <c r="C1924" s="4"/>
      <c r="D1924" s="4"/>
      <c r="E1924" s="5"/>
      <c r="F1924" s="4"/>
      <c r="G1924" s="6">
        <f>IF(A1924="","",SUBSTITUTE(SUBSTITUTE(SUBSTITUTE(SUBSTITUTE(SUBSTITUTE(SUBSTITUTE(SUBSTITUTE(TRIM(A1924),".",""),"/",""),"-","")," ",""),"(",""),")",""),"+",""))</f>
      </c>
      <c r="H1924" s="6">
        <f>IF(G1924="","",IF(LEN(G1924)&lt;&gt;14,"ERRO: "&amp;LEN(G1924)&amp;" dígitos",IF(NOT(ISNUMBER(VALUE(G1924))),"ERRO: não numérico",IF(AND(VALUE(MID(G1924,13,1))=IF(MOD(SUMPRODUCT(--MID(G1924,{1,2,3,4,5,6,7,8,9,10,11,12},1),{5,4,3,2,9,8,7,6,5,4,3,2}),11)&lt;2,0,11-MOD(SUMPRODUCT(--MID(G1924,{1,2,3,4,5,6,7,8,9,10,11,12},1),{5,4,3,2,9,8,7,6,5,4,3,2}),11)),VALUE(MID(G1924,14,1))=IF(MOD(SUMPRODUCT(--MID(G1924,{1,2,3,4,5,6,7,8,9,10,11,12,13},1),{6,5,4,3,2,9,8,7,6,5,4,3,2}),11)&lt;2,0,11-MOD(SUMPRODUCT(--MID(G1924,{1,2,3,4,5,6,7,8,9,10,11,12,13},1),{6,5,4,3,2,9,8,7,6,5,4,3,2}),11))),"OK","AVISO: dígito verificador (conferir na org)"))))</f>
      </c>
      <c r="I1924" s="6">
        <f>IF(G1924="","",IF(COUNTIF($G$2:$G$2001,G1924)&gt;1,"DUPLICADO","OK"))</f>
      </c>
      <c r="J1924" s="6">
        <f>IF(COUNTA(A1924:F1924)=0,"",IF(AND(A1924&lt;&gt;"",E1924&lt;&gt;""),"OK","ERRO: faltam "&amp;IF(A1924="","CNPJ; ","")&amp;IF(E1924="","Novo gerente; ","")))</f>
      </c>
      <c r="K1924" s="6">
        <f>IF(COUNTA(A1924:F1924)=0,"",IF(AND(LEFT(H1924,4)&lt;&gt;"ERRO",I1924="OK",J1924="OK"),"OK","REVISAR"))</f>
      </c>
    </row>
    <row r="1925">
      <c r="A1925" s="5"/>
      <c r="B1925" s="4"/>
      <c r="C1925" s="4"/>
      <c r="D1925" s="4"/>
      <c r="E1925" s="5"/>
      <c r="F1925" s="4"/>
      <c r="G1925" s="6">
        <f>IF(A1925="","",SUBSTITUTE(SUBSTITUTE(SUBSTITUTE(SUBSTITUTE(SUBSTITUTE(SUBSTITUTE(SUBSTITUTE(TRIM(A1925),".",""),"/",""),"-","")," ",""),"(",""),")",""),"+",""))</f>
      </c>
      <c r="H1925" s="6">
        <f>IF(G1925="","",IF(LEN(G1925)&lt;&gt;14,"ERRO: "&amp;LEN(G1925)&amp;" dígitos",IF(NOT(ISNUMBER(VALUE(G1925))),"ERRO: não numérico",IF(AND(VALUE(MID(G1925,13,1))=IF(MOD(SUMPRODUCT(--MID(G1925,{1,2,3,4,5,6,7,8,9,10,11,12},1),{5,4,3,2,9,8,7,6,5,4,3,2}),11)&lt;2,0,11-MOD(SUMPRODUCT(--MID(G1925,{1,2,3,4,5,6,7,8,9,10,11,12},1),{5,4,3,2,9,8,7,6,5,4,3,2}),11)),VALUE(MID(G1925,14,1))=IF(MOD(SUMPRODUCT(--MID(G1925,{1,2,3,4,5,6,7,8,9,10,11,12,13},1),{6,5,4,3,2,9,8,7,6,5,4,3,2}),11)&lt;2,0,11-MOD(SUMPRODUCT(--MID(G1925,{1,2,3,4,5,6,7,8,9,10,11,12,13},1),{6,5,4,3,2,9,8,7,6,5,4,3,2}),11))),"OK","AVISO: dígito verificador (conferir na org)"))))</f>
      </c>
      <c r="I1925" s="6">
        <f>IF(G1925="","",IF(COUNTIF($G$2:$G$2001,G1925)&gt;1,"DUPLICADO","OK"))</f>
      </c>
      <c r="J1925" s="6">
        <f>IF(COUNTA(A1925:F1925)=0,"",IF(AND(A1925&lt;&gt;"",E1925&lt;&gt;""),"OK","ERRO: faltam "&amp;IF(A1925="","CNPJ; ","")&amp;IF(E1925="","Novo gerente; ","")))</f>
      </c>
      <c r="K1925" s="6">
        <f>IF(COUNTA(A1925:F1925)=0,"",IF(AND(LEFT(H1925,4)&lt;&gt;"ERRO",I1925="OK",J1925="OK"),"OK","REVISAR"))</f>
      </c>
    </row>
    <row r="1926">
      <c r="A1926" s="5"/>
      <c r="B1926" s="4"/>
      <c r="C1926" s="4"/>
      <c r="D1926" s="4"/>
      <c r="E1926" s="5"/>
      <c r="F1926" s="4"/>
      <c r="G1926" s="6">
        <f>IF(A1926="","",SUBSTITUTE(SUBSTITUTE(SUBSTITUTE(SUBSTITUTE(SUBSTITUTE(SUBSTITUTE(SUBSTITUTE(TRIM(A1926),".",""),"/",""),"-","")," ",""),"(",""),")",""),"+",""))</f>
      </c>
      <c r="H1926" s="6">
        <f>IF(G1926="","",IF(LEN(G1926)&lt;&gt;14,"ERRO: "&amp;LEN(G1926)&amp;" dígitos",IF(NOT(ISNUMBER(VALUE(G1926))),"ERRO: não numérico",IF(AND(VALUE(MID(G1926,13,1))=IF(MOD(SUMPRODUCT(--MID(G1926,{1,2,3,4,5,6,7,8,9,10,11,12},1),{5,4,3,2,9,8,7,6,5,4,3,2}),11)&lt;2,0,11-MOD(SUMPRODUCT(--MID(G1926,{1,2,3,4,5,6,7,8,9,10,11,12},1),{5,4,3,2,9,8,7,6,5,4,3,2}),11)),VALUE(MID(G1926,14,1))=IF(MOD(SUMPRODUCT(--MID(G1926,{1,2,3,4,5,6,7,8,9,10,11,12,13},1),{6,5,4,3,2,9,8,7,6,5,4,3,2}),11)&lt;2,0,11-MOD(SUMPRODUCT(--MID(G1926,{1,2,3,4,5,6,7,8,9,10,11,12,13},1),{6,5,4,3,2,9,8,7,6,5,4,3,2}),11))),"OK","AVISO: dígito verificador (conferir na org)"))))</f>
      </c>
      <c r="I1926" s="6">
        <f>IF(G1926="","",IF(COUNTIF($G$2:$G$2001,G1926)&gt;1,"DUPLICADO","OK"))</f>
      </c>
      <c r="J1926" s="6">
        <f>IF(COUNTA(A1926:F1926)=0,"",IF(AND(A1926&lt;&gt;"",E1926&lt;&gt;""),"OK","ERRO: faltam "&amp;IF(A1926="","CNPJ; ","")&amp;IF(E1926="","Novo gerente; ","")))</f>
      </c>
      <c r="K1926" s="6">
        <f>IF(COUNTA(A1926:F1926)=0,"",IF(AND(LEFT(H1926,4)&lt;&gt;"ERRO",I1926="OK",J1926="OK"),"OK","REVISAR"))</f>
      </c>
    </row>
    <row r="1927">
      <c r="A1927" s="5"/>
      <c r="B1927" s="4"/>
      <c r="C1927" s="4"/>
      <c r="D1927" s="4"/>
      <c r="E1927" s="5"/>
      <c r="F1927" s="4"/>
      <c r="G1927" s="6">
        <f>IF(A1927="","",SUBSTITUTE(SUBSTITUTE(SUBSTITUTE(SUBSTITUTE(SUBSTITUTE(SUBSTITUTE(SUBSTITUTE(TRIM(A1927),".",""),"/",""),"-","")," ",""),"(",""),")",""),"+",""))</f>
      </c>
      <c r="H1927" s="6">
        <f>IF(G1927="","",IF(LEN(G1927)&lt;&gt;14,"ERRO: "&amp;LEN(G1927)&amp;" dígitos",IF(NOT(ISNUMBER(VALUE(G1927))),"ERRO: não numérico",IF(AND(VALUE(MID(G1927,13,1))=IF(MOD(SUMPRODUCT(--MID(G1927,{1,2,3,4,5,6,7,8,9,10,11,12},1),{5,4,3,2,9,8,7,6,5,4,3,2}),11)&lt;2,0,11-MOD(SUMPRODUCT(--MID(G1927,{1,2,3,4,5,6,7,8,9,10,11,12},1),{5,4,3,2,9,8,7,6,5,4,3,2}),11)),VALUE(MID(G1927,14,1))=IF(MOD(SUMPRODUCT(--MID(G1927,{1,2,3,4,5,6,7,8,9,10,11,12,13},1),{6,5,4,3,2,9,8,7,6,5,4,3,2}),11)&lt;2,0,11-MOD(SUMPRODUCT(--MID(G1927,{1,2,3,4,5,6,7,8,9,10,11,12,13},1),{6,5,4,3,2,9,8,7,6,5,4,3,2}),11))),"OK","AVISO: dígito verificador (conferir na org)"))))</f>
      </c>
      <c r="I1927" s="6">
        <f>IF(G1927="","",IF(COUNTIF($G$2:$G$2001,G1927)&gt;1,"DUPLICADO","OK"))</f>
      </c>
      <c r="J1927" s="6">
        <f>IF(COUNTA(A1927:F1927)=0,"",IF(AND(A1927&lt;&gt;"",E1927&lt;&gt;""),"OK","ERRO: faltam "&amp;IF(A1927="","CNPJ; ","")&amp;IF(E1927="","Novo gerente; ","")))</f>
      </c>
      <c r="K1927" s="6">
        <f>IF(COUNTA(A1927:F1927)=0,"",IF(AND(LEFT(H1927,4)&lt;&gt;"ERRO",I1927="OK",J1927="OK"),"OK","REVISAR"))</f>
      </c>
    </row>
    <row r="1928">
      <c r="A1928" s="5"/>
      <c r="B1928" s="4"/>
      <c r="C1928" s="4"/>
      <c r="D1928" s="4"/>
      <c r="E1928" s="5"/>
      <c r="F1928" s="4"/>
      <c r="G1928" s="6">
        <f>IF(A1928="","",SUBSTITUTE(SUBSTITUTE(SUBSTITUTE(SUBSTITUTE(SUBSTITUTE(SUBSTITUTE(SUBSTITUTE(TRIM(A1928),".",""),"/",""),"-","")," ",""),"(",""),")",""),"+",""))</f>
      </c>
      <c r="H1928" s="6">
        <f>IF(G1928="","",IF(LEN(G1928)&lt;&gt;14,"ERRO: "&amp;LEN(G1928)&amp;" dígitos",IF(NOT(ISNUMBER(VALUE(G1928))),"ERRO: não numérico",IF(AND(VALUE(MID(G1928,13,1))=IF(MOD(SUMPRODUCT(--MID(G1928,{1,2,3,4,5,6,7,8,9,10,11,12},1),{5,4,3,2,9,8,7,6,5,4,3,2}),11)&lt;2,0,11-MOD(SUMPRODUCT(--MID(G1928,{1,2,3,4,5,6,7,8,9,10,11,12},1),{5,4,3,2,9,8,7,6,5,4,3,2}),11)),VALUE(MID(G1928,14,1))=IF(MOD(SUMPRODUCT(--MID(G1928,{1,2,3,4,5,6,7,8,9,10,11,12,13},1),{6,5,4,3,2,9,8,7,6,5,4,3,2}),11)&lt;2,0,11-MOD(SUMPRODUCT(--MID(G1928,{1,2,3,4,5,6,7,8,9,10,11,12,13},1),{6,5,4,3,2,9,8,7,6,5,4,3,2}),11))),"OK","AVISO: dígito verificador (conferir na org)"))))</f>
      </c>
      <c r="I1928" s="6">
        <f>IF(G1928="","",IF(COUNTIF($G$2:$G$2001,G1928)&gt;1,"DUPLICADO","OK"))</f>
      </c>
      <c r="J1928" s="6">
        <f>IF(COUNTA(A1928:F1928)=0,"",IF(AND(A1928&lt;&gt;"",E1928&lt;&gt;""),"OK","ERRO: faltam "&amp;IF(A1928="","CNPJ; ","")&amp;IF(E1928="","Novo gerente; ","")))</f>
      </c>
      <c r="K1928" s="6">
        <f>IF(COUNTA(A1928:F1928)=0,"",IF(AND(LEFT(H1928,4)&lt;&gt;"ERRO",I1928="OK",J1928="OK"),"OK","REVISAR"))</f>
      </c>
    </row>
    <row r="1929">
      <c r="A1929" s="5"/>
      <c r="B1929" s="4"/>
      <c r="C1929" s="4"/>
      <c r="D1929" s="4"/>
      <c r="E1929" s="5"/>
      <c r="F1929" s="4"/>
      <c r="G1929" s="6">
        <f>IF(A1929="","",SUBSTITUTE(SUBSTITUTE(SUBSTITUTE(SUBSTITUTE(SUBSTITUTE(SUBSTITUTE(SUBSTITUTE(TRIM(A1929),".",""),"/",""),"-","")," ",""),"(",""),")",""),"+",""))</f>
      </c>
      <c r="H1929" s="6">
        <f>IF(G1929="","",IF(LEN(G1929)&lt;&gt;14,"ERRO: "&amp;LEN(G1929)&amp;" dígitos",IF(NOT(ISNUMBER(VALUE(G1929))),"ERRO: não numérico",IF(AND(VALUE(MID(G1929,13,1))=IF(MOD(SUMPRODUCT(--MID(G1929,{1,2,3,4,5,6,7,8,9,10,11,12},1),{5,4,3,2,9,8,7,6,5,4,3,2}),11)&lt;2,0,11-MOD(SUMPRODUCT(--MID(G1929,{1,2,3,4,5,6,7,8,9,10,11,12},1),{5,4,3,2,9,8,7,6,5,4,3,2}),11)),VALUE(MID(G1929,14,1))=IF(MOD(SUMPRODUCT(--MID(G1929,{1,2,3,4,5,6,7,8,9,10,11,12,13},1),{6,5,4,3,2,9,8,7,6,5,4,3,2}),11)&lt;2,0,11-MOD(SUMPRODUCT(--MID(G1929,{1,2,3,4,5,6,7,8,9,10,11,12,13},1),{6,5,4,3,2,9,8,7,6,5,4,3,2}),11))),"OK","AVISO: dígito verificador (conferir na org)"))))</f>
      </c>
      <c r="I1929" s="6">
        <f>IF(G1929="","",IF(COUNTIF($G$2:$G$2001,G1929)&gt;1,"DUPLICADO","OK"))</f>
      </c>
      <c r="J1929" s="6">
        <f>IF(COUNTA(A1929:F1929)=0,"",IF(AND(A1929&lt;&gt;"",E1929&lt;&gt;""),"OK","ERRO: faltam "&amp;IF(A1929="","CNPJ; ","")&amp;IF(E1929="","Novo gerente; ","")))</f>
      </c>
      <c r="K1929" s="6">
        <f>IF(COUNTA(A1929:F1929)=0,"",IF(AND(LEFT(H1929,4)&lt;&gt;"ERRO",I1929="OK",J1929="OK"),"OK","REVISAR"))</f>
      </c>
    </row>
    <row r="1930">
      <c r="A1930" s="5"/>
      <c r="B1930" s="4"/>
      <c r="C1930" s="4"/>
      <c r="D1930" s="4"/>
      <c r="E1930" s="5"/>
      <c r="F1930" s="4"/>
      <c r="G1930" s="6">
        <f>IF(A1930="","",SUBSTITUTE(SUBSTITUTE(SUBSTITUTE(SUBSTITUTE(SUBSTITUTE(SUBSTITUTE(SUBSTITUTE(TRIM(A1930),".",""),"/",""),"-","")," ",""),"(",""),")",""),"+",""))</f>
      </c>
      <c r="H1930" s="6">
        <f>IF(G1930="","",IF(LEN(G1930)&lt;&gt;14,"ERRO: "&amp;LEN(G1930)&amp;" dígitos",IF(NOT(ISNUMBER(VALUE(G1930))),"ERRO: não numérico",IF(AND(VALUE(MID(G1930,13,1))=IF(MOD(SUMPRODUCT(--MID(G1930,{1,2,3,4,5,6,7,8,9,10,11,12},1),{5,4,3,2,9,8,7,6,5,4,3,2}),11)&lt;2,0,11-MOD(SUMPRODUCT(--MID(G1930,{1,2,3,4,5,6,7,8,9,10,11,12},1),{5,4,3,2,9,8,7,6,5,4,3,2}),11)),VALUE(MID(G1930,14,1))=IF(MOD(SUMPRODUCT(--MID(G1930,{1,2,3,4,5,6,7,8,9,10,11,12,13},1),{6,5,4,3,2,9,8,7,6,5,4,3,2}),11)&lt;2,0,11-MOD(SUMPRODUCT(--MID(G1930,{1,2,3,4,5,6,7,8,9,10,11,12,13},1),{6,5,4,3,2,9,8,7,6,5,4,3,2}),11))),"OK","AVISO: dígito verificador (conferir na org)"))))</f>
      </c>
      <c r="I1930" s="6">
        <f>IF(G1930="","",IF(COUNTIF($G$2:$G$2001,G1930)&gt;1,"DUPLICADO","OK"))</f>
      </c>
      <c r="J1930" s="6">
        <f>IF(COUNTA(A1930:F1930)=0,"",IF(AND(A1930&lt;&gt;"",E1930&lt;&gt;""),"OK","ERRO: faltam "&amp;IF(A1930="","CNPJ; ","")&amp;IF(E1930="","Novo gerente; ","")))</f>
      </c>
      <c r="K1930" s="6">
        <f>IF(COUNTA(A1930:F1930)=0,"",IF(AND(LEFT(H1930,4)&lt;&gt;"ERRO",I1930="OK",J1930="OK"),"OK","REVISAR"))</f>
      </c>
    </row>
    <row r="1931">
      <c r="A1931" s="5"/>
      <c r="B1931" s="4"/>
      <c r="C1931" s="4"/>
      <c r="D1931" s="4"/>
      <c r="E1931" s="5"/>
      <c r="F1931" s="4"/>
      <c r="G1931" s="6">
        <f>IF(A1931="","",SUBSTITUTE(SUBSTITUTE(SUBSTITUTE(SUBSTITUTE(SUBSTITUTE(SUBSTITUTE(SUBSTITUTE(TRIM(A1931),".",""),"/",""),"-","")," ",""),"(",""),")",""),"+",""))</f>
      </c>
      <c r="H1931" s="6">
        <f>IF(G1931="","",IF(LEN(G1931)&lt;&gt;14,"ERRO: "&amp;LEN(G1931)&amp;" dígitos",IF(NOT(ISNUMBER(VALUE(G1931))),"ERRO: não numérico",IF(AND(VALUE(MID(G1931,13,1))=IF(MOD(SUMPRODUCT(--MID(G1931,{1,2,3,4,5,6,7,8,9,10,11,12},1),{5,4,3,2,9,8,7,6,5,4,3,2}),11)&lt;2,0,11-MOD(SUMPRODUCT(--MID(G1931,{1,2,3,4,5,6,7,8,9,10,11,12},1),{5,4,3,2,9,8,7,6,5,4,3,2}),11)),VALUE(MID(G1931,14,1))=IF(MOD(SUMPRODUCT(--MID(G1931,{1,2,3,4,5,6,7,8,9,10,11,12,13},1),{6,5,4,3,2,9,8,7,6,5,4,3,2}),11)&lt;2,0,11-MOD(SUMPRODUCT(--MID(G1931,{1,2,3,4,5,6,7,8,9,10,11,12,13},1),{6,5,4,3,2,9,8,7,6,5,4,3,2}),11))),"OK","AVISO: dígito verificador (conferir na org)"))))</f>
      </c>
      <c r="I1931" s="6">
        <f>IF(G1931="","",IF(COUNTIF($G$2:$G$2001,G1931)&gt;1,"DUPLICADO","OK"))</f>
      </c>
      <c r="J1931" s="6">
        <f>IF(COUNTA(A1931:F1931)=0,"",IF(AND(A1931&lt;&gt;"",E1931&lt;&gt;""),"OK","ERRO: faltam "&amp;IF(A1931="","CNPJ; ","")&amp;IF(E1931="","Novo gerente; ","")))</f>
      </c>
      <c r="K1931" s="6">
        <f>IF(COUNTA(A1931:F1931)=0,"",IF(AND(LEFT(H1931,4)&lt;&gt;"ERRO",I1931="OK",J1931="OK"),"OK","REVISAR"))</f>
      </c>
    </row>
    <row r="1932">
      <c r="A1932" s="5"/>
      <c r="B1932" s="4"/>
      <c r="C1932" s="4"/>
      <c r="D1932" s="4"/>
      <c r="E1932" s="5"/>
      <c r="F1932" s="4"/>
      <c r="G1932" s="6">
        <f>IF(A1932="","",SUBSTITUTE(SUBSTITUTE(SUBSTITUTE(SUBSTITUTE(SUBSTITUTE(SUBSTITUTE(SUBSTITUTE(TRIM(A1932),".",""),"/",""),"-","")," ",""),"(",""),")",""),"+",""))</f>
      </c>
      <c r="H1932" s="6">
        <f>IF(G1932="","",IF(LEN(G1932)&lt;&gt;14,"ERRO: "&amp;LEN(G1932)&amp;" dígitos",IF(NOT(ISNUMBER(VALUE(G1932))),"ERRO: não numérico",IF(AND(VALUE(MID(G1932,13,1))=IF(MOD(SUMPRODUCT(--MID(G1932,{1,2,3,4,5,6,7,8,9,10,11,12},1),{5,4,3,2,9,8,7,6,5,4,3,2}),11)&lt;2,0,11-MOD(SUMPRODUCT(--MID(G1932,{1,2,3,4,5,6,7,8,9,10,11,12},1),{5,4,3,2,9,8,7,6,5,4,3,2}),11)),VALUE(MID(G1932,14,1))=IF(MOD(SUMPRODUCT(--MID(G1932,{1,2,3,4,5,6,7,8,9,10,11,12,13},1),{6,5,4,3,2,9,8,7,6,5,4,3,2}),11)&lt;2,0,11-MOD(SUMPRODUCT(--MID(G1932,{1,2,3,4,5,6,7,8,9,10,11,12,13},1),{6,5,4,3,2,9,8,7,6,5,4,3,2}),11))),"OK","AVISO: dígito verificador (conferir na org)"))))</f>
      </c>
      <c r="I1932" s="6">
        <f>IF(G1932="","",IF(COUNTIF($G$2:$G$2001,G1932)&gt;1,"DUPLICADO","OK"))</f>
      </c>
      <c r="J1932" s="6">
        <f>IF(COUNTA(A1932:F1932)=0,"",IF(AND(A1932&lt;&gt;"",E1932&lt;&gt;""),"OK","ERRO: faltam "&amp;IF(A1932="","CNPJ; ","")&amp;IF(E1932="","Novo gerente; ","")))</f>
      </c>
      <c r="K1932" s="6">
        <f>IF(COUNTA(A1932:F1932)=0,"",IF(AND(LEFT(H1932,4)&lt;&gt;"ERRO",I1932="OK",J1932="OK"),"OK","REVISAR"))</f>
      </c>
    </row>
    <row r="1933">
      <c r="A1933" s="5"/>
      <c r="B1933" s="4"/>
      <c r="C1933" s="4"/>
      <c r="D1933" s="4"/>
      <c r="E1933" s="5"/>
      <c r="F1933" s="4"/>
      <c r="G1933" s="6">
        <f>IF(A1933="","",SUBSTITUTE(SUBSTITUTE(SUBSTITUTE(SUBSTITUTE(SUBSTITUTE(SUBSTITUTE(SUBSTITUTE(TRIM(A1933),".",""),"/",""),"-","")," ",""),"(",""),")",""),"+",""))</f>
      </c>
      <c r="H1933" s="6">
        <f>IF(G1933="","",IF(LEN(G1933)&lt;&gt;14,"ERRO: "&amp;LEN(G1933)&amp;" dígitos",IF(NOT(ISNUMBER(VALUE(G1933))),"ERRO: não numérico",IF(AND(VALUE(MID(G1933,13,1))=IF(MOD(SUMPRODUCT(--MID(G1933,{1,2,3,4,5,6,7,8,9,10,11,12},1),{5,4,3,2,9,8,7,6,5,4,3,2}),11)&lt;2,0,11-MOD(SUMPRODUCT(--MID(G1933,{1,2,3,4,5,6,7,8,9,10,11,12},1),{5,4,3,2,9,8,7,6,5,4,3,2}),11)),VALUE(MID(G1933,14,1))=IF(MOD(SUMPRODUCT(--MID(G1933,{1,2,3,4,5,6,7,8,9,10,11,12,13},1),{6,5,4,3,2,9,8,7,6,5,4,3,2}),11)&lt;2,0,11-MOD(SUMPRODUCT(--MID(G1933,{1,2,3,4,5,6,7,8,9,10,11,12,13},1),{6,5,4,3,2,9,8,7,6,5,4,3,2}),11))),"OK","AVISO: dígito verificador (conferir na org)"))))</f>
      </c>
      <c r="I1933" s="6">
        <f>IF(G1933="","",IF(COUNTIF($G$2:$G$2001,G1933)&gt;1,"DUPLICADO","OK"))</f>
      </c>
      <c r="J1933" s="6">
        <f>IF(COUNTA(A1933:F1933)=0,"",IF(AND(A1933&lt;&gt;"",E1933&lt;&gt;""),"OK","ERRO: faltam "&amp;IF(A1933="","CNPJ; ","")&amp;IF(E1933="","Novo gerente; ","")))</f>
      </c>
      <c r="K1933" s="6">
        <f>IF(COUNTA(A1933:F1933)=0,"",IF(AND(LEFT(H1933,4)&lt;&gt;"ERRO",I1933="OK",J1933="OK"),"OK","REVISAR"))</f>
      </c>
    </row>
    <row r="1934">
      <c r="A1934" s="5"/>
      <c r="B1934" s="4"/>
      <c r="C1934" s="4"/>
      <c r="D1934" s="4"/>
      <c r="E1934" s="5"/>
      <c r="F1934" s="4"/>
      <c r="G1934" s="6">
        <f>IF(A1934="","",SUBSTITUTE(SUBSTITUTE(SUBSTITUTE(SUBSTITUTE(SUBSTITUTE(SUBSTITUTE(SUBSTITUTE(TRIM(A1934),".",""),"/",""),"-","")," ",""),"(",""),")",""),"+",""))</f>
      </c>
      <c r="H1934" s="6">
        <f>IF(G1934="","",IF(LEN(G1934)&lt;&gt;14,"ERRO: "&amp;LEN(G1934)&amp;" dígitos",IF(NOT(ISNUMBER(VALUE(G1934))),"ERRO: não numérico",IF(AND(VALUE(MID(G1934,13,1))=IF(MOD(SUMPRODUCT(--MID(G1934,{1,2,3,4,5,6,7,8,9,10,11,12},1),{5,4,3,2,9,8,7,6,5,4,3,2}),11)&lt;2,0,11-MOD(SUMPRODUCT(--MID(G1934,{1,2,3,4,5,6,7,8,9,10,11,12},1),{5,4,3,2,9,8,7,6,5,4,3,2}),11)),VALUE(MID(G1934,14,1))=IF(MOD(SUMPRODUCT(--MID(G1934,{1,2,3,4,5,6,7,8,9,10,11,12,13},1),{6,5,4,3,2,9,8,7,6,5,4,3,2}),11)&lt;2,0,11-MOD(SUMPRODUCT(--MID(G1934,{1,2,3,4,5,6,7,8,9,10,11,12,13},1),{6,5,4,3,2,9,8,7,6,5,4,3,2}),11))),"OK","AVISO: dígito verificador (conferir na org)"))))</f>
      </c>
      <c r="I1934" s="6">
        <f>IF(G1934="","",IF(COUNTIF($G$2:$G$2001,G1934)&gt;1,"DUPLICADO","OK"))</f>
      </c>
      <c r="J1934" s="6">
        <f>IF(COUNTA(A1934:F1934)=0,"",IF(AND(A1934&lt;&gt;"",E1934&lt;&gt;""),"OK","ERRO: faltam "&amp;IF(A1934="","CNPJ; ","")&amp;IF(E1934="","Novo gerente; ","")))</f>
      </c>
      <c r="K1934" s="6">
        <f>IF(COUNTA(A1934:F1934)=0,"",IF(AND(LEFT(H1934,4)&lt;&gt;"ERRO",I1934="OK",J1934="OK"),"OK","REVISAR"))</f>
      </c>
    </row>
    <row r="1935">
      <c r="A1935" s="5"/>
      <c r="B1935" s="4"/>
      <c r="C1935" s="4"/>
      <c r="D1935" s="4"/>
      <c r="E1935" s="5"/>
      <c r="F1935" s="4"/>
      <c r="G1935" s="6">
        <f>IF(A1935="","",SUBSTITUTE(SUBSTITUTE(SUBSTITUTE(SUBSTITUTE(SUBSTITUTE(SUBSTITUTE(SUBSTITUTE(TRIM(A1935),".",""),"/",""),"-","")," ",""),"(",""),")",""),"+",""))</f>
      </c>
      <c r="H1935" s="6">
        <f>IF(G1935="","",IF(LEN(G1935)&lt;&gt;14,"ERRO: "&amp;LEN(G1935)&amp;" dígitos",IF(NOT(ISNUMBER(VALUE(G1935))),"ERRO: não numérico",IF(AND(VALUE(MID(G1935,13,1))=IF(MOD(SUMPRODUCT(--MID(G1935,{1,2,3,4,5,6,7,8,9,10,11,12},1),{5,4,3,2,9,8,7,6,5,4,3,2}),11)&lt;2,0,11-MOD(SUMPRODUCT(--MID(G1935,{1,2,3,4,5,6,7,8,9,10,11,12},1),{5,4,3,2,9,8,7,6,5,4,3,2}),11)),VALUE(MID(G1935,14,1))=IF(MOD(SUMPRODUCT(--MID(G1935,{1,2,3,4,5,6,7,8,9,10,11,12,13},1),{6,5,4,3,2,9,8,7,6,5,4,3,2}),11)&lt;2,0,11-MOD(SUMPRODUCT(--MID(G1935,{1,2,3,4,5,6,7,8,9,10,11,12,13},1),{6,5,4,3,2,9,8,7,6,5,4,3,2}),11))),"OK","AVISO: dígito verificador (conferir na org)"))))</f>
      </c>
      <c r="I1935" s="6">
        <f>IF(G1935="","",IF(COUNTIF($G$2:$G$2001,G1935)&gt;1,"DUPLICADO","OK"))</f>
      </c>
      <c r="J1935" s="6">
        <f>IF(COUNTA(A1935:F1935)=0,"",IF(AND(A1935&lt;&gt;"",E1935&lt;&gt;""),"OK","ERRO: faltam "&amp;IF(A1935="","CNPJ; ","")&amp;IF(E1935="","Novo gerente; ","")))</f>
      </c>
      <c r="K1935" s="6">
        <f>IF(COUNTA(A1935:F1935)=0,"",IF(AND(LEFT(H1935,4)&lt;&gt;"ERRO",I1935="OK",J1935="OK"),"OK","REVISAR"))</f>
      </c>
    </row>
    <row r="1936">
      <c r="A1936" s="5"/>
      <c r="B1936" s="4"/>
      <c r="C1936" s="4"/>
      <c r="D1936" s="4"/>
      <c r="E1936" s="5"/>
      <c r="F1936" s="4"/>
      <c r="G1936" s="6">
        <f>IF(A1936="","",SUBSTITUTE(SUBSTITUTE(SUBSTITUTE(SUBSTITUTE(SUBSTITUTE(SUBSTITUTE(SUBSTITUTE(TRIM(A1936),".",""),"/",""),"-","")," ",""),"(",""),")",""),"+",""))</f>
      </c>
      <c r="H1936" s="6">
        <f>IF(G1936="","",IF(LEN(G1936)&lt;&gt;14,"ERRO: "&amp;LEN(G1936)&amp;" dígitos",IF(NOT(ISNUMBER(VALUE(G1936))),"ERRO: não numérico",IF(AND(VALUE(MID(G1936,13,1))=IF(MOD(SUMPRODUCT(--MID(G1936,{1,2,3,4,5,6,7,8,9,10,11,12},1),{5,4,3,2,9,8,7,6,5,4,3,2}),11)&lt;2,0,11-MOD(SUMPRODUCT(--MID(G1936,{1,2,3,4,5,6,7,8,9,10,11,12},1),{5,4,3,2,9,8,7,6,5,4,3,2}),11)),VALUE(MID(G1936,14,1))=IF(MOD(SUMPRODUCT(--MID(G1936,{1,2,3,4,5,6,7,8,9,10,11,12,13},1),{6,5,4,3,2,9,8,7,6,5,4,3,2}),11)&lt;2,0,11-MOD(SUMPRODUCT(--MID(G1936,{1,2,3,4,5,6,7,8,9,10,11,12,13},1),{6,5,4,3,2,9,8,7,6,5,4,3,2}),11))),"OK","AVISO: dígito verificador (conferir na org)"))))</f>
      </c>
      <c r="I1936" s="6">
        <f>IF(G1936="","",IF(COUNTIF($G$2:$G$2001,G1936)&gt;1,"DUPLICADO","OK"))</f>
      </c>
      <c r="J1936" s="6">
        <f>IF(COUNTA(A1936:F1936)=0,"",IF(AND(A1936&lt;&gt;"",E1936&lt;&gt;""),"OK","ERRO: faltam "&amp;IF(A1936="","CNPJ; ","")&amp;IF(E1936="","Novo gerente; ","")))</f>
      </c>
      <c r="K1936" s="6">
        <f>IF(COUNTA(A1936:F1936)=0,"",IF(AND(LEFT(H1936,4)&lt;&gt;"ERRO",I1936="OK",J1936="OK"),"OK","REVISAR"))</f>
      </c>
    </row>
    <row r="1937">
      <c r="A1937" s="5"/>
      <c r="B1937" s="4"/>
      <c r="C1937" s="4"/>
      <c r="D1937" s="4"/>
      <c r="E1937" s="5"/>
      <c r="F1937" s="4"/>
      <c r="G1937" s="6">
        <f>IF(A1937="","",SUBSTITUTE(SUBSTITUTE(SUBSTITUTE(SUBSTITUTE(SUBSTITUTE(SUBSTITUTE(SUBSTITUTE(TRIM(A1937),".",""),"/",""),"-","")," ",""),"(",""),")",""),"+",""))</f>
      </c>
      <c r="H1937" s="6">
        <f>IF(G1937="","",IF(LEN(G1937)&lt;&gt;14,"ERRO: "&amp;LEN(G1937)&amp;" dígitos",IF(NOT(ISNUMBER(VALUE(G1937))),"ERRO: não numérico",IF(AND(VALUE(MID(G1937,13,1))=IF(MOD(SUMPRODUCT(--MID(G1937,{1,2,3,4,5,6,7,8,9,10,11,12},1),{5,4,3,2,9,8,7,6,5,4,3,2}),11)&lt;2,0,11-MOD(SUMPRODUCT(--MID(G1937,{1,2,3,4,5,6,7,8,9,10,11,12},1),{5,4,3,2,9,8,7,6,5,4,3,2}),11)),VALUE(MID(G1937,14,1))=IF(MOD(SUMPRODUCT(--MID(G1937,{1,2,3,4,5,6,7,8,9,10,11,12,13},1),{6,5,4,3,2,9,8,7,6,5,4,3,2}),11)&lt;2,0,11-MOD(SUMPRODUCT(--MID(G1937,{1,2,3,4,5,6,7,8,9,10,11,12,13},1),{6,5,4,3,2,9,8,7,6,5,4,3,2}),11))),"OK","AVISO: dígito verificador (conferir na org)"))))</f>
      </c>
      <c r="I1937" s="6">
        <f>IF(G1937="","",IF(COUNTIF($G$2:$G$2001,G1937)&gt;1,"DUPLICADO","OK"))</f>
      </c>
      <c r="J1937" s="6">
        <f>IF(COUNTA(A1937:F1937)=0,"",IF(AND(A1937&lt;&gt;"",E1937&lt;&gt;""),"OK","ERRO: faltam "&amp;IF(A1937="","CNPJ; ","")&amp;IF(E1937="","Novo gerente; ","")))</f>
      </c>
      <c r="K1937" s="6">
        <f>IF(COUNTA(A1937:F1937)=0,"",IF(AND(LEFT(H1937,4)&lt;&gt;"ERRO",I1937="OK",J1937="OK"),"OK","REVISAR"))</f>
      </c>
    </row>
    <row r="1938">
      <c r="A1938" s="5"/>
      <c r="B1938" s="4"/>
      <c r="C1938" s="4"/>
      <c r="D1938" s="4"/>
      <c r="E1938" s="5"/>
      <c r="F1938" s="4"/>
      <c r="G1938" s="6">
        <f>IF(A1938="","",SUBSTITUTE(SUBSTITUTE(SUBSTITUTE(SUBSTITUTE(SUBSTITUTE(SUBSTITUTE(SUBSTITUTE(TRIM(A1938),".",""),"/",""),"-","")," ",""),"(",""),")",""),"+",""))</f>
      </c>
      <c r="H1938" s="6">
        <f>IF(G1938="","",IF(LEN(G1938)&lt;&gt;14,"ERRO: "&amp;LEN(G1938)&amp;" dígitos",IF(NOT(ISNUMBER(VALUE(G1938))),"ERRO: não numérico",IF(AND(VALUE(MID(G1938,13,1))=IF(MOD(SUMPRODUCT(--MID(G1938,{1,2,3,4,5,6,7,8,9,10,11,12},1),{5,4,3,2,9,8,7,6,5,4,3,2}),11)&lt;2,0,11-MOD(SUMPRODUCT(--MID(G1938,{1,2,3,4,5,6,7,8,9,10,11,12},1),{5,4,3,2,9,8,7,6,5,4,3,2}),11)),VALUE(MID(G1938,14,1))=IF(MOD(SUMPRODUCT(--MID(G1938,{1,2,3,4,5,6,7,8,9,10,11,12,13},1),{6,5,4,3,2,9,8,7,6,5,4,3,2}),11)&lt;2,0,11-MOD(SUMPRODUCT(--MID(G1938,{1,2,3,4,5,6,7,8,9,10,11,12,13},1),{6,5,4,3,2,9,8,7,6,5,4,3,2}),11))),"OK","AVISO: dígito verificador (conferir na org)"))))</f>
      </c>
      <c r="I1938" s="6">
        <f>IF(G1938="","",IF(COUNTIF($G$2:$G$2001,G1938)&gt;1,"DUPLICADO","OK"))</f>
      </c>
      <c r="J1938" s="6">
        <f>IF(COUNTA(A1938:F1938)=0,"",IF(AND(A1938&lt;&gt;"",E1938&lt;&gt;""),"OK","ERRO: faltam "&amp;IF(A1938="","CNPJ; ","")&amp;IF(E1938="","Novo gerente; ","")))</f>
      </c>
      <c r="K1938" s="6">
        <f>IF(COUNTA(A1938:F1938)=0,"",IF(AND(LEFT(H1938,4)&lt;&gt;"ERRO",I1938="OK",J1938="OK"),"OK","REVISAR"))</f>
      </c>
    </row>
    <row r="1939">
      <c r="A1939" s="5"/>
      <c r="B1939" s="4"/>
      <c r="C1939" s="4"/>
      <c r="D1939" s="4"/>
      <c r="E1939" s="5"/>
      <c r="F1939" s="4"/>
      <c r="G1939" s="6">
        <f>IF(A1939="","",SUBSTITUTE(SUBSTITUTE(SUBSTITUTE(SUBSTITUTE(SUBSTITUTE(SUBSTITUTE(SUBSTITUTE(TRIM(A1939),".",""),"/",""),"-","")," ",""),"(",""),")",""),"+",""))</f>
      </c>
      <c r="H1939" s="6">
        <f>IF(G1939="","",IF(LEN(G1939)&lt;&gt;14,"ERRO: "&amp;LEN(G1939)&amp;" dígitos",IF(NOT(ISNUMBER(VALUE(G1939))),"ERRO: não numérico",IF(AND(VALUE(MID(G1939,13,1))=IF(MOD(SUMPRODUCT(--MID(G1939,{1,2,3,4,5,6,7,8,9,10,11,12},1),{5,4,3,2,9,8,7,6,5,4,3,2}),11)&lt;2,0,11-MOD(SUMPRODUCT(--MID(G1939,{1,2,3,4,5,6,7,8,9,10,11,12},1),{5,4,3,2,9,8,7,6,5,4,3,2}),11)),VALUE(MID(G1939,14,1))=IF(MOD(SUMPRODUCT(--MID(G1939,{1,2,3,4,5,6,7,8,9,10,11,12,13},1),{6,5,4,3,2,9,8,7,6,5,4,3,2}),11)&lt;2,0,11-MOD(SUMPRODUCT(--MID(G1939,{1,2,3,4,5,6,7,8,9,10,11,12,13},1),{6,5,4,3,2,9,8,7,6,5,4,3,2}),11))),"OK","AVISO: dígito verificador (conferir na org)"))))</f>
      </c>
      <c r="I1939" s="6">
        <f>IF(G1939="","",IF(COUNTIF($G$2:$G$2001,G1939)&gt;1,"DUPLICADO","OK"))</f>
      </c>
      <c r="J1939" s="6">
        <f>IF(COUNTA(A1939:F1939)=0,"",IF(AND(A1939&lt;&gt;"",E1939&lt;&gt;""),"OK","ERRO: faltam "&amp;IF(A1939="","CNPJ; ","")&amp;IF(E1939="","Novo gerente; ","")))</f>
      </c>
      <c r="K1939" s="6">
        <f>IF(COUNTA(A1939:F1939)=0,"",IF(AND(LEFT(H1939,4)&lt;&gt;"ERRO",I1939="OK",J1939="OK"),"OK","REVISAR"))</f>
      </c>
    </row>
    <row r="1940">
      <c r="A1940" s="5"/>
      <c r="B1940" s="4"/>
      <c r="C1940" s="4"/>
      <c r="D1940" s="4"/>
      <c r="E1940" s="5"/>
      <c r="F1940" s="4"/>
      <c r="G1940" s="6">
        <f>IF(A1940="","",SUBSTITUTE(SUBSTITUTE(SUBSTITUTE(SUBSTITUTE(SUBSTITUTE(SUBSTITUTE(SUBSTITUTE(TRIM(A1940),".",""),"/",""),"-","")," ",""),"(",""),")",""),"+",""))</f>
      </c>
      <c r="H1940" s="6">
        <f>IF(G1940="","",IF(LEN(G1940)&lt;&gt;14,"ERRO: "&amp;LEN(G1940)&amp;" dígitos",IF(NOT(ISNUMBER(VALUE(G1940))),"ERRO: não numérico",IF(AND(VALUE(MID(G1940,13,1))=IF(MOD(SUMPRODUCT(--MID(G1940,{1,2,3,4,5,6,7,8,9,10,11,12},1),{5,4,3,2,9,8,7,6,5,4,3,2}),11)&lt;2,0,11-MOD(SUMPRODUCT(--MID(G1940,{1,2,3,4,5,6,7,8,9,10,11,12},1),{5,4,3,2,9,8,7,6,5,4,3,2}),11)),VALUE(MID(G1940,14,1))=IF(MOD(SUMPRODUCT(--MID(G1940,{1,2,3,4,5,6,7,8,9,10,11,12,13},1),{6,5,4,3,2,9,8,7,6,5,4,3,2}),11)&lt;2,0,11-MOD(SUMPRODUCT(--MID(G1940,{1,2,3,4,5,6,7,8,9,10,11,12,13},1),{6,5,4,3,2,9,8,7,6,5,4,3,2}),11))),"OK","AVISO: dígito verificador (conferir na org)"))))</f>
      </c>
      <c r="I1940" s="6">
        <f>IF(G1940="","",IF(COUNTIF($G$2:$G$2001,G1940)&gt;1,"DUPLICADO","OK"))</f>
      </c>
      <c r="J1940" s="6">
        <f>IF(COUNTA(A1940:F1940)=0,"",IF(AND(A1940&lt;&gt;"",E1940&lt;&gt;""),"OK","ERRO: faltam "&amp;IF(A1940="","CNPJ; ","")&amp;IF(E1940="","Novo gerente; ","")))</f>
      </c>
      <c r="K1940" s="6">
        <f>IF(COUNTA(A1940:F1940)=0,"",IF(AND(LEFT(H1940,4)&lt;&gt;"ERRO",I1940="OK",J1940="OK"),"OK","REVISAR"))</f>
      </c>
    </row>
    <row r="1941">
      <c r="A1941" s="5"/>
      <c r="B1941" s="4"/>
      <c r="C1941" s="4"/>
      <c r="D1941" s="4"/>
      <c r="E1941" s="5"/>
      <c r="F1941" s="4"/>
      <c r="G1941" s="6">
        <f>IF(A1941="","",SUBSTITUTE(SUBSTITUTE(SUBSTITUTE(SUBSTITUTE(SUBSTITUTE(SUBSTITUTE(SUBSTITUTE(TRIM(A1941),".",""),"/",""),"-","")," ",""),"(",""),")",""),"+",""))</f>
      </c>
      <c r="H1941" s="6">
        <f>IF(G1941="","",IF(LEN(G1941)&lt;&gt;14,"ERRO: "&amp;LEN(G1941)&amp;" dígitos",IF(NOT(ISNUMBER(VALUE(G1941))),"ERRO: não numérico",IF(AND(VALUE(MID(G1941,13,1))=IF(MOD(SUMPRODUCT(--MID(G1941,{1,2,3,4,5,6,7,8,9,10,11,12},1),{5,4,3,2,9,8,7,6,5,4,3,2}),11)&lt;2,0,11-MOD(SUMPRODUCT(--MID(G1941,{1,2,3,4,5,6,7,8,9,10,11,12},1),{5,4,3,2,9,8,7,6,5,4,3,2}),11)),VALUE(MID(G1941,14,1))=IF(MOD(SUMPRODUCT(--MID(G1941,{1,2,3,4,5,6,7,8,9,10,11,12,13},1),{6,5,4,3,2,9,8,7,6,5,4,3,2}),11)&lt;2,0,11-MOD(SUMPRODUCT(--MID(G1941,{1,2,3,4,5,6,7,8,9,10,11,12,13},1),{6,5,4,3,2,9,8,7,6,5,4,3,2}),11))),"OK","AVISO: dígito verificador (conferir na org)"))))</f>
      </c>
      <c r="I1941" s="6">
        <f>IF(G1941="","",IF(COUNTIF($G$2:$G$2001,G1941)&gt;1,"DUPLICADO","OK"))</f>
      </c>
      <c r="J1941" s="6">
        <f>IF(COUNTA(A1941:F1941)=0,"",IF(AND(A1941&lt;&gt;"",E1941&lt;&gt;""),"OK","ERRO: faltam "&amp;IF(A1941="","CNPJ; ","")&amp;IF(E1941="","Novo gerente; ","")))</f>
      </c>
      <c r="K1941" s="6">
        <f>IF(COUNTA(A1941:F1941)=0,"",IF(AND(LEFT(H1941,4)&lt;&gt;"ERRO",I1941="OK",J1941="OK"),"OK","REVISAR"))</f>
      </c>
    </row>
    <row r="1942">
      <c r="A1942" s="5"/>
      <c r="B1942" s="4"/>
      <c r="C1942" s="4"/>
      <c r="D1942" s="4"/>
      <c r="E1942" s="5"/>
      <c r="F1942" s="4"/>
      <c r="G1942" s="6">
        <f>IF(A1942="","",SUBSTITUTE(SUBSTITUTE(SUBSTITUTE(SUBSTITUTE(SUBSTITUTE(SUBSTITUTE(SUBSTITUTE(TRIM(A1942),".",""),"/",""),"-","")," ",""),"(",""),")",""),"+",""))</f>
      </c>
      <c r="H1942" s="6">
        <f>IF(G1942="","",IF(LEN(G1942)&lt;&gt;14,"ERRO: "&amp;LEN(G1942)&amp;" dígitos",IF(NOT(ISNUMBER(VALUE(G1942))),"ERRO: não numérico",IF(AND(VALUE(MID(G1942,13,1))=IF(MOD(SUMPRODUCT(--MID(G1942,{1,2,3,4,5,6,7,8,9,10,11,12},1),{5,4,3,2,9,8,7,6,5,4,3,2}),11)&lt;2,0,11-MOD(SUMPRODUCT(--MID(G1942,{1,2,3,4,5,6,7,8,9,10,11,12},1),{5,4,3,2,9,8,7,6,5,4,3,2}),11)),VALUE(MID(G1942,14,1))=IF(MOD(SUMPRODUCT(--MID(G1942,{1,2,3,4,5,6,7,8,9,10,11,12,13},1),{6,5,4,3,2,9,8,7,6,5,4,3,2}),11)&lt;2,0,11-MOD(SUMPRODUCT(--MID(G1942,{1,2,3,4,5,6,7,8,9,10,11,12,13},1),{6,5,4,3,2,9,8,7,6,5,4,3,2}),11))),"OK","AVISO: dígito verificador (conferir na org)"))))</f>
      </c>
      <c r="I1942" s="6">
        <f>IF(G1942="","",IF(COUNTIF($G$2:$G$2001,G1942)&gt;1,"DUPLICADO","OK"))</f>
      </c>
      <c r="J1942" s="6">
        <f>IF(COUNTA(A1942:F1942)=0,"",IF(AND(A1942&lt;&gt;"",E1942&lt;&gt;""),"OK","ERRO: faltam "&amp;IF(A1942="","CNPJ; ","")&amp;IF(E1942="","Novo gerente; ","")))</f>
      </c>
      <c r="K1942" s="6">
        <f>IF(COUNTA(A1942:F1942)=0,"",IF(AND(LEFT(H1942,4)&lt;&gt;"ERRO",I1942="OK",J1942="OK"),"OK","REVISAR"))</f>
      </c>
    </row>
    <row r="1943">
      <c r="A1943" s="5"/>
      <c r="B1943" s="4"/>
      <c r="C1943" s="4"/>
      <c r="D1943" s="4"/>
      <c r="E1943" s="5"/>
      <c r="F1943" s="4"/>
      <c r="G1943" s="6">
        <f>IF(A1943="","",SUBSTITUTE(SUBSTITUTE(SUBSTITUTE(SUBSTITUTE(SUBSTITUTE(SUBSTITUTE(SUBSTITUTE(TRIM(A1943),".",""),"/",""),"-","")," ",""),"(",""),")",""),"+",""))</f>
      </c>
      <c r="H1943" s="6">
        <f>IF(G1943="","",IF(LEN(G1943)&lt;&gt;14,"ERRO: "&amp;LEN(G1943)&amp;" dígitos",IF(NOT(ISNUMBER(VALUE(G1943))),"ERRO: não numérico",IF(AND(VALUE(MID(G1943,13,1))=IF(MOD(SUMPRODUCT(--MID(G1943,{1,2,3,4,5,6,7,8,9,10,11,12},1),{5,4,3,2,9,8,7,6,5,4,3,2}),11)&lt;2,0,11-MOD(SUMPRODUCT(--MID(G1943,{1,2,3,4,5,6,7,8,9,10,11,12},1),{5,4,3,2,9,8,7,6,5,4,3,2}),11)),VALUE(MID(G1943,14,1))=IF(MOD(SUMPRODUCT(--MID(G1943,{1,2,3,4,5,6,7,8,9,10,11,12,13},1),{6,5,4,3,2,9,8,7,6,5,4,3,2}),11)&lt;2,0,11-MOD(SUMPRODUCT(--MID(G1943,{1,2,3,4,5,6,7,8,9,10,11,12,13},1),{6,5,4,3,2,9,8,7,6,5,4,3,2}),11))),"OK","AVISO: dígito verificador (conferir na org)"))))</f>
      </c>
      <c r="I1943" s="6">
        <f>IF(G1943="","",IF(COUNTIF($G$2:$G$2001,G1943)&gt;1,"DUPLICADO","OK"))</f>
      </c>
      <c r="J1943" s="6">
        <f>IF(COUNTA(A1943:F1943)=0,"",IF(AND(A1943&lt;&gt;"",E1943&lt;&gt;""),"OK","ERRO: faltam "&amp;IF(A1943="","CNPJ; ","")&amp;IF(E1943="","Novo gerente; ","")))</f>
      </c>
      <c r="K1943" s="6">
        <f>IF(COUNTA(A1943:F1943)=0,"",IF(AND(LEFT(H1943,4)&lt;&gt;"ERRO",I1943="OK",J1943="OK"),"OK","REVISAR"))</f>
      </c>
    </row>
    <row r="1944">
      <c r="A1944" s="5"/>
      <c r="B1944" s="4"/>
      <c r="C1944" s="4"/>
      <c r="D1944" s="4"/>
      <c r="E1944" s="5"/>
      <c r="F1944" s="4"/>
      <c r="G1944" s="6">
        <f>IF(A1944="","",SUBSTITUTE(SUBSTITUTE(SUBSTITUTE(SUBSTITUTE(SUBSTITUTE(SUBSTITUTE(SUBSTITUTE(TRIM(A1944),".",""),"/",""),"-","")," ",""),"(",""),")",""),"+",""))</f>
      </c>
      <c r="H1944" s="6">
        <f>IF(G1944="","",IF(LEN(G1944)&lt;&gt;14,"ERRO: "&amp;LEN(G1944)&amp;" dígitos",IF(NOT(ISNUMBER(VALUE(G1944))),"ERRO: não numérico",IF(AND(VALUE(MID(G1944,13,1))=IF(MOD(SUMPRODUCT(--MID(G1944,{1,2,3,4,5,6,7,8,9,10,11,12},1),{5,4,3,2,9,8,7,6,5,4,3,2}),11)&lt;2,0,11-MOD(SUMPRODUCT(--MID(G1944,{1,2,3,4,5,6,7,8,9,10,11,12},1),{5,4,3,2,9,8,7,6,5,4,3,2}),11)),VALUE(MID(G1944,14,1))=IF(MOD(SUMPRODUCT(--MID(G1944,{1,2,3,4,5,6,7,8,9,10,11,12,13},1),{6,5,4,3,2,9,8,7,6,5,4,3,2}),11)&lt;2,0,11-MOD(SUMPRODUCT(--MID(G1944,{1,2,3,4,5,6,7,8,9,10,11,12,13},1),{6,5,4,3,2,9,8,7,6,5,4,3,2}),11))),"OK","AVISO: dígito verificador (conferir na org)"))))</f>
      </c>
      <c r="I1944" s="6">
        <f>IF(G1944="","",IF(COUNTIF($G$2:$G$2001,G1944)&gt;1,"DUPLICADO","OK"))</f>
      </c>
      <c r="J1944" s="6">
        <f>IF(COUNTA(A1944:F1944)=0,"",IF(AND(A1944&lt;&gt;"",E1944&lt;&gt;""),"OK","ERRO: faltam "&amp;IF(A1944="","CNPJ; ","")&amp;IF(E1944="","Novo gerente; ","")))</f>
      </c>
      <c r="K1944" s="6">
        <f>IF(COUNTA(A1944:F1944)=0,"",IF(AND(LEFT(H1944,4)&lt;&gt;"ERRO",I1944="OK",J1944="OK"),"OK","REVISAR"))</f>
      </c>
    </row>
    <row r="1945">
      <c r="A1945" s="5"/>
      <c r="B1945" s="4"/>
      <c r="C1945" s="4"/>
      <c r="D1945" s="4"/>
      <c r="E1945" s="5"/>
      <c r="F1945" s="4"/>
      <c r="G1945" s="6">
        <f>IF(A1945="","",SUBSTITUTE(SUBSTITUTE(SUBSTITUTE(SUBSTITUTE(SUBSTITUTE(SUBSTITUTE(SUBSTITUTE(TRIM(A1945),".",""),"/",""),"-","")," ",""),"(",""),")",""),"+",""))</f>
      </c>
      <c r="H1945" s="6">
        <f>IF(G1945="","",IF(LEN(G1945)&lt;&gt;14,"ERRO: "&amp;LEN(G1945)&amp;" dígitos",IF(NOT(ISNUMBER(VALUE(G1945))),"ERRO: não numérico",IF(AND(VALUE(MID(G1945,13,1))=IF(MOD(SUMPRODUCT(--MID(G1945,{1,2,3,4,5,6,7,8,9,10,11,12},1),{5,4,3,2,9,8,7,6,5,4,3,2}),11)&lt;2,0,11-MOD(SUMPRODUCT(--MID(G1945,{1,2,3,4,5,6,7,8,9,10,11,12},1),{5,4,3,2,9,8,7,6,5,4,3,2}),11)),VALUE(MID(G1945,14,1))=IF(MOD(SUMPRODUCT(--MID(G1945,{1,2,3,4,5,6,7,8,9,10,11,12,13},1),{6,5,4,3,2,9,8,7,6,5,4,3,2}),11)&lt;2,0,11-MOD(SUMPRODUCT(--MID(G1945,{1,2,3,4,5,6,7,8,9,10,11,12,13},1),{6,5,4,3,2,9,8,7,6,5,4,3,2}),11))),"OK","AVISO: dígito verificador (conferir na org)"))))</f>
      </c>
      <c r="I1945" s="6">
        <f>IF(G1945="","",IF(COUNTIF($G$2:$G$2001,G1945)&gt;1,"DUPLICADO","OK"))</f>
      </c>
      <c r="J1945" s="6">
        <f>IF(COUNTA(A1945:F1945)=0,"",IF(AND(A1945&lt;&gt;"",E1945&lt;&gt;""),"OK","ERRO: faltam "&amp;IF(A1945="","CNPJ; ","")&amp;IF(E1945="","Novo gerente; ","")))</f>
      </c>
      <c r="K1945" s="6">
        <f>IF(COUNTA(A1945:F1945)=0,"",IF(AND(LEFT(H1945,4)&lt;&gt;"ERRO",I1945="OK",J1945="OK"),"OK","REVISAR"))</f>
      </c>
    </row>
    <row r="1946">
      <c r="A1946" s="5"/>
      <c r="B1946" s="4"/>
      <c r="C1946" s="4"/>
      <c r="D1946" s="4"/>
      <c r="E1946" s="5"/>
      <c r="F1946" s="4"/>
      <c r="G1946" s="6">
        <f>IF(A1946="","",SUBSTITUTE(SUBSTITUTE(SUBSTITUTE(SUBSTITUTE(SUBSTITUTE(SUBSTITUTE(SUBSTITUTE(TRIM(A1946),".",""),"/",""),"-","")," ",""),"(",""),")",""),"+",""))</f>
      </c>
      <c r="H1946" s="6">
        <f>IF(G1946="","",IF(LEN(G1946)&lt;&gt;14,"ERRO: "&amp;LEN(G1946)&amp;" dígitos",IF(NOT(ISNUMBER(VALUE(G1946))),"ERRO: não numérico",IF(AND(VALUE(MID(G1946,13,1))=IF(MOD(SUMPRODUCT(--MID(G1946,{1,2,3,4,5,6,7,8,9,10,11,12},1),{5,4,3,2,9,8,7,6,5,4,3,2}),11)&lt;2,0,11-MOD(SUMPRODUCT(--MID(G1946,{1,2,3,4,5,6,7,8,9,10,11,12},1),{5,4,3,2,9,8,7,6,5,4,3,2}),11)),VALUE(MID(G1946,14,1))=IF(MOD(SUMPRODUCT(--MID(G1946,{1,2,3,4,5,6,7,8,9,10,11,12,13},1),{6,5,4,3,2,9,8,7,6,5,4,3,2}),11)&lt;2,0,11-MOD(SUMPRODUCT(--MID(G1946,{1,2,3,4,5,6,7,8,9,10,11,12,13},1),{6,5,4,3,2,9,8,7,6,5,4,3,2}),11))),"OK","AVISO: dígito verificador (conferir na org)"))))</f>
      </c>
      <c r="I1946" s="6">
        <f>IF(G1946="","",IF(COUNTIF($G$2:$G$2001,G1946)&gt;1,"DUPLICADO","OK"))</f>
      </c>
      <c r="J1946" s="6">
        <f>IF(COUNTA(A1946:F1946)=0,"",IF(AND(A1946&lt;&gt;"",E1946&lt;&gt;""),"OK","ERRO: faltam "&amp;IF(A1946="","CNPJ; ","")&amp;IF(E1946="","Novo gerente; ","")))</f>
      </c>
      <c r="K1946" s="6">
        <f>IF(COUNTA(A1946:F1946)=0,"",IF(AND(LEFT(H1946,4)&lt;&gt;"ERRO",I1946="OK",J1946="OK"),"OK","REVISAR"))</f>
      </c>
    </row>
    <row r="1947">
      <c r="A1947" s="5"/>
      <c r="B1947" s="4"/>
      <c r="C1947" s="4"/>
      <c r="D1947" s="4"/>
      <c r="E1947" s="5"/>
      <c r="F1947" s="4"/>
      <c r="G1947" s="6">
        <f>IF(A1947="","",SUBSTITUTE(SUBSTITUTE(SUBSTITUTE(SUBSTITUTE(SUBSTITUTE(SUBSTITUTE(SUBSTITUTE(TRIM(A1947),".",""),"/",""),"-","")," ",""),"(",""),")",""),"+",""))</f>
      </c>
      <c r="H1947" s="6">
        <f>IF(G1947="","",IF(LEN(G1947)&lt;&gt;14,"ERRO: "&amp;LEN(G1947)&amp;" dígitos",IF(NOT(ISNUMBER(VALUE(G1947))),"ERRO: não numérico",IF(AND(VALUE(MID(G1947,13,1))=IF(MOD(SUMPRODUCT(--MID(G1947,{1,2,3,4,5,6,7,8,9,10,11,12},1),{5,4,3,2,9,8,7,6,5,4,3,2}),11)&lt;2,0,11-MOD(SUMPRODUCT(--MID(G1947,{1,2,3,4,5,6,7,8,9,10,11,12},1),{5,4,3,2,9,8,7,6,5,4,3,2}),11)),VALUE(MID(G1947,14,1))=IF(MOD(SUMPRODUCT(--MID(G1947,{1,2,3,4,5,6,7,8,9,10,11,12,13},1),{6,5,4,3,2,9,8,7,6,5,4,3,2}),11)&lt;2,0,11-MOD(SUMPRODUCT(--MID(G1947,{1,2,3,4,5,6,7,8,9,10,11,12,13},1),{6,5,4,3,2,9,8,7,6,5,4,3,2}),11))),"OK","AVISO: dígito verificador (conferir na org)"))))</f>
      </c>
      <c r="I1947" s="6">
        <f>IF(G1947="","",IF(COUNTIF($G$2:$G$2001,G1947)&gt;1,"DUPLICADO","OK"))</f>
      </c>
      <c r="J1947" s="6">
        <f>IF(COUNTA(A1947:F1947)=0,"",IF(AND(A1947&lt;&gt;"",E1947&lt;&gt;""),"OK","ERRO: faltam "&amp;IF(A1947="","CNPJ; ","")&amp;IF(E1947="","Novo gerente; ","")))</f>
      </c>
      <c r="K1947" s="6">
        <f>IF(COUNTA(A1947:F1947)=0,"",IF(AND(LEFT(H1947,4)&lt;&gt;"ERRO",I1947="OK",J1947="OK"),"OK","REVISAR"))</f>
      </c>
    </row>
    <row r="1948">
      <c r="A1948" s="5"/>
      <c r="B1948" s="4"/>
      <c r="C1948" s="4"/>
      <c r="D1948" s="4"/>
      <c r="E1948" s="5"/>
      <c r="F1948" s="4"/>
      <c r="G1948" s="6">
        <f>IF(A1948="","",SUBSTITUTE(SUBSTITUTE(SUBSTITUTE(SUBSTITUTE(SUBSTITUTE(SUBSTITUTE(SUBSTITUTE(TRIM(A1948),".",""),"/",""),"-","")," ",""),"(",""),")",""),"+",""))</f>
      </c>
      <c r="H1948" s="6">
        <f>IF(G1948="","",IF(LEN(G1948)&lt;&gt;14,"ERRO: "&amp;LEN(G1948)&amp;" dígitos",IF(NOT(ISNUMBER(VALUE(G1948))),"ERRO: não numérico",IF(AND(VALUE(MID(G1948,13,1))=IF(MOD(SUMPRODUCT(--MID(G1948,{1,2,3,4,5,6,7,8,9,10,11,12},1),{5,4,3,2,9,8,7,6,5,4,3,2}),11)&lt;2,0,11-MOD(SUMPRODUCT(--MID(G1948,{1,2,3,4,5,6,7,8,9,10,11,12},1),{5,4,3,2,9,8,7,6,5,4,3,2}),11)),VALUE(MID(G1948,14,1))=IF(MOD(SUMPRODUCT(--MID(G1948,{1,2,3,4,5,6,7,8,9,10,11,12,13},1),{6,5,4,3,2,9,8,7,6,5,4,3,2}),11)&lt;2,0,11-MOD(SUMPRODUCT(--MID(G1948,{1,2,3,4,5,6,7,8,9,10,11,12,13},1),{6,5,4,3,2,9,8,7,6,5,4,3,2}),11))),"OK","AVISO: dígito verificador (conferir na org)"))))</f>
      </c>
      <c r="I1948" s="6">
        <f>IF(G1948="","",IF(COUNTIF($G$2:$G$2001,G1948)&gt;1,"DUPLICADO","OK"))</f>
      </c>
      <c r="J1948" s="6">
        <f>IF(COUNTA(A1948:F1948)=0,"",IF(AND(A1948&lt;&gt;"",E1948&lt;&gt;""),"OK","ERRO: faltam "&amp;IF(A1948="","CNPJ; ","")&amp;IF(E1948="","Novo gerente; ","")))</f>
      </c>
      <c r="K1948" s="6">
        <f>IF(COUNTA(A1948:F1948)=0,"",IF(AND(LEFT(H1948,4)&lt;&gt;"ERRO",I1948="OK",J1948="OK"),"OK","REVISAR"))</f>
      </c>
    </row>
    <row r="1949">
      <c r="A1949" s="5"/>
      <c r="B1949" s="4"/>
      <c r="C1949" s="4"/>
      <c r="D1949" s="4"/>
      <c r="E1949" s="5"/>
      <c r="F1949" s="4"/>
      <c r="G1949" s="6">
        <f>IF(A1949="","",SUBSTITUTE(SUBSTITUTE(SUBSTITUTE(SUBSTITUTE(SUBSTITUTE(SUBSTITUTE(SUBSTITUTE(TRIM(A1949),".",""),"/",""),"-","")," ",""),"(",""),")",""),"+",""))</f>
      </c>
      <c r="H1949" s="6">
        <f>IF(G1949="","",IF(LEN(G1949)&lt;&gt;14,"ERRO: "&amp;LEN(G1949)&amp;" dígitos",IF(NOT(ISNUMBER(VALUE(G1949))),"ERRO: não numérico",IF(AND(VALUE(MID(G1949,13,1))=IF(MOD(SUMPRODUCT(--MID(G1949,{1,2,3,4,5,6,7,8,9,10,11,12},1),{5,4,3,2,9,8,7,6,5,4,3,2}),11)&lt;2,0,11-MOD(SUMPRODUCT(--MID(G1949,{1,2,3,4,5,6,7,8,9,10,11,12},1),{5,4,3,2,9,8,7,6,5,4,3,2}),11)),VALUE(MID(G1949,14,1))=IF(MOD(SUMPRODUCT(--MID(G1949,{1,2,3,4,5,6,7,8,9,10,11,12,13},1),{6,5,4,3,2,9,8,7,6,5,4,3,2}),11)&lt;2,0,11-MOD(SUMPRODUCT(--MID(G1949,{1,2,3,4,5,6,7,8,9,10,11,12,13},1),{6,5,4,3,2,9,8,7,6,5,4,3,2}),11))),"OK","AVISO: dígito verificador (conferir na org)"))))</f>
      </c>
      <c r="I1949" s="6">
        <f>IF(G1949="","",IF(COUNTIF($G$2:$G$2001,G1949)&gt;1,"DUPLICADO","OK"))</f>
      </c>
      <c r="J1949" s="6">
        <f>IF(COUNTA(A1949:F1949)=0,"",IF(AND(A1949&lt;&gt;"",E1949&lt;&gt;""),"OK","ERRO: faltam "&amp;IF(A1949="","CNPJ; ","")&amp;IF(E1949="","Novo gerente; ","")))</f>
      </c>
      <c r="K1949" s="6">
        <f>IF(COUNTA(A1949:F1949)=0,"",IF(AND(LEFT(H1949,4)&lt;&gt;"ERRO",I1949="OK",J1949="OK"),"OK","REVISAR"))</f>
      </c>
    </row>
    <row r="1950">
      <c r="A1950" s="5"/>
      <c r="B1950" s="4"/>
      <c r="C1950" s="4"/>
      <c r="D1950" s="4"/>
      <c r="E1950" s="5"/>
      <c r="F1950" s="4"/>
      <c r="G1950" s="6">
        <f>IF(A1950="","",SUBSTITUTE(SUBSTITUTE(SUBSTITUTE(SUBSTITUTE(SUBSTITUTE(SUBSTITUTE(SUBSTITUTE(TRIM(A1950),".",""),"/",""),"-","")," ",""),"(",""),")",""),"+",""))</f>
      </c>
      <c r="H1950" s="6">
        <f>IF(G1950="","",IF(LEN(G1950)&lt;&gt;14,"ERRO: "&amp;LEN(G1950)&amp;" dígitos",IF(NOT(ISNUMBER(VALUE(G1950))),"ERRO: não numérico",IF(AND(VALUE(MID(G1950,13,1))=IF(MOD(SUMPRODUCT(--MID(G1950,{1,2,3,4,5,6,7,8,9,10,11,12},1),{5,4,3,2,9,8,7,6,5,4,3,2}),11)&lt;2,0,11-MOD(SUMPRODUCT(--MID(G1950,{1,2,3,4,5,6,7,8,9,10,11,12},1),{5,4,3,2,9,8,7,6,5,4,3,2}),11)),VALUE(MID(G1950,14,1))=IF(MOD(SUMPRODUCT(--MID(G1950,{1,2,3,4,5,6,7,8,9,10,11,12,13},1),{6,5,4,3,2,9,8,7,6,5,4,3,2}),11)&lt;2,0,11-MOD(SUMPRODUCT(--MID(G1950,{1,2,3,4,5,6,7,8,9,10,11,12,13},1),{6,5,4,3,2,9,8,7,6,5,4,3,2}),11))),"OK","AVISO: dígito verificador (conferir na org)"))))</f>
      </c>
      <c r="I1950" s="6">
        <f>IF(G1950="","",IF(COUNTIF($G$2:$G$2001,G1950)&gt;1,"DUPLICADO","OK"))</f>
      </c>
      <c r="J1950" s="6">
        <f>IF(COUNTA(A1950:F1950)=0,"",IF(AND(A1950&lt;&gt;"",E1950&lt;&gt;""),"OK","ERRO: faltam "&amp;IF(A1950="","CNPJ; ","")&amp;IF(E1950="","Novo gerente; ","")))</f>
      </c>
      <c r="K1950" s="6">
        <f>IF(COUNTA(A1950:F1950)=0,"",IF(AND(LEFT(H1950,4)&lt;&gt;"ERRO",I1950="OK",J1950="OK"),"OK","REVISAR"))</f>
      </c>
    </row>
    <row r="1951">
      <c r="A1951" s="5"/>
      <c r="B1951" s="4"/>
      <c r="C1951" s="4"/>
      <c r="D1951" s="4"/>
      <c r="E1951" s="5"/>
      <c r="F1951" s="4"/>
      <c r="G1951" s="6">
        <f>IF(A1951="","",SUBSTITUTE(SUBSTITUTE(SUBSTITUTE(SUBSTITUTE(SUBSTITUTE(SUBSTITUTE(SUBSTITUTE(TRIM(A1951),".",""),"/",""),"-","")," ",""),"(",""),")",""),"+",""))</f>
      </c>
      <c r="H1951" s="6">
        <f>IF(G1951="","",IF(LEN(G1951)&lt;&gt;14,"ERRO: "&amp;LEN(G1951)&amp;" dígitos",IF(NOT(ISNUMBER(VALUE(G1951))),"ERRO: não numérico",IF(AND(VALUE(MID(G1951,13,1))=IF(MOD(SUMPRODUCT(--MID(G1951,{1,2,3,4,5,6,7,8,9,10,11,12},1),{5,4,3,2,9,8,7,6,5,4,3,2}),11)&lt;2,0,11-MOD(SUMPRODUCT(--MID(G1951,{1,2,3,4,5,6,7,8,9,10,11,12},1),{5,4,3,2,9,8,7,6,5,4,3,2}),11)),VALUE(MID(G1951,14,1))=IF(MOD(SUMPRODUCT(--MID(G1951,{1,2,3,4,5,6,7,8,9,10,11,12,13},1),{6,5,4,3,2,9,8,7,6,5,4,3,2}),11)&lt;2,0,11-MOD(SUMPRODUCT(--MID(G1951,{1,2,3,4,5,6,7,8,9,10,11,12,13},1),{6,5,4,3,2,9,8,7,6,5,4,3,2}),11))),"OK","AVISO: dígito verificador (conferir na org)"))))</f>
      </c>
      <c r="I1951" s="6">
        <f>IF(G1951="","",IF(COUNTIF($G$2:$G$2001,G1951)&gt;1,"DUPLICADO","OK"))</f>
      </c>
      <c r="J1951" s="6">
        <f>IF(COUNTA(A1951:F1951)=0,"",IF(AND(A1951&lt;&gt;"",E1951&lt;&gt;""),"OK","ERRO: faltam "&amp;IF(A1951="","CNPJ; ","")&amp;IF(E1951="","Novo gerente; ","")))</f>
      </c>
      <c r="K1951" s="6">
        <f>IF(COUNTA(A1951:F1951)=0,"",IF(AND(LEFT(H1951,4)&lt;&gt;"ERRO",I1951="OK",J1951="OK"),"OK","REVISAR"))</f>
      </c>
    </row>
    <row r="1952">
      <c r="A1952" s="5"/>
      <c r="B1952" s="4"/>
      <c r="C1952" s="4"/>
      <c r="D1952" s="4"/>
      <c r="E1952" s="5"/>
      <c r="F1952" s="4"/>
      <c r="G1952" s="6">
        <f>IF(A1952="","",SUBSTITUTE(SUBSTITUTE(SUBSTITUTE(SUBSTITUTE(SUBSTITUTE(SUBSTITUTE(SUBSTITUTE(TRIM(A1952),".",""),"/",""),"-","")," ",""),"(",""),")",""),"+",""))</f>
      </c>
      <c r="H1952" s="6">
        <f>IF(G1952="","",IF(LEN(G1952)&lt;&gt;14,"ERRO: "&amp;LEN(G1952)&amp;" dígitos",IF(NOT(ISNUMBER(VALUE(G1952))),"ERRO: não numérico",IF(AND(VALUE(MID(G1952,13,1))=IF(MOD(SUMPRODUCT(--MID(G1952,{1,2,3,4,5,6,7,8,9,10,11,12},1),{5,4,3,2,9,8,7,6,5,4,3,2}),11)&lt;2,0,11-MOD(SUMPRODUCT(--MID(G1952,{1,2,3,4,5,6,7,8,9,10,11,12},1),{5,4,3,2,9,8,7,6,5,4,3,2}),11)),VALUE(MID(G1952,14,1))=IF(MOD(SUMPRODUCT(--MID(G1952,{1,2,3,4,5,6,7,8,9,10,11,12,13},1),{6,5,4,3,2,9,8,7,6,5,4,3,2}),11)&lt;2,0,11-MOD(SUMPRODUCT(--MID(G1952,{1,2,3,4,5,6,7,8,9,10,11,12,13},1),{6,5,4,3,2,9,8,7,6,5,4,3,2}),11))),"OK","AVISO: dígito verificador (conferir na org)"))))</f>
      </c>
      <c r="I1952" s="6">
        <f>IF(G1952="","",IF(COUNTIF($G$2:$G$2001,G1952)&gt;1,"DUPLICADO","OK"))</f>
      </c>
      <c r="J1952" s="6">
        <f>IF(COUNTA(A1952:F1952)=0,"",IF(AND(A1952&lt;&gt;"",E1952&lt;&gt;""),"OK","ERRO: faltam "&amp;IF(A1952="","CNPJ; ","")&amp;IF(E1952="","Novo gerente; ","")))</f>
      </c>
      <c r="K1952" s="6">
        <f>IF(COUNTA(A1952:F1952)=0,"",IF(AND(LEFT(H1952,4)&lt;&gt;"ERRO",I1952="OK",J1952="OK"),"OK","REVISAR"))</f>
      </c>
    </row>
    <row r="1953">
      <c r="A1953" s="5"/>
      <c r="B1953" s="4"/>
      <c r="C1953" s="4"/>
      <c r="D1953" s="4"/>
      <c r="E1953" s="5"/>
      <c r="F1953" s="4"/>
      <c r="G1953" s="6">
        <f>IF(A1953="","",SUBSTITUTE(SUBSTITUTE(SUBSTITUTE(SUBSTITUTE(SUBSTITUTE(SUBSTITUTE(SUBSTITUTE(TRIM(A1953),".",""),"/",""),"-","")," ",""),"(",""),")",""),"+",""))</f>
      </c>
      <c r="H1953" s="6">
        <f>IF(G1953="","",IF(LEN(G1953)&lt;&gt;14,"ERRO: "&amp;LEN(G1953)&amp;" dígitos",IF(NOT(ISNUMBER(VALUE(G1953))),"ERRO: não numérico",IF(AND(VALUE(MID(G1953,13,1))=IF(MOD(SUMPRODUCT(--MID(G1953,{1,2,3,4,5,6,7,8,9,10,11,12},1),{5,4,3,2,9,8,7,6,5,4,3,2}),11)&lt;2,0,11-MOD(SUMPRODUCT(--MID(G1953,{1,2,3,4,5,6,7,8,9,10,11,12},1),{5,4,3,2,9,8,7,6,5,4,3,2}),11)),VALUE(MID(G1953,14,1))=IF(MOD(SUMPRODUCT(--MID(G1953,{1,2,3,4,5,6,7,8,9,10,11,12,13},1),{6,5,4,3,2,9,8,7,6,5,4,3,2}),11)&lt;2,0,11-MOD(SUMPRODUCT(--MID(G1953,{1,2,3,4,5,6,7,8,9,10,11,12,13},1),{6,5,4,3,2,9,8,7,6,5,4,3,2}),11))),"OK","AVISO: dígito verificador (conferir na org)"))))</f>
      </c>
      <c r="I1953" s="6">
        <f>IF(G1953="","",IF(COUNTIF($G$2:$G$2001,G1953)&gt;1,"DUPLICADO","OK"))</f>
      </c>
      <c r="J1953" s="6">
        <f>IF(COUNTA(A1953:F1953)=0,"",IF(AND(A1953&lt;&gt;"",E1953&lt;&gt;""),"OK","ERRO: faltam "&amp;IF(A1953="","CNPJ; ","")&amp;IF(E1953="","Novo gerente; ","")))</f>
      </c>
      <c r="K1953" s="6">
        <f>IF(COUNTA(A1953:F1953)=0,"",IF(AND(LEFT(H1953,4)&lt;&gt;"ERRO",I1953="OK",J1953="OK"),"OK","REVISAR"))</f>
      </c>
    </row>
    <row r="1954">
      <c r="A1954" s="5"/>
      <c r="B1954" s="4"/>
      <c r="C1954" s="4"/>
      <c r="D1954" s="4"/>
      <c r="E1954" s="5"/>
      <c r="F1954" s="4"/>
      <c r="G1954" s="6">
        <f>IF(A1954="","",SUBSTITUTE(SUBSTITUTE(SUBSTITUTE(SUBSTITUTE(SUBSTITUTE(SUBSTITUTE(SUBSTITUTE(TRIM(A1954),".",""),"/",""),"-","")," ",""),"(",""),")",""),"+",""))</f>
      </c>
      <c r="H1954" s="6">
        <f>IF(G1954="","",IF(LEN(G1954)&lt;&gt;14,"ERRO: "&amp;LEN(G1954)&amp;" dígitos",IF(NOT(ISNUMBER(VALUE(G1954))),"ERRO: não numérico",IF(AND(VALUE(MID(G1954,13,1))=IF(MOD(SUMPRODUCT(--MID(G1954,{1,2,3,4,5,6,7,8,9,10,11,12},1),{5,4,3,2,9,8,7,6,5,4,3,2}),11)&lt;2,0,11-MOD(SUMPRODUCT(--MID(G1954,{1,2,3,4,5,6,7,8,9,10,11,12},1),{5,4,3,2,9,8,7,6,5,4,3,2}),11)),VALUE(MID(G1954,14,1))=IF(MOD(SUMPRODUCT(--MID(G1954,{1,2,3,4,5,6,7,8,9,10,11,12,13},1),{6,5,4,3,2,9,8,7,6,5,4,3,2}),11)&lt;2,0,11-MOD(SUMPRODUCT(--MID(G1954,{1,2,3,4,5,6,7,8,9,10,11,12,13},1),{6,5,4,3,2,9,8,7,6,5,4,3,2}),11))),"OK","AVISO: dígito verificador (conferir na org)"))))</f>
      </c>
      <c r="I1954" s="6">
        <f>IF(G1954="","",IF(COUNTIF($G$2:$G$2001,G1954)&gt;1,"DUPLICADO","OK"))</f>
      </c>
      <c r="J1954" s="6">
        <f>IF(COUNTA(A1954:F1954)=0,"",IF(AND(A1954&lt;&gt;"",E1954&lt;&gt;""),"OK","ERRO: faltam "&amp;IF(A1954="","CNPJ; ","")&amp;IF(E1954="","Novo gerente; ","")))</f>
      </c>
      <c r="K1954" s="6">
        <f>IF(COUNTA(A1954:F1954)=0,"",IF(AND(LEFT(H1954,4)&lt;&gt;"ERRO",I1954="OK",J1954="OK"),"OK","REVISAR"))</f>
      </c>
    </row>
    <row r="1955">
      <c r="A1955" s="5"/>
      <c r="B1955" s="4"/>
      <c r="C1955" s="4"/>
      <c r="D1955" s="4"/>
      <c r="E1955" s="5"/>
      <c r="F1955" s="4"/>
      <c r="G1955" s="6">
        <f>IF(A1955="","",SUBSTITUTE(SUBSTITUTE(SUBSTITUTE(SUBSTITUTE(SUBSTITUTE(SUBSTITUTE(SUBSTITUTE(TRIM(A1955),".",""),"/",""),"-","")," ",""),"(",""),")",""),"+",""))</f>
      </c>
      <c r="H1955" s="6">
        <f>IF(G1955="","",IF(LEN(G1955)&lt;&gt;14,"ERRO: "&amp;LEN(G1955)&amp;" dígitos",IF(NOT(ISNUMBER(VALUE(G1955))),"ERRO: não numérico",IF(AND(VALUE(MID(G1955,13,1))=IF(MOD(SUMPRODUCT(--MID(G1955,{1,2,3,4,5,6,7,8,9,10,11,12},1),{5,4,3,2,9,8,7,6,5,4,3,2}),11)&lt;2,0,11-MOD(SUMPRODUCT(--MID(G1955,{1,2,3,4,5,6,7,8,9,10,11,12},1),{5,4,3,2,9,8,7,6,5,4,3,2}),11)),VALUE(MID(G1955,14,1))=IF(MOD(SUMPRODUCT(--MID(G1955,{1,2,3,4,5,6,7,8,9,10,11,12,13},1),{6,5,4,3,2,9,8,7,6,5,4,3,2}),11)&lt;2,0,11-MOD(SUMPRODUCT(--MID(G1955,{1,2,3,4,5,6,7,8,9,10,11,12,13},1),{6,5,4,3,2,9,8,7,6,5,4,3,2}),11))),"OK","AVISO: dígito verificador (conferir na org)"))))</f>
      </c>
      <c r="I1955" s="6">
        <f>IF(G1955="","",IF(COUNTIF($G$2:$G$2001,G1955)&gt;1,"DUPLICADO","OK"))</f>
      </c>
      <c r="J1955" s="6">
        <f>IF(COUNTA(A1955:F1955)=0,"",IF(AND(A1955&lt;&gt;"",E1955&lt;&gt;""),"OK","ERRO: faltam "&amp;IF(A1955="","CNPJ; ","")&amp;IF(E1955="","Novo gerente; ","")))</f>
      </c>
      <c r="K1955" s="6">
        <f>IF(COUNTA(A1955:F1955)=0,"",IF(AND(LEFT(H1955,4)&lt;&gt;"ERRO",I1955="OK",J1955="OK"),"OK","REVISAR"))</f>
      </c>
    </row>
    <row r="1956">
      <c r="A1956" s="5"/>
      <c r="B1956" s="4"/>
      <c r="C1956" s="4"/>
      <c r="D1956" s="4"/>
      <c r="E1956" s="5"/>
      <c r="F1956" s="4"/>
      <c r="G1956" s="6">
        <f>IF(A1956="","",SUBSTITUTE(SUBSTITUTE(SUBSTITUTE(SUBSTITUTE(SUBSTITUTE(SUBSTITUTE(SUBSTITUTE(TRIM(A1956),".",""),"/",""),"-","")," ",""),"(",""),")",""),"+",""))</f>
      </c>
      <c r="H1956" s="6">
        <f>IF(G1956="","",IF(LEN(G1956)&lt;&gt;14,"ERRO: "&amp;LEN(G1956)&amp;" dígitos",IF(NOT(ISNUMBER(VALUE(G1956))),"ERRO: não numérico",IF(AND(VALUE(MID(G1956,13,1))=IF(MOD(SUMPRODUCT(--MID(G1956,{1,2,3,4,5,6,7,8,9,10,11,12},1),{5,4,3,2,9,8,7,6,5,4,3,2}),11)&lt;2,0,11-MOD(SUMPRODUCT(--MID(G1956,{1,2,3,4,5,6,7,8,9,10,11,12},1),{5,4,3,2,9,8,7,6,5,4,3,2}),11)),VALUE(MID(G1956,14,1))=IF(MOD(SUMPRODUCT(--MID(G1956,{1,2,3,4,5,6,7,8,9,10,11,12,13},1),{6,5,4,3,2,9,8,7,6,5,4,3,2}),11)&lt;2,0,11-MOD(SUMPRODUCT(--MID(G1956,{1,2,3,4,5,6,7,8,9,10,11,12,13},1),{6,5,4,3,2,9,8,7,6,5,4,3,2}),11))),"OK","AVISO: dígito verificador (conferir na org)"))))</f>
      </c>
      <c r="I1956" s="6">
        <f>IF(G1956="","",IF(COUNTIF($G$2:$G$2001,G1956)&gt;1,"DUPLICADO","OK"))</f>
      </c>
      <c r="J1956" s="6">
        <f>IF(COUNTA(A1956:F1956)=0,"",IF(AND(A1956&lt;&gt;"",E1956&lt;&gt;""),"OK","ERRO: faltam "&amp;IF(A1956="","CNPJ; ","")&amp;IF(E1956="","Novo gerente; ","")))</f>
      </c>
      <c r="K1956" s="6">
        <f>IF(COUNTA(A1956:F1956)=0,"",IF(AND(LEFT(H1956,4)&lt;&gt;"ERRO",I1956="OK",J1956="OK"),"OK","REVISAR"))</f>
      </c>
    </row>
    <row r="1957">
      <c r="A1957" s="5"/>
      <c r="B1957" s="4"/>
      <c r="C1957" s="4"/>
      <c r="D1957" s="4"/>
      <c r="E1957" s="5"/>
      <c r="F1957" s="4"/>
      <c r="G1957" s="6">
        <f>IF(A1957="","",SUBSTITUTE(SUBSTITUTE(SUBSTITUTE(SUBSTITUTE(SUBSTITUTE(SUBSTITUTE(SUBSTITUTE(TRIM(A1957),".",""),"/",""),"-","")," ",""),"(",""),")",""),"+",""))</f>
      </c>
      <c r="H1957" s="6">
        <f>IF(G1957="","",IF(LEN(G1957)&lt;&gt;14,"ERRO: "&amp;LEN(G1957)&amp;" dígitos",IF(NOT(ISNUMBER(VALUE(G1957))),"ERRO: não numérico",IF(AND(VALUE(MID(G1957,13,1))=IF(MOD(SUMPRODUCT(--MID(G1957,{1,2,3,4,5,6,7,8,9,10,11,12},1),{5,4,3,2,9,8,7,6,5,4,3,2}),11)&lt;2,0,11-MOD(SUMPRODUCT(--MID(G1957,{1,2,3,4,5,6,7,8,9,10,11,12},1),{5,4,3,2,9,8,7,6,5,4,3,2}),11)),VALUE(MID(G1957,14,1))=IF(MOD(SUMPRODUCT(--MID(G1957,{1,2,3,4,5,6,7,8,9,10,11,12,13},1),{6,5,4,3,2,9,8,7,6,5,4,3,2}),11)&lt;2,0,11-MOD(SUMPRODUCT(--MID(G1957,{1,2,3,4,5,6,7,8,9,10,11,12,13},1),{6,5,4,3,2,9,8,7,6,5,4,3,2}),11))),"OK","AVISO: dígito verificador (conferir na org)"))))</f>
      </c>
      <c r="I1957" s="6">
        <f>IF(G1957="","",IF(COUNTIF($G$2:$G$2001,G1957)&gt;1,"DUPLICADO","OK"))</f>
      </c>
      <c r="J1957" s="6">
        <f>IF(COUNTA(A1957:F1957)=0,"",IF(AND(A1957&lt;&gt;"",E1957&lt;&gt;""),"OK","ERRO: faltam "&amp;IF(A1957="","CNPJ; ","")&amp;IF(E1957="","Novo gerente; ","")))</f>
      </c>
      <c r="K1957" s="6">
        <f>IF(COUNTA(A1957:F1957)=0,"",IF(AND(LEFT(H1957,4)&lt;&gt;"ERRO",I1957="OK",J1957="OK"),"OK","REVISAR"))</f>
      </c>
    </row>
    <row r="1958">
      <c r="A1958" s="5"/>
      <c r="B1958" s="4"/>
      <c r="C1958" s="4"/>
      <c r="D1958" s="4"/>
      <c r="E1958" s="5"/>
      <c r="F1958" s="4"/>
      <c r="G1958" s="6">
        <f>IF(A1958="","",SUBSTITUTE(SUBSTITUTE(SUBSTITUTE(SUBSTITUTE(SUBSTITUTE(SUBSTITUTE(SUBSTITUTE(TRIM(A1958),".",""),"/",""),"-","")," ",""),"(",""),")",""),"+",""))</f>
      </c>
      <c r="H1958" s="6">
        <f>IF(G1958="","",IF(LEN(G1958)&lt;&gt;14,"ERRO: "&amp;LEN(G1958)&amp;" dígitos",IF(NOT(ISNUMBER(VALUE(G1958))),"ERRO: não numérico",IF(AND(VALUE(MID(G1958,13,1))=IF(MOD(SUMPRODUCT(--MID(G1958,{1,2,3,4,5,6,7,8,9,10,11,12},1),{5,4,3,2,9,8,7,6,5,4,3,2}),11)&lt;2,0,11-MOD(SUMPRODUCT(--MID(G1958,{1,2,3,4,5,6,7,8,9,10,11,12},1),{5,4,3,2,9,8,7,6,5,4,3,2}),11)),VALUE(MID(G1958,14,1))=IF(MOD(SUMPRODUCT(--MID(G1958,{1,2,3,4,5,6,7,8,9,10,11,12,13},1),{6,5,4,3,2,9,8,7,6,5,4,3,2}),11)&lt;2,0,11-MOD(SUMPRODUCT(--MID(G1958,{1,2,3,4,5,6,7,8,9,10,11,12,13},1),{6,5,4,3,2,9,8,7,6,5,4,3,2}),11))),"OK","AVISO: dígito verificador (conferir na org)"))))</f>
      </c>
      <c r="I1958" s="6">
        <f>IF(G1958="","",IF(COUNTIF($G$2:$G$2001,G1958)&gt;1,"DUPLICADO","OK"))</f>
      </c>
      <c r="J1958" s="6">
        <f>IF(COUNTA(A1958:F1958)=0,"",IF(AND(A1958&lt;&gt;"",E1958&lt;&gt;""),"OK","ERRO: faltam "&amp;IF(A1958="","CNPJ; ","")&amp;IF(E1958="","Novo gerente; ","")))</f>
      </c>
      <c r="K1958" s="6">
        <f>IF(COUNTA(A1958:F1958)=0,"",IF(AND(LEFT(H1958,4)&lt;&gt;"ERRO",I1958="OK",J1958="OK"),"OK","REVISAR"))</f>
      </c>
    </row>
    <row r="1959">
      <c r="A1959" s="5"/>
      <c r="B1959" s="4"/>
      <c r="C1959" s="4"/>
      <c r="D1959" s="4"/>
      <c r="E1959" s="5"/>
      <c r="F1959" s="4"/>
      <c r="G1959" s="6">
        <f>IF(A1959="","",SUBSTITUTE(SUBSTITUTE(SUBSTITUTE(SUBSTITUTE(SUBSTITUTE(SUBSTITUTE(SUBSTITUTE(TRIM(A1959),".",""),"/",""),"-","")," ",""),"(",""),")",""),"+",""))</f>
      </c>
      <c r="H1959" s="6">
        <f>IF(G1959="","",IF(LEN(G1959)&lt;&gt;14,"ERRO: "&amp;LEN(G1959)&amp;" dígitos",IF(NOT(ISNUMBER(VALUE(G1959))),"ERRO: não numérico",IF(AND(VALUE(MID(G1959,13,1))=IF(MOD(SUMPRODUCT(--MID(G1959,{1,2,3,4,5,6,7,8,9,10,11,12},1),{5,4,3,2,9,8,7,6,5,4,3,2}),11)&lt;2,0,11-MOD(SUMPRODUCT(--MID(G1959,{1,2,3,4,5,6,7,8,9,10,11,12},1),{5,4,3,2,9,8,7,6,5,4,3,2}),11)),VALUE(MID(G1959,14,1))=IF(MOD(SUMPRODUCT(--MID(G1959,{1,2,3,4,5,6,7,8,9,10,11,12,13},1),{6,5,4,3,2,9,8,7,6,5,4,3,2}),11)&lt;2,0,11-MOD(SUMPRODUCT(--MID(G1959,{1,2,3,4,5,6,7,8,9,10,11,12,13},1),{6,5,4,3,2,9,8,7,6,5,4,3,2}),11))),"OK","AVISO: dígito verificador (conferir na org)"))))</f>
      </c>
      <c r="I1959" s="6">
        <f>IF(G1959="","",IF(COUNTIF($G$2:$G$2001,G1959)&gt;1,"DUPLICADO","OK"))</f>
      </c>
      <c r="J1959" s="6">
        <f>IF(COUNTA(A1959:F1959)=0,"",IF(AND(A1959&lt;&gt;"",E1959&lt;&gt;""),"OK","ERRO: faltam "&amp;IF(A1959="","CNPJ; ","")&amp;IF(E1959="","Novo gerente; ","")))</f>
      </c>
      <c r="K1959" s="6">
        <f>IF(COUNTA(A1959:F1959)=0,"",IF(AND(LEFT(H1959,4)&lt;&gt;"ERRO",I1959="OK",J1959="OK"),"OK","REVISAR"))</f>
      </c>
    </row>
    <row r="1960">
      <c r="A1960" s="5"/>
      <c r="B1960" s="4"/>
      <c r="C1960" s="4"/>
      <c r="D1960" s="4"/>
      <c r="E1960" s="5"/>
      <c r="F1960" s="4"/>
      <c r="G1960" s="6">
        <f>IF(A1960="","",SUBSTITUTE(SUBSTITUTE(SUBSTITUTE(SUBSTITUTE(SUBSTITUTE(SUBSTITUTE(SUBSTITUTE(TRIM(A1960),".",""),"/",""),"-","")," ",""),"(",""),")",""),"+",""))</f>
      </c>
      <c r="H1960" s="6">
        <f>IF(G1960="","",IF(LEN(G1960)&lt;&gt;14,"ERRO: "&amp;LEN(G1960)&amp;" dígitos",IF(NOT(ISNUMBER(VALUE(G1960))),"ERRO: não numérico",IF(AND(VALUE(MID(G1960,13,1))=IF(MOD(SUMPRODUCT(--MID(G1960,{1,2,3,4,5,6,7,8,9,10,11,12},1),{5,4,3,2,9,8,7,6,5,4,3,2}),11)&lt;2,0,11-MOD(SUMPRODUCT(--MID(G1960,{1,2,3,4,5,6,7,8,9,10,11,12},1),{5,4,3,2,9,8,7,6,5,4,3,2}),11)),VALUE(MID(G1960,14,1))=IF(MOD(SUMPRODUCT(--MID(G1960,{1,2,3,4,5,6,7,8,9,10,11,12,13},1),{6,5,4,3,2,9,8,7,6,5,4,3,2}),11)&lt;2,0,11-MOD(SUMPRODUCT(--MID(G1960,{1,2,3,4,5,6,7,8,9,10,11,12,13},1),{6,5,4,3,2,9,8,7,6,5,4,3,2}),11))),"OK","AVISO: dígito verificador (conferir na org)"))))</f>
      </c>
      <c r="I1960" s="6">
        <f>IF(G1960="","",IF(COUNTIF($G$2:$G$2001,G1960)&gt;1,"DUPLICADO","OK"))</f>
      </c>
      <c r="J1960" s="6">
        <f>IF(COUNTA(A1960:F1960)=0,"",IF(AND(A1960&lt;&gt;"",E1960&lt;&gt;""),"OK","ERRO: faltam "&amp;IF(A1960="","CNPJ; ","")&amp;IF(E1960="","Novo gerente; ","")))</f>
      </c>
      <c r="K1960" s="6">
        <f>IF(COUNTA(A1960:F1960)=0,"",IF(AND(LEFT(H1960,4)&lt;&gt;"ERRO",I1960="OK",J1960="OK"),"OK","REVISAR"))</f>
      </c>
    </row>
    <row r="1961">
      <c r="A1961" s="5"/>
      <c r="B1961" s="4"/>
      <c r="C1961" s="4"/>
      <c r="D1961" s="4"/>
      <c r="E1961" s="5"/>
      <c r="F1961" s="4"/>
      <c r="G1961" s="6">
        <f>IF(A1961="","",SUBSTITUTE(SUBSTITUTE(SUBSTITUTE(SUBSTITUTE(SUBSTITUTE(SUBSTITUTE(SUBSTITUTE(TRIM(A1961),".",""),"/",""),"-","")," ",""),"(",""),")",""),"+",""))</f>
      </c>
      <c r="H1961" s="6">
        <f>IF(G1961="","",IF(LEN(G1961)&lt;&gt;14,"ERRO: "&amp;LEN(G1961)&amp;" dígitos",IF(NOT(ISNUMBER(VALUE(G1961))),"ERRO: não numérico",IF(AND(VALUE(MID(G1961,13,1))=IF(MOD(SUMPRODUCT(--MID(G1961,{1,2,3,4,5,6,7,8,9,10,11,12},1),{5,4,3,2,9,8,7,6,5,4,3,2}),11)&lt;2,0,11-MOD(SUMPRODUCT(--MID(G1961,{1,2,3,4,5,6,7,8,9,10,11,12},1),{5,4,3,2,9,8,7,6,5,4,3,2}),11)),VALUE(MID(G1961,14,1))=IF(MOD(SUMPRODUCT(--MID(G1961,{1,2,3,4,5,6,7,8,9,10,11,12,13},1),{6,5,4,3,2,9,8,7,6,5,4,3,2}),11)&lt;2,0,11-MOD(SUMPRODUCT(--MID(G1961,{1,2,3,4,5,6,7,8,9,10,11,12,13},1),{6,5,4,3,2,9,8,7,6,5,4,3,2}),11))),"OK","AVISO: dígito verificador (conferir na org)"))))</f>
      </c>
      <c r="I1961" s="6">
        <f>IF(G1961="","",IF(COUNTIF($G$2:$G$2001,G1961)&gt;1,"DUPLICADO","OK"))</f>
      </c>
      <c r="J1961" s="6">
        <f>IF(COUNTA(A1961:F1961)=0,"",IF(AND(A1961&lt;&gt;"",E1961&lt;&gt;""),"OK","ERRO: faltam "&amp;IF(A1961="","CNPJ; ","")&amp;IF(E1961="","Novo gerente; ","")))</f>
      </c>
      <c r="K1961" s="6">
        <f>IF(COUNTA(A1961:F1961)=0,"",IF(AND(LEFT(H1961,4)&lt;&gt;"ERRO",I1961="OK",J1961="OK"),"OK","REVISAR"))</f>
      </c>
    </row>
    <row r="1962">
      <c r="A1962" s="5"/>
      <c r="B1962" s="4"/>
      <c r="C1962" s="4"/>
      <c r="D1962" s="4"/>
      <c r="E1962" s="5"/>
      <c r="F1962" s="4"/>
      <c r="G1962" s="6">
        <f>IF(A1962="","",SUBSTITUTE(SUBSTITUTE(SUBSTITUTE(SUBSTITUTE(SUBSTITUTE(SUBSTITUTE(SUBSTITUTE(TRIM(A1962),".",""),"/",""),"-","")," ",""),"(",""),")",""),"+",""))</f>
      </c>
      <c r="H1962" s="6">
        <f>IF(G1962="","",IF(LEN(G1962)&lt;&gt;14,"ERRO: "&amp;LEN(G1962)&amp;" dígitos",IF(NOT(ISNUMBER(VALUE(G1962))),"ERRO: não numérico",IF(AND(VALUE(MID(G1962,13,1))=IF(MOD(SUMPRODUCT(--MID(G1962,{1,2,3,4,5,6,7,8,9,10,11,12},1),{5,4,3,2,9,8,7,6,5,4,3,2}),11)&lt;2,0,11-MOD(SUMPRODUCT(--MID(G1962,{1,2,3,4,5,6,7,8,9,10,11,12},1),{5,4,3,2,9,8,7,6,5,4,3,2}),11)),VALUE(MID(G1962,14,1))=IF(MOD(SUMPRODUCT(--MID(G1962,{1,2,3,4,5,6,7,8,9,10,11,12,13},1),{6,5,4,3,2,9,8,7,6,5,4,3,2}),11)&lt;2,0,11-MOD(SUMPRODUCT(--MID(G1962,{1,2,3,4,5,6,7,8,9,10,11,12,13},1),{6,5,4,3,2,9,8,7,6,5,4,3,2}),11))),"OK","AVISO: dígito verificador (conferir na org)"))))</f>
      </c>
      <c r="I1962" s="6">
        <f>IF(G1962="","",IF(COUNTIF($G$2:$G$2001,G1962)&gt;1,"DUPLICADO","OK"))</f>
      </c>
      <c r="J1962" s="6">
        <f>IF(COUNTA(A1962:F1962)=0,"",IF(AND(A1962&lt;&gt;"",E1962&lt;&gt;""),"OK","ERRO: faltam "&amp;IF(A1962="","CNPJ; ","")&amp;IF(E1962="","Novo gerente; ","")))</f>
      </c>
      <c r="K1962" s="6">
        <f>IF(COUNTA(A1962:F1962)=0,"",IF(AND(LEFT(H1962,4)&lt;&gt;"ERRO",I1962="OK",J1962="OK"),"OK","REVISAR"))</f>
      </c>
    </row>
    <row r="1963">
      <c r="A1963" s="5"/>
      <c r="B1963" s="4"/>
      <c r="C1963" s="4"/>
      <c r="D1963" s="4"/>
      <c r="E1963" s="5"/>
      <c r="F1963" s="4"/>
      <c r="G1963" s="6">
        <f>IF(A1963="","",SUBSTITUTE(SUBSTITUTE(SUBSTITUTE(SUBSTITUTE(SUBSTITUTE(SUBSTITUTE(SUBSTITUTE(TRIM(A1963),".",""),"/",""),"-","")," ",""),"(",""),")",""),"+",""))</f>
      </c>
      <c r="H1963" s="6">
        <f>IF(G1963="","",IF(LEN(G1963)&lt;&gt;14,"ERRO: "&amp;LEN(G1963)&amp;" dígitos",IF(NOT(ISNUMBER(VALUE(G1963))),"ERRO: não numérico",IF(AND(VALUE(MID(G1963,13,1))=IF(MOD(SUMPRODUCT(--MID(G1963,{1,2,3,4,5,6,7,8,9,10,11,12},1),{5,4,3,2,9,8,7,6,5,4,3,2}),11)&lt;2,0,11-MOD(SUMPRODUCT(--MID(G1963,{1,2,3,4,5,6,7,8,9,10,11,12},1),{5,4,3,2,9,8,7,6,5,4,3,2}),11)),VALUE(MID(G1963,14,1))=IF(MOD(SUMPRODUCT(--MID(G1963,{1,2,3,4,5,6,7,8,9,10,11,12,13},1),{6,5,4,3,2,9,8,7,6,5,4,3,2}),11)&lt;2,0,11-MOD(SUMPRODUCT(--MID(G1963,{1,2,3,4,5,6,7,8,9,10,11,12,13},1),{6,5,4,3,2,9,8,7,6,5,4,3,2}),11))),"OK","AVISO: dígito verificador (conferir na org)"))))</f>
      </c>
      <c r="I1963" s="6">
        <f>IF(G1963="","",IF(COUNTIF($G$2:$G$2001,G1963)&gt;1,"DUPLICADO","OK"))</f>
      </c>
      <c r="J1963" s="6">
        <f>IF(COUNTA(A1963:F1963)=0,"",IF(AND(A1963&lt;&gt;"",E1963&lt;&gt;""),"OK","ERRO: faltam "&amp;IF(A1963="","CNPJ; ","")&amp;IF(E1963="","Novo gerente; ","")))</f>
      </c>
      <c r="K1963" s="6">
        <f>IF(COUNTA(A1963:F1963)=0,"",IF(AND(LEFT(H1963,4)&lt;&gt;"ERRO",I1963="OK",J1963="OK"),"OK","REVISAR"))</f>
      </c>
    </row>
    <row r="1964">
      <c r="A1964" s="5"/>
      <c r="B1964" s="4"/>
      <c r="C1964" s="4"/>
      <c r="D1964" s="4"/>
      <c r="E1964" s="5"/>
      <c r="F1964" s="4"/>
      <c r="G1964" s="6">
        <f>IF(A1964="","",SUBSTITUTE(SUBSTITUTE(SUBSTITUTE(SUBSTITUTE(SUBSTITUTE(SUBSTITUTE(SUBSTITUTE(TRIM(A1964),".",""),"/",""),"-","")," ",""),"(",""),")",""),"+",""))</f>
      </c>
      <c r="H1964" s="6">
        <f>IF(G1964="","",IF(LEN(G1964)&lt;&gt;14,"ERRO: "&amp;LEN(G1964)&amp;" dígitos",IF(NOT(ISNUMBER(VALUE(G1964))),"ERRO: não numérico",IF(AND(VALUE(MID(G1964,13,1))=IF(MOD(SUMPRODUCT(--MID(G1964,{1,2,3,4,5,6,7,8,9,10,11,12},1),{5,4,3,2,9,8,7,6,5,4,3,2}),11)&lt;2,0,11-MOD(SUMPRODUCT(--MID(G1964,{1,2,3,4,5,6,7,8,9,10,11,12},1),{5,4,3,2,9,8,7,6,5,4,3,2}),11)),VALUE(MID(G1964,14,1))=IF(MOD(SUMPRODUCT(--MID(G1964,{1,2,3,4,5,6,7,8,9,10,11,12,13},1),{6,5,4,3,2,9,8,7,6,5,4,3,2}),11)&lt;2,0,11-MOD(SUMPRODUCT(--MID(G1964,{1,2,3,4,5,6,7,8,9,10,11,12,13},1),{6,5,4,3,2,9,8,7,6,5,4,3,2}),11))),"OK","AVISO: dígito verificador (conferir na org)"))))</f>
      </c>
      <c r="I1964" s="6">
        <f>IF(G1964="","",IF(COUNTIF($G$2:$G$2001,G1964)&gt;1,"DUPLICADO","OK"))</f>
      </c>
      <c r="J1964" s="6">
        <f>IF(COUNTA(A1964:F1964)=0,"",IF(AND(A1964&lt;&gt;"",E1964&lt;&gt;""),"OK","ERRO: faltam "&amp;IF(A1964="","CNPJ; ","")&amp;IF(E1964="","Novo gerente; ","")))</f>
      </c>
      <c r="K1964" s="6">
        <f>IF(COUNTA(A1964:F1964)=0,"",IF(AND(LEFT(H1964,4)&lt;&gt;"ERRO",I1964="OK",J1964="OK"),"OK","REVISAR"))</f>
      </c>
    </row>
    <row r="1965">
      <c r="A1965" s="5"/>
      <c r="B1965" s="4"/>
      <c r="C1965" s="4"/>
      <c r="D1965" s="4"/>
      <c r="E1965" s="5"/>
      <c r="F1965" s="4"/>
      <c r="G1965" s="6">
        <f>IF(A1965="","",SUBSTITUTE(SUBSTITUTE(SUBSTITUTE(SUBSTITUTE(SUBSTITUTE(SUBSTITUTE(SUBSTITUTE(TRIM(A1965),".",""),"/",""),"-","")," ",""),"(",""),")",""),"+",""))</f>
      </c>
      <c r="H1965" s="6">
        <f>IF(G1965="","",IF(LEN(G1965)&lt;&gt;14,"ERRO: "&amp;LEN(G1965)&amp;" dígitos",IF(NOT(ISNUMBER(VALUE(G1965))),"ERRO: não numérico",IF(AND(VALUE(MID(G1965,13,1))=IF(MOD(SUMPRODUCT(--MID(G1965,{1,2,3,4,5,6,7,8,9,10,11,12},1),{5,4,3,2,9,8,7,6,5,4,3,2}),11)&lt;2,0,11-MOD(SUMPRODUCT(--MID(G1965,{1,2,3,4,5,6,7,8,9,10,11,12},1),{5,4,3,2,9,8,7,6,5,4,3,2}),11)),VALUE(MID(G1965,14,1))=IF(MOD(SUMPRODUCT(--MID(G1965,{1,2,3,4,5,6,7,8,9,10,11,12,13},1),{6,5,4,3,2,9,8,7,6,5,4,3,2}),11)&lt;2,0,11-MOD(SUMPRODUCT(--MID(G1965,{1,2,3,4,5,6,7,8,9,10,11,12,13},1),{6,5,4,3,2,9,8,7,6,5,4,3,2}),11))),"OK","AVISO: dígito verificador (conferir na org)"))))</f>
      </c>
      <c r="I1965" s="6">
        <f>IF(G1965="","",IF(COUNTIF($G$2:$G$2001,G1965)&gt;1,"DUPLICADO","OK"))</f>
      </c>
      <c r="J1965" s="6">
        <f>IF(COUNTA(A1965:F1965)=0,"",IF(AND(A1965&lt;&gt;"",E1965&lt;&gt;""),"OK","ERRO: faltam "&amp;IF(A1965="","CNPJ; ","")&amp;IF(E1965="","Novo gerente; ","")))</f>
      </c>
      <c r="K1965" s="6">
        <f>IF(COUNTA(A1965:F1965)=0,"",IF(AND(LEFT(H1965,4)&lt;&gt;"ERRO",I1965="OK",J1965="OK"),"OK","REVISAR"))</f>
      </c>
    </row>
    <row r="1966">
      <c r="A1966" s="5"/>
      <c r="B1966" s="4"/>
      <c r="C1966" s="4"/>
      <c r="D1966" s="4"/>
      <c r="E1966" s="5"/>
      <c r="F1966" s="4"/>
      <c r="G1966" s="6">
        <f>IF(A1966="","",SUBSTITUTE(SUBSTITUTE(SUBSTITUTE(SUBSTITUTE(SUBSTITUTE(SUBSTITUTE(SUBSTITUTE(TRIM(A1966),".",""),"/",""),"-","")," ",""),"(",""),")",""),"+",""))</f>
      </c>
      <c r="H1966" s="6">
        <f>IF(G1966="","",IF(LEN(G1966)&lt;&gt;14,"ERRO: "&amp;LEN(G1966)&amp;" dígitos",IF(NOT(ISNUMBER(VALUE(G1966))),"ERRO: não numérico",IF(AND(VALUE(MID(G1966,13,1))=IF(MOD(SUMPRODUCT(--MID(G1966,{1,2,3,4,5,6,7,8,9,10,11,12},1),{5,4,3,2,9,8,7,6,5,4,3,2}),11)&lt;2,0,11-MOD(SUMPRODUCT(--MID(G1966,{1,2,3,4,5,6,7,8,9,10,11,12},1),{5,4,3,2,9,8,7,6,5,4,3,2}),11)),VALUE(MID(G1966,14,1))=IF(MOD(SUMPRODUCT(--MID(G1966,{1,2,3,4,5,6,7,8,9,10,11,12,13},1),{6,5,4,3,2,9,8,7,6,5,4,3,2}),11)&lt;2,0,11-MOD(SUMPRODUCT(--MID(G1966,{1,2,3,4,5,6,7,8,9,10,11,12,13},1),{6,5,4,3,2,9,8,7,6,5,4,3,2}),11))),"OK","AVISO: dígito verificador (conferir na org)"))))</f>
      </c>
      <c r="I1966" s="6">
        <f>IF(G1966="","",IF(COUNTIF($G$2:$G$2001,G1966)&gt;1,"DUPLICADO","OK"))</f>
      </c>
      <c r="J1966" s="6">
        <f>IF(COUNTA(A1966:F1966)=0,"",IF(AND(A1966&lt;&gt;"",E1966&lt;&gt;""),"OK","ERRO: faltam "&amp;IF(A1966="","CNPJ; ","")&amp;IF(E1966="","Novo gerente; ","")))</f>
      </c>
      <c r="K1966" s="6">
        <f>IF(COUNTA(A1966:F1966)=0,"",IF(AND(LEFT(H1966,4)&lt;&gt;"ERRO",I1966="OK",J1966="OK"),"OK","REVISAR"))</f>
      </c>
    </row>
    <row r="1967">
      <c r="A1967" s="5"/>
      <c r="B1967" s="4"/>
      <c r="C1967" s="4"/>
      <c r="D1967" s="4"/>
      <c r="E1967" s="5"/>
      <c r="F1967" s="4"/>
      <c r="G1967" s="6">
        <f>IF(A1967="","",SUBSTITUTE(SUBSTITUTE(SUBSTITUTE(SUBSTITUTE(SUBSTITUTE(SUBSTITUTE(SUBSTITUTE(TRIM(A1967),".",""),"/",""),"-","")," ",""),"(",""),")",""),"+",""))</f>
      </c>
      <c r="H1967" s="6">
        <f>IF(G1967="","",IF(LEN(G1967)&lt;&gt;14,"ERRO: "&amp;LEN(G1967)&amp;" dígitos",IF(NOT(ISNUMBER(VALUE(G1967))),"ERRO: não numérico",IF(AND(VALUE(MID(G1967,13,1))=IF(MOD(SUMPRODUCT(--MID(G1967,{1,2,3,4,5,6,7,8,9,10,11,12},1),{5,4,3,2,9,8,7,6,5,4,3,2}),11)&lt;2,0,11-MOD(SUMPRODUCT(--MID(G1967,{1,2,3,4,5,6,7,8,9,10,11,12},1),{5,4,3,2,9,8,7,6,5,4,3,2}),11)),VALUE(MID(G1967,14,1))=IF(MOD(SUMPRODUCT(--MID(G1967,{1,2,3,4,5,6,7,8,9,10,11,12,13},1),{6,5,4,3,2,9,8,7,6,5,4,3,2}),11)&lt;2,0,11-MOD(SUMPRODUCT(--MID(G1967,{1,2,3,4,5,6,7,8,9,10,11,12,13},1),{6,5,4,3,2,9,8,7,6,5,4,3,2}),11))),"OK","AVISO: dígito verificador (conferir na org)"))))</f>
      </c>
      <c r="I1967" s="6">
        <f>IF(G1967="","",IF(COUNTIF($G$2:$G$2001,G1967)&gt;1,"DUPLICADO","OK"))</f>
      </c>
      <c r="J1967" s="6">
        <f>IF(COUNTA(A1967:F1967)=0,"",IF(AND(A1967&lt;&gt;"",E1967&lt;&gt;""),"OK","ERRO: faltam "&amp;IF(A1967="","CNPJ; ","")&amp;IF(E1967="","Novo gerente; ","")))</f>
      </c>
      <c r="K1967" s="6">
        <f>IF(COUNTA(A1967:F1967)=0,"",IF(AND(LEFT(H1967,4)&lt;&gt;"ERRO",I1967="OK",J1967="OK"),"OK","REVISAR"))</f>
      </c>
    </row>
    <row r="1968">
      <c r="A1968" s="5"/>
      <c r="B1968" s="4"/>
      <c r="C1968" s="4"/>
      <c r="D1968" s="4"/>
      <c r="E1968" s="5"/>
      <c r="F1968" s="4"/>
      <c r="G1968" s="6">
        <f>IF(A1968="","",SUBSTITUTE(SUBSTITUTE(SUBSTITUTE(SUBSTITUTE(SUBSTITUTE(SUBSTITUTE(SUBSTITUTE(TRIM(A1968),".",""),"/",""),"-","")," ",""),"(",""),")",""),"+",""))</f>
      </c>
      <c r="H1968" s="6">
        <f>IF(G1968="","",IF(LEN(G1968)&lt;&gt;14,"ERRO: "&amp;LEN(G1968)&amp;" dígitos",IF(NOT(ISNUMBER(VALUE(G1968))),"ERRO: não numérico",IF(AND(VALUE(MID(G1968,13,1))=IF(MOD(SUMPRODUCT(--MID(G1968,{1,2,3,4,5,6,7,8,9,10,11,12},1),{5,4,3,2,9,8,7,6,5,4,3,2}),11)&lt;2,0,11-MOD(SUMPRODUCT(--MID(G1968,{1,2,3,4,5,6,7,8,9,10,11,12},1),{5,4,3,2,9,8,7,6,5,4,3,2}),11)),VALUE(MID(G1968,14,1))=IF(MOD(SUMPRODUCT(--MID(G1968,{1,2,3,4,5,6,7,8,9,10,11,12,13},1),{6,5,4,3,2,9,8,7,6,5,4,3,2}),11)&lt;2,0,11-MOD(SUMPRODUCT(--MID(G1968,{1,2,3,4,5,6,7,8,9,10,11,12,13},1),{6,5,4,3,2,9,8,7,6,5,4,3,2}),11))),"OK","AVISO: dígito verificador (conferir na org)"))))</f>
      </c>
      <c r="I1968" s="6">
        <f>IF(G1968="","",IF(COUNTIF($G$2:$G$2001,G1968)&gt;1,"DUPLICADO","OK"))</f>
      </c>
      <c r="J1968" s="6">
        <f>IF(COUNTA(A1968:F1968)=0,"",IF(AND(A1968&lt;&gt;"",E1968&lt;&gt;""),"OK","ERRO: faltam "&amp;IF(A1968="","CNPJ; ","")&amp;IF(E1968="","Novo gerente; ","")))</f>
      </c>
      <c r="K1968" s="6">
        <f>IF(COUNTA(A1968:F1968)=0,"",IF(AND(LEFT(H1968,4)&lt;&gt;"ERRO",I1968="OK",J1968="OK"),"OK","REVISAR"))</f>
      </c>
    </row>
    <row r="1969">
      <c r="A1969" s="5"/>
      <c r="B1969" s="4"/>
      <c r="C1969" s="4"/>
      <c r="D1969" s="4"/>
      <c r="E1969" s="5"/>
      <c r="F1969" s="4"/>
      <c r="G1969" s="6">
        <f>IF(A1969="","",SUBSTITUTE(SUBSTITUTE(SUBSTITUTE(SUBSTITUTE(SUBSTITUTE(SUBSTITUTE(SUBSTITUTE(TRIM(A1969),".",""),"/",""),"-","")," ",""),"(",""),")",""),"+",""))</f>
      </c>
      <c r="H1969" s="6">
        <f>IF(G1969="","",IF(LEN(G1969)&lt;&gt;14,"ERRO: "&amp;LEN(G1969)&amp;" dígitos",IF(NOT(ISNUMBER(VALUE(G1969))),"ERRO: não numérico",IF(AND(VALUE(MID(G1969,13,1))=IF(MOD(SUMPRODUCT(--MID(G1969,{1,2,3,4,5,6,7,8,9,10,11,12},1),{5,4,3,2,9,8,7,6,5,4,3,2}),11)&lt;2,0,11-MOD(SUMPRODUCT(--MID(G1969,{1,2,3,4,5,6,7,8,9,10,11,12},1),{5,4,3,2,9,8,7,6,5,4,3,2}),11)),VALUE(MID(G1969,14,1))=IF(MOD(SUMPRODUCT(--MID(G1969,{1,2,3,4,5,6,7,8,9,10,11,12,13},1),{6,5,4,3,2,9,8,7,6,5,4,3,2}),11)&lt;2,0,11-MOD(SUMPRODUCT(--MID(G1969,{1,2,3,4,5,6,7,8,9,10,11,12,13},1),{6,5,4,3,2,9,8,7,6,5,4,3,2}),11))),"OK","AVISO: dígito verificador (conferir na org)"))))</f>
      </c>
      <c r="I1969" s="6">
        <f>IF(G1969="","",IF(COUNTIF($G$2:$G$2001,G1969)&gt;1,"DUPLICADO","OK"))</f>
      </c>
      <c r="J1969" s="6">
        <f>IF(COUNTA(A1969:F1969)=0,"",IF(AND(A1969&lt;&gt;"",E1969&lt;&gt;""),"OK","ERRO: faltam "&amp;IF(A1969="","CNPJ; ","")&amp;IF(E1969="","Novo gerente; ","")))</f>
      </c>
      <c r="K1969" s="6">
        <f>IF(COUNTA(A1969:F1969)=0,"",IF(AND(LEFT(H1969,4)&lt;&gt;"ERRO",I1969="OK",J1969="OK"),"OK","REVISAR"))</f>
      </c>
    </row>
    <row r="1970">
      <c r="A1970" s="5"/>
      <c r="B1970" s="4"/>
      <c r="C1970" s="4"/>
      <c r="D1970" s="4"/>
      <c r="E1970" s="5"/>
      <c r="F1970" s="4"/>
      <c r="G1970" s="6">
        <f>IF(A1970="","",SUBSTITUTE(SUBSTITUTE(SUBSTITUTE(SUBSTITUTE(SUBSTITUTE(SUBSTITUTE(SUBSTITUTE(TRIM(A1970),".",""),"/",""),"-","")," ",""),"(",""),")",""),"+",""))</f>
      </c>
      <c r="H1970" s="6">
        <f>IF(G1970="","",IF(LEN(G1970)&lt;&gt;14,"ERRO: "&amp;LEN(G1970)&amp;" dígitos",IF(NOT(ISNUMBER(VALUE(G1970))),"ERRO: não numérico",IF(AND(VALUE(MID(G1970,13,1))=IF(MOD(SUMPRODUCT(--MID(G1970,{1,2,3,4,5,6,7,8,9,10,11,12},1),{5,4,3,2,9,8,7,6,5,4,3,2}),11)&lt;2,0,11-MOD(SUMPRODUCT(--MID(G1970,{1,2,3,4,5,6,7,8,9,10,11,12},1),{5,4,3,2,9,8,7,6,5,4,3,2}),11)),VALUE(MID(G1970,14,1))=IF(MOD(SUMPRODUCT(--MID(G1970,{1,2,3,4,5,6,7,8,9,10,11,12,13},1),{6,5,4,3,2,9,8,7,6,5,4,3,2}),11)&lt;2,0,11-MOD(SUMPRODUCT(--MID(G1970,{1,2,3,4,5,6,7,8,9,10,11,12,13},1),{6,5,4,3,2,9,8,7,6,5,4,3,2}),11))),"OK","AVISO: dígito verificador (conferir na org)"))))</f>
      </c>
      <c r="I1970" s="6">
        <f>IF(G1970="","",IF(COUNTIF($G$2:$G$2001,G1970)&gt;1,"DUPLICADO","OK"))</f>
      </c>
      <c r="J1970" s="6">
        <f>IF(COUNTA(A1970:F1970)=0,"",IF(AND(A1970&lt;&gt;"",E1970&lt;&gt;""),"OK","ERRO: faltam "&amp;IF(A1970="","CNPJ; ","")&amp;IF(E1970="","Novo gerente; ","")))</f>
      </c>
      <c r="K1970" s="6">
        <f>IF(COUNTA(A1970:F1970)=0,"",IF(AND(LEFT(H1970,4)&lt;&gt;"ERRO",I1970="OK",J1970="OK"),"OK","REVISAR"))</f>
      </c>
    </row>
    <row r="1971">
      <c r="A1971" s="5"/>
      <c r="B1971" s="4"/>
      <c r="C1971" s="4"/>
      <c r="D1971" s="4"/>
      <c r="E1971" s="5"/>
      <c r="F1971" s="4"/>
      <c r="G1971" s="6">
        <f>IF(A1971="","",SUBSTITUTE(SUBSTITUTE(SUBSTITUTE(SUBSTITUTE(SUBSTITUTE(SUBSTITUTE(SUBSTITUTE(TRIM(A1971),".",""),"/",""),"-","")," ",""),"(",""),")",""),"+",""))</f>
      </c>
      <c r="H1971" s="6">
        <f>IF(G1971="","",IF(LEN(G1971)&lt;&gt;14,"ERRO: "&amp;LEN(G1971)&amp;" dígitos",IF(NOT(ISNUMBER(VALUE(G1971))),"ERRO: não numérico",IF(AND(VALUE(MID(G1971,13,1))=IF(MOD(SUMPRODUCT(--MID(G1971,{1,2,3,4,5,6,7,8,9,10,11,12},1),{5,4,3,2,9,8,7,6,5,4,3,2}),11)&lt;2,0,11-MOD(SUMPRODUCT(--MID(G1971,{1,2,3,4,5,6,7,8,9,10,11,12},1),{5,4,3,2,9,8,7,6,5,4,3,2}),11)),VALUE(MID(G1971,14,1))=IF(MOD(SUMPRODUCT(--MID(G1971,{1,2,3,4,5,6,7,8,9,10,11,12,13},1),{6,5,4,3,2,9,8,7,6,5,4,3,2}),11)&lt;2,0,11-MOD(SUMPRODUCT(--MID(G1971,{1,2,3,4,5,6,7,8,9,10,11,12,13},1),{6,5,4,3,2,9,8,7,6,5,4,3,2}),11))),"OK","AVISO: dígito verificador (conferir na org)"))))</f>
      </c>
      <c r="I1971" s="6">
        <f>IF(G1971="","",IF(COUNTIF($G$2:$G$2001,G1971)&gt;1,"DUPLICADO","OK"))</f>
      </c>
      <c r="J1971" s="6">
        <f>IF(COUNTA(A1971:F1971)=0,"",IF(AND(A1971&lt;&gt;"",E1971&lt;&gt;""),"OK","ERRO: faltam "&amp;IF(A1971="","CNPJ; ","")&amp;IF(E1971="","Novo gerente; ","")))</f>
      </c>
      <c r="K1971" s="6">
        <f>IF(COUNTA(A1971:F1971)=0,"",IF(AND(LEFT(H1971,4)&lt;&gt;"ERRO",I1971="OK",J1971="OK"),"OK","REVISAR"))</f>
      </c>
    </row>
    <row r="1972">
      <c r="A1972" s="5"/>
      <c r="B1972" s="4"/>
      <c r="C1972" s="4"/>
      <c r="D1972" s="4"/>
      <c r="E1972" s="5"/>
      <c r="F1972" s="4"/>
      <c r="G1972" s="6">
        <f>IF(A1972="","",SUBSTITUTE(SUBSTITUTE(SUBSTITUTE(SUBSTITUTE(SUBSTITUTE(SUBSTITUTE(SUBSTITUTE(TRIM(A1972),".",""),"/",""),"-","")," ",""),"(",""),")",""),"+",""))</f>
      </c>
      <c r="H1972" s="6">
        <f>IF(G1972="","",IF(LEN(G1972)&lt;&gt;14,"ERRO: "&amp;LEN(G1972)&amp;" dígitos",IF(NOT(ISNUMBER(VALUE(G1972))),"ERRO: não numérico",IF(AND(VALUE(MID(G1972,13,1))=IF(MOD(SUMPRODUCT(--MID(G1972,{1,2,3,4,5,6,7,8,9,10,11,12},1),{5,4,3,2,9,8,7,6,5,4,3,2}),11)&lt;2,0,11-MOD(SUMPRODUCT(--MID(G1972,{1,2,3,4,5,6,7,8,9,10,11,12},1),{5,4,3,2,9,8,7,6,5,4,3,2}),11)),VALUE(MID(G1972,14,1))=IF(MOD(SUMPRODUCT(--MID(G1972,{1,2,3,4,5,6,7,8,9,10,11,12,13},1),{6,5,4,3,2,9,8,7,6,5,4,3,2}),11)&lt;2,0,11-MOD(SUMPRODUCT(--MID(G1972,{1,2,3,4,5,6,7,8,9,10,11,12,13},1),{6,5,4,3,2,9,8,7,6,5,4,3,2}),11))),"OK","AVISO: dígito verificador (conferir na org)"))))</f>
      </c>
      <c r="I1972" s="6">
        <f>IF(G1972="","",IF(COUNTIF($G$2:$G$2001,G1972)&gt;1,"DUPLICADO","OK"))</f>
      </c>
      <c r="J1972" s="6">
        <f>IF(COUNTA(A1972:F1972)=0,"",IF(AND(A1972&lt;&gt;"",E1972&lt;&gt;""),"OK","ERRO: faltam "&amp;IF(A1972="","CNPJ; ","")&amp;IF(E1972="","Novo gerente; ","")))</f>
      </c>
      <c r="K1972" s="6">
        <f>IF(COUNTA(A1972:F1972)=0,"",IF(AND(LEFT(H1972,4)&lt;&gt;"ERRO",I1972="OK",J1972="OK"),"OK","REVISAR"))</f>
      </c>
    </row>
    <row r="1973">
      <c r="A1973" s="5"/>
      <c r="B1973" s="4"/>
      <c r="C1973" s="4"/>
      <c r="D1973" s="4"/>
      <c r="E1973" s="5"/>
      <c r="F1973" s="4"/>
      <c r="G1973" s="6">
        <f>IF(A1973="","",SUBSTITUTE(SUBSTITUTE(SUBSTITUTE(SUBSTITUTE(SUBSTITUTE(SUBSTITUTE(SUBSTITUTE(TRIM(A1973),".",""),"/",""),"-","")," ",""),"(",""),")",""),"+",""))</f>
      </c>
      <c r="H1973" s="6">
        <f>IF(G1973="","",IF(LEN(G1973)&lt;&gt;14,"ERRO: "&amp;LEN(G1973)&amp;" dígitos",IF(NOT(ISNUMBER(VALUE(G1973))),"ERRO: não numérico",IF(AND(VALUE(MID(G1973,13,1))=IF(MOD(SUMPRODUCT(--MID(G1973,{1,2,3,4,5,6,7,8,9,10,11,12},1),{5,4,3,2,9,8,7,6,5,4,3,2}),11)&lt;2,0,11-MOD(SUMPRODUCT(--MID(G1973,{1,2,3,4,5,6,7,8,9,10,11,12},1),{5,4,3,2,9,8,7,6,5,4,3,2}),11)),VALUE(MID(G1973,14,1))=IF(MOD(SUMPRODUCT(--MID(G1973,{1,2,3,4,5,6,7,8,9,10,11,12,13},1),{6,5,4,3,2,9,8,7,6,5,4,3,2}),11)&lt;2,0,11-MOD(SUMPRODUCT(--MID(G1973,{1,2,3,4,5,6,7,8,9,10,11,12,13},1),{6,5,4,3,2,9,8,7,6,5,4,3,2}),11))),"OK","AVISO: dígito verificador (conferir na org)"))))</f>
      </c>
      <c r="I1973" s="6">
        <f>IF(G1973="","",IF(COUNTIF($G$2:$G$2001,G1973)&gt;1,"DUPLICADO","OK"))</f>
      </c>
      <c r="J1973" s="6">
        <f>IF(COUNTA(A1973:F1973)=0,"",IF(AND(A1973&lt;&gt;"",E1973&lt;&gt;""),"OK","ERRO: faltam "&amp;IF(A1973="","CNPJ; ","")&amp;IF(E1973="","Novo gerente; ","")))</f>
      </c>
      <c r="K1973" s="6">
        <f>IF(COUNTA(A1973:F1973)=0,"",IF(AND(LEFT(H1973,4)&lt;&gt;"ERRO",I1973="OK",J1973="OK"),"OK","REVISAR"))</f>
      </c>
    </row>
    <row r="1974">
      <c r="A1974" s="5"/>
      <c r="B1974" s="4"/>
      <c r="C1974" s="4"/>
      <c r="D1974" s="4"/>
      <c r="E1974" s="5"/>
      <c r="F1974" s="4"/>
      <c r="G1974" s="6">
        <f>IF(A1974="","",SUBSTITUTE(SUBSTITUTE(SUBSTITUTE(SUBSTITUTE(SUBSTITUTE(SUBSTITUTE(SUBSTITUTE(TRIM(A1974),".",""),"/",""),"-","")," ",""),"(",""),")",""),"+",""))</f>
      </c>
      <c r="H1974" s="6">
        <f>IF(G1974="","",IF(LEN(G1974)&lt;&gt;14,"ERRO: "&amp;LEN(G1974)&amp;" dígitos",IF(NOT(ISNUMBER(VALUE(G1974))),"ERRO: não numérico",IF(AND(VALUE(MID(G1974,13,1))=IF(MOD(SUMPRODUCT(--MID(G1974,{1,2,3,4,5,6,7,8,9,10,11,12},1),{5,4,3,2,9,8,7,6,5,4,3,2}),11)&lt;2,0,11-MOD(SUMPRODUCT(--MID(G1974,{1,2,3,4,5,6,7,8,9,10,11,12},1),{5,4,3,2,9,8,7,6,5,4,3,2}),11)),VALUE(MID(G1974,14,1))=IF(MOD(SUMPRODUCT(--MID(G1974,{1,2,3,4,5,6,7,8,9,10,11,12,13},1),{6,5,4,3,2,9,8,7,6,5,4,3,2}),11)&lt;2,0,11-MOD(SUMPRODUCT(--MID(G1974,{1,2,3,4,5,6,7,8,9,10,11,12,13},1),{6,5,4,3,2,9,8,7,6,5,4,3,2}),11))),"OK","AVISO: dígito verificador (conferir na org)"))))</f>
      </c>
      <c r="I1974" s="6">
        <f>IF(G1974="","",IF(COUNTIF($G$2:$G$2001,G1974)&gt;1,"DUPLICADO","OK"))</f>
      </c>
      <c r="J1974" s="6">
        <f>IF(COUNTA(A1974:F1974)=0,"",IF(AND(A1974&lt;&gt;"",E1974&lt;&gt;""),"OK","ERRO: faltam "&amp;IF(A1974="","CNPJ; ","")&amp;IF(E1974="","Novo gerente; ","")))</f>
      </c>
      <c r="K1974" s="6">
        <f>IF(COUNTA(A1974:F1974)=0,"",IF(AND(LEFT(H1974,4)&lt;&gt;"ERRO",I1974="OK",J1974="OK"),"OK","REVISAR"))</f>
      </c>
    </row>
    <row r="1975">
      <c r="A1975" s="5"/>
      <c r="B1975" s="4"/>
      <c r="C1975" s="4"/>
      <c r="D1975" s="4"/>
      <c r="E1975" s="5"/>
      <c r="F1975" s="4"/>
      <c r="G1975" s="6">
        <f>IF(A1975="","",SUBSTITUTE(SUBSTITUTE(SUBSTITUTE(SUBSTITUTE(SUBSTITUTE(SUBSTITUTE(SUBSTITUTE(TRIM(A1975),".",""),"/",""),"-","")," ",""),"(",""),")",""),"+",""))</f>
      </c>
      <c r="H1975" s="6">
        <f>IF(G1975="","",IF(LEN(G1975)&lt;&gt;14,"ERRO: "&amp;LEN(G1975)&amp;" dígitos",IF(NOT(ISNUMBER(VALUE(G1975))),"ERRO: não numérico",IF(AND(VALUE(MID(G1975,13,1))=IF(MOD(SUMPRODUCT(--MID(G1975,{1,2,3,4,5,6,7,8,9,10,11,12},1),{5,4,3,2,9,8,7,6,5,4,3,2}),11)&lt;2,0,11-MOD(SUMPRODUCT(--MID(G1975,{1,2,3,4,5,6,7,8,9,10,11,12},1),{5,4,3,2,9,8,7,6,5,4,3,2}),11)),VALUE(MID(G1975,14,1))=IF(MOD(SUMPRODUCT(--MID(G1975,{1,2,3,4,5,6,7,8,9,10,11,12,13},1),{6,5,4,3,2,9,8,7,6,5,4,3,2}),11)&lt;2,0,11-MOD(SUMPRODUCT(--MID(G1975,{1,2,3,4,5,6,7,8,9,10,11,12,13},1),{6,5,4,3,2,9,8,7,6,5,4,3,2}),11))),"OK","AVISO: dígito verificador (conferir na org)"))))</f>
      </c>
      <c r="I1975" s="6">
        <f>IF(G1975="","",IF(COUNTIF($G$2:$G$2001,G1975)&gt;1,"DUPLICADO","OK"))</f>
      </c>
      <c r="J1975" s="6">
        <f>IF(COUNTA(A1975:F1975)=0,"",IF(AND(A1975&lt;&gt;"",E1975&lt;&gt;""),"OK","ERRO: faltam "&amp;IF(A1975="","CNPJ; ","")&amp;IF(E1975="","Novo gerente; ","")))</f>
      </c>
      <c r="K1975" s="6">
        <f>IF(COUNTA(A1975:F1975)=0,"",IF(AND(LEFT(H1975,4)&lt;&gt;"ERRO",I1975="OK",J1975="OK"),"OK","REVISAR"))</f>
      </c>
    </row>
    <row r="1976">
      <c r="A1976" s="5"/>
      <c r="B1976" s="4"/>
      <c r="C1976" s="4"/>
      <c r="D1976" s="4"/>
      <c r="E1976" s="5"/>
      <c r="F1976" s="4"/>
      <c r="G1976" s="6">
        <f>IF(A1976="","",SUBSTITUTE(SUBSTITUTE(SUBSTITUTE(SUBSTITUTE(SUBSTITUTE(SUBSTITUTE(SUBSTITUTE(TRIM(A1976),".",""),"/",""),"-","")," ",""),"(",""),")",""),"+",""))</f>
      </c>
      <c r="H1976" s="6">
        <f>IF(G1976="","",IF(LEN(G1976)&lt;&gt;14,"ERRO: "&amp;LEN(G1976)&amp;" dígitos",IF(NOT(ISNUMBER(VALUE(G1976))),"ERRO: não numérico",IF(AND(VALUE(MID(G1976,13,1))=IF(MOD(SUMPRODUCT(--MID(G1976,{1,2,3,4,5,6,7,8,9,10,11,12},1),{5,4,3,2,9,8,7,6,5,4,3,2}),11)&lt;2,0,11-MOD(SUMPRODUCT(--MID(G1976,{1,2,3,4,5,6,7,8,9,10,11,12},1),{5,4,3,2,9,8,7,6,5,4,3,2}),11)),VALUE(MID(G1976,14,1))=IF(MOD(SUMPRODUCT(--MID(G1976,{1,2,3,4,5,6,7,8,9,10,11,12,13},1),{6,5,4,3,2,9,8,7,6,5,4,3,2}),11)&lt;2,0,11-MOD(SUMPRODUCT(--MID(G1976,{1,2,3,4,5,6,7,8,9,10,11,12,13},1),{6,5,4,3,2,9,8,7,6,5,4,3,2}),11))),"OK","AVISO: dígito verificador (conferir na org)"))))</f>
      </c>
      <c r="I1976" s="6">
        <f>IF(G1976="","",IF(COUNTIF($G$2:$G$2001,G1976)&gt;1,"DUPLICADO","OK"))</f>
      </c>
      <c r="J1976" s="6">
        <f>IF(COUNTA(A1976:F1976)=0,"",IF(AND(A1976&lt;&gt;"",E1976&lt;&gt;""),"OK","ERRO: faltam "&amp;IF(A1976="","CNPJ; ","")&amp;IF(E1976="","Novo gerente; ","")))</f>
      </c>
      <c r="K1976" s="6">
        <f>IF(COUNTA(A1976:F1976)=0,"",IF(AND(LEFT(H1976,4)&lt;&gt;"ERRO",I1976="OK",J1976="OK"),"OK","REVISAR"))</f>
      </c>
    </row>
    <row r="1977">
      <c r="A1977" s="5"/>
      <c r="B1977" s="4"/>
      <c r="C1977" s="4"/>
      <c r="D1977" s="4"/>
      <c r="E1977" s="5"/>
      <c r="F1977" s="4"/>
      <c r="G1977" s="6">
        <f>IF(A1977="","",SUBSTITUTE(SUBSTITUTE(SUBSTITUTE(SUBSTITUTE(SUBSTITUTE(SUBSTITUTE(SUBSTITUTE(TRIM(A1977),".",""),"/",""),"-","")," ",""),"(",""),")",""),"+",""))</f>
      </c>
      <c r="H1977" s="6">
        <f>IF(G1977="","",IF(LEN(G1977)&lt;&gt;14,"ERRO: "&amp;LEN(G1977)&amp;" dígitos",IF(NOT(ISNUMBER(VALUE(G1977))),"ERRO: não numérico",IF(AND(VALUE(MID(G1977,13,1))=IF(MOD(SUMPRODUCT(--MID(G1977,{1,2,3,4,5,6,7,8,9,10,11,12},1),{5,4,3,2,9,8,7,6,5,4,3,2}),11)&lt;2,0,11-MOD(SUMPRODUCT(--MID(G1977,{1,2,3,4,5,6,7,8,9,10,11,12},1),{5,4,3,2,9,8,7,6,5,4,3,2}),11)),VALUE(MID(G1977,14,1))=IF(MOD(SUMPRODUCT(--MID(G1977,{1,2,3,4,5,6,7,8,9,10,11,12,13},1),{6,5,4,3,2,9,8,7,6,5,4,3,2}),11)&lt;2,0,11-MOD(SUMPRODUCT(--MID(G1977,{1,2,3,4,5,6,7,8,9,10,11,12,13},1),{6,5,4,3,2,9,8,7,6,5,4,3,2}),11))),"OK","AVISO: dígito verificador (conferir na org)"))))</f>
      </c>
      <c r="I1977" s="6">
        <f>IF(G1977="","",IF(COUNTIF($G$2:$G$2001,G1977)&gt;1,"DUPLICADO","OK"))</f>
      </c>
      <c r="J1977" s="6">
        <f>IF(COUNTA(A1977:F1977)=0,"",IF(AND(A1977&lt;&gt;"",E1977&lt;&gt;""),"OK","ERRO: faltam "&amp;IF(A1977="","CNPJ; ","")&amp;IF(E1977="","Novo gerente; ","")))</f>
      </c>
      <c r="K1977" s="6">
        <f>IF(COUNTA(A1977:F1977)=0,"",IF(AND(LEFT(H1977,4)&lt;&gt;"ERRO",I1977="OK",J1977="OK"),"OK","REVISAR"))</f>
      </c>
    </row>
    <row r="1978">
      <c r="A1978" s="5"/>
      <c r="B1978" s="4"/>
      <c r="C1978" s="4"/>
      <c r="D1978" s="4"/>
      <c r="E1978" s="5"/>
      <c r="F1978" s="4"/>
      <c r="G1978" s="6">
        <f>IF(A1978="","",SUBSTITUTE(SUBSTITUTE(SUBSTITUTE(SUBSTITUTE(SUBSTITUTE(SUBSTITUTE(SUBSTITUTE(TRIM(A1978),".",""),"/",""),"-","")," ",""),"(",""),")",""),"+",""))</f>
      </c>
      <c r="H1978" s="6">
        <f>IF(G1978="","",IF(LEN(G1978)&lt;&gt;14,"ERRO: "&amp;LEN(G1978)&amp;" dígitos",IF(NOT(ISNUMBER(VALUE(G1978))),"ERRO: não numérico",IF(AND(VALUE(MID(G1978,13,1))=IF(MOD(SUMPRODUCT(--MID(G1978,{1,2,3,4,5,6,7,8,9,10,11,12},1),{5,4,3,2,9,8,7,6,5,4,3,2}),11)&lt;2,0,11-MOD(SUMPRODUCT(--MID(G1978,{1,2,3,4,5,6,7,8,9,10,11,12},1),{5,4,3,2,9,8,7,6,5,4,3,2}),11)),VALUE(MID(G1978,14,1))=IF(MOD(SUMPRODUCT(--MID(G1978,{1,2,3,4,5,6,7,8,9,10,11,12,13},1),{6,5,4,3,2,9,8,7,6,5,4,3,2}),11)&lt;2,0,11-MOD(SUMPRODUCT(--MID(G1978,{1,2,3,4,5,6,7,8,9,10,11,12,13},1),{6,5,4,3,2,9,8,7,6,5,4,3,2}),11))),"OK","AVISO: dígito verificador (conferir na org)"))))</f>
      </c>
      <c r="I1978" s="6">
        <f>IF(G1978="","",IF(COUNTIF($G$2:$G$2001,G1978)&gt;1,"DUPLICADO","OK"))</f>
      </c>
      <c r="J1978" s="6">
        <f>IF(COUNTA(A1978:F1978)=0,"",IF(AND(A1978&lt;&gt;"",E1978&lt;&gt;""),"OK","ERRO: faltam "&amp;IF(A1978="","CNPJ; ","")&amp;IF(E1978="","Novo gerente; ","")))</f>
      </c>
      <c r="K1978" s="6">
        <f>IF(COUNTA(A1978:F1978)=0,"",IF(AND(LEFT(H1978,4)&lt;&gt;"ERRO",I1978="OK",J1978="OK"),"OK","REVISAR"))</f>
      </c>
    </row>
    <row r="1979">
      <c r="A1979" s="5"/>
      <c r="B1979" s="4"/>
      <c r="C1979" s="4"/>
      <c r="D1979" s="4"/>
      <c r="E1979" s="5"/>
      <c r="F1979" s="4"/>
      <c r="G1979" s="6">
        <f>IF(A1979="","",SUBSTITUTE(SUBSTITUTE(SUBSTITUTE(SUBSTITUTE(SUBSTITUTE(SUBSTITUTE(SUBSTITUTE(TRIM(A1979),".",""),"/",""),"-","")," ",""),"(",""),")",""),"+",""))</f>
      </c>
      <c r="H1979" s="6">
        <f>IF(G1979="","",IF(LEN(G1979)&lt;&gt;14,"ERRO: "&amp;LEN(G1979)&amp;" dígitos",IF(NOT(ISNUMBER(VALUE(G1979))),"ERRO: não numérico",IF(AND(VALUE(MID(G1979,13,1))=IF(MOD(SUMPRODUCT(--MID(G1979,{1,2,3,4,5,6,7,8,9,10,11,12},1),{5,4,3,2,9,8,7,6,5,4,3,2}),11)&lt;2,0,11-MOD(SUMPRODUCT(--MID(G1979,{1,2,3,4,5,6,7,8,9,10,11,12},1),{5,4,3,2,9,8,7,6,5,4,3,2}),11)),VALUE(MID(G1979,14,1))=IF(MOD(SUMPRODUCT(--MID(G1979,{1,2,3,4,5,6,7,8,9,10,11,12,13},1),{6,5,4,3,2,9,8,7,6,5,4,3,2}),11)&lt;2,0,11-MOD(SUMPRODUCT(--MID(G1979,{1,2,3,4,5,6,7,8,9,10,11,12,13},1),{6,5,4,3,2,9,8,7,6,5,4,3,2}),11))),"OK","AVISO: dígito verificador (conferir na org)"))))</f>
      </c>
      <c r="I1979" s="6">
        <f>IF(G1979="","",IF(COUNTIF($G$2:$G$2001,G1979)&gt;1,"DUPLICADO","OK"))</f>
      </c>
      <c r="J1979" s="6">
        <f>IF(COUNTA(A1979:F1979)=0,"",IF(AND(A1979&lt;&gt;"",E1979&lt;&gt;""),"OK","ERRO: faltam "&amp;IF(A1979="","CNPJ; ","")&amp;IF(E1979="","Novo gerente; ","")))</f>
      </c>
      <c r="K1979" s="6">
        <f>IF(COUNTA(A1979:F1979)=0,"",IF(AND(LEFT(H1979,4)&lt;&gt;"ERRO",I1979="OK",J1979="OK"),"OK","REVISAR"))</f>
      </c>
    </row>
    <row r="1980">
      <c r="A1980" s="5"/>
      <c r="B1980" s="4"/>
      <c r="C1980" s="4"/>
      <c r="D1980" s="4"/>
      <c r="E1980" s="5"/>
      <c r="F1980" s="4"/>
      <c r="G1980" s="6">
        <f>IF(A1980="","",SUBSTITUTE(SUBSTITUTE(SUBSTITUTE(SUBSTITUTE(SUBSTITUTE(SUBSTITUTE(SUBSTITUTE(TRIM(A1980),".",""),"/",""),"-","")," ",""),"(",""),")",""),"+",""))</f>
      </c>
      <c r="H1980" s="6">
        <f>IF(G1980="","",IF(LEN(G1980)&lt;&gt;14,"ERRO: "&amp;LEN(G1980)&amp;" dígitos",IF(NOT(ISNUMBER(VALUE(G1980))),"ERRO: não numérico",IF(AND(VALUE(MID(G1980,13,1))=IF(MOD(SUMPRODUCT(--MID(G1980,{1,2,3,4,5,6,7,8,9,10,11,12},1),{5,4,3,2,9,8,7,6,5,4,3,2}),11)&lt;2,0,11-MOD(SUMPRODUCT(--MID(G1980,{1,2,3,4,5,6,7,8,9,10,11,12},1),{5,4,3,2,9,8,7,6,5,4,3,2}),11)),VALUE(MID(G1980,14,1))=IF(MOD(SUMPRODUCT(--MID(G1980,{1,2,3,4,5,6,7,8,9,10,11,12,13},1),{6,5,4,3,2,9,8,7,6,5,4,3,2}),11)&lt;2,0,11-MOD(SUMPRODUCT(--MID(G1980,{1,2,3,4,5,6,7,8,9,10,11,12,13},1),{6,5,4,3,2,9,8,7,6,5,4,3,2}),11))),"OK","AVISO: dígito verificador (conferir na org)"))))</f>
      </c>
      <c r="I1980" s="6">
        <f>IF(G1980="","",IF(COUNTIF($G$2:$G$2001,G1980)&gt;1,"DUPLICADO","OK"))</f>
      </c>
      <c r="J1980" s="6">
        <f>IF(COUNTA(A1980:F1980)=0,"",IF(AND(A1980&lt;&gt;"",E1980&lt;&gt;""),"OK","ERRO: faltam "&amp;IF(A1980="","CNPJ; ","")&amp;IF(E1980="","Novo gerente; ","")))</f>
      </c>
      <c r="K1980" s="6">
        <f>IF(COUNTA(A1980:F1980)=0,"",IF(AND(LEFT(H1980,4)&lt;&gt;"ERRO",I1980="OK",J1980="OK"),"OK","REVISAR"))</f>
      </c>
    </row>
    <row r="1981">
      <c r="A1981" s="5"/>
      <c r="B1981" s="4"/>
      <c r="C1981" s="4"/>
      <c r="D1981" s="4"/>
      <c r="E1981" s="5"/>
      <c r="F1981" s="4"/>
      <c r="G1981" s="6">
        <f>IF(A1981="","",SUBSTITUTE(SUBSTITUTE(SUBSTITUTE(SUBSTITUTE(SUBSTITUTE(SUBSTITUTE(SUBSTITUTE(TRIM(A1981),".",""),"/",""),"-","")," ",""),"(",""),")",""),"+",""))</f>
      </c>
      <c r="H1981" s="6">
        <f>IF(G1981="","",IF(LEN(G1981)&lt;&gt;14,"ERRO: "&amp;LEN(G1981)&amp;" dígitos",IF(NOT(ISNUMBER(VALUE(G1981))),"ERRO: não numérico",IF(AND(VALUE(MID(G1981,13,1))=IF(MOD(SUMPRODUCT(--MID(G1981,{1,2,3,4,5,6,7,8,9,10,11,12},1),{5,4,3,2,9,8,7,6,5,4,3,2}),11)&lt;2,0,11-MOD(SUMPRODUCT(--MID(G1981,{1,2,3,4,5,6,7,8,9,10,11,12},1),{5,4,3,2,9,8,7,6,5,4,3,2}),11)),VALUE(MID(G1981,14,1))=IF(MOD(SUMPRODUCT(--MID(G1981,{1,2,3,4,5,6,7,8,9,10,11,12,13},1),{6,5,4,3,2,9,8,7,6,5,4,3,2}),11)&lt;2,0,11-MOD(SUMPRODUCT(--MID(G1981,{1,2,3,4,5,6,7,8,9,10,11,12,13},1),{6,5,4,3,2,9,8,7,6,5,4,3,2}),11))),"OK","AVISO: dígito verificador (conferir na org)"))))</f>
      </c>
      <c r="I1981" s="6">
        <f>IF(G1981="","",IF(COUNTIF($G$2:$G$2001,G1981)&gt;1,"DUPLICADO","OK"))</f>
      </c>
      <c r="J1981" s="6">
        <f>IF(COUNTA(A1981:F1981)=0,"",IF(AND(A1981&lt;&gt;"",E1981&lt;&gt;""),"OK","ERRO: faltam "&amp;IF(A1981="","CNPJ; ","")&amp;IF(E1981="","Novo gerente; ","")))</f>
      </c>
      <c r="K1981" s="6">
        <f>IF(COUNTA(A1981:F1981)=0,"",IF(AND(LEFT(H1981,4)&lt;&gt;"ERRO",I1981="OK",J1981="OK"),"OK","REVISAR"))</f>
      </c>
    </row>
    <row r="1982">
      <c r="A1982" s="5"/>
      <c r="B1982" s="4"/>
      <c r="C1982" s="4"/>
      <c r="D1982" s="4"/>
      <c r="E1982" s="5"/>
      <c r="F1982" s="4"/>
      <c r="G1982" s="6">
        <f>IF(A1982="","",SUBSTITUTE(SUBSTITUTE(SUBSTITUTE(SUBSTITUTE(SUBSTITUTE(SUBSTITUTE(SUBSTITUTE(TRIM(A1982),".",""),"/",""),"-","")," ",""),"(",""),")",""),"+",""))</f>
      </c>
      <c r="H1982" s="6">
        <f>IF(G1982="","",IF(LEN(G1982)&lt;&gt;14,"ERRO: "&amp;LEN(G1982)&amp;" dígitos",IF(NOT(ISNUMBER(VALUE(G1982))),"ERRO: não numérico",IF(AND(VALUE(MID(G1982,13,1))=IF(MOD(SUMPRODUCT(--MID(G1982,{1,2,3,4,5,6,7,8,9,10,11,12},1),{5,4,3,2,9,8,7,6,5,4,3,2}),11)&lt;2,0,11-MOD(SUMPRODUCT(--MID(G1982,{1,2,3,4,5,6,7,8,9,10,11,12},1),{5,4,3,2,9,8,7,6,5,4,3,2}),11)),VALUE(MID(G1982,14,1))=IF(MOD(SUMPRODUCT(--MID(G1982,{1,2,3,4,5,6,7,8,9,10,11,12,13},1),{6,5,4,3,2,9,8,7,6,5,4,3,2}),11)&lt;2,0,11-MOD(SUMPRODUCT(--MID(G1982,{1,2,3,4,5,6,7,8,9,10,11,12,13},1),{6,5,4,3,2,9,8,7,6,5,4,3,2}),11))),"OK","AVISO: dígito verificador (conferir na org)"))))</f>
      </c>
      <c r="I1982" s="6">
        <f>IF(G1982="","",IF(COUNTIF($G$2:$G$2001,G1982)&gt;1,"DUPLICADO","OK"))</f>
      </c>
      <c r="J1982" s="6">
        <f>IF(COUNTA(A1982:F1982)=0,"",IF(AND(A1982&lt;&gt;"",E1982&lt;&gt;""),"OK","ERRO: faltam "&amp;IF(A1982="","CNPJ; ","")&amp;IF(E1982="","Novo gerente; ","")))</f>
      </c>
      <c r="K1982" s="6">
        <f>IF(COUNTA(A1982:F1982)=0,"",IF(AND(LEFT(H1982,4)&lt;&gt;"ERRO",I1982="OK",J1982="OK"),"OK","REVISAR"))</f>
      </c>
    </row>
    <row r="1983">
      <c r="A1983" s="5"/>
      <c r="B1983" s="4"/>
      <c r="C1983" s="4"/>
      <c r="D1983" s="4"/>
      <c r="E1983" s="5"/>
      <c r="F1983" s="4"/>
      <c r="G1983" s="6">
        <f>IF(A1983="","",SUBSTITUTE(SUBSTITUTE(SUBSTITUTE(SUBSTITUTE(SUBSTITUTE(SUBSTITUTE(SUBSTITUTE(TRIM(A1983),".",""),"/",""),"-","")," ",""),"(",""),")",""),"+",""))</f>
      </c>
      <c r="H1983" s="6">
        <f>IF(G1983="","",IF(LEN(G1983)&lt;&gt;14,"ERRO: "&amp;LEN(G1983)&amp;" dígitos",IF(NOT(ISNUMBER(VALUE(G1983))),"ERRO: não numérico",IF(AND(VALUE(MID(G1983,13,1))=IF(MOD(SUMPRODUCT(--MID(G1983,{1,2,3,4,5,6,7,8,9,10,11,12},1),{5,4,3,2,9,8,7,6,5,4,3,2}),11)&lt;2,0,11-MOD(SUMPRODUCT(--MID(G1983,{1,2,3,4,5,6,7,8,9,10,11,12},1),{5,4,3,2,9,8,7,6,5,4,3,2}),11)),VALUE(MID(G1983,14,1))=IF(MOD(SUMPRODUCT(--MID(G1983,{1,2,3,4,5,6,7,8,9,10,11,12,13},1),{6,5,4,3,2,9,8,7,6,5,4,3,2}),11)&lt;2,0,11-MOD(SUMPRODUCT(--MID(G1983,{1,2,3,4,5,6,7,8,9,10,11,12,13},1),{6,5,4,3,2,9,8,7,6,5,4,3,2}),11))),"OK","AVISO: dígito verificador (conferir na org)"))))</f>
      </c>
      <c r="I1983" s="6">
        <f>IF(G1983="","",IF(COUNTIF($G$2:$G$2001,G1983)&gt;1,"DUPLICADO","OK"))</f>
      </c>
      <c r="J1983" s="6">
        <f>IF(COUNTA(A1983:F1983)=0,"",IF(AND(A1983&lt;&gt;"",E1983&lt;&gt;""),"OK","ERRO: faltam "&amp;IF(A1983="","CNPJ; ","")&amp;IF(E1983="","Novo gerente; ","")))</f>
      </c>
      <c r="K1983" s="6">
        <f>IF(COUNTA(A1983:F1983)=0,"",IF(AND(LEFT(H1983,4)&lt;&gt;"ERRO",I1983="OK",J1983="OK"),"OK","REVISAR"))</f>
      </c>
    </row>
    <row r="1984">
      <c r="A1984" s="5"/>
      <c r="B1984" s="4"/>
      <c r="C1984" s="4"/>
      <c r="D1984" s="4"/>
      <c r="E1984" s="5"/>
      <c r="F1984" s="4"/>
      <c r="G1984" s="6">
        <f>IF(A1984="","",SUBSTITUTE(SUBSTITUTE(SUBSTITUTE(SUBSTITUTE(SUBSTITUTE(SUBSTITUTE(SUBSTITUTE(TRIM(A1984),".",""),"/",""),"-","")," ",""),"(",""),")",""),"+",""))</f>
      </c>
      <c r="H1984" s="6">
        <f>IF(G1984="","",IF(LEN(G1984)&lt;&gt;14,"ERRO: "&amp;LEN(G1984)&amp;" dígitos",IF(NOT(ISNUMBER(VALUE(G1984))),"ERRO: não numérico",IF(AND(VALUE(MID(G1984,13,1))=IF(MOD(SUMPRODUCT(--MID(G1984,{1,2,3,4,5,6,7,8,9,10,11,12},1),{5,4,3,2,9,8,7,6,5,4,3,2}),11)&lt;2,0,11-MOD(SUMPRODUCT(--MID(G1984,{1,2,3,4,5,6,7,8,9,10,11,12},1),{5,4,3,2,9,8,7,6,5,4,3,2}),11)),VALUE(MID(G1984,14,1))=IF(MOD(SUMPRODUCT(--MID(G1984,{1,2,3,4,5,6,7,8,9,10,11,12,13},1),{6,5,4,3,2,9,8,7,6,5,4,3,2}),11)&lt;2,0,11-MOD(SUMPRODUCT(--MID(G1984,{1,2,3,4,5,6,7,8,9,10,11,12,13},1),{6,5,4,3,2,9,8,7,6,5,4,3,2}),11))),"OK","AVISO: dígito verificador (conferir na org)"))))</f>
      </c>
      <c r="I1984" s="6">
        <f>IF(G1984="","",IF(COUNTIF($G$2:$G$2001,G1984)&gt;1,"DUPLICADO","OK"))</f>
      </c>
      <c r="J1984" s="6">
        <f>IF(COUNTA(A1984:F1984)=0,"",IF(AND(A1984&lt;&gt;"",E1984&lt;&gt;""),"OK","ERRO: faltam "&amp;IF(A1984="","CNPJ; ","")&amp;IF(E1984="","Novo gerente; ","")))</f>
      </c>
      <c r="K1984" s="6">
        <f>IF(COUNTA(A1984:F1984)=0,"",IF(AND(LEFT(H1984,4)&lt;&gt;"ERRO",I1984="OK",J1984="OK"),"OK","REVISAR"))</f>
      </c>
    </row>
    <row r="1985">
      <c r="A1985" s="5"/>
      <c r="B1985" s="4"/>
      <c r="C1985" s="4"/>
      <c r="D1985" s="4"/>
      <c r="E1985" s="5"/>
      <c r="F1985" s="4"/>
      <c r="G1985" s="6">
        <f>IF(A1985="","",SUBSTITUTE(SUBSTITUTE(SUBSTITUTE(SUBSTITUTE(SUBSTITUTE(SUBSTITUTE(SUBSTITUTE(TRIM(A1985),".",""),"/",""),"-","")," ",""),"(",""),")",""),"+",""))</f>
      </c>
      <c r="H1985" s="6">
        <f>IF(G1985="","",IF(LEN(G1985)&lt;&gt;14,"ERRO: "&amp;LEN(G1985)&amp;" dígitos",IF(NOT(ISNUMBER(VALUE(G1985))),"ERRO: não numérico",IF(AND(VALUE(MID(G1985,13,1))=IF(MOD(SUMPRODUCT(--MID(G1985,{1,2,3,4,5,6,7,8,9,10,11,12},1),{5,4,3,2,9,8,7,6,5,4,3,2}),11)&lt;2,0,11-MOD(SUMPRODUCT(--MID(G1985,{1,2,3,4,5,6,7,8,9,10,11,12},1),{5,4,3,2,9,8,7,6,5,4,3,2}),11)),VALUE(MID(G1985,14,1))=IF(MOD(SUMPRODUCT(--MID(G1985,{1,2,3,4,5,6,7,8,9,10,11,12,13},1),{6,5,4,3,2,9,8,7,6,5,4,3,2}),11)&lt;2,0,11-MOD(SUMPRODUCT(--MID(G1985,{1,2,3,4,5,6,7,8,9,10,11,12,13},1),{6,5,4,3,2,9,8,7,6,5,4,3,2}),11))),"OK","AVISO: dígito verificador (conferir na org)"))))</f>
      </c>
      <c r="I1985" s="6">
        <f>IF(G1985="","",IF(COUNTIF($G$2:$G$2001,G1985)&gt;1,"DUPLICADO","OK"))</f>
      </c>
      <c r="J1985" s="6">
        <f>IF(COUNTA(A1985:F1985)=0,"",IF(AND(A1985&lt;&gt;"",E1985&lt;&gt;""),"OK","ERRO: faltam "&amp;IF(A1985="","CNPJ; ","")&amp;IF(E1985="","Novo gerente; ","")))</f>
      </c>
      <c r="K1985" s="6">
        <f>IF(COUNTA(A1985:F1985)=0,"",IF(AND(LEFT(H1985,4)&lt;&gt;"ERRO",I1985="OK",J1985="OK"),"OK","REVISAR"))</f>
      </c>
    </row>
    <row r="1986">
      <c r="A1986" s="5"/>
      <c r="B1986" s="4"/>
      <c r="C1986" s="4"/>
      <c r="D1986" s="4"/>
      <c r="E1986" s="5"/>
      <c r="F1986" s="4"/>
      <c r="G1986" s="6">
        <f>IF(A1986="","",SUBSTITUTE(SUBSTITUTE(SUBSTITUTE(SUBSTITUTE(SUBSTITUTE(SUBSTITUTE(SUBSTITUTE(TRIM(A1986),".",""),"/",""),"-","")," ",""),"(",""),")",""),"+",""))</f>
      </c>
      <c r="H1986" s="6">
        <f>IF(G1986="","",IF(LEN(G1986)&lt;&gt;14,"ERRO: "&amp;LEN(G1986)&amp;" dígitos",IF(NOT(ISNUMBER(VALUE(G1986))),"ERRO: não numérico",IF(AND(VALUE(MID(G1986,13,1))=IF(MOD(SUMPRODUCT(--MID(G1986,{1,2,3,4,5,6,7,8,9,10,11,12},1),{5,4,3,2,9,8,7,6,5,4,3,2}),11)&lt;2,0,11-MOD(SUMPRODUCT(--MID(G1986,{1,2,3,4,5,6,7,8,9,10,11,12},1),{5,4,3,2,9,8,7,6,5,4,3,2}),11)),VALUE(MID(G1986,14,1))=IF(MOD(SUMPRODUCT(--MID(G1986,{1,2,3,4,5,6,7,8,9,10,11,12,13},1),{6,5,4,3,2,9,8,7,6,5,4,3,2}),11)&lt;2,0,11-MOD(SUMPRODUCT(--MID(G1986,{1,2,3,4,5,6,7,8,9,10,11,12,13},1),{6,5,4,3,2,9,8,7,6,5,4,3,2}),11))),"OK","AVISO: dígito verificador (conferir na org)"))))</f>
      </c>
      <c r="I1986" s="6">
        <f>IF(G1986="","",IF(COUNTIF($G$2:$G$2001,G1986)&gt;1,"DUPLICADO","OK"))</f>
      </c>
      <c r="J1986" s="6">
        <f>IF(COUNTA(A1986:F1986)=0,"",IF(AND(A1986&lt;&gt;"",E1986&lt;&gt;""),"OK","ERRO: faltam "&amp;IF(A1986="","CNPJ; ","")&amp;IF(E1986="","Novo gerente; ","")))</f>
      </c>
      <c r="K1986" s="6">
        <f>IF(COUNTA(A1986:F1986)=0,"",IF(AND(LEFT(H1986,4)&lt;&gt;"ERRO",I1986="OK",J1986="OK"),"OK","REVISAR"))</f>
      </c>
    </row>
    <row r="1987">
      <c r="A1987" s="5"/>
      <c r="B1987" s="4"/>
      <c r="C1987" s="4"/>
      <c r="D1987" s="4"/>
      <c r="E1987" s="5"/>
      <c r="F1987" s="4"/>
      <c r="G1987" s="6">
        <f>IF(A1987="","",SUBSTITUTE(SUBSTITUTE(SUBSTITUTE(SUBSTITUTE(SUBSTITUTE(SUBSTITUTE(SUBSTITUTE(TRIM(A1987),".",""),"/",""),"-","")," ",""),"(",""),")",""),"+",""))</f>
      </c>
      <c r="H1987" s="6">
        <f>IF(G1987="","",IF(LEN(G1987)&lt;&gt;14,"ERRO: "&amp;LEN(G1987)&amp;" dígitos",IF(NOT(ISNUMBER(VALUE(G1987))),"ERRO: não numérico",IF(AND(VALUE(MID(G1987,13,1))=IF(MOD(SUMPRODUCT(--MID(G1987,{1,2,3,4,5,6,7,8,9,10,11,12},1),{5,4,3,2,9,8,7,6,5,4,3,2}),11)&lt;2,0,11-MOD(SUMPRODUCT(--MID(G1987,{1,2,3,4,5,6,7,8,9,10,11,12},1),{5,4,3,2,9,8,7,6,5,4,3,2}),11)),VALUE(MID(G1987,14,1))=IF(MOD(SUMPRODUCT(--MID(G1987,{1,2,3,4,5,6,7,8,9,10,11,12,13},1),{6,5,4,3,2,9,8,7,6,5,4,3,2}),11)&lt;2,0,11-MOD(SUMPRODUCT(--MID(G1987,{1,2,3,4,5,6,7,8,9,10,11,12,13},1),{6,5,4,3,2,9,8,7,6,5,4,3,2}),11))),"OK","AVISO: dígito verificador (conferir na org)"))))</f>
      </c>
      <c r="I1987" s="6">
        <f>IF(G1987="","",IF(COUNTIF($G$2:$G$2001,G1987)&gt;1,"DUPLICADO","OK"))</f>
      </c>
      <c r="J1987" s="6">
        <f>IF(COUNTA(A1987:F1987)=0,"",IF(AND(A1987&lt;&gt;"",E1987&lt;&gt;""),"OK","ERRO: faltam "&amp;IF(A1987="","CNPJ; ","")&amp;IF(E1987="","Novo gerente; ","")))</f>
      </c>
      <c r="K1987" s="6">
        <f>IF(COUNTA(A1987:F1987)=0,"",IF(AND(LEFT(H1987,4)&lt;&gt;"ERRO",I1987="OK",J1987="OK"),"OK","REVISAR"))</f>
      </c>
    </row>
    <row r="1988">
      <c r="A1988" s="5"/>
      <c r="B1988" s="4"/>
      <c r="C1988" s="4"/>
      <c r="D1988" s="4"/>
      <c r="E1988" s="5"/>
      <c r="F1988" s="4"/>
      <c r="G1988" s="6">
        <f>IF(A1988="","",SUBSTITUTE(SUBSTITUTE(SUBSTITUTE(SUBSTITUTE(SUBSTITUTE(SUBSTITUTE(SUBSTITUTE(TRIM(A1988),".",""),"/",""),"-","")," ",""),"(",""),")",""),"+",""))</f>
      </c>
      <c r="H1988" s="6">
        <f>IF(G1988="","",IF(LEN(G1988)&lt;&gt;14,"ERRO: "&amp;LEN(G1988)&amp;" dígitos",IF(NOT(ISNUMBER(VALUE(G1988))),"ERRO: não numérico",IF(AND(VALUE(MID(G1988,13,1))=IF(MOD(SUMPRODUCT(--MID(G1988,{1,2,3,4,5,6,7,8,9,10,11,12},1),{5,4,3,2,9,8,7,6,5,4,3,2}),11)&lt;2,0,11-MOD(SUMPRODUCT(--MID(G1988,{1,2,3,4,5,6,7,8,9,10,11,12},1),{5,4,3,2,9,8,7,6,5,4,3,2}),11)),VALUE(MID(G1988,14,1))=IF(MOD(SUMPRODUCT(--MID(G1988,{1,2,3,4,5,6,7,8,9,10,11,12,13},1),{6,5,4,3,2,9,8,7,6,5,4,3,2}),11)&lt;2,0,11-MOD(SUMPRODUCT(--MID(G1988,{1,2,3,4,5,6,7,8,9,10,11,12,13},1),{6,5,4,3,2,9,8,7,6,5,4,3,2}),11))),"OK","AVISO: dígito verificador (conferir na org)"))))</f>
      </c>
      <c r="I1988" s="6">
        <f>IF(G1988="","",IF(COUNTIF($G$2:$G$2001,G1988)&gt;1,"DUPLICADO","OK"))</f>
      </c>
      <c r="J1988" s="6">
        <f>IF(COUNTA(A1988:F1988)=0,"",IF(AND(A1988&lt;&gt;"",E1988&lt;&gt;""),"OK","ERRO: faltam "&amp;IF(A1988="","CNPJ; ","")&amp;IF(E1988="","Novo gerente; ","")))</f>
      </c>
      <c r="K1988" s="6">
        <f>IF(COUNTA(A1988:F1988)=0,"",IF(AND(LEFT(H1988,4)&lt;&gt;"ERRO",I1988="OK",J1988="OK"),"OK","REVISAR"))</f>
      </c>
    </row>
    <row r="1989">
      <c r="A1989" s="5"/>
      <c r="B1989" s="4"/>
      <c r="C1989" s="4"/>
      <c r="D1989" s="4"/>
      <c r="E1989" s="5"/>
      <c r="F1989" s="4"/>
      <c r="G1989" s="6">
        <f>IF(A1989="","",SUBSTITUTE(SUBSTITUTE(SUBSTITUTE(SUBSTITUTE(SUBSTITUTE(SUBSTITUTE(SUBSTITUTE(TRIM(A1989),".",""),"/",""),"-","")," ",""),"(",""),")",""),"+",""))</f>
      </c>
      <c r="H1989" s="6">
        <f>IF(G1989="","",IF(LEN(G1989)&lt;&gt;14,"ERRO: "&amp;LEN(G1989)&amp;" dígitos",IF(NOT(ISNUMBER(VALUE(G1989))),"ERRO: não numérico",IF(AND(VALUE(MID(G1989,13,1))=IF(MOD(SUMPRODUCT(--MID(G1989,{1,2,3,4,5,6,7,8,9,10,11,12},1),{5,4,3,2,9,8,7,6,5,4,3,2}),11)&lt;2,0,11-MOD(SUMPRODUCT(--MID(G1989,{1,2,3,4,5,6,7,8,9,10,11,12},1),{5,4,3,2,9,8,7,6,5,4,3,2}),11)),VALUE(MID(G1989,14,1))=IF(MOD(SUMPRODUCT(--MID(G1989,{1,2,3,4,5,6,7,8,9,10,11,12,13},1),{6,5,4,3,2,9,8,7,6,5,4,3,2}),11)&lt;2,0,11-MOD(SUMPRODUCT(--MID(G1989,{1,2,3,4,5,6,7,8,9,10,11,12,13},1),{6,5,4,3,2,9,8,7,6,5,4,3,2}),11))),"OK","AVISO: dígito verificador (conferir na org)"))))</f>
      </c>
      <c r="I1989" s="6">
        <f>IF(G1989="","",IF(COUNTIF($G$2:$G$2001,G1989)&gt;1,"DUPLICADO","OK"))</f>
      </c>
      <c r="J1989" s="6">
        <f>IF(COUNTA(A1989:F1989)=0,"",IF(AND(A1989&lt;&gt;"",E1989&lt;&gt;""),"OK","ERRO: faltam "&amp;IF(A1989="","CNPJ; ","")&amp;IF(E1989="","Novo gerente; ","")))</f>
      </c>
      <c r="K1989" s="6">
        <f>IF(COUNTA(A1989:F1989)=0,"",IF(AND(LEFT(H1989,4)&lt;&gt;"ERRO",I1989="OK",J1989="OK"),"OK","REVISAR"))</f>
      </c>
    </row>
    <row r="1990">
      <c r="A1990" s="5"/>
      <c r="B1990" s="4"/>
      <c r="C1990" s="4"/>
      <c r="D1990" s="4"/>
      <c r="E1990" s="5"/>
      <c r="F1990" s="4"/>
      <c r="G1990" s="6">
        <f>IF(A1990="","",SUBSTITUTE(SUBSTITUTE(SUBSTITUTE(SUBSTITUTE(SUBSTITUTE(SUBSTITUTE(SUBSTITUTE(TRIM(A1990),".",""),"/",""),"-","")," ",""),"(",""),")",""),"+",""))</f>
      </c>
      <c r="H1990" s="6">
        <f>IF(G1990="","",IF(LEN(G1990)&lt;&gt;14,"ERRO: "&amp;LEN(G1990)&amp;" dígitos",IF(NOT(ISNUMBER(VALUE(G1990))),"ERRO: não numérico",IF(AND(VALUE(MID(G1990,13,1))=IF(MOD(SUMPRODUCT(--MID(G1990,{1,2,3,4,5,6,7,8,9,10,11,12},1),{5,4,3,2,9,8,7,6,5,4,3,2}),11)&lt;2,0,11-MOD(SUMPRODUCT(--MID(G1990,{1,2,3,4,5,6,7,8,9,10,11,12},1),{5,4,3,2,9,8,7,6,5,4,3,2}),11)),VALUE(MID(G1990,14,1))=IF(MOD(SUMPRODUCT(--MID(G1990,{1,2,3,4,5,6,7,8,9,10,11,12,13},1),{6,5,4,3,2,9,8,7,6,5,4,3,2}),11)&lt;2,0,11-MOD(SUMPRODUCT(--MID(G1990,{1,2,3,4,5,6,7,8,9,10,11,12,13},1),{6,5,4,3,2,9,8,7,6,5,4,3,2}),11))),"OK","AVISO: dígito verificador (conferir na org)"))))</f>
      </c>
      <c r="I1990" s="6">
        <f>IF(G1990="","",IF(COUNTIF($G$2:$G$2001,G1990)&gt;1,"DUPLICADO","OK"))</f>
      </c>
      <c r="J1990" s="6">
        <f>IF(COUNTA(A1990:F1990)=0,"",IF(AND(A1990&lt;&gt;"",E1990&lt;&gt;""),"OK","ERRO: faltam "&amp;IF(A1990="","CNPJ; ","")&amp;IF(E1990="","Novo gerente; ","")))</f>
      </c>
      <c r="K1990" s="6">
        <f>IF(COUNTA(A1990:F1990)=0,"",IF(AND(LEFT(H1990,4)&lt;&gt;"ERRO",I1990="OK",J1990="OK"),"OK","REVISAR"))</f>
      </c>
    </row>
    <row r="1991">
      <c r="A1991" s="5"/>
      <c r="B1991" s="4"/>
      <c r="C1991" s="4"/>
      <c r="D1991" s="4"/>
      <c r="E1991" s="5"/>
      <c r="F1991" s="4"/>
      <c r="G1991" s="6">
        <f>IF(A1991="","",SUBSTITUTE(SUBSTITUTE(SUBSTITUTE(SUBSTITUTE(SUBSTITUTE(SUBSTITUTE(SUBSTITUTE(TRIM(A1991),".",""),"/",""),"-","")," ",""),"(",""),")",""),"+",""))</f>
      </c>
      <c r="H1991" s="6">
        <f>IF(G1991="","",IF(LEN(G1991)&lt;&gt;14,"ERRO: "&amp;LEN(G1991)&amp;" dígitos",IF(NOT(ISNUMBER(VALUE(G1991))),"ERRO: não numérico",IF(AND(VALUE(MID(G1991,13,1))=IF(MOD(SUMPRODUCT(--MID(G1991,{1,2,3,4,5,6,7,8,9,10,11,12},1),{5,4,3,2,9,8,7,6,5,4,3,2}),11)&lt;2,0,11-MOD(SUMPRODUCT(--MID(G1991,{1,2,3,4,5,6,7,8,9,10,11,12},1),{5,4,3,2,9,8,7,6,5,4,3,2}),11)),VALUE(MID(G1991,14,1))=IF(MOD(SUMPRODUCT(--MID(G1991,{1,2,3,4,5,6,7,8,9,10,11,12,13},1),{6,5,4,3,2,9,8,7,6,5,4,3,2}),11)&lt;2,0,11-MOD(SUMPRODUCT(--MID(G1991,{1,2,3,4,5,6,7,8,9,10,11,12,13},1),{6,5,4,3,2,9,8,7,6,5,4,3,2}),11))),"OK","AVISO: dígito verificador (conferir na org)"))))</f>
      </c>
      <c r="I1991" s="6">
        <f>IF(G1991="","",IF(COUNTIF($G$2:$G$2001,G1991)&gt;1,"DUPLICADO","OK"))</f>
      </c>
      <c r="J1991" s="6">
        <f>IF(COUNTA(A1991:F1991)=0,"",IF(AND(A1991&lt;&gt;"",E1991&lt;&gt;""),"OK","ERRO: faltam "&amp;IF(A1991="","CNPJ; ","")&amp;IF(E1991="","Novo gerente; ","")))</f>
      </c>
      <c r="K1991" s="6">
        <f>IF(COUNTA(A1991:F1991)=0,"",IF(AND(LEFT(H1991,4)&lt;&gt;"ERRO",I1991="OK",J1991="OK"),"OK","REVISAR"))</f>
      </c>
    </row>
    <row r="1992">
      <c r="A1992" s="5"/>
      <c r="B1992" s="4"/>
      <c r="C1992" s="4"/>
      <c r="D1992" s="4"/>
      <c r="E1992" s="5"/>
      <c r="F1992" s="4"/>
      <c r="G1992" s="6">
        <f>IF(A1992="","",SUBSTITUTE(SUBSTITUTE(SUBSTITUTE(SUBSTITUTE(SUBSTITUTE(SUBSTITUTE(SUBSTITUTE(TRIM(A1992),".",""),"/",""),"-","")," ",""),"(",""),")",""),"+",""))</f>
      </c>
      <c r="H1992" s="6">
        <f>IF(G1992="","",IF(LEN(G1992)&lt;&gt;14,"ERRO: "&amp;LEN(G1992)&amp;" dígitos",IF(NOT(ISNUMBER(VALUE(G1992))),"ERRO: não numérico",IF(AND(VALUE(MID(G1992,13,1))=IF(MOD(SUMPRODUCT(--MID(G1992,{1,2,3,4,5,6,7,8,9,10,11,12},1),{5,4,3,2,9,8,7,6,5,4,3,2}),11)&lt;2,0,11-MOD(SUMPRODUCT(--MID(G1992,{1,2,3,4,5,6,7,8,9,10,11,12},1),{5,4,3,2,9,8,7,6,5,4,3,2}),11)),VALUE(MID(G1992,14,1))=IF(MOD(SUMPRODUCT(--MID(G1992,{1,2,3,4,5,6,7,8,9,10,11,12,13},1),{6,5,4,3,2,9,8,7,6,5,4,3,2}),11)&lt;2,0,11-MOD(SUMPRODUCT(--MID(G1992,{1,2,3,4,5,6,7,8,9,10,11,12,13},1),{6,5,4,3,2,9,8,7,6,5,4,3,2}),11))),"OK","AVISO: dígito verificador (conferir na org)"))))</f>
      </c>
      <c r="I1992" s="6">
        <f>IF(G1992="","",IF(COUNTIF($G$2:$G$2001,G1992)&gt;1,"DUPLICADO","OK"))</f>
      </c>
      <c r="J1992" s="6">
        <f>IF(COUNTA(A1992:F1992)=0,"",IF(AND(A1992&lt;&gt;"",E1992&lt;&gt;""),"OK","ERRO: faltam "&amp;IF(A1992="","CNPJ; ","")&amp;IF(E1992="","Novo gerente; ","")))</f>
      </c>
      <c r="K1992" s="6">
        <f>IF(COUNTA(A1992:F1992)=0,"",IF(AND(LEFT(H1992,4)&lt;&gt;"ERRO",I1992="OK",J1992="OK"),"OK","REVISAR"))</f>
      </c>
    </row>
    <row r="1993">
      <c r="A1993" s="5"/>
      <c r="B1993" s="4"/>
      <c r="C1993" s="4"/>
      <c r="D1993" s="4"/>
      <c r="E1993" s="5"/>
      <c r="F1993" s="4"/>
      <c r="G1993" s="6">
        <f>IF(A1993="","",SUBSTITUTE(SUBSTITUTE(SUBSTITUTE(SUBSTITUTE(SUBSTITUTE(SUBSTITUTE(SUBSTITUTE(TRIM(A1993),".",""),"/",""),"-","")," ",""),"(",""),")",""),"+",""))</f>
      </c>
      <c r="H1993" s="6">
        <f>IF(G1993="","",IF(LEN(G1993)&lt;&gt;14,"ERRO: "&amp;LEN(G1993)&amp;" dígitos",IF(NOT(ISNUMBER(VALUE(G1993))),"ERRO: não numérico",IF(AND(VALUE(MID(G1993,13,1))=IF(MOD(SUMPRODUCT(--MID(G1993,{1,2,3,4,5,6,7,8,9,10,11,12},1),{5,4,3,2,9,8,7,6,5,4,3,2}),11)&lt;2,0,11-MOD(SUMPRODUCT(--MID(G1993,{1,2,3,4,5,6,7,8,9,10,11,12},1),{5,4,3,2,9,8,7,6,5,4,3,2}),11)),VALUE(MID(G1993,14,1))=IF(MOD(SUMPRODUCT(--MID(G1993,{1,2,3,4,5,6,7,8,9,10,11,12,13},1),{6,5,4,3,2,9,8,7,6,5,4,3,2}),11)&lt;2,0,11-MOD(SUMPRODUCT(--MID(G1993,{1,2,3,4,5,6,7,8,9,10,11,12,13},1),{6,5,4,3,2,9,8,7,6,5,4,3,2}),11))),"OK","AVISO: dígito verificador (conferir na org)"))))</f>
      </c>
      <c r="I1993" s="6">
        <f>IF(G1993="","",IF(COUNTIF($G$2:$G$2001,G1993)&gt;1,"DUPLICADO","OK"))</f>
      </c>
      <c r="J1993" s="6">
        <f>IF(COUNTA(A1993:F1993)=0,"",IF(AND(A1993&lt;&gt;"",E1993&lt;&gt;""),"OK","ERRO: faltam "&amp;IF(A1993="","CNPJ; ","")&amp;IF(E1993="","Novo gerente; ","")))</f>
      </c>
      <c r="K1993" s="6">
        <f>IF(COUNTA(A1993:F1993)=0,"",IF(AND(LEFT(H1993,4)&lt;&gt;"ERRO",I1993="OK",J1993="OK"),"OK","REVISAR"))</f>
      </c>
    </row>
    <row r="1994">
      <c r="A1994" s="5"/>
      <c r="B1994" s="4"/>
      <c r="C1994" s="4"/>
      <c r="D1994" s="4"/>
      <c r="E1994" s="5"/>
      <c r="F1994" s="4"/>
      <c r="G1994" s="6">
        <f>IF(A1994="","",SUBSTITUTE(SUBSTITUTE(SUBSTITUTE(SUBSTITUTE(SUBSTITUTE(SUBSTITUTE(SUBSTITUTE(TRIM(A1994),".",""),"/",""),"-","")," ",""),"(",""),")",""),"+",""))</f>
      </c>
      <c r="H1994" s="6">
        <f>IF(G1994="","",IF(LEN(G1994)&lt;&gt;14,"ERRO: "&amp;LEN(G1994)&amp;" dígitos",IF(NOT(ISNUMBER(VALUE(G1994))),"ERRO: não numérico",IF(AND(VALUE(MID(G1994,13,1))=IF(MOD(SUMPRODUCT(--MID(G1994,{1,2,3,4,5,6,7,8,9,10,11,12},1),{5,4,3,2,9,8,7,6,5,4,3,2}),11)&lt;2,0,11-MOD(SUMPRODUCT(--MID(G1994,{1,2,3,4,5,6,7,8,9,10,11,12},1),{5,4,3,2,9,8,7,6,5,4,3,2}),11)),VALUE(MID(G1994,14,1))=IF(MOD(SUMPRODUCT(--MID(G1994,{1,2,3,4,5,6,7,8,9,10,11,12,13},1),{6,5,4,3,2,9,8,7,6,5,4,3,2}),11)&lt;2,0,11-MOD(SUMPRODUCT(--MID(G1994,{1,2,3,4,5,6,7,8,9,10,11,12,13},1),{6,5,4,3,2,9,8,7,6,5,4,3,2}),11))),"OK","AVISO: dígito verificador (conferir na org)"))))</f>
      </c>
      <c r="I1994" s="6">
        <f>IF(G1994="","",IF(COUNTIF($G$2:$G$2001,G1994)&gt;1,"DUPLICADO","OK"))</f>
      </c>
      <c r="J1994" s="6">
        <f>IF(COUNTA(A1994:F1994)=0,"",IF(AND(A1994&lt;&gt;"",E1994&lt;&gt;""),"OK","ERRO: faltam "&amp;IF(A1994="","CNPJ; ","")&amp;IF(E1994="","Novo gerente; ","")))</f>
      </c>
      <c r="K1994" s="6">
        <f>IF(COUNTA(A1994:F1994)=0,"",IF(AND(LEFT(H1994,4)&lt;&gt;"ERRO",I1994="OK",J1994="OK"),"OK","REVISAR"))</f>
      </c>
    </row>
    <row r="1995">
      <c r="A1995" s="5"/>
      <c r="B1995" s="4"/>
      <c r="C1995" s="4"/>
      <c r="D1995" s="4"/>
      <c r="E1995" s="5"/>
      <c r="F1995" s="4"/>
      <c r="G1995" s="6">
        <f>IF(A1995="","",SUBSTITUTE(SUBSTITUTE(SUBSTITUTE(SUBSTITUTE(SUBSTITUTE(SUBSTITUTE(SUBSTITUTE(TRIM(A1995),".",""),"/",""),"-","")," ",""),"(",""),")",""),"+",""))</f>
      </c>
      <c r="H1995" s="6">
        <f>IF(G1995="","",IF(LEN(G1995)&lt;&gt;14,"ERRO: "&amp;LEN(G1995)&amp;" dígitos",IF(NOT(ISNUMBER(VALUE(G1995))),"ERRO: não numérico",IF(AND(VALUE(MID(G1995,13,1))=IF(MOD(SUMPRODUCT(--MID(G1995,{1,2,3,4,5,6,7,8,9,10,11,12},1),{5,4,3,2,9,8,7,6,5,4,3,2}),11)&lt;2,0,11-MOD(SUMPRODUCT(--MID(G1995,{1,2,3,4,5,6,7,8,9,10,11,12},1),{5,4,3,2,9,8,7,6,5,4,3,2}),11)),VALUE(MID(G1995,14,1))=IF(MOD(SUMPRODUCT(--MID(G1995,{1,2,3,4,5,6,7,8,9,10,11,12,13},1),{6,5,4,3,2,9,8,7,6,5,4,3,2}),11)&lt;2,0,11-MOD(SUMPRODUCT(--MID(G1995,{1,2,3,4,5,6,7,8,9,10,11,12,13},1),{6,5,4,3,2,9,8,7,6,5,4,3,2}),11))),"OK","AVISO: dígito verificador (conferir na org)"))))</f>
      </c>
      <c r="I1995" s="6">
        <f>IF(G1995="","",IF(COUNTIF($G$2:$G$2001,G1995)&gt;1,"DUPLICADO","OK"))</f>
      </c>
      <c r="J1995" s="6">
        <f>IF(COUNTA(A1995:F1995)=0,"",IF(AND(A1995&lt;&gt;"",E1995&lt;&gt;""),"OK","ERRO: faltam "&amp;IF(A1995="","CNPJ; ","")&amp;IF(E1995="","Novo gerente; ","")))</f>
      </c>
      <c r="K1995" s="6">
        <f>IF(COUNTA(A1995:F1995)=0,"",IF(AND(LEFT(H1995,4)&lt;&gt;"ERRO",I1995="OK",J1995="OK"),"OK","REVISAR"))</f>
      </c>
    </row>
    <row r="1996">
      <c r="A1996" s="5"/>
      <c r="B1996" s="4"/>
      <c r="C1996" s="4"/>
      <c r="D1996" s="4"/>
      <c r="E1996" s="5"/>
      <c r="F1996" s="4"/>
      <c r="G1996" s="6">
        <f>IF(A1996="","",SUBSTITUTE(SUBSTITUTE(SUBSTITUTE(SUBSTITUTE(SUBSTITUTE(SUBSTITUTE(SUBSTITUTE(TRIM(A1996),".",""),"/",""),"-","")," ",""),"(",""),")",""),"+",""))</f>
      </c>
      <c r="H1996" s="6">
        <f>IF(G1996="","",IF(LEN(G1996)&lt;&gt;14,"ERRO: "&amp;LEN(G1996)&amp;" dígitos",IF(NOT(ISNUMBER(VALUE(G1996))),"ERRO: não numérico",IF(AND(VALUE(MID(G1996,13,1))=IF(MOD(SUMPRODUCT(--MID(G1996,{1,2,3,4,5,6,7,8,9,10,11,12},1),{5,4,3,2,9,8,7,6,5,4,3,2}),11)&lt;2,0,11-MOD(SUMPRODUCT(--MID(G1996,{1,2,3,4,5,6,7,8,9,10,11,12},1),{5,4,3,2,9,8,7,6,5,4,3,2}),11)),VALUE(MID(G1996,14,1))=IF(MOD(SUMPRODUCT(--MID(G1996,{1,2,3,4,5,6,7,8,9,10,11,12,13},1),{6,5,4,3,2,9,8,7,6,5,4,3,2}),11)&lt;2,0,11-MOD(SUMPRODUCT(--MID(G1996,{1,2,3,4,5,6,7,8,9,10,11,12,13},1),{6,5,4,3,2,9,8,7,6,5,4,3,2}),11))),"OK","AVISO: dígito verificador (conferir na org)"))))</f>
      </c>
      <c r="I1996" s="6">
        <f>IF(G1996="","",IF(COUNTIF($G$2:$G$2001,G1996)&gt;1,"DUPLICADO","OK"))</f>
      </c>
      <c r="J1996" s="6">
        <f>IF(COUNTA(A1996:F1996)=0,"",IF(AND(A1996&lt;&gt;"",E1996&lt;&gt;""),"OK","ERRO: faltam "&amp;IF(A1996="","CNPJ; ","")&amp;IF(E1996="","Novo gerente; ","")))</f>
      </c>
      <c r="K1996" s="6">
        <f>IF(COUNTA(A1996:F1996)=0,"",IF(AND(LEFT(H1996,4)&lt;&gt;"ERRO",I1996="OK",J1996="OK"),"OK","REVISAR"))</f>
      </c>
    </row>
    <row r="1997">
      <c r="A1997" s="5"/>
      <c r="B1997" s="4"/>
      <c r="C1997" s="4"/>
      <c r="D1997" s="4"/>
      <c r="E1997" s="5"/>
      <c r="F1997" s="4"/>
      <c r="G1997" s="6">
        <f>IF(A1997="","",SUBSTITUTE(SUBSTITUTE(SUBSTITUTE(SUBSTITUTE(SUBSTITUTE(SUBSTITUTE(SUBSTITUTE(TRIM(A1997),".",""),"/",""),"-","")," ",""),"(",""),")",""),"+",""))</f>
      </c>
      <c r="H1997" s="6">
        <f>IF(G1997="","",IF(LEN(G1997)&lt;&gt;14,"ERRO: "&amp;LEN(G1997)&amp;" dígitos",IF(NOT(ISNUMBER(VALUE(G1997))),"ERRO: não numérico",IF(AND(VALUE(MID(G1997,13,1))=IF(MOD(SUMPRODUCT(--MID(G1997,{1,2,3,4,5,6,7,8,9,10,11,12},1),{5,4,3,2,9,8,7,6,5,4,3,2}),11)&lt;2,0,11-MOD(SUMPRODUCT(--MID(G1997,{1,2,3,4,5,6,7,8,9,10,11,12},1),{5,4,3,2,9,8,7,6,5,4,3,2}),11)),VALUE(MID(G1997,14,1))=IF(MOD(SUMPRODUCT(--MID(G1997,{1,2,3,4,5,6,7,8,9,10,11,12,13},1),{6,5,4,3,2,9,8,7,6,5,4,3,2}),11)&lt;2,0,11-MOD(SUMPRODUCT(--MID(G1997,{1,2,3,4,5,6,7,8,9,10,11,12,13},1),{6,5,4,3,2,9,8,7,6,5,4,3,2}),11))),"OK","AVISO: dígito verificador (conferir na org)"))))</f>
      </c>
      <c r="I1997" s="6">
        <f>IF(G1997="","",IF(COUNTIF($G$2:$G$2001,G1997)&gt;1,"DUPLICADO","OK"))</f>
      </c>
      <c r="J1997" s="6">
        <f>IF(COUNTA(A1997:F1997)=0,"",IF(AND(A1997&lt;&gt;"",E1997&lt;&gt;""),"OK","ERRO: faltam "&amp;IF(A1997="","CNPJ; ","")&amp;IF(E1997="","Novo gerente; ","")))</f>
      </c>
      <c r="K1997" s="6">
        <f>IF(COUNTA(A1997:F1997)=0,"",IF(AND(LEFT(H1997,4)&lt;&gt;"ERRO",I1997="OK",J1997="OK"),"OK","REVISAR"))</f>
      </c>
    </row>
    <row r="1998">
      <c r="A1998" s="5"/>
      <c r="B1998" s="4"/>
      <c r="C1998" s="4"/>
      <c r="D1998" s="4"/>
      <c r="E1998" s="5"/>
      <c r="F1998" s="4"/>
      <c r="G1998" s="6">
        <f>IF(A1998="","",SUBSTITUTE(SUBSTITUTE(SUBSTITUTE(SUBSTITUTE(SUBSTITUTE(SUBSTITUTE(SUBSTITUTE(TRIM(A1998),".",""),"/",""),"-","")," ",""),"(",""),")",""),"+",""))</f>
      </c>
      <c r="H1998" s="6">
        <f>IF(G1998="","",IF(LEN(G1998)&lt;&gt;14,"ERRO: "&amp;LEN(G1998)&amp;" dígitos",IF(NOT(ISNUMBER(VALUE(G1998))),"ERRO: não numérico",IF(AND(VALUE(MID(G1998,13,1))=IF(MOD(SUMPRODUCT(--MID(G1998,{1,2,3,4,5,6,7,8,9,10,11,12},1),{5,4,3,2,9,8,7,6,5,4,3,2}),11)&lt;2,0,11-MOD(SUMPRODUCT(--MID(G1998,{1,2,3,4,5,6,7,8,9,10,11,12},1),{5,4,3,2,9,8,7,6,5,4,3,2}),11)),VALUE(MID(G1998,14,1))=IF(MOD(SUMPRODUCT(--MID(G1998,{1,2,3,4,5,6,7,8,9,10,11,12,13},1),{6,5,4,3,2,9,8,7,6,5,4,3,2}),11)&lt;2,0,11-MOD(SUMPRODUCT(--MID(G1998,{1,2,3,4,5,6,7,8,9,10,11,12,13},1),{6,5,4,3,2,9,8,7,6,5,4,3,2}),11))),"OK","AVISO: dígito verificador (conferir na org)"))))</f>
      </c>
      <c r="I1998" s="6">
        <f>IF(G1998="","",IF(COUNTIF($G$2:$G$2001,G1998)&gt;1,"DUPLICADO","OK"))</f>
      </c>
      <c r="J1998" s="6">
        <f>IF(COUNTA(A1998:F1998)=0,"",IF(AND(A1998&lt;&gt;"",E1998&lt;&gt;""),"OK","ERRO: faltam "&amp;IF(A1998="","CNPJ; ","")&amp;IF(E1998="","Novo gerente; ","")))</f>
      </c>
      <c r="K1998" s="6">
        <f>IF(COUNTA(A1998:F1998)=0,"",IF(AND(LEFT(H1998,4)&lt;&gt;"ERRO",I1998="OK",J1998="OK"),"OK","REVISAR"))</f>
      </c>
    </row>
    <row r="1999">
      <c r="A1999" s="5"/>
      <c r="B1999" s="4"/>
      <c r="C1999" s="4"/>
      <c r="D1999" s="4"/>
      <c r="E1999" s="5"/>
      <c r="F1999" s="4"/>
      <c r="G1999" s="6">
        <f>IF(A1999="","",SUBSTITUTE(SUBSTITUTE(SUBSTITUTE(SUBSTITUTE(SUBSTITUTE(SUBSTITUTE(SUBSTITUTE(TRIM(A1999),".",""),"/",""),"-","")," ",""),"(",""),")",""),"+",""))</f>
      </c>
      <c r="H1999" s="6">
        <f>IF(G1999="","",IF(LEN(G1999)&lt;&gt;14,"ERRO: "&amp;LEN(G1999)&amp;" dígitos",IF(NOT(ISNUMBER(VALUE(G1999))),"ERRO: não numérico",IF(AND(VALUE(MID(G1999,13,1))=IF(MOD(SUMPRODUCT(--MID(G1999,{1,2,3,4,5,6,7,8,9,10,11,12},1),{5,4,3,2,9,8,7,6,5,4,3,2}),11)&lt;2,0,11-MOD(SUMPRODUCT(--MID(G1999,{1,2,3,4,5,6,7,8,9,10,11,12},1),{5,4,3,2,9,8,7,6,5,4,3,2}),11)),VALUE(MID(G1999,14,1))=IF(MOD(SUMPRODUCT(--MID(G1999,{1,2,3,4,5,6,7,8,9,10,11,12,13},1),{6,5,4,3,2,9,8,7,6,5,4,3,2}),11)&lt;2,0,11-MOD(SUMPRODUCT(--MID(G1999,{1,2,3,4,5,6,7,8,9,10,11,12,13},1),{6,5,4,3,2,9,8,7,6,5,4,3,2}),11))),"OK","AVISO: dígito verificador (conferir na org)"))))</f>
      </c>
      <c r="I1999" s="6">
        <f>IF(G1999="","",IF(COUNTIF($G$2:$G$2001,G1999)&gt;1,"DUPLICADO","OK"))</f>
      </c>
      <c r="J1999" s="6">
        <f>IF(COUNTA(A1999:F1999)=0,"",IF(AND(A1999&lt;&gt;"",E1999&lt;&gt;""),"OK","ERRO: faltam "&amp;IF(A1999="","CNPJ; ","")&amp;IF(E1999="","Novo gerente; ","")))</f>
      </c>
      <c r="K1999" s="6">
        <f>IF(COUNTA(A1999:F1999)=0,"",IF(AND(LEFT(H1999,4)&lt;&gt;"ERRO",I1999="OK",J1999="OK"),"OK","REVISAR"))</f>
      </c>
    </row>
    <row r="2000">
      <c r="A2000" s="5"/>
      <c r="B2000" s="4"/>
      <c r="C2000" s="4"/>
      <c r="D2000" s="4"/>
      <c r="E2000" s="5"/>
      <c r="F2000" s="4"/>
      <c r="G2000" s="6">
        <f>IF(A2000="","",SUBSTITUTE(SUBSTITUTE(SUBSTITUTE(SUBSTITUTE(SUBSTITUTE(SUBSTITUTE(SUBSTITUTE(TRIM(A2000),".",""),"/",""),"-","")," ",""),"(",""),")",""),"+",""))</f>
      </c>
      <c r="H2000" s="6">
        <f>IF(G2000="","",IF(LEN(G2000)&lt;&gt;14,"ERRO: "&amp;LEN(G2000)&amp;" dígitos",IF(NOT(ISNUMBER(VALUE(G2000))),"ERRO: não numérico",IF(AND(VALUE(MID(G2000,13,1))=IF(MOD(SUMPRODUCT(--MID(G2000,{1,2,3,4,5,6,7,8,9,10,11,12},1),{5,4,3,2,9,8,7,6,5,4,3,2}),11)&lt;2,0,11-MOD(SUMPRODUCT(--MID(G2000,{1,2,3,4,5,6,7,8,9,10,11,12},1),{5,4,3,2,9,8,7,6,5,4,3,2}),11)),VALUE(MID(G2000,14,1))=IF(MOD(SUMPRODUCT(--MID(G2000,{1,2,3,4,5,6,7,8,9,10,11,12,13},1),{6,5,4,3,2,9,8,7,6,5,4,3,2}),11)&lt;2,0,11-MOD(SUMPRODUCT(--MID(G2000,{1,2,3,4,5,6,7,8,9,10,11,12,13},1),{6,5,4,3,2,9,8,7,6,5,4,3,2}),11))),"OK","AVISO: dígito verificador (conferir na org)"))))</f>
      </c>
      <c r="I2000" s="6">
        <f>IF(G2000="","",IF(COUNTIF($G$2:$G$2001,G2000)&gt;1,"DUPLICADO","OK"))</f>
      </c>
      <c r="J2000" s="6">
        <f>IF(COUNTA(A2000:F2000)=0,"",IF(AND(A2000&lt;&gt;"",E2000&lt;&gt;""),"OK","ERRO: faltam "&amp;IF(A2000="","CNPJ; ","")&amp;IF(E2000="","Novo gerente; ","")))</f>
      </c>
      <c r="K2000" s="6">
        <f>IF(COUNTA(A2000:F2000)=0,"",IF(AND(LEFT(H2000,4)&lt;&gt;"ERRO",I2000="OK",J2000="OK"),"OK","REVISAR"))</f>
      </c>
    </row>
    <row r="2001">
      <c r="A2001" s="5"/>
      <c r="B2001" s="4"/>
      <c r="C2001" s="4"/>
      <c r="D2001" s="4"/>
      <c r="E2001" s="5"/>
      <c r="F2001" s="4"/>
      <c r="G2001" s="6">
        <f>IF(A2001="","",SUBSTITUTE(SUBSTITUTE(SUBSTITUTE(SUBSTITUTE(SUBSTITUTE(SUBSTITUTE(SUBSTITUTE(TRIM(A2001),".",""),"/",""),"-","")," ",""),"(",""),")",""),"+",""))</f>
      </c>
      <c r="H2001" s="6">
        <f>IF(G2001="","",IF(LEN(G2001)&lt;&gt;14,"ERRO: "&amp;LEN(G2001)&amp;" dígitos",IF(NOT(ISNUMBER(VALUE(G2001))),"ERRO: não numérico",IF(AND(VALUE(MID(G2001,13,1))=IF(MOD(SUMPRODUCT(--MID(G2001,{1,2,3,4,5,6,7,8,9,10,11,12},1),{5,4,3,2,9,8,7,6,5,4,3,2}),11)&lt;2,0,11-MOD(SUMPRODUCT(--MID(G2001,{1,2,3,4,5,6,7,8,9,10,11,12},1),{5,4,3,2,9,8,7,6,5,4,3,2}),11)),VALUE(MID(G2001,14,1))=IF(MOD(SUMPRODUCT(--MID(G2001,{1,2,3,4,5,6,7,8,9,10,11,12,13},1),{6,5,4,3,2,9,8,7,6,5,4,3,2}),11)&lt;2,0,11-MOD(SUMPRODUCT(--MID(G2001,{1,2,3,4,5,6,7,8,9,10,11,12,13},1),{6,5,4,3,2,9,8,7,6,5,4,3,2}),11))),"OK","AVISO: dígito verificador (conferir na org)"))))</f>
      </c>
      <c r="I2001" s="6">
        <f>IF(G2001="","",IF(COUNTIF($G$2:$G$2001,G2001)&gt;1,"DUPLICADO","OK"))</f>
      </c>
      <c r="J2001" s="6">
        <f>IF(COUNTA(A2001:F2001)=0,"",IF(AND(A2001&lt;&gt;"",E2001&lt;&gt;""),"OK","ERRO: faltam "&amp;IF(A2001="","CNPJ; ","")&amp;IF(E2001="","Novo gerente; ","")))</f>
      </c>
      <c r="K2001" s="6">
        <f>IF(COUNTA(A2001:F2001)=0,"",IF(AND(LEFT(H2001,4)&lt;&gt;"ERRO",I2001="OK",J2001="OK"),"OK","REVISAR"))</f>
      </c>
    </row>
  </sheetData>
  <autoFilter ref="A1:K1"/>
  <conditionalFormatting sqref="G2:K2001">
    <cfRule type="containsText" dxfId="0" priority="1" operator="containsText" text="ERRO">
      <formula>NOT(ISERROR(SEARCH("ERRO",G2)))</formula>
    </cfRule>
    <cfRule type="containsText" dxfId="0" priority="2" operator="containsText" text="DUPLICADO">
      <formula>NOT(ISERROR(SEARCH("DUPLICADO",G2)))</formula>
    </cfRule>
    <cfRule type="containsText" dxfId="0" priority="3" operator="containsText" text="REVISAR">
      <formula>NOT(ISERROR(SEARCH("REVISAR",G2)))</formula>
    </cfRule>
    <cfRule type="containsText" dxfId="2" priority="4" operator="containsText" text="AVISO">
      <formula>NOT(ISERROR(SEARCH("AVISO",G2)))</formula>
    </cfRule>
  </conditionalFormatting>
  <conditionalFormatting sqref="K2:K2001">
    <cfRule type="cellIs" dxfId="1" priority="5" operator="equal">
      <formula>"OK"</formula>
    </cfRule>
  </conditionalFormatting>
  <dataValidations count="1">
    <dataValidation type="list" allowBlank="1" showErrorMessage="1" errorTitle="Novo gerente" error="Use o nome completo do usuário Salesforce como está na aba Listas (ou inclua o nome lá)." sqref="E2:E2001">
      <formula1>Listas!$A$2:$A$50</formula1>
    </dataValidation>
  </dataValidations>
  <pageMargins left="0.5" right="0.5" top="0.5" bottom="0.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B7791F"/>
  </sheetPr>
  <sheetViews>
    <sheetView workbookViewId="0">
      <pane ySplit="1" topLeftCell="A2" activePane="bottomLeft" state="frozen"/>
      <selection pane="bottomLeft" activeCell="A2" sqref="A2"/>
    </sheetView>
  </sheetViews>
  <sheetFormatPr defaultRowHeight="14"/>
  <cols>
    <col min="1" max="1" width="40" customWidth="1"/>
    <col min="2" max="2" width="44" customWidth="1"/>
    <col min="3" max="3" width="30" customWidth="1"/>
    <col min="4" max="4" width="22" customWidth="1"/>
    <col min="5" max="5" width="30" customWidth="1"/>
    <col min="6" max="6" width="34" customWidth="1"/>
    <col min="7" max="7" width="12" customWidth="1"/>
    <col min="8" max="8" width="30" customWidth="1"/>
    <col min="9" max="9" width="10" customWidth="1"/>
  </cols>
  <sheetData>
    <row r="1">
      <c r="A1" s="2" t="inlineStr">
        <is>
          <t xml:space="preserve">Nome da conta *</t>
        </is>
      </c>
      <c r="B1" s="2" t="inlineStr">
        <is>
          <t xml:space="preserve">Nome da oportunidade *</t>
        </is>
      </c>
      <c r="C1" s="1" t="inlineStr">
        <is>
          <t xml:space="preserve">Proprietário da oportunidade (informativo)</t>
        </is>
      </c>
      <c r="D1" s="1" t="inlineStr">
        <is>
          <t xml:space="preserve">Fase (informativo)</t>
        </is>
      </c>
      <c r="E1" s="2" t="inlineStr">
        <is>
          <t xml:space="preserve">Novo gerente da conta *</t>
        </is>
      </c>
      <c r="F1" s="1" t="inlineStr">
        <is>
          <t xml:space="preserve">Urgência / motivo</t>
        </is>
      </c>
      <c r="G1" s="3" t="inlineStr">
        <is>
          <t xml:space="preserve">Duplicado?</t>
        </is>
      </c>
      <c r="H1" s="3" t="inlineStr">
        <is>
          <t xml:space="preserve">Obrigatórios?</t>
        </is>
      </c>
      <c r="I1" s="3" t="inlineStr">
        <is>
          <t xml:space="preserve">LINHA</t>
        </is>
      </c>
    </row>
    <row r="2">
      <c r="A2" s="5" t="inlineStr">
        <is>
          <t xml:space="preserve">PATRUS TRANSPORTES LTDA</t>
        </is>
      </c>
      <c r="B2" s="5" t="inlineStr">
        <is>
          <t xml:space="preserve">PATRUS_São José dos Pinhais/PR</t>
        </is>
      </c>
      <c r="C2" s="4" t="inlineStr">
        <is>
          <t xml:space="preserve">Wills Kenio Bento Da Silva</t>
        </is>
      </c>
      <c r="D2" s="4" t="inlineStr">
        <is>
          <t xml:space="preserve">Aprovação comercial</t>
        </is>
      </c>
      <c r="E2" s="5" t="inlineStr">
        <is>
          <t xml:space="preserve">Marcelo Barbosa De Carvalho</t>
        </is>
      </c>
      <c r="F2" s="4" t="inlineStr">
        <is>
          <t xml:space="preserve">Aguardando aprovação comercial</t>
        </is>
      </c>
      <c r="G2" s="6">
        <f>IF(AND(A2="",B2=""),"",IF(COUNTIFS($A$2:$A$2001,A2,$B$2:$B$2001,B2)&gt;1,"DUPLICADO","OK"))</f>
      </c>
      <c r="H2" s="6">
        <f>IF(COUNTA(A2:F2)=0,"",IF(AND(A2&lt;&gt;"",B2&lt;&gt;"",E2&lt;&gt;""),"OK","ERRO: faltam "&amp;IF(A2="","Conta; ","")&amp;IF(B2="","Oportunidade; ","")&amp;IF(E2="","Novo gerente; ","")))</f>
      </c>
      <c r="I2" s="6">
        <f>IF(COUNTA(A2:F2)=0,"",IF(AND(G2="OK",H2="OK"),"OK","REVISAR"))</f>
      </c>
    </row>
    <row r="3">
      <c r="A3" s="5"/>
      <c r="B3" s="5"/>
      <c r="C3" s="4"/>
      <c r="D3" s="4"/>
      <c r="E3" s="5"/>
      <c r="F3" s="4"/>
      <c r="G3" s="6">
        <f>IF(AND(A3="",B3=""),"",IF(COUNTIFS($A$2:$A$2001,A3,$B$2:$B$2001,B3)&gt;1,"DUPLICADO","OK"))</f>
      </c>
      <c r="H3" s="6">
        <f>IF(COUNTA(A3:F3)=0,"",IF(AND(A3&lt;&gt;"",B3&lt;&gt;"",E3&lt;&gt;""),"OK","ERRO: faltam "&amp;IF(A3="","Conta; ","")&amp;IF(B3="","Oportunidade; ","")&amp;IF(E3="","Novo gerente; ","")))</f>
      </c>
      <c r="I3" s="6">
        <f>IF(COUNTA(A3:F3)=0,"",IF(AND(G3="OK",H3="OK"),"OK","REVISAR"))</f>
      </c>
    </row>
    <row r="4">
      <c r="A4" s="5"/>
      <c r="B4" s="5"/>
      <c r="C4" s="4"/>
      <c r="D4" s="4"/>
      <c r="E4" s="5"/>
      <c r="F4" s="4"/>
      <c r="G4" s="6">
        <f>IF(AND(A4="",B4=""),"",IF(COUNTIFS($A$2:$A$2001,A4,$B$2:$B$2001,B4)&gt;1,"DUPLICADO","OK"))</f>
      </c>
      <c r="H4" s="6">
        <f>IF(COUNTA(A4:F4)=0,"",IF(AND(A4&lt;&gt;"",B4&lt;&gt;"",E4&lt;&gt;""),"OK","ERRO: faltam "&amp;IF(A4="","Conta; ","")&amp;IF(B4="","Oportunidade; ","")&amp;IF(E4="","Novo gerente; ","")))</f>
      </c>
      <c r="I4" s="6">
        <f>IF(COUNTA(A4:F4)=0,"",IF(AND(G4="OK",H4="OK"),"OK","REVISAR"))</f>
      </c>
    </row>
    <row r="5">
      <c r="A5" s="5"/>
      <c r="B5" s="5"/>
      <c r="C5" s="4"/>
      <c r="D5" s="4"/>
      <c r="E5" s="5"/>
      <c r="F5" s="4"/>
      <c r="G5" s="6">
        <f>IF(AND(A5="",B5=""),"",IF(COUNTIFS($A$2:$A$2001,A5,$B$2:$B$2001,B5)&gt;1,"DUPLICADO","OK"))</f>
      </c>
      <c r="H5" s="6">
        <f>IF(COUNTA(A5:F5)=0,"",IF(AND(A5&lt;&gt;"",B5&lt;&gt;"",E5&lt;&gt;""),"OK","ERRO: faltam "&amp;IF(A5="","Conta; ","")&amp;IF(B5="","Oportunidade; ","")&amp;IF(E5="","Novo gerente; ","")))</f>
      </c>
      <c r="I5" s="6">
        <f>IF(COUNTA(A5:F5)=0,"",IF(AND(G5="OK",H5="OK"),"OK","REVISAR"))</f>
      </c>
    </row>
    <row r="6">
      <c r="A6" s="5"/>
      <c r="B6" s="5"/>
      <c r="C6" s="4"/>
      <c r="D6" s="4"/>
      <c r="E6" s="5"/>
      <c r="F6" s="4"/>
      <c r="G6" s="6">
        <f>IF(AND(A6="",B6=""),"",IF(COUNTIFS($A$2:$A$2001,A6,$B$2:$B$2001,B6)&gt;1,"DUPLICADO","OK"))</f>
      </c>
      <c r="H6" s="6">
        <f>IF(COUNTA(A6:F6)=0,"",IF(AND(A6&lt;&gt;"",B6&lt;&gt;"",E6&lt;&gt;""),"OK","ERRO: faltam "&amp;IF(A6="","Conta; ","")&amp;IF(B6="","Oportunidade; ","")&amp;IF(E6="","Novo gerente; ","")))</f>
      </c>
      <c r="I6" s="6">
        <f>IF(COUNTA(A6:F6)=0,"",IF(AND(G6="OK",H6="OK"),"OK","REVISAR"))</f>
      </c>
    </row>
    <row r="7">
      <c r="A7" s="5"/>
      <c r="B7" s="5"/>
      <c r="C7" s="4"/>
      <c r="D7" s="4"/>
      <c r="E7" s="5"/>
      <c r="F7" s="4"/>
      <c r="G7" s="6">
        <f>IF(AND(A7="",B7=""),"",IF(COUNTIFS($A$2:$A$2001,A7,$B$2:$B$2001,B7)&gt;1,"DUPLICADO","OK"))</f>
      </c>
      <c r="H7" s="6">
        <f>IF(COUNTA(A7:F7)=0,"",IF(AND(A7&lt;&gt;"",B7&lt;&gt;"",E7&lt;&gt;""),"OK","ERRO: faltam "&amp;IF(A7="","Conta; ","")&amp;IF(B7="","Oportunidade; ","")&amp;IF(E7="","Novo gerente; ","")))</f>
      </c>
      <c r="I7" s="6">
        <f>IF(COUNTA(A7:F7)=0,"",IF(AND(G7="OK",H7="OK"),"OK","REVISAR"))</f>
      </c>
    </row>
    <row r="8">
      <c r="A8" s="5"/>
      <c r="B8" s="5"/>
      <c r="C8" s="4"/>
      <c r="D8" s="4"/>
      <c r="E8" s="5"/>
      <c r="F8" s="4"/>
      <c r="G8" s="6">
        <f>IF(AND(A8="",B8=""),"",IF(COUNTIFS($A$2:$A$2001,A8,$B$2:$B$2001,B8)&gt;1,"DUPLICADO","OK"))</f>
      </c>
      <c r="H8" s="6">
        <f>IF(COUNTA(A8:F8)=0,"",IF(AND(A8&lt;&gt;"",B8&lt;&gt;"",E8&lt;&gt;""),"OK","ERRO: faltam "&amp;IF(A8="","Conta; ","")&amp;IF(B8="","Oportunidade; ","")&amp;IF(E8="","Novo gerente; ","")))</f>
      </c>
      <c r="I8" s="6">
        <f>IF(COUNTA(A8:F8)=0,"",IF(AND(G8="OK",H8="OK"),"OK","REVISAR"))</f>
      </c>
    </row>
    <row r="9">
      <c r="A9" s="5"/>
      <c r="B9" s="5"/>
      <c r="C9" s="4"/>
      <c r="D9" s="4"/>
      <c r="E9" s="5"/>
      <c r="F9" s="4"/>
      <c r="G9" s="6">
        <f>IF(AND(A9="",B9=""),"",IF(COUNTIFS($A$2:$A$2001,A9,$B$2:$B$2001,B9)&gt;1,"DUPLICADO","OK"))</f>
      </c>
      <c r="H9" s="6">
        <f>IF(COUNTA(A9:F9)=0,"",IF(AND(A9&lt;&gt;"",B9&lt;&gt;"",E9&lt;&gt;""),"OK","ERRO: faltam "&amp;IF(A9="","Conta; ","")&amp;IF(B9="","Oportunidade; ","")&amp;IF(E9="","Novo gerente; ","")))</f>
      </c>
      <c r="I9" s="6">
        <f>IF(COUNTA(A9:F9)=0,"",IF(AND(G9="OK",H9="OK"),"OK","REVISAR"))</f>
      </c>
    </row>
    <row r="10">
      <c r="A10" s="5"/>
      <c r="B10" s="5"/>
      <c r="C10" s="4"/>
      <c r="D10" s="4"/>
      <c r="E10" s="5"/>
      <c r="F10" s="4"/>
      <c r="G10" s="6">
        <f>IF(AND(A10="",B10=""),"",IF(COUNTIFS($A$2:$A$2001,A10,$B$2:$B$2001,B10)&gt;1,"DUPLICADO","OK"))</f>
      </c>
      <c r="H10" s="6">
        <f>IF(COUNTA(A10:F10)=0,"",IF(AND(A10&lt;&gt;"",B10&lt;&gt;"",E10&lt;&gt;""),"OK","ERRO: faltam "&amp;IF(A10="","Conta; ","")&amp;IF(B10="","Oportunidade; ","")&amp;IF(E10="","Novo gerente; ","")))</f>
      </c>
      <c r="I10" s="6">
        <f>IF(COUNTA(A10:F10)=0,"",IF(AND(G10="OK",H10="OK"),"OK","REVISAR"))</f>
      </c>
    </row>
    <row r="11">
      <c r="A11" s="5"/>
      <c r="B11" s="5"/>
      <c r="C11" s="4"/>
      <c r="D11" s="4"/>
      <c r="E11" s="5"/>
      <c r="F11" s="4"/>
      <c r="G11" s="6">
        <f>IF(AND(A11="",B11=""),"",IF(COUNTIFS($A$2:$A$2001,A11,$B$2:$B$2001,B11)&gt;1,"DUPLICADO","OK"))</f>
      </c>
      <c r="H11" s="6">
        <f>IF(COUNTA(A11:F11)=0,"",IF(AND(A11&lt;&gt;"",B11&lt;&gt;"",E11&lt;&gt;""),"OK","ERRO: faltam "&amp;IF(A11="","Conta; ","")&amp;IF(B11="","Oportunidade; ","")&amp;IF(E11="","Novo gerente; ","")))</f>
      </c>
      <c r="I11" s="6">
        <f>IF(COUNTA(A11:F11)=0,"",IF(AND(G11="OK",H11="OK"),"OK","REVISAR"))</f>
      </c>
    </row>
    <row r="12">
      <c r="A12" s="5"/>
      <c r="B12" s="5"/>
      <c r="C12" s="4"/>
      <c r="D12" s="4"/>
      <c r="E12" s="5"/>
      <c r="F12" s="4"/>
      <c r="G12" s="6">
        <f>IF(AND(A12="",B12=""),"",IF(COUNTIFS($A$2:$A$2001,A12,$B$2:$B$2001,B12)&gt;1,"DUPLICADO","OK"))</f>
      </c>
      <c r="H12" s="6">
        <f>IF(COUNTA(A12:F12)=0,"",IF(AND(A12&lt;&gt;"",B12&lt;&gt;"",E12&lt;&gt;""),"OK","ERRO: faltam "&amp;IF(A12="","Conta; ","")&amp;IF(B12="","Oportunidade; ","")&amp;IF(E12="","Novo gerente; ","")))</f>
      </c>
      <c r="I12" s="6">
        <f>IF(COUNTA(A12:F12)=0,"",IF(AND(G12="OK",H12="OK"),"OK","REVISAR"))</f>
      </c>
    </row>
    <row r="13">
      <c r="A13" s="5"/>
      <c r="B13" s="5"/>
      <c r="C13" s="4"/>
      <c r="D13" s="4"/>
      <c r="E13" s="5"/>
      <c r="F13" s="4"/>
      <c r="G13" s="6">
        <f>IF(AND(A13="",B13=""),"",IF(COUNTIFS($A$2:$A$2001,A13,$B$2:$B$2001,B13)&gt;1,"DUPLICADO","OK"))</f>
      </c>
      <c r="H13" s="6">
        <f>IF(COUNTA(A13:F13)=0,"",IF(AND(A13&lt;&gt;"",B13&lt;&gt;"",E13&lt;&gt;""),"OK","ERRO: faltam "&amp;IF(A13="","Conta; ","")&amp;IF(B13="","Oportunidade; ","")&amp;IF(E13="","Novo gerente; ","")))</f>
      </c>
      <c r="I13" s="6">
        <f>IF(COUNTA(A13:F13)=0,"",IF(AND(G13="OK",H13="OK"),"OK","REVISAR"))</f>
      </c>
    </row>
    <row r="14">
      <c r="A14" s="5"/>
      <c r="B14" s="5"/>
      <c r="C14" s="4"/>
      <c r="D14" s="4"/>
      <c r="E14" s="5"/>
      <c r="F14" s="4"/>
      <c r="G14" s="6">
        <f>IF(AND(A14="",B14=""),"",IF(COUNTIFS($A$2:$A$2001,A14,$B$2:$B$2001,B14)&gt;1,"DUPLICADO","OK"))</f>
      </c>
      <c r="H14" s="6">
        <f>IF(COUNTA(A14:F14)=0,"",IF(AND(A14&lt;&gt;"",B14&lt;&gt;"",E14&lt;&gt;""),"OK","ERRO: faltam "&amp;IF(A14="","Conta; ","")&amp;IF(B14="","Oportunidade; ","")&amp;IF(E14="","Novo gerente; ","")))</f>
      </c>
      <c r="I14" s="6">
        <f>IF(COUNTA(A14:F14)=0,"",IF(AND(G14="OK",H14="OK"),"OK","REVISAR"))</f>
      </c>
    </row>
    <row r="15">
      <c r="A15" s="5"/>
      <c r="B15" s="5"/>
      <c r="C15" s="4"/>
      <c r="D15" s="4"/>
      <c r="E15" s="5"/>
      <c r="F15" s="4"/>
      <c r="G15" s="6">
        <f>IF(AND(A15="",B15=""),"",IF(COUNTIFS($A$2:$A$2001,A15,$B$2:$B$2001,B15)&gt;1,"DUPLICADO","OK"))</f>
      </c>
      <c r="H15" s="6">
        <f>IF(COUNTA(A15:F15)=0,"",IF(AND(A15&lt;&gt;"",B15&lt;&gt;"",E15&lt;&gt;""),"OK","ERRO: faltam "&amp;IF(A15="","Conta; ","")&amp;IF(B15="","Oportunidade; ","")&amp;IF(E15="","Novo gerente; ","")))</f>
      </c>
      <c r="I15" s="6">
        <f>IF(COUNTA(A15:F15)=0,"",IF(AND(G15="OK",H15="OK"),"OK","REVISAR"))</f>
      </c>
    </row>
    <row r="16">
      <c r="A16" s="5"/>
      <c r="B16" s="5"/>
      <c r="C16" s="4"/>
      <c r="D16" s="4"/>
      <c r="E16" s="5"/>
      <c r="F16" s="4"/>
      <c r="G16" s="6">
        <f>IF(AND(A16="",B16=""),"",IF(COUNTIFS($A$2:$A$2001,A16,$B$2:$B$2001,B16)&gt;1,"DUPLICADO","OK"))</f>
      </c>
      <c r="H16" s="6">
        <f>IF(COUNTA(A16:F16)=0,"",IF(AND(A16&lt;&gt;"",B16&lt;&gt;"",E16&lt;&gt;""),"OK","ERRO: faltam "&amp;IF(A16="","Conta; ","")&amp;IF(B16="","Oportunidade; ","")&amp;IF(E16="","Novo gerente; ","")))</f>
      </c>
      <c r="I16" s="6">
        <f>IF(COUNTA(A16:F16)=0,"",IF(AND(G16="OK",H16="OK"),"OK","REVISAR"))</f>
      </c>
    </row>
    <row r="17">
      <c r="A17" s="5"/>
      <c r="B17" s="5"/>
      <c r="C17" s="4"/>
      <c r="D17" s="4"/>
      <c r="E17" s="5"/>
      <c r="F17" s="4"/>
      <c r="G17" s="6">
        <f>IF(AND(A17="",B17=""),"",IF(COUNTIFS($A$2:$A$2001,A17,$B$2:$B$2001,B17)&gt;1,"DUPLICADO","OK"))</f>
      </c>
      <c r="H17" s="6">
        <f>IF(COUNTA(A17:F17)=0,"",IF(AND(A17&lt;&gt;"",B17&lt;&gt;"",E17&lt;&gt;""),"OK","ERRO: faltam "&amp;IF(A17="","Conta; ","")&amp;IF(B17="","Oportunidade; ","")&amp;IF(E17="","Novo gerente; ","")))</f>
      </c>
      <c r="I17" s="6">
        <f>IF(COUNTA(A17:F17)=0,"",IF(AND(G17="OK",H17="OK"),"OK","REVISAR"))</f>
      </c>
    </row>
    <row r="18">
      <c r="A18" s="5"/>
      <c r="B18" s="5"/>
      <c r="C18" s="4"/>
      <c r="D18" s="4"/>
      <c r="E18" s="5"/>
      <c r="F18" s="4"/>
      <c r="G18" s="6">
        <f>IF(AND(A18="",B18=""),"",IF(COUNTIFS($A$2:$A$2001,A18,$B$2:$B$2001,B18)&gt;1,"DUPLICADO","OK"))</f>
      </c>
      <c r="H18" s="6">
        <f>IF(COUNTA(A18:F18)=0,"",IF(AND(A18&lt;&gt;"",B18&lt;&gt;"",E18&lt;&gt;""),"OK","ERRO: faltam "&amp;IF(A18="","Conta; ","")&amp;IF(B18="","Oportunidade; ","")&amp;IF(E18="","Novo gerente; ","")))</f>
      </c>
      <c r="I18" s="6">
        <f>IF(COUNTA(A18:F18)=0,"",IF(AND(G18="OK",H18="OK"),"OK","REVISAR"))</f>
      </c>
    </row>
    <row r="19">
      <c r="A19" s="5"/>
      <c r="B19" s="5"/>
      <c r="C19" s="4"/>
      <c r="D19" s="4"/>
      <c r="E19" s="5"/>
      <c r="F19" s="4"/>
      <c r="G19" s="6">
        <f>IF(AND(A19="",B19=""),"",IF(COUNTIFS($A$2:$A$2001,A19,$B$2:$B$2001,B19)&gt;1,"DUPLICADO","OK"))</f>
      </c>
      <c r="H19" s="6">
        <f>IF(COUNTA(A19:F19)=0,"",IF(AND(A19&lt;&gt;"",B19&lt;&gt;"",E19&lt;&gt;""),"OK","ERRO: faltam "&amp;IF(A19="","Conta; ","")&amp;IF(B19="","Oportunidade; ","")&amp;IF(E19="","Novo gerente; ","")))</f>
      </c>
      <c r="I19" s="6">
        <f>IF(COUNTA(A19:F19)=0,"",IF(AND(G19="OK",H19="OK"),"OK","REVISAR"))</f>
      </c>
    </row>
    <row r="20">
      <c r="A20" s="5"/>
      <c r="B20" s="5"/>
      <c r="C20" s="4"/>
      <c r="D20" s="4"/>
      <c r="E20" s="5"/>
      <c r="F20" s="4"/>
      <c r="G20" s="6">
        <f>IF(AND(A20="",B20=""),"",IF(COUNTIFS($A$2:$A$2001,A20,$B$2:$B$2001,B20)&gt;1,"DUPLICADO","OK"))</f>
      </c>
      <c r="H20" s="6">
        <f>IF(COUNTA(A20:F20)=0,"",IF(AND(A20&lt;&gt;"",B20&lt;&gt;"",E20&lt;&gt;""),"OK","ERRO: faltam "&amp;IF(A20="","Conta; ","")&amp;IF(B20="","Oportunidade; ","")&amp;IF(E20="","Novo gerente; ","")))</f>
      </c>
      <c r="I20" s="6">
        <f>IF(COUNTA(A20:F20)=0,"",IF(AND(G20="OK",H20="OK"),"OK","REVISAR"))</f>
      </c>
    </row>
    <row r="21">
      <c r="A21" s="5"/>
      <c r="B21" s="5"/>
      <c r="C21" s="4"/>
      <c r="D21" s="4"/>
      <c r="E21" s="5"/>
      <c r="F21" s="4"/>
      <c r="G21" s="6">
        <f>IF(AND(A21="",B21=""),"",IF(COUNTIFS($A$2:$A$2001,A21,$B$2:$B$2001,B21)&gt;1,"DUPLICADO","OK"))</f>
      </c>
      <c r="H21" s="6">
        <f>IF(COUNTA(A21:F21)=0,"",IF(AND(A21&lt;&gt;"",B21&lt;&gt;"",E21&lt;&gt;""),"OK","ERRO: faltam "&amp;IF(A21="","Conta; ","")&amp;IF(B21="","Oportunidade; ","")&amp;IF(E21="","Novo gerente; ","")))</f>
      </c>
      <c r="I21" s="6">
        <f>IF(COUNTA(A21:F21)=0,"",IF(AND(G21="OK",H21="OK"),"OK","REVISAR"))</f>
      </c>
    </row>
    <row r="22">
      <c r="A22" s="5"/>
      <c r="B22" s="5"/>
      <c r="C22" s="4"/>
      <c r="D22" s="4"/>
      <c r="E22" s="5"/>
      <c r="F22" s="4"/>
      <c r="G22" s="6">
        <f>IF(AND(A22="",B22=""),"",IF(COUNTIFS($A$2:$A$2001,A22,$B$2:$B$2001,B22)&gt;1,"DUPLICADO","OK"))</f>
      </c>
      <c r="H22" s="6">
        <f>IF(COUNTA(A22:F22)=0,"",IF(AND(A22&lt;&gt;"",B22&lt;&gt;"",E22&lt;&gt;""),"OK","ERRO: faltam "&amp;IF(A22="","Conta; ","")&amp;IF(B22="","Oportunidade; ","")&amp;IF(E22="","Novo gerente; ","")))</f>
      </c>
      <c r="I22" s="6">
        <f>IF(COUNTA(A22:F22)=0,"",IF(AND(G22="OK",H22="OK"),"OK","REVISAR"))</f>
      </c>
    </row>
    <row r="23">
      <c r="A23" s="5"/>
      <c r="B23" s="5"/>
      <c r="C23" s="4"/>
      <c r="D23" s="4"/>
      <c r="E23" s="5"/>
      <c r="F23" s="4"/>
      <c r="G23" s="6">
        <f>IF(AND(A23="",B23=""),"",IF(COUNTIFS($A$2:$A$2001,A23,$B$2:$B$2001,B23)&gt;1,"DUPLICADO","OK"))</f>
      </c>
      <c r="H23" s="6">
        <f>IF(COUNTA(A23:F23)=0,"",IF(AND(A23&lt;&gt;"",B23&lt;&gt;"",E23&lt;&gt;""),"OK","ERRO: faltam "&amp;IF(A23="","Conta; ","")&amp;IF(B23="","Oportunidade; ","")&amp;IF(E23="","Novo gerente; ","")))</f>
      </c>
      <c r="I23" s="6">
        <f>IF(COUNTA(A23:F23)=0,"",IF(AND(G23="OK",H23="OK"),"OK","REVISAR"))</f>
      </c>
    </row>
    <row r="24">
      <c r="A24" s="5"/>
      <c r="B24" s="5"/>
      <c r="C24" s="4"/>
      <c r="D24" s="4"/>
      <c r="E24" s="5"/>
      <c r="F24" s="4"/>
      <c r="G24" s="6">
        <f>IF(AND(A24="",B24=""),"",IF(COUNTIFS($A$2:$A$2001,A24,$B$2:$B$2001,B24)&gt;1,"DUPLICADO","OK"))</f>
      </c>
      <c r="H24" s="6">
        <f>IF(COUNTA(A24:F24)=0,"",IF(AND(A24&lt;&gt;"",B24&lt;&gt;"",E24&lt;&gt;""),"OK","ERRO: faltam "&amp;IF(A24="","Conta; ","")&amp;IF(B24="","Oportunidade; ","")&amp;IF(E24="","Novo gerente; ","")))</f>
      </c>
      <c r="I24" s="6">
        <f>IF(COUNTA(A24:F24)=0,"",IF(AND(G24="OK",H24="OK"),"OK","REVISAR"))</f>
      </c>
    </row>
    <row r="25">
      <c r="A25" s="5"/>
      <c r="B25" s="5"/>
      <c r="C25" s="4"/>
      <c r="D25" s="4"/>
      <c r="E25" s="5"/>
      <c r="F25" s="4"/>
      <c r="G25" s="6">
        <f>IF(AND(A25="",B25=""),"",IF(COUNTIFS($A$2:$A$2001,A25,$B$2:$B$2001,B25)&gt;1,"DUPLICADO","OK"))</f>
      </c>
      <c r="H25" s="6">
        <f>IF(COUNTA(A25:F25)=0,"",IF(AND(A25&lt;&gt;"",B25&lt;&gt;"",E25&lt;&gt;""),"OK","ERRO: faltam "&amp;IF(A25="","Conta; ","")&amp;IF(B25="","Oportunidade; ","")&amp;IF(E25="","Novo gerente; ","")))</f>
      </c>
      <c r="I25" s="6">
        <f>IF(COUNTA(A25:F25)=0,"",IF(AND(G25="OK",H25="OK"),"OK","REVISAR"))</f>
      </c>
    </row>
    <row r="26">
      <c r="A26" s="5"/>
      <c r="B26" s="5"/>
      <c r="C26" s="4"/>
      <c r="D26" s="4"/>
      <c r="E26" s="5"/>
      <c r="F26" s="4"/>
      <c r="G26" s="6">
        <f>IF(AND(A26="",B26=""),"",IF(COUNTIFS($A$2:$A$2001,A26,$B$2:$B$2001,B26)&gt;1,"DUPLICADO","OK"))</f>
      </c>
      <c r="H26" s="6">
        <f>IF(COUNTA(A26:F26)=0,"",IF(AND(A26&lt;&gt;"",B26&lt;&gt;"",E26&lt;&gt;""),"OK","ERRO: faltam "&amp;IF(A26="","Conta; ","")&amp;IF(B26="","Oportunidade; ","")&amp;IF(E26="","Novo gerente; ","")))</f>
      </c>
      <c r="I26" s="6">
        <f>IF(COUNTA(A26:F26)=0,"",IF(AND(G26="OK",H26="OK"),"OK","REVISAR"))</f>
      </c>
    </row>
    <row r="27">
      <c r="A27" s="5"/>
      <c r="B27" s="5"/>
      <c r="C27" s="4"/>
      <c r="D27" s="4"/>
      <c r="E27" s="5"/>
      <c r="F27" s="4"/>
      <c r="G27" s="6">
        <f>IF(AND(A27="",B27=""),"",IF(COUNTIFS($A$2:$A$2001,A27,$B$2:$B$2001,B27)&gt;1,"DUPLICADO","OK"))</f>
      </c>
      <c r="H27" s="6">
        <f>IF(COUNTA(A27:F27)=0,"",IF(AND(A27&lt;&gt;"",B27&lt;&gt;"",E27&lt;&gt;""),"OK","ERRO: faltam "&amp;IF(A27="","Conta; ","")&amp;IF(B27="","Oportunidade; ","")&amp;IF(E27="","Novo gerente; ","")))</f>
      </c>
      <c r="I27" s="6">
        <f>IF(COUNTA(A27:F27)=0,"",IF(AND(G27="OK",H27="OK"),"OK","REVISAR"))</f>
      </c>
    </row>
    <row r="28">
      <c r="A28" s="5"/>
      <c r="B28" s="5"/>
      <c r="C28" s="4"/>
      <c r="D28" s="4"/>
      <c r="E28" s="5"/>
      <c r="F28" s="4"/>
      <c r="G28" s="6">
        <f>IF(AND(A28="",B28=""),"",IF(COUNTIFS($A$2:$A$2001,A28,$B$2:$B$2001,B28)&gt;1,"DUPLICADO","OK"))</f>
      </c>
      <c r="H28" s="6">
        <f>IF(COUNTA(A28:F28)=0,"",IF(AND(A28&lt;&gt;"",B28&lt;&gt;"",E28&lt;&gt;""),"OK","ERRO: faltam "&amp;IF(A28="","Conta; ","")&amp;IF(B28="","Oportunidade; ","")&amp;IF(E28="","Novo gerente; ","")))</f>
      </c>
      <c r="I28" s="6">
        <f>IF(COUNTA(A28:F28)=0,"",IF(AND(G28="OK",H28="OK"),"OK","REVISAR"))</f>
      </c>
    </row>
    <row r="29">
      <c r="A29" s="5"/>
      <c r="B29" s="5"/>
      <c r="C29" s="4"/>
      <c r="D29" s="4"/>
      <c r="E29" s="5"/>
      <c r="F29" s="4"/>
      <c r="G29" s="6">
        <f>IF(AND(A29="",B29=""),"",IF(COUNTIFS($A$2:$A$2001,A29,$B$2:$B$2001,B29)&gt;1,"DUPLICADO","OK"))</f>
      </c>
      <c r="H29" s="6">
        <f>IF(COUNTA(A29:F29)=0,"",IF(AND(A29&lt;&gt;"",B29&lt;&gt;"",E29&lt;&gt;""),"OK","ERRO: faltam "&amp;IF(A29="","Conta; ","")&amp;IF(B29="","Oportunidade; ","")&amp;IF(E29="","Novo gerente; ","")))</f>
      </c>
      <c r="I29" s="6">
        <f>IF(COUNTA(A29:F29)=0,"",IF(AND(G29="OK",H29="OK"),"OK","REVISAR"))</f>
      </c>
    </row>
    <row r="30">
      <c r="A30" s="5"/>
      <c r="B30" s="5"/>
      <c r="C30" s="4"/>
      <c r="D30" s="4"/>
      <c r="E30" s="5"/>
      <c r="F30" s="4"/>
      <c r="G30" s="6">
        <f>IF(AND(A30="",B30=""),"",IF(COUNTIFS($A$2:$A$2001,A30,$B$2:$B$2001,B30)&gt;1,"DUPLICADO","OK"))</f>
      </c>
      <c r="H30" s="6">
        <f>IF(COUNTA(A30:F30)=0,"",IF(AND(A30&lt;&gt;"",B30&lt;&gt;"",E30&lt;&gt;""),"OK","ERRO: faltam "&amp;IF(A30="","Conta; ","")&amp;IF(B30="","Oportunidade; ","")&amp;IF(E30="","Novo gerente; ","")))</f>
      </c>
      <c r="I30" s="6">
        <f>IF(COUNTA(A30:F30)=0,"",IF(AND(G30="OK",H30="OK"),"OK","REVISAR"))</f>
      </c>
    </row>
    <row r="31">
      <c r="A31" s="5"/>
      <c r="B31" s="5"/>
      <c r="C31" s="4"/>
      <c r="D31" s="4"/>
      <c r="E31" s="5"/>
      <c r="F31" s="4"/>
      <c r="G31" s="6">
        <f>IF(AND(A31="",B31=""),"",IF(COUNTIFS($A$2:$A$2001,A31,$B$2:$B$2001,B31)&gt;1,"DUPLICADO","OK"))</f>
      </c>
      <c r="H31" s="6">
        <f>IF(COUNTA(A31:F31)=0,"",IF(AND(A31&lt;&gt;"",B31&lt;&gt;"",E31&lt;&gt;""),"OK","ERRO: faltam "&amp;IF(A31="","Conta; ","")&amp;IF(B31="","Oportunidade; ","")&amp;IF(E31="","Novo gerente; ","")))</f>
      </c>
      <c r="I31" s="6">
        <f>IF(COUNTA(A31:F31)=0,"",IF(AND(G31="OK",H31="OK"),"OK","REVISAR"))</f>
      </c>
    </row>
    <row r="32">
      <c r="A32" s="5"/>
      <c r="B32" s="5"/>
      <c r="C32" s="4"/>
      <c r="D32" s="4"/>
      <c r="E32" s="5"/>
      <c r="F32" s="4"/>
      <c r="G32" s="6">
        <f>IF(AND(A32="",B32=""),"",IF(COUNTIFS($A$2:$A$2001,A32,$B$2:$B$2001,B32)&gt;1,"DUPLICADO","OK"))</f>
      </c>
      <c r="H32" s="6">
        <f>IF(COUNTA(A32:F32)=0,"",IF(AND(A32&lt;&gt;"",B32&lt;&gt;"",E32&lt;&gt;""),"OK","ERRO: faltam "&amp;IF(A32="","Conta; ","")&amp;IF(B32="","Oportunidade; ","")&amp;IF(E32="","Novo gerente; ","")))</f>
      </c>
      <c r="I32" s="6">
        <f>IF(COUNTA(A32:F32)=0,"",IF(AND(G32="OK",H32="OK"),"OK","REVISAR"))</f>
      </c>
    </row>
    <row r="33">
      <c r="A33" s="5"/>
      <c r="B33" s="5"/>
      <c r="C33" s="4"/>
      <c r="D33" s="4"/>
      <c r="E33" s="5"/>
      <c r="F33" s="4"/>
      <c r="G33" s="6">
        <f>IF(AND(A33="",B33=""),"",IF(COUNTIFS($A$2:$A$2001,A33,$B$2:$B$2001,B33)&gt;1,"DUPLICADO","OK"))</f>
      </c>
      <c r="H33" s="6">
        <f>IF(COUNTA(A33:F33)=0,"",IF(AND(A33&lt;&gt;"",B33&lt;&gt;"",E33&lt;&gt;""),"OK","ERRO: faltam "&amp;IF(A33="","Conta; ","")&amp;IF(B33="","Oportunidade; ","")&amp;IF(E33="","Novo gerente; ","")))</f>
      </c>
      <c r="I33" s="6">
        <f>IF(COUNTA(A33:F33)=0,"",IF(AND(G33="OK",H33="OK"),"OK","REVISAR"))</f>
      </c>
    </row>
    <row r="34">
      <c r="A34" s="5"/>
      <c r="B34" s="5"/>
      <c r="C34" s="4"/>
      <c r="D34" s="4"/>
      <c r="E34" s="5"/>
      <c r="F34" s="4"/>
      <c r="G34" s="6">
        <f>IF(AND(A34="",B34=""),"",IF(COUNTIFS($A$2:$A$2001,A34,$B$2:$B$2001,B34)&gt;1,"DUPLICADO","OK"))</f>
      </c>
      <c r="H34" s="6">
        <f>IF(COUNTA(A34:F34)=0,"",IF(AND(A34&lt;&gt;"",B34&lt;&gt;"",E34&lt;&gt;""),"OK","ERRO: faltam "&amp;IF(A34="","Conta; ","")&amp;IF(B34="","Oportunidade; ","")&amp;IF(E34="","Novo gerente; ","")))</f>
      </c>
      <c r="I34" s="6">
        <f>IF(COUNTA(A34:F34)=0,"",IF(AND(G34="OK",H34="OK"),"OK","REVISAR"))</f>
      </c>
    </row>
    <row r="35">
      <c r="A35" s="5"/>
      <c r="B35" s="5"/>
      <c r="C35" s="4"/>
      <c r="D35" s="4"/>
      <c r="E35" s="5"/>
      <c r="F35" s="4"/>
      <c r="G35" s="6">
        <f>IF(AND(A35="",B35=""),"",IF(COUNTIFS($A$2:$A$2001,A35,$B$2:$B$2001,B35)&gt;1,"DUPLICADO","OK"))</f>
      </c>
      <c r="H35" s="6">
        <f>IF(COUNTA(A35:F35)=0,"",IF(AND(A35&lt;&gt;"",B35&lt;&gt;"",E35&lt;&gt;""),"OK","ERRO: faltam "&amp;IF(A35="","Conta; ","")&amp;IF(B35="","Oportunidade; ","")&amp;IF(E35="","Novo gerente; ","")))</f>
      </c>
      <c r="I35" s="6">
        <f>IF(COUNTA(A35:F35)=0,"",IF(AND(G35="OK",H35="OK"),"OK","REVISAR"))</f>
      </c>
    </row>
    <row r="36">
      <c r="A36" s="5"/>
      <c r="B36" s="5"/>
      <c r="C36" s="4"/>
      <c r="D36" s="4"/>
      <c r="E36" s="5"/>
      <c r="F36" s="4"/>
      <c r="G36" s="6">
        <f>IF(AND(A36="",B36=""),"",IF(COUNTIFS($A$2:$A$2001,A36,$B$2:$B$2001,B36)&gt;1,"DUPLICADO","OK"))</f>
      </c>
      <c r="H36" s="6">
        <f>IF(COUNTA(A36:F36)=0,"",IF(AND(A36&lt;&gt;"",B36&lt;&gt;"",E36&lt;&gt;""),"OK","ERRO: faltam "&amp;IF(A36="","Conta; ","")&amp;IF(B36="","Oportunidade; ","")&amp;IF(E36="","Novo gerente; ","")))</f>
      </c>
      <c r="I36" s="6">
        <f>IF(COUNTA(A36:F36)=0,"",IF(AND(G36="OK",H36="OK"),"OK","REVISAR"))</f>
      </c>
    </row>
    <row r="37">
      <c r="A37" s="5"/>
      <c r="B37" s="5"/>
      <c r="C37" s="4"/>
      <c r="D37" s="4"/>
      <c r="E37" s="5"/>
      <c r="F37" s="4"/>
      <c r="G37" s="6">
        <f>IF(AND(A37="",B37=""),"",IF(COUNTIFS($A$2:$A$2001,A37,$B$2:$B$2001,B37)&gt;1,"DUPLICADO","OK"))</f>
      </c>
      <c r="H37" s="6">
        <f>IF(COUNTA(A37:F37)=0,"",IF(AND(A37&lt;&gt;"",B37&lt;&gt;"",E37&lt;&gt;""),"OK","ERRO: faltam "&amp;IF(A37="","Conta; ","")&amp;IF(B37="","Oportunidade; ","")&amp;IF(E37="","Novo gerente; ","")))</f>
      </c>
      <c r="I37" s="6">
        <f>IF(COUNTA(A37:F37)=0,"",IF(AND(G37="OK",H37="OK"),"OK","REVISAR"))</f>
      </c>
    </row>
    <row r="38">
      <c r="A38" s="5"/>
      <c r="B38" s="5"/>
      <c r="C38" s="4"/>
      <c r="D38" s="4"/>
      <c r="E38" s="5"/>
      <c r="F38" s="4"/>
      <c r="G38" s="6">
        <f>IF(AND(A38="",B38=""),"",IF(COUNTIFS($A$2:$A$2001,A38,$B$2:$B$2001,B38)&gt;1,"DUPLICADO","OK"))</f>
      </c>
      <c r="H38" s="6">
        <f>IF(COUNTA(A38:F38)=0,"",IF(AND(A38&lt;&gt;"",B38&lt;&gt;"",E38&lt;&gt;""),"OK","ERRO: faltam "&amp;IF(A38="","Conta; ","")&amp;IF(B38="","Oportunidade; ","")&amp;IF(E38="","Novo gerente; ","")))</f>
      </c>
      <c r="I38" s="6">
        <f>IF(COUNTA(A38:F38)=0,"",IF(AND(G38="OK",H38="OK"),"OK","REVISAR"))</f>
      </c>
    </row>
    <row r="39">
      <c r="A39" s="5"/>
      <c r="B39" s="5"/>
      <c r="C39" s="4"/>
      <c r="D39" s="4"/>
      <c r="E39" s="5"/>
      <c r="F39" s="4"/>
      <c r="G39" s="6">
        <f>IF(AND(A39="",B39=""),"",IF(COUNTIFS($A$2:$A$2001,A39,$B$2:$B$2001,B39)&gt;1,"DUPLICADO","OK"))</f>
      </c>
      <c r="H39" s="6">
        <f>IF(COUNTA(A39:F39)=0,"",IF(AND(A39&lt;&gt;"",B39&lt;&gt;"",E39&lt;&gt;""),"OK","ERRO: faltam "&amp;IF(A39="","Conta; ","")&amp;IF(B39="","Oportunidade; ","")&amp;IF(E39="","Novo gerente; ","")))</f>
      </c>
      <c r="I39" s="6">
        <f>IF(COUNTA(A39:F39)=0,"",IF(AND(G39="OK",H39="OK"),"OK","REVISAR"))</f>
      </c>
    </row>
    <row r="40">
      <c r="A40" s="5"/>
      <c r="B40" s="5"/>
      <c r="C40" s="4"/>
      <c r="D40" s="4"/>
      <c r="E40" s="5"/>
      <c r="F40" s="4"/>
      <c r="G40" s="6">
        <f>IF(AND(A40="",B40=""),"",IF(COUNTIFS($A$2:$A$2001,A40,$B$2:$B$2001,B40)&gt;1,"DUPLICADO","OK"))</f>
      </c>
      <c r="H40" s="6">
        <f>IF(COUNTA(A40:F40)=0,"",IF(AND(A40&lt;&gt;"",B40&lt;&gt;"",E40&lt;&gt;""),"OK","ERRO: faltam "&amp;IF(A40="","Conta; ","")&amp;IF(B40="","Oportunidade; ","")&amp;IF(E40="","Novo gerente; ","")))</f>
      </c>
      <c r="I40" s="6">
        <f>IF(COUNTA(A40:F40)=0,"",IF(AND(G40="OK",H40="OK"),"OK","REVISAR"))</f>
      </c>
    </row>
    <row r="41">
      <c r="A41" s="5"/>
      <c r="B41" s="5"/>
      <c r="C41" s="4"/>
      <c r="D41" s="4"/>
      <c r="E41" s="5"/>
      <c r="F41" s="4"/>
      <c r="G41" s="6">
        <f>IF(AND(A41="",B41=""),"",IF(COUNTIFS($A$2:$A$2001,A41,$B$2:$B$2001,B41)&gt;1,"DUPLICADO","OK"))</f>
      </c>
      <c r="H41" s="6">
        <f>IF(COUNTA(A41:F41)=0,"",IF(AND(A41&lt;&gt;"",B41&lt;&gt;"",E41&lt;&gt;""),"OK","ERRO: faltam "&amp;IF(A41="","Conta; ","")&amp;IF(B41="","Oportunidade; ","")&amp;IF(E41="","Novo gerente; ","")))</f>
      </c>
      <c r="I41" s="6">
        <f>IF(COUNTA(A41:F41)=0,"",IF(AND(G41="OK",H41="OK"),"OK","REVISAR"))</f>
      </c>
    </row>
    <row r="42">
      <c r="A42" s="5"/>
      <c r="B42" s="5"/>
      <c r="C42" s="4"/>
      <c r="D42" s="4"/>
      <c r="E42" s="5"/>
      <c r="F42" s="4"/>
      <c r="G42" s="6">
        <f>IF(AND(A42="",B42=""),"",IF(COUNTIFS($A$2:$A$2001,A42,$B$2:$B$2001,B42)&gt;1,"DUPLICADO","OK"))</f>
      </c>
      <c r="H42" s="6">
        <f>IF(COUNTA(A42:F42)=0,"",IF(AND(A42&lt;&gt;"",B42&lt;&gt;"",E42&lt;&gt;""),"OK","ERRO: faltam "&amp;IF(A42="","Conta; ","")&amp;IF(B42="","Oportunidade; ","")&amp;IF(E42="","Novo gerente; ","")))</f>
      </c>
      <c r="I42" s="6">
        <f>IF(COUNTA(A42:F42)=0,"",IF(AND(G42="OK",H42="OK"),"OK","REVISAR"))</f>
      </c>
    </row>
    <row r="43">
      <c r="A43" s="5"/>
      <c r="B43" s="5"/>
      <c r="C43" s="4"/>
      <c r="D43" s="4"/>
      <c r="E43" s="5"/>
      <c r="F43" s="4"/>
      <c r="G43" s="6">
        <f>IF(AND(A43="",B43=""),"",IF(COUNTIFS($A$2:$A$2001,A43,$B$2:$B$2001,B43)&gt;1,"DUPLICADO","OK"))</f>
      </c>
      <c r="H43" s="6">
        <f>IF(COUNTA(A43:F43)=0,"",IF(AND(A43&lt;&gt;"",B43&lt;&gt;"",E43&lt;&gt;""),"OK","ERRO: faltam "&amp;IF(A43="","Conta; ","")&amp;IF(B43="","Oportunidade; ","")&amp;IF(E43="","Novo gerente; ","")))</f>
      </c>
      <c r="I43" s="6">
        <f>IF(COUNTA(A43:F43)=0,"",IF(AND(G43="OK",H43="OK"),"OK","REVISAR"))</f>
      </c>
    </row>
    <row r="44">
      <c r="A44" s="5"/>
      <c r="B44" s="5"/>
      <c r="C44" s="4"/>
      <c r="D44" s="4"/>
      <c r="E44" s="5"/>
      <c r="F44" s="4"/>
      <c r="G44" s="6">
        <f>IF(AND(A44="",B44=""),"",IF(COUNTIFS($A$2:$A$2001,A44,$B$2:$B$2001,B44)&gt;1,"DUPLICADO","OK"))</f>
      </c>
      <c r="H44" s="6">
        <f>IF(COUNTA(A44:F44)=0,"",IF(AND(A44&lt;&gt;"",B44&lt;&gt;"",E44&lt;&gt;""),"OK","ERRO: faltam "&amp;IF(A44="","Conta; ","")&amp;IF(B44="","Oportunidade; ","")&amp;IF(E44="","Novo gerente; ","")))</f>
      </c>
      <c r="I44" s="6">
        <f>IF(COUNTA(A44:F44)=0,"",IF(AND(G44="OK",H44="OK"),"OK","REVISAR"))</f>
      </c>
    </row>
    <row r="45">
      <c r="A45" s="5"/>
      <c r="B45" s="5"/>
      <c r="C45" s="4"/>
      <c r="D45" s="4"/>
      <c r="E45" s="5"/>
      <c r="F45" s="4"/>
      <c r="G45" s="6">
        <f>IF(AND(A45="",B45=""),"",IF(COUNTIFS($A$2:$A$2001,A45,$B$2:$B$2001,B45)&gt;1,"DUPLICADO","OK"))</f>
      </c>
      <c r="H45" s="6">
        <f>IF(COUNTA(A45:F45)=0,"",IF(AND(A45&lt;&gt;"",B45&lt;&gt;"",E45&lt;&gt;""),"OK","ERRO: faltam "&amp;IF(A45="","Conta; ","")&amp;IF(B45="","Oportunidade; ","")&amp;IF(E45="","Novo gerente; ","")))</f>
      </c>
      <c r="I45" s="6">
        <f>IF(COUNTA(A45:F45)=0,"",IF(AND(G45="OK",H45="OK"),"OK","REVISAR"))</f>
      </c>
    </row>
    <row r="46">
      <c r="A46" s="5"/>
      <c r="B46" s="5"/>
      <c r="C46" s="4"/>
      <c r="D46" s="4"/>
      <c r="E46" s="5"/>
      <c r="F46" s="4"/>
      <c r="G46" s="6">
        <f>IF(AND(A46="",B46=""),"",IF(COUNTIFS($A$2:$A$2001,A46,$B$2:$B$2001,B46)&gt;1,"DUPLICADO","OK"))</f>
      </c>
      <c r="H46" s="6">
        <f>IF(COUNTA(A46:F46)=0,"",IF(AND(A46&lt;&gt;"",B46&lt;&gt;"",E46&lt;&gt;""),"OK","ERRO: faltam "&amp;IF(A46="","Conta; ","")&amp;IF(B46="","Oportunidade; ","")&amp;IF(E46="","Novo gerente; ","")))</f>
      </c>
      <c r="I46" s="6">
        <f>IF(COUNTA(A46:F46)=0,"",IF(AND(G46="OK",H46="OK"),"OK","REVISAR"))</f>
      </c>
    </row>
    <row r="47">
      <c r="A47" s="5"/>
      <c r="B47" s="5"/>
      <c r="C47" s="4"/>
      <c r="D47" s="4"/>
      <c r="E47" s="5"/>
      <c r="F47" s="4"/>
      <c r="G47" s="6">
        <f>IF(AND(A47="",B47=""),"",IF(COUNTIFS($A$2:$A$2001,A47,$B$2:$B$2001,B47)&gt;1,"DUPLICADO","OK"))</f>
      </c>
      <c r="H47" s="6">
        <f>IF(COUNTA(A47:F47)=0,"",IF(AND(A47&lt;&gt;"",B47&lt;&gt;"",E47&lt;&gt;""),"OK","ERRO: faltam "&amp;IF(A47="","Conta; ","")&amp;IF(B47="","Oportunidade; ","")&amp;IF(E47="","Novo gerente; ","")))</f>
      </c>
      <c r="I47" s="6">
        <f>IF(COUNTA(A47:F47)=0,"",IF(AND(G47="OK",H47="OK"),"OK","REVISAR"))</f>
      </c>
    </row>
    <row r="48">
      <c r="A48" s="5"/>
      <c r="B48" s="5"/>
      <c r="C48" s="4"/>
      <c r="D48" s="4"/>
      <c r="E48" s="5"/>
      <c r="F48" s="4"/>
      <c r="G48" s="6">
        <f>IF(AND(A48="",B48=""),"",IF(COUNTIFS($A$2:$A$2001,A48,$B$2:$B$2001,B48)&gt;1,"DUPLICADO","OK"))</f>
      </c>
      <c r="H48" s="6">
        <f>IF(COUNTA(A48:F48)=0,"",IF(AND(A48&lt;&gt;"",B48&lt;&gt;"",E48&lt;&gt;""),"OK","ERRO: faltam "&amp;IF(A48="","Conta; ","")&amp;IF(B48="","Oportunidade; ","")&amp;IF(E48="","Novo gerente; ","")))</f>
      </c>
      <c r="I48" s="6">
        <f>IF(COUNTA(A48:F48)=0,"",IF(AND(G48="OK",H48="OK"),"OK","REVISAR"))</f>
      </c>
    </row>
    <row r="49">
      <c r="A49" s="5"/>
      <c r="B49" s="5"/>
      <c r="C49" s="4"/>
      <c r="D49" s="4"/>
      <c r="E49" s="5"/>
      <c r="F49" s="4"/>
      <c r="G49" s="6">
        <f>IF(AND(A49="",B49=""),"",IF(COUNTIFS($A$2:$A$2001,A49,$B$2:$B$2001,B49)&gt;1,"DUPLICADO","OK"))</f>
      </c>
      <c r="H49" s="6">
        <f>IF(COUNTA(A49:F49)=0,"",IF(AND(A49&lt;&gt;"",B49&lt;&gt;"",E49&lt;&gt;""),"OK","ERRO: faltam "&amp;IF(A49="","Conta; ","")&amp;IF(B49="","Oportunidade; ","")&amp;IF(E49="","Novo gerente; ","")))</f>
      </c>
      <c r="I49" s="6">
        <f>IF(COUNTA(A49:F49)=0,"",IF(AND(G49="OK",H49="OK"),"OK","REVISAR"))</f>
      </c>
    </row>
    <row r="50">
      <c r="A50" s="5"/>
      <c r="B50" s="5"/>
      <c r="C50" s="4"/>
      <c r="D50" s="4"/>
      <c r="E50" s="5"/>
      <c r="F50" s="4"/>
      <c r="G50" s="6">
        <f>IF(AND(A50="",B50=""),"",IF(COUNTIFS($A$2:$A$2001,A50,$B$2:$B$2001,B50)&gt;1,"DUPLICADO","OK"))</f>
      </c>
      <c r="H50" s="6">
        <f>IF(COUNTA(A50:F50)=0,"",IF(AND(A50&lt;&gt;"",B50&lt;&gt;"",E50&lt;&gt;""),"OK","ERRO: faltam "&amp;IF(A50="","Conta; ","")&amp;IF(B50="","Oportunidade; ","")&amp;IF(E50="","Novo gerente; ","")))</f>
      </c>
      <c r="I50" s="6">
        <f>IF(COUNTA(A50:F50)=0,"",IF(AND(G50="OK",H50="OK"),"OK","REVISAR"))</f>
      </c>
    </row>
    <row r="51">
      <c r="A51" s="5"/>
      <c r="B51" s="5"/>
      <c r="C51" s="4"/>
      <c r="D51" s="4"/>
      <c r="E51" s="5"/>
      <c r="F51" s="4"/>
      <c r="G51" s="6">
        <f>IF(AND(A51="",B51=""),"",IF(COUNTIFS($A$2:$A$2001,A51,$B$2:$B$2001,B51)&gt;1,"DUPLICADO","OK"))</f>
      </c>
      <c r="H51" s="6">
        <f>IF(COUNTA(A51:F51)=0,"",IF(AND(A51&lt;&gt;"",B51&lt;&gt;"",E51&lt;&gt;""),"OK","ERRO: faltam "&amp;IF(A51="","Conta; ","")&amp;IF(B51="","Oportunidade; ","")&amp;IF(E51="","Novo gerente; ","")))</f>
      </c>
      <c r="I51" s="6">
        <f>IF(COUNTA(A51:F51)=0,"",IF(AND(G51="OK",H51="OK"),"OK","REVISAR"))</f>
      </c>
    </row>
    <row r="52">
      <c r="A52" s="5"/>
      <c r="B52" s="5"/>
      <c r="C52" s="4"/>
      <c r="D52" s="4"/>
      <c r="E52" s="5"/>
      <c r="F52" s="4"/>
      <c r="G52" s="6">
        <f>IF(AND(A52="",B52=""),"",IF(COUNTIFS($A$2:$A$2001,A52,$B$2:$B$2001,B52)&gt;1,"DUPLICADO","OK"))</f>
      </c>
      <c r="H52" s="6">
        <f>IF(COUNTA(A52:F52)=0,"",IF(AND(A52&lt;&gt;"",B52&lt;&gt;"",E52&lt;&gt;""),"OK","ERRO: faltam "&amp;IF(A52="","Conta; ","")&amp;IF(B52="","Oportunidade; ","")&amp;IF(E52="","Novo gerente; ","")))</f>
      </c>
      <c r="I52" s="6">
        <f>IF(COUNTA(A52:F52)=0,"",IF(AND(G52="OK",H52="OK"),"OK","REVISAR"))</f>
      </c>
    </row>
    <row r="53">
      <c r="A53" s="5"/>
      <c r="B53" s="5"/>
      <c r="C53" s="4"/>
      <c r="D53" s="4"/>
      <c r="E53" s="5"/>
      <c r="F53" s="4"/>
      <c r="G53" s="6">
        <f>IF(AND(A53="",B53=""),"",IF(COUNTIFS($A$2:$A$2001,A53,$B$2:$B$2001,B53)&gt;1,"DUPLICADO","OK"))</f>
      </c>
      <c r="H53" s="6">
        <f>IF(COUNTA(A53:F53)=0,"",IF(AND(A53&lt;&gt;"",B53&lt;&gt;"",E53&lt;&gt;""),"OK","ERRO: faltam "&amp;IF(A53="","Conta; ","")&amp;IF(B53="","Oportunidade; ","")&amp;IF(E53="","Novo gerente; ","")))</f>
      </c>
      <c r="I53" s="6">
        <f>IF(COUNTA(A53:F53)=0,"",IF(AND(G53="OK",H53="OK"),"OK","REVISAR"))</f>
      </c>
    </row>
    <row r="54">
      <c r="A54" s="5"/>
      <c r="B54" s="5"/>
      <c r="C54" s="4"/>
      <c r="D54" s="4"/>
      <c r="E54" s="5"/>
      <c r="F54" s="4"/>
      <c r="G54" s="6">
        <f>IF(AND(A54="",B54=""),"",IF(COUNTIFS($A$2:$A$2001,A54,$B$2:$B$2001,B54)&gt;1,"DUPLICADO","OK"))</f>
      </c>
      <c r="H54" s="6">
        <f>IF(COUNTA(A54:F54)=0,"",IF(AND(A54&lt;&gt;"",B54&lt;&gt;"",E54&lt;&gt;""),"OK","ERRO: faltam "&amp;IF(A54="","Conta; ","")&amp;IF(B54="","Oportunidade; ","")&amp;IF(E54="","Novo gerente; ","")))</f>
      </c>
      <c r="I54" s="6">
        <f>IF(COUNTA(A54:F54)=0,"",IF(AND(G54="OK",H54="OK"),"OK","REVISAR"))</f>
      </c>
    </row>
    <row r="55">
      <c r="A55" s="5"/>
      <c r="B55" s="5"/>
      <c r="C55" s="4"/>
      <c r="D55" s="4"/>
      <c r="E55" s="5"/>
      <c r="F55" s="4"/>
      <c r="G55" s="6">
        <f>IF(AND(A55="",B55=""),"",IF(COUNTIFS($A$2:$A$2001,A55,$B$2:$B$2001,B55)&gt;1,"DUPLICADO","OK"))</f>
      </c>
      <c r="H55" s="6">
        <f>IF(COUNTA(A55:F55)=0,"",IF(AND(A55&lt;&gt;"",B55&lt;&gt;"",E55&lt;&gt;""),"OK","ERRO: faltam "&amp;IF(A55="","Conta; ","")&amp;IF(B55="","Oportunidade; ","")&amp;IF(E55="","Novo gerente; ","")))</f>
      </c>
      <c r="I55" s="6">
        <f>IF(COUNTA(A55:F55)=0,"",IF(AND(G55="OK",H55="OK"),"OK","REVISAR"))</f>
      </c>
    </row>
    <row r="56">
      <c r="A56" s="5"/>
      <c r="B56" s="5"/>
      <c r="C56" s="4"/>
      <c r="D56" s="4"/>
      <c r="E56" s="5"/>
      <c r="F56" s="4"/>
      <c r="G56" s="6">
        <f>IF(AND(A56="",B56=""),"",IF(COUNTIFS($A$2:$A$2001,A56,$B$2:$B$2001,B56)&gt;1,"DUPLICADO","OK"))</f>
      </c>
      <c r="H56" s="6">
        <f>IF(COUNTA(A56:F56)=0,"",IF(AND(A56&lt;&gt;"",B56&lt;&gt;"",E56&lt;&gt;""),"OK","ERRO: faltam "&amp;IF(A56="","Conta; ","")&amp;IF(B56="","Oportunidade; ","")&amp;IF(E56="","Novo gerente; ","")))</f>
      </c>
      <c r="I56" s="6">
        <f>IF(COUNTA(A56:F56)=0,"",IF(AND(G56="OK",H56="OK"),"OK","REVISAR"))</f>
      </c>
    </row>
    <row r="57">
      <c r="A57" s="5"/>
      <c r="B57" s="5"/>
      <c r="C57" s="4"/>
      <c r="D57" s="4"/>
      <c r="E57" s="5"/>
      <c r="F57" s="4"/>
      <c r="G57" s="6">
        <f>IF(AND(A57="",B57=""),"",IF(COUNTIFS($A$2:$A$2001,A57,$B$2:$B$2001,B57)&gt;1,"DUPLICADO","OK"))</f>
      </c>
      <c r="H57" s="6">
        <f>IF(COUNTA(A57:F57)=0,"",IF(AND(A57&lt;&gt;"",B57&lt;&gt;"",E57&lt;&gt;""),"OK","ERRO: faltam "&amp;IF(A57="","Conta; ","")&amp;IF(B57="","Oportunidade; ","")&amp;IF(E57="","Novo gerente; ","")))</f>
      </c>
      <c r="I57" s="6">
        <f>IF(COUNTA(A57:F57)=0,"",IF(AND(G57="OK",H57="OK"),"OK","REVISAR"))</f>
      </c>
    </row>
    <row r="58">
      <c r="A58" s="5"/>
      <c r="B58" s="5"/>
      <c r="C58" s="4"/>
      <c r="D58" s="4"/>
      <c r="E58" s="5"/>
      <c r="F58" s="4"/>
      <c r="G58" s="6">
        <f>IF(AND(A58="",B58=""),"",IF(COUNTIFS($A$2:$A$2001,A58,$B$2:$B$2001,B58)&gt;1,"DUPLICADO","OK"))</f>
      </c>
      <c r="H58" s="6">
        <f>IF(COUNTA(A58:F58)=0,"",IF(AND(A58&lt;&gt;"",B58&lt;&gt;"",E58&lt;&gt;""),"OK","ERRO: faltam "&amp;IF(A58="","Conta; ","")&amp;IF(B58="","Oportunidade; ","")&amp;IF(E58="","Novo gerente; ","")))</f>
      </c>
      <c r="I58" s="6">
        <f>IF(COUNTA(A58:F58)=0,"",IF(AND(G58="OK",H58="OK"),"OK","REVISAR"))</f>
      </c>
    </row>
    <row r="59">
      <c r="A59" s="5"/>
      <c r="B59" s="5"/>
      <c r="C59" s="4"/>
      <c r="D59" s="4"/>
      <c r="E59" s="5"/>
      <c r="F59" s="4"/>
      <c r="G59" s="6">
        <f>IF(AND(A59="",B59=""),"",IF(COUNTIFS($A$2:$A$2001,A59,$B$2:$B$2001,B59)&gt;1,"DUPLICADO","OK"))</f>
      </c>
      <c r="H59" s="6">
        <f>IF(COUNTA(A59:F59)=0,"",IF(AND(A59&lt;&gt;"",B59&lt;&gt;"",E59&lt;&gt;""),"OK","ERRO: faltam "&amp;IF(A59="","Conta; ","")&amp;IF(B59="","Oportunidade; ","")&amp;IF(E59="","Novo gerente; ","")))</f>
      </c>
      <c r="I59" s="6">
        <f>IF(COUNTA(A59:F59)=0,"",IF(AND(G59="OK",H59="OK"),"OK","REVISAR"))</f>
      </c>
    </row>
    <row r="60">
      <c r="A60" s="5"/>
      <c r="B60" s="5"/>
      <c r="C60" s="4"/>
      <c r="D60" s="4"/>
      <c r="E60" s="5"/>
      <c r="F60" s="4"/>
      <c r="G60" s="6">
        <f>IF(AND(A60="",B60=""),"",IF(COUNTIFS($A$2:$A$2001,A60,$B$2:$B$2001,B60)&gt;1,"DUPLICADO","OK"))</f>
      </c>
      <c r="H60" s="6">
        <f>IF(COUNTA(A60:F60)=0,"",IF(AND(A60&lt;&gt;"",B60&lt;&gt;"",E60&lt;&gt;""),"OK","ERRO: faltam "&amp;IF(A60="","Conta; ","")&amp;IF(B60="","Oportunidade; ","")&amp;IF(E60="","Novo gerente; ","")))</f>
      </c>
      <c r="I60" s="6">
        <f>IF(COUNTA(A60:F60)=0,"",IF(AND(G60="OK",H60="OK"),"OK","REVISAR"))</f>
      </c>
    </row>
    <row r="61">
      <c r="A61" s="5"/>
      <c r="B61" s="5"/>
      <c r="C61" s="4"/>
      <c r="D61" s="4"/>
      <c r="E61" s="5"/>
      <c r="F61" s="4"/>
      <c r="G61" s="6">
        <f>IF(AND(A61="",B61=""),"",IF(COUNTIFS($A$2:$A$2001,A61,$B$2:$B$2001,B61)&gt;1,"DUPLICADO","OK"))</f>
      </c>
      <c r="H61" s="6">
        <f>IF(COUNTA(A61:F61)=0,"",IF(AND(A61&lt;&gt;"",B61&lt;&gt;"",E61&lt;&gt;""),"OK","ERRO: faltam "&amp;IF(A61="","Conta; ","")&amp;IF(B61="","Oportunidade; ","")&amp;IF(E61="","Novo gerente; ","")))</f>
      </c>
      <c r="I61" s="6">
        <f>IF(COUNTA(A61:F61)=0,"",IF(AND(G61="OK",H61="OK"),"OK","REVISAR"))</f>
      </c>
    </row>
    <row r="62">
      <c r="A62" s="5"/>
      <c r="B62" s="5"/>
      <c r="C62" s="4"/>
      <c r="D62" s="4"/>
      <c r="E62" s="5"/>
      <c r="F62" s="4"/>
      <c r="G62" s="6">
        <f>IF(AND(A62="",B62=""),"",IF(COUNTIFS($A$2:$A$2001,A62,$B$2:$B$2001,B62)&gt;1,"DUPLICADO","OK"))</f>
      </c>
      <c r="H62" s="6">
        <f>IF(COUNTA(A62:F62)=0,"",IF(AND(A62&lt;&gt;"",B62&lt;&gt;"",E62&lt;&gt;""),"OK","ERRO: faltam "&amp;IF(A62="","Conta; ","")&amp;IF(B62="","Oportunidade; ","")&amp;IF(E62="","Novo gerente; ","")))</f>
      </c>
      <c r="I62" s="6">
        <f>IF(COUNTA(A62:F62)=0,"",IF(AND(G62="OK",H62="OK"),"OK","REVISAR"))</f>
      </c>
    </row>
    <row r="63">
      <c r="A63" s="5"/>
      <c r="B63" s="5"/>
      <c r="C63" s="4"/>
      <c r="D63" s="4"/>
      <c r="E63" s="5"/>
      <c r="F63" s="4"/>
      <c r="G63" s="6">
        <f>IF(AND(A63="",B63=""),"",IF(COUNTIFS($A$2:$A$2001,A63,$B$2:$B$2001,B63)&gt;1,"DUPLICADO","OK"))</f>
      </c>
      <c r="H63" s="6">
        <f>IF(COUNTA(A63:F63)=0,"",IF(AND(A63&lt;&gt;"",B63&lt;&gt;"",E63&lt;&gt;""),"OK","ERRO: faltam "&amp;IF(A63="","Conta; ","")&amp;IF(B63="","Oportunidade; ","")&amp;IF(E63="","Novo gerente; ","")))</f>
      </c>
      <c r="I63" s="6">
        <f>IF(COUNTA(A63:F63)=0,"",IF(AND(G63="OK",H63="OK"),"OK","REVISAR"))</f>
      </c>
    </row>
    <row r="64">
      <c r="A64" s="5"/>
      <c r="B64" s="5"/>
      <c r="C64" s="4"/>
      <c r="D64" s="4"/>
      <c r="E64" s="5"/>
      <c r="F64" s="4"/>
      <c r="G64" s="6">
        <f>IF(AND(A64="",B64=""),"",IF(COUNTIFS($A$2:$A$2001,A64,$B$2:$B$2001,B64)&gt;1,"DUPLICADO","OK"))</f>
      </c>
      <c r="H64" s="6">
        <f>IF(COUNTA(A64:F64)=0,"",IF(AND(A64&lt;&gt;"",B64&lt;&gt;"",E64&lt;&gt;""),"OK","ERRO: faltam "&amp;IF(A64="","Conta; ","")&amp;IF(B64="","Oportunidade; ","")&amp;IF(E64="","Novo gerente; ","")))</f>
      </c>
      <c r="I64" s="6">
        <f>IF(COUNTA(A64:F64)=0,"",IF(AND(G64="OK",H64="OK"),"OK","REVISAR"))</f>
      </c>
    </row>
    <row r="65">
      <c r="A65" s="5"/>
      <c r="B65" s="5"/>
      <c r="C65" s="4"/>
      <c r="D65" s="4"/>
      <c r="E65" s="5"/>
      <c r="F65" s="4"/>
      <c r="G65" s="6">
        <f>IF(AND(A65="",B65=""),"",IF(COUNTIFS($A$2:$A$2001,A65,$B$2:$B$2001,B65)&gt;1,"DUPLICADO","OK"))</f>
      </c>
      <c r="H65" s="6">
        <f>IF(COUNTA(A65:F65)=0,"",IF(AND(A65&lt;&gt;"",B65&lt;&gt;"",E65&lt;&gt;""),"OK","ERRO: faltam "&amp;IF(A65="","Conta; ","")&amp;IF(B65="","Oportunidade; ","")&amp;IF(E65="","Novo gerente; ","")))</f>
      </c>
      <c r="I65" s="6">
        <f>IF(COUNTA(A65:F65)=0,"",IF(AND(G65="OK",H65="OK"),"OK","REVISAR"))</f>
      </c>
    </row>
    <row r="66">
      <c r="A66" s="5"/>
      <c r="B66" s="5"/>
      <c r="C66" s="4"/>
      <c r="D66" s="4"/>
      <c r="E66" s="5"/>
      <c r="F66" s="4"/>
      <c r="G66" s="6">
        <f>IF(AND(A66="",B66=""),"",IF(COUNTIFS($A$2:$A$2001,A66,$B$2:$B$2001,B66)&gt;1,"DUPLICADO","OK"))</f>
      </c>
      <c r="H66" s="6">
        <f>IF(COUNTA(A66:F66)=0,"",IF(AND(A66&lt;&gt;"",B66&lt;&gt;"",E66&lt;&gt;""),"OK","ERRO: faltam "&amp;IF(A66="","Conta; ","")&amp;IF(B66="","Oportunidade; ","")&amp;IF(E66="","Novo gerente; ","")))</f>
      </c>
      <c r="I66" s="6">
        <f>IF(COUNTA(A66:F66)=0,"",IF(AND(G66="OK",H66="OK"),"OK","REVISAR"))</f>
      </c>
    </row>
    <row r="67">
      <c r="A67" s="5"/>
      <c r="B67" s="5"/>
      <c r="C67" s="4"/>
      <c r="D67" s="4"/>
      <c r="E67" s="5"/>
      <c r="F67" s="4"/>
      <c r="G67" s="6">
        <f>IF(AND(A67="",B67=""),"",IF(COUNTIFS($A$2:$A$2001,A67,$B$2:$B$2001,B67)&gt;1,"DUPLICADO","OK"))</f>
      </c>
      <c r="H67" s="6">
        <f>IF(COUNTA(A67:F67)=0,"",IF(AND(A67&lt;&gt;"",B67&lt;&gt;"",E67&lt;&gt;""),"OK","ERRO: faltam "&amp;IF(A67="","Conta; ","")&amp;IF(B67="","Oportunidade; ","")&amp;IF(E67="","Novo gerente; ","")))</f>
      </c>
      <c r="I67" s="6">
        <f>IF(COUNTA(A67:F67)=0,"",IF(AND(G67="OK",H67="OK"),"OK","REVISAR"))</f>
      </c>
    </row>
    <row r="68">
      <c r="A68" s="5"/>
      <c r="B68" s="5"/>
      <c r="C68" s="4"/>
      <c r="D68" s="4"/>
      <c r="E68" s="5"/>
      <c r="F68" s="4"/>
      <c r="G68" s="6">
        <f>IF(AND(A68="",B68=""),"",IF(COUNTIFS($A$2:$A$2001,A68,$B$2:$B$2001,B68)&gt;1,"DUPLICADO","OK"))</f>
      </c>
      <c r="H68" s="6">
        <f>IF(COUNTA(A68:F68)=0,"",IF(AND(A68&lt;&gt;"",B68&lt;&gt;"",E68&lt;&gt;""),"OK","ERRO: faltam "&amp;IF(A68="","Conta; ","")&amp;IF(B68="","Oportunidade; ","")&amp;IF(E68="","Novo gerente; ","")))</f>
      </c>
      <c r="I68" s="6">
        <f>IF(COUNTA(A68:F68)=0,"",IF(AND(G68="OK",H68="OK"),"OK","REVISAR"))</f>
      </c>
    </row>
    <row r="69">
      <c r="A69" s="5"/>
      <c r="B69" s="5"/>
      <c r="C69" s="4"/>
      <c r="D69" s="4"/>
      <c r="E69" s="5"/>
      <c r="F69" s="4"/>
      <c r="G69" s="6">
        <f>IF(AND(A69="",B69=""),"",IF(COUNTIFS($A$2:$A$2001,A69,$B$2:$B$2001,B69)&gt;1,"DUPLICADO","OK"))</f>
      </c>
      <c r="H69" s="6">
        <f>IF(COUNTA(A69:F69)=0,"",IF(AND(A69&lt;&gt;"",B69&lt;&gt;"",E69&lt;&gt;""),"OK","ERRO: faltam "&amp;IF(A69="","Conta; ","")&amp;IF(B69="","Oportunidade; ","")&amp;IF(E69="","Novo gerente; ","")))</f>
      </c>
      <c r="I69" s="6">
        <f>IF(COUNTA(A69:F69)=0,"",IF(AND(G69="OK",H69="OK"),"OK","REVISAR"))</f>
      </c>
    </row>
    <row r="70">
      <c r="A70" s="5"/>
      <c r="B70" s="5"/>
      <c r="C70" s="4"/>
      <c r="D70" s="4"/>
      <c r="E70" s="5"/>
      <c r="F70" s="4"/>
      <c r="G70" s="6">
        <f>IF(AND(A70="",B70=""),"",IF(COUNTIFS($A$2:$A$2001,A70,$B$2:$B$2001,B70)&gt;1,"DUPLICADO","OK"))</f>
      </c>
      <c r="H70" s="6">
        <f>IF(COUNTA(A70:F70)=0,"",IF(AND(A70&lt;&gt;"",B70&lt;&gt;"",E70&lt;&gt;""),"OK","ERRO: faltam "&amp;IF(A70="","Conta; ","")&amp;IF(B70="","Oportunidade; ","")&amp;IF(E70="","Novo gerente; ","")))</f>
      </c>
      <c r="I70" s="6">
        <f>IF(COUNTA(A70:F70)=0,"",IF(AND(G70="OK",H70="OK"),"OK","REVISAR"))</f>
      </c>
    </row>
    <row r="71">
      <c r="A71" s="5"/>
      <c r="B71" s="5"/>
      <c r="C71" s="4"/>
      <c r="D71" s="4"/>
      <c r="E71" s="5"/>
      <c r="F71" s="4"/>
      <c r="G71" s="6">
        <f>IF(AND(A71="",B71=""),"",IF(COUNTIFS($A$2:$A$2001,A71,$B$2:$B$2001,B71)&gt;1,"DUPLICADO","OK"))</f>
      </c>
      <c r="H71" s="6">
        <f>IF(COUNTA(A71:F71)=0,"",IF(AND(A71&lt;&gt;"",B71&lt;&gt;"",E71&lt;&gt;""),"OK","ERRO: faltam "&amp;IF(A71="","Conta; ","")&amp;IF(B71="","Oportunidade; ","")&amp;IF(E71="","Novo gerente; ","")))</f>
      </c>
      <c r="I71" s="6">
        <f>IF(COUNTA(A71:F71)=0,"",IF(AND(G71="OK",H71="OK"),"OK","REVISAR"))</f>
      </c>
    </row>
    <row r="72">
      <c r="A72" s="5"/>
      <c r="B72" s="5"/>
      <c r="C72" s="4"/>
      <c r="D72" s="4"/>
      <c r="E72" s="5"/>
      <c r="F72" s="4"/>
      <c r="G72" s="6">
        <f>IF(AND(A72="",B72=""),"",IF(COUNTIFS($A$2:$A$2001,A72,$B$2:$B$2001,B72)&gt;1,"DUPLICADO","OK"))</f>
      </c>
      <c r="H72" s="6">
        <f>IF(COUNTA(A72:F72)=0,"",IF(AND(A72&lt;&gt;"",B72&lt;&gt;"",E72&lt;&gt;""),"OK","ERRO: faltam "&amp;IF(A72="","Conta; ","")&amp;IF(B72="","Oportunidade; ","")&amp;IF(E72="","Novo gerente; ","")))</f>
      </c>
      <c r="I72" s="6">
        <f>IF(COUNTA(A72:F72)=0,"",IF(AND(G72="OK",H72="OK"),"OK","REVISAR"))</f>
      </c>
    </row>
    <row r="73">
      <c r="A73" s="5"/>
      <c r="B73" s="5"/>
      <c r="C73" s="4"/>
      <c r="D73" s="4"/>
      <c r="E73" s="5"/>
      <c r="F73" s="4"/>
      <c r="G73" s="6">
        <f>IF(AND(A73="",B73=""),"",IF(COUNTIFS($A$2:$A$2001,A73,$B$2:$B$2001,B73)&gt;1,"DUPLICADO","OK"))</f>
      </c>
      <c r="H73" s="6">
        <f>IF(COUNTA(A73:F73)=0,"",IF(AND(A73&lt;&gt;"",B73&lt;&gt;"",E73&lt;&gt;""),"OK","ERRO: faltam "&amp;IF(A73="","Conta; ","")&amp;IF(B73="","Oportunidade; ","")&amp;IF(E73="","Novo gerente; ","")))</f>
      </c>
      <c r="I73" s="6">
        <f>IF(COUNTA(A73:F73)=0,"",IF(AND(G73="OK",H73="OK"),"OK","REVISAR"))</f>
      </c>
    </row>
    <row r="74">
      <c r="A74" s="5"/>
      <c r="B74" s="5"/>
      <c r="C74" s="4"/>
      <c r="D74" s="4"/>
      <c r="E74" s="5"/>
      <c r="F74" s="4"/>
      <c r="G74" s="6">
        <f>IF(AND(A74="",B74=""),"",IF(COUNTIFS($A$2:$A$2001,A74,$B$2:$B$2001,B74)&gt;1,"DUPLICADO","OK"))</f>
      </c>
      <c r="H74" s="6">
        <f>IF(COUNTA(A74:F74)=0,"",IF(AND(A74&lt;&gt;"",B74&lt;&gt;"",E74&lt;&gt;""),"OK","ERRO: faltam "&amp;IF(A74="","Conta; ","")&amp;IF(B74="","Oportunidade; ","")&amp;IF(E74="","Novo gerente; ","")))</f>
      </c>
      <c r="I74" s="6">
        <f>IF(COUNTA(A74:F74)=0,"",IF(AND(G74="OK",H74="OK"),"OK","REVISAR"))</f>
      </c>
    </row>
    <row r="75">
      <c r="A75" s="5"/>
      <c r="B75" s="5"/>
      <c r="C75" s="4"/>
      <c r="D75" s="4"/>
      <c r="E75" s="5"/>
      <c r="F75" s="4"/>
      <c r="G75" s="6">
        <f>IF(AND(A75="",B75=""),"",IF(COUNTIFS($A$2:$A$2001,A75,$B$2:$B$2001,B75)&gt;1,"DUPLICADO","OK"))</f>
      </c>
      <c r="H75" s="6">
        <f>IF(COUNTA(A75:F75)=0,"",IF(AND(A75&lt;&gt;"",B75&lt;&gt;"",E75&lt;&gt;""),"OK","ERRO: faltam "&amp;IF(A75="","Conta; ","")&amp;IF(B75="","Oportunidade; ","")&amp;IF(E75="","Novo gerente; ","")))</f>
      </c>
      <c r="I75" s="6">
        <f>IF(COUNTA(A75:F75)=0,"",IF(AND(G75="OK",H75="OK"),"OK","REVISAR"))</f>
      </c>
    </row>
    <row r="76">
      <c r="A76" s="5"/>
      <c r="B76" s="5"/>
      <c r="C76" s="4"/>
      <c r="D76" s="4"/>
      <c r="E76" s="5"/>
      <c r="F76" s="4"/>
      <c r="G76" s="6">
        <f>IF(AND(A76="",B76=""),"",IF(COUNTIFS($A$2:$A$2001,A76,$B$2:$B$2001,B76)&gt;1,"DUPLICADO","OK"))</f>
      </c>
      <c r="H76" s="6">
        <f>IF(COUNTA(A76:F76)=0,"",IF(AND(A76&lt;&gt;"",B76&lt;&gt;"",E76&lt;&gt;""),"OK","ERRO: faltam "&amp;IF(A76="","Conta; ","")&amp;IF(B76="","Oportunidade; ","")&amp;IF(E76="","Novo gerente; ","")))</f>
      </c>
      <c r="I76" s="6">
        <f>IF(COUNTA(A76:F76)=0,"",IF(AND(G76="OK",H76="OK"),"OK","REVISAR"))</f>
      </c>
    </row>
    <row r="77">
      <c r="A77" s="5"/>
      <c r="B77" s="5"/>
      <c r="C77" s="4"/>
      <c r="D77" s="4"/>
      <c r="E77" s="5"/>
      <c r="F77" s="4"/>
      <c r="G77" s="6">
        <f>IF(AND(A77="",B77=""),"",IF(COUNTIFS($A$2:$A$2001,A77,$B$2:$B$2001,B77)&gt;1,"DUPLICADO","OK"))</f>
      </c>
      <c r="H77" s="6">
        <f>IF(COUNTA(A77:F77)=0,"",IF(AND(A77&lt;&gt;"",B77&lt;&gt;"",E77&lt;&gt;""),"OK","ERRO: faltam "&amp;IF(A77="","Conta; ","")&amp;IF(B77="","Oportunidade; ","")&amp;IF(E77="","Novo gerente; ","")))</f>
      </c>
      <c r="I77" s="6">
        <f>IF(COUNTA(A77:F77)=0,"",IF(AND(G77="OK",H77="OK"),"OK","REVISAR"))</f>
      </c>
    </row>
    <row r="78">
      <c r="A78" s="5"/>
      <c r="B78" s="5"/>
      <c r="C78" s="4"/>
      <c r="D78" s="4"/>
      <c r="E78" s="5"/>
      <c r="F78" s="4"/>
      <c r="G78" s="6">
        <f>IF(AND(A78="",B78=""),"",IF(COUNTIFS($A$2:$A$2001,A78,$B$2:$B$2001,B78)&gt;1,"DUPLICADO","OK"))</f>
      </c>
      <c r="H78" s="6">
        <f>IF(COUNTA(A78:F78)=0,"",IF(AND(A78&lt;&gt;"",B78&lt;&gt;"",E78&lt;&gt;""),"OK","ERRO: faltam "&amp;IF(A78="","Conta; ","")&amp;IF(B78="","Oportunidade; ","")&amp;IF(E78="","Novo gerente; ","")))</f>
      </c>
      <c r="I78" s="6">
        <f>IF(COUNTA(A78:F78)=0,"",IF(AND(G78="OK",H78="OK"),"OK","REVISAR"))</f>
      </c>
    </row>
    <row r="79">
      <c r="A79" s="5"/>
      <c r="B79" s="5"/>
      <c r="C79" s="4"/>
      <c r="D79" s="4"/>
      <c r="E79" s="5"/>
      <c r="F79" s="4"/>
      <c r="G79" s="6">
        <f>IF(AND(A79="",B79=""),"",IF(COUNTIFS($A$2:$A$2001,A79,$B$2:$B$2001,B79)&gt;1,"DUPLICADO","OK"))</f>
      </c>
      <c r="H79" s="6">
        <f>IF(COUNTA(A79:F79)=0,"",IF(AND(A79&lt;&gt;"",B79&lt;&gt;"",E79&lt;&gt;""),"OK","ERRO: faltam "&amp;IF(A79="","Conta; ","")&amp;IF(B79="","Oportunidade; ","")&amp;IF(E79="","Novo gerente; ","")))</f>
      </c>
      <c r="I79" s="6">
        <f>IF(COUNTA(A79:F79)=0,"",IF(AND(G79="OK",H79="OK"),"OK","REVISAR"))</f>
      </c>
    </row>
    <row r="80">
      <c r="A80" s="5"/>
      <c r="B80" s="5"/>
      <c r="C80" s="4"/>
      <c r="D80" s="4"/>
      <c r="E80" s="5"/>
      <c r="F80" s="4"/>
      <c r="G80" s="6">
        <f>IF(AND(A80="",B80=""),"",IF(COUNTIFS($A$2:$A$2001,A80,$B$2:$B$2001,B80)&gt;1,"DUPLICADO","OK"))</f>
      </c>
      <c r="H80" s="6">
        <f>IF(COUNTA(A80:F80)=0,"",IF(AND(A80&lt;&gt;"",B80&lt;&gt;"",E80&lt;&gt;""),"OK","ERRO: faltam "&amp;IF(A80="","Conta; ","")&amp;IF(B80="","Oportunidade; ","")&amp;IF(E80="","Novo gerente; ","")))</f>
      </c>
      <c r="I80" s="6">
        <f>IF(COUNTA(A80:F80)=0,"",IF(AND(G80="OK",H80="OK"),"OK","REVISAR"))</f>
      </c>
    </row>
    <row r="81">
      <c r="A81" s="5"/>
      <c r="B81" s="5"/>
      <c r="C81" s="4"/>
      <c r="D81" s="4"/>
      <c r="E81" s="5"/>
      <c r="F81" s="4"/>
      <c r="G81" s="6">
        <f>IF(AND(A81="",B81=""),"",IF(COUNTIFS($A$2:$A$2001,A81,$B$2:$B$2001,B81)&gt;1,"DUPLICADO","OK"))</f>
      </c>
      <c r="H81" s="6">
        <f>IF(COUNTA(A81:F81)=0,"",IF(AND(A81&lt;&gt;"",B81&lt;&gt;"",E81&lt;&gt;""),"OK","ERRO: faltam "&amp;IF(A81="","Conta; ","")&amp;IF(B81="","Oportunidade; ","")&amp;IF(E81="","Novo gerente; ","")))</f>
      </c>
      <c r="I81" s="6">
        <f>IF(COUNTA(A81:F81)=0,"",IF(AND(G81="OK",H81="OK"),"OK","REVISAR"))</f>
      </c>
    </row>
    <row r="82">
      <c r="A82" s="5"/>
      <c r="B82" s="5"/>
      <c r="C82" s="4"/>
      <c r="D82" s="4"/>
      <c r="E82" s="5"/>
      <c r="F82" s="4"/>
      <c r="G82" s="6">
        <f>IF(AND(A82="",B82=""),"",IF(COUNTIFS($A$2:$A$2001,A82,$B$2:$B$2001,B82)&gt;1,"DUPLICADO","OK"))</f>
      </c>
      <c r="H82" s="6">
        <f>IF(COUNTA(A82:F82)=0,"",IF(AND(A82&lt;&gt;"",B82&lt;&gt;"",E82&lt;&gt;""),"OK","ERRO: faltam "&amp;IF(A82="","Conta; ","")&amp;IF(B82="","Oportunidade; ","")&amp;IF(E82="","Novo gerente; ","")))</f>
      </c>
      <c r="I82" s="6">
        <f>IF(COUNTA(A82:F82)=0,"",IF(AND(G82="OK",H82="OK"),"OK","REVISAR"))</f>
      </c>
    </row>
    <row r="83">
      <c r="A83" s="5"/>
      <c r="B83" s="5"/>
      <c r="C83" s="4"/>
      <c r="D83" s="4"/>
      <c r="E83" s="5"/>
      <c r="F83" s="4"/>
      <c r="G83" s="6">
        <f>IF(AND(A83="",B83=""),"",IF(COUNTIFS($A$2:$A$2001,A83,$B$2:$B$2001,B83)&gt;1,"DUPLICADO","OK"))</f>
      </c>
      <c r="H83" s="6">
        <f>IF(COUNTA(A83:F83)=0,"",IF(AND(A83&lt;&gt;"",B83&lt;&gt;"",E83&lt;&gt;""),"OK","ERRO: faltam "&amp;IF(A83="","Conta; ","")&amp;IF(B83="","Oportunidade; ","")&amp;IF(E83="","Novo gerente; ","")))</f>
      </c>
      <c r="I83" s="6">
        <f>IF(COUNTA(A83:F83)=0,"",IF(AND(G83="OK",H83="OK"),"OK","REVISAR"))</f>
      </c>
    </row>
    <row r="84">
      <c r="A84" s="5"/>
      <c r="B84" s="5"/>
      <c r="C84" s="4"/>
      <c r="D84" s="4"/>
      <c r="E84" s="5"/>
      <c r="F84" s="4"/>
      <c r="G84" s="6">
        <f>IF(AND(A84="",B84=""),"",IF(COUNTIFS($A$2:$A$2001,A84,$B$2:$B$2001,B84)&gt;1,"DUPLICADO","OK"))</f>
      </c>
      <c r="H84" s="6">
        <f>IF(COUNTA(A84:F84)=0,"",IF(AND(A84&lt;&gt;"",B84&lt;&gt;"",E84&lt;&gt;""),"OK","ERRO: faltam "&amp;IF(A84="","Conta; ","")&amp;IF(B84="","Oportunidade; ","")&amp;IF(E84="","Novo gerente; ","")))</f>
      </c>
      <c r="I84" s="6">
        <f>IF(COUNTA(A84:F84)=0,"",IF(AND(G84="OK",H84="OK"),"OK","REVISAR"))</f>
      </c>
    </row>
    <row r="85">
      <c r="A85" s="5"/>
      <c r="B85" s="5"/>
      <c r="C85" s="4"/>
      <c r="D85" s="4"/>
      <c r="E85" s="5"/>
      <c r="F85" s="4"/>
      <c r="G85" s="6">
        <f>IF(AND(A85="",B85=""),"",IF(COUNTIFS($A$2:$A$2001,A85,$B$2:$B$2001,B85)&gt;1,"DUPLICADO","OK"))</f>
      </c>
      <c r="H85" s="6">
        <f>IF(COUNTA(A85:F85)=0,"",IF(AND(A85&lt;&gt;"",B85&lt;&gt;"",E85&lt;&gt;""),"OK","ERRO: faltam "&amp;IF(A85="","Conta; ","")&amp;IF(B85="","Oportunidade; ","")&amp;IF(E85="","Novo gerente; ","")))</f>
      </c>
      <c r="I85" s="6">
        <f>IF(COUNTA(A85:F85)=0,"",IF(AND(G85="OK",H85="OK"),"OK","REVISAR"))</f>
      </c>
    </row>
    <row r="86">
      <c r="A86" s="5"/>
      <c r="B86" s="5"/>
      <c r="C86" s="4"/>
      <c r="D86" s="4"/>
      <c r="E86" s="5"/>
      <c r="F86" s="4"/>
      <c r="G86" s="6">
        <f>IF(AND(A86="",B86=""),"",IF(COUNTIFS($A$2:$A$2001,A86,$B$2:$B$2001,B86)&gt;1,"DUPLICADO","OK"))</f>
      </c>
      <c r="H86" s="6">
        <f>IF(COUNTA(A86:F86)=0,"",IF(AND(A86&lt;&gt;"",B86&lt;&gt;"",E86&lt;&gt;""),"OK","ERRO: faltam "&amp;IF(A86="","Conta; ","")&amp;IF(B86="","Oportunidade; ","")&amp;IF(E86="","Novo gerente; ","")))</f>
      </c>
      <c r="I86" s="6">
        <f>IF(COUNTA(A86:F86)=0,"",IF(AND(G86="OK",H86="OK"),"OK","REVISAR"))</f>
      </c>
    </row>
    <row r="87">
      <c r="A87" s="5"/>
      <c r="B87" s="5"/>
      <c r="C87" s="4"/>
      <c r="D87" s="4"/>
      <c r="E87" s="5"/>
      <c r="F87" s="4"/>
      <c r="G87" s="6">
        <f>IF(AND(A87="",B87=""),"",IF(COUNTIFS($A$2:$A$2001,A87,$B$2:$B$2001,B87)&gt;1,"DUPLICADO","OK"))</f>
      </c>
      <c r="H87" s="6">
        <f>IF(COUNTA(A87:F87)=0,"",IF(AND(A87&lt;&gt;"",B87&lt;&gt;"",E87&lt;&gt;""),"OK","ERRO: faltam "&amp;IF(A87="","Conta; ","")&amp;IF(B87="","Oportunidade; ","")&amp;IF(E87="","Novo gerente; ","")))</f>
      </c>
      <c r="I87" s="6">
        <f>IF(COUNTA(A87:F87)=0,"",IF(AND(G87="OK",H87="OK"),"OK","REVISAR"))</f>
      </c>
    </row>
    <row r="88">
      <c r="A88" s="5"/>
      <c r="B88" s="5"/>
      <c r="C88" s="4"/>
      <c r="D88" s="4"/>
      <c r="E88" s="5"/>
      <c r="F88" s="4"/>
      <c r="G88" s="6">
        <f>IF(AND(A88="",B88=""),"",IF(COUNTIFS($A$2:$A$2001,A88,$B$2:$B$2001,B88)&gt;1,"DUPLICADO","OK"))</f>
      </c>
      <c r="H88" s="6">
        <f>IF(COUNTA(A88:F88)=0,"",IF(AND(A88&lt;&gt;"",B88&lt;&gt;"",E88&lt;&gt;""),"OK","ERRO: faltam "&amp;IF(A88="","Conta; ","")&amp;IF(B88="","Oportunidade; ","")&amp;IF(E88="","Novo gerente; ","")))</f>
      </c>
      <c r="I88" s="6">
        <f>IF(COUNTA(A88:F88)=0,"",IF(AND(G88="OK",H88="OK"),"OK","REVISAR"))</f>
      </c>
    </row>
    <row r="89">
      <c r="A89" s="5"/>
      <c r="B89" s="5"/>
      <c r="C89" s="4"/>
      <c r="D89" s="4"/>
      <c r="E89" s="5"/>
      <c r="F89" s="4"/>
      <c r="G89" s="6">
        <f>IF(AND(A89="",B89=""),"",IF(COUNTIFS($A$2:$A$2001,A89,$B$2:$B$2001,B89)&gt;1,"DUPLICADO","OK"))</f>
      </c>
      <c r="H89" s="6">
        <f>IF(COUNTA(A89:F89)=0,"",IF(AND(A89&lt;&gt;"",B89&lt;&gt;"",E89&lt;&gt;""),"OK","ERRO: faltam "&amp;IF(A89="","Conta; ","")&amp;IF(B89="","Oportunidade; ","")&amp;IF(E89="","Novo gerente; ","")))</f>
      </c>
      <c r="I89" s="6">
        <f>IF(COUNTA(A89:F89)=0,"",IF(AND(G89="OK",H89="OK"),"OK","REVISAR"))</f>
      </c>
    </row>
    <row r="90">
      <c r="A90" s="5"/>
      <c r="B90" s="5"/>
      <c r="C90" s="4"/>
      <c r="D90" s="4"/>
      <c r="E90" s="5"/>
      <c r="F90" s="4"/>
      <c r="G90" s="6">
        <f>IF(AND(A90="",B90=""),"",IF(COUNTIFS($A$2:$A$2001,A90,$B$2:$B$2001,B90)&gt;1,"DUPLICADO","OK"))</f>
      </c>
      <c r="H90" s="6">
        <f>IF(COUNTA(A90:F90)=0,"",IF(AND(A90&lt;&gt;"",B90&lt;&gt;"",E90&lt;&gt;""),"OK","ERRO: faltam "&amp;IF(A90="","Conta; ","")&amp;IF(B90="","Oportunidade; ","")&amp;IF(E90="","Novo gerente; ","")))</f>
      </c>
      <c r="I90" s="6">
        <f>IF(COUNTA(A90:F90)=0,"",IF(AND(G90="OK",H90="OK"),"OK","REVISAR"))</f>
      </c>
    </row>
    <row r="91">
      <c r="A91" s="5"/>
      <c r="B91" s="5"/>
      <c r="C91" s="4"/>
      <c r="D91" s="4"/>
      <c r="E91" s="5"/>
      <c r="F91" s="4"/>
      <c r="G91" s="6">
        <f>IF(AND(A91="",B91=""),"",IF(COUNTIFS($A$2:$A$2001,A91,$B$2:$B$2001,B91)&gt;1,"DUPLICADO","OK"))</f>
      </c>
      <c r="H91" s="6">
        <f>IF(COUNTA(A91:F91)=0,"",IF(AND(A91&lt;&gt;"",B91&lt;&gt;"",E91&lt;&gt;""),"OK","ERRO: faltam "&amp;IF(A91="","Conta; ","")&amp;IF(B91="","Oportunidade; ","")&amp;IF(E91="","Novo gerente; ","")))</f>
      </c>
      <c r="I91" s="6">
        <f>IF(COUNTA(A91:F91)=0,"",IF(AND(G91="OK",H91="OK"),"OK","REVISAR"))</f>
      </c>
    </row>
    <row r="92">
      <c r="A92" s="5"/>
      <c r="B92" s="5"/>
      <c r="C92" s="4"/>
      <c r="D92" s="4"/>
      <c r="E92" s="5"/>
      <c r="F92" s="4"/>
      <c r="G92" s="6">
        <f>IF(AND(A92="",B92=""),"",IF(COUNTIFS($A$2:$A$2001,A92,$B$2:$B$2001,B92)&gt;1,"DUPLICADO","OK"))</f>
      </c>
      <c r="H92" s="6">
        <f>IF(COUNTA(A92:F92)=0,"",IF(AND(A92&lt;&gt;"",B92&lt;&gt;"",E92&lt;&gt;""),"OK","ERRO: faltam "&amp;IF(A92="","Conta; ","")&amp;IF(B92="","Oportunidade; ","")&amp;IF(E92="","Novo gerente; ","")))</f>
      </c>
      <c r="I92" s="6">
        <f>IF(COUNTA(A92:F92)=0,"",IF(AND(G92="OK",H92="OK"),"OK","REVISAR"))</f>
      </c>
    </row>
    <row r="93">
      <c r="A93" s="5"/>
      <c r="B93" s="5"/>
      <c r="C93" s="4"/>
      <c r="D93" s="4"/>
      <c r="E93" s="5"/>
      <c r="F93" s="4"/>
      <c r="G93" s="6">
        <f>IF(AND(A93="",B93=""),"",IF(COUNTIFS($A$2:$A$2001,A93,$B$2:$B$2001,B93)&gt;1,"DUPLICADO","OK"))</f>
      </c>
      <c r="H93" s="6">
        <f>IF(COUNTA(A93:F93)=0,"",IF(AND(A93&lt;&gt;"",B93&lt;&gt;"",E93&lt;&gt;""),"OK","ERRO: faltam "&amp;IF(A93="","Conta; ","")&amp;IF(B93="","Oportunidade; ","")&amp;IF(E93="","Novo gerente; ","")))</f>
      </c>
      <c r="I93" s="6">
        <f>IF(COUNTA(A93:F93)=0,"",IF(AND(G93="OK",H93="OK"),"OK","REVISAR"))</f>
      </c>
    </row>
    <row r="94">
      <c r="A94" s="5"/>
      <c r="B94" s="5"/>
      <c r="C94" s="4"/>
      <c r="D94" s="4"/>
      <c r="E94" s="5"/>
      <c r="F94" s="4"/>
      <c r="G94" s="6">
        <f>IF(AND(A94="",B94=""),"",IF(COUNTIFS($A$2:$A$2001,A94,$B$2:$B$2001,B94)&gt;1,"DUPLICADO","OK"))</f>
      </c>
      <c r="H94" s="6">
        <f>IF(COUNTA(A94:F94)=0,"",IF(AND(A94&lt;&gt;"",B94&lt;&gt;"",E94&lt;&gt;""),"OK","ERRO: faltam "&amp;IF(A94="","Conta; ","")&amp;IF(B94="","Oportunidade; ","")&amp;IF(E94="","Novo gerente; ","")))</f>
      </c>
      <c r="I94" s="6">
        <f>IF(COUNTA(A94:F94)=0,"",IF(AND(G94="OK",H94="OK"),"OK","REVISAR"))</f>
      </c>
    </row>
    <row r="95">
      <c r="A95" s="5"/>
      <c r="B95" s="5"/>
      <c r="C95" s="4"/>
      <c r="D95" s="4"/>
      <c r="E95" s="5"/>
      <c r="F95" s="4"/>
      <c r="G95" s="6">
        <f>IF(AND(A95="",B95=""),"",IF(COUNTIFS($A$2:$A$2001,A95,$B$2:$B$2001,B95)&gt;1,"DUPLICADO","OK"))</f>
      </c>
      <c r="H95" s="6">
        <f>IF(COUNTA(A95:F95)=0,"",IF(AND(A95&lt;&gt;"",B95&lt;&gt;"",E95&lt;&gt;""),"OK","ERRO: faltam "&amp;IF(A95="","Conta; ","")&amp;IF(B95="","Oportunidade; ","")&amp;IF(E95="","Novo gerente; ","")))</f>
      </c>
      <c r="I95" s="6">
        <f>IF(COUNTA(A95:F95)=0,"",IF(AND(G95="OK",H95="OK"),"OK","REVISAR"))</f>
      </c>
    </row>
    <row r="96">
      <c r="A96" s="5"/>
      <c r="B96" s="5"/>
      <c r="C96" s="4"/>
      <c r="D96" s="4"/>
      <c r="E96" s="5"/>
      <c r="F96" s="4"/>
      <c r="G96" s="6">
        <f>IF(AND(A96="",B96=""),"",IF(COUNTIFS($A$2:$A$2001,A96,$B$2:$B$2001,B96)&gt;1,"DUPLICADO","OK"))</f>
      </c>
      <c r="H96" s="6">
        <f>IF(COUNTA(A96:F96)=0,"",IF(AND(A96&lt;&gt;"",B96&lt;&gt;"",E96&lt;&gt;""),"OK","ERRO: faltam "&amp;IF(A96="","Conta; ","")&amp;IF(B96="","Oportunidade; ","")&amp;IF(E96="","Novo gerente; ","")))</f>
      </c>
      <c r="I96" s="6">
        <f>IF(COUNTA(A96:F96)=0,"",IF(AND(G96="OK",H96="OK"),"OK","REVISAR"))</f>
      </c>
    </row>
    <row r="97">
      <c r="A97" s="5"/>
      <c r="B97" s="5"/>
      <c r="C97" s="4"/>
      <c r="D97" s="4"/>
      <c r="E97" s="5"/>
      <c r="F97" s="4"/>
      <c r="G97" s="6">
        <f>IF(AND(A97="",B97=""),"",IF(COUNTIFS($A$2:$A$2001,A97,$B$2:$B$2001,B97)&gt;1,"DUPLICADO","OK"))</f>
      </c>
      <c r="H97" s="6">
        <f>IF(COUNTA(A97:F97)=0,"",IF(AND(A97&lt;&gt;"",B97&lt;&gt;"",E97&lt;&gt;""),"OK","ERRO: faltam "&amp;IF(A97="","Conta; ","")&amp;IF(B97="","Oportunidade; ","")&amp;IF(E97="","Novo gerente; ","")))</f>
      </c>
      <c r="I97" s="6">
        <f>IF(COUNTA(A97:F97)=0,"",IF(AND(G97="OK",H97="OK"),"OK","REVISAR"))</f>
      </c>
    </row>
    <row r="98">
      <c r="A98" s="5"/>
      <c r="B98" s="5"/>
      <c r="C98" s="4"/>
      <c r="D98" s="4"/>
      <c r="E98" s="5"/>
      <c r="F98" s="4"/>
      <c r="G98" s="6">
        <f>IF(AND(A98="",B98=""),"",IF(COUNTIFS($A$2:$A$2001,A98,$B$2:$B$2001,B98)&gt;1,"DUPLICADO","OK"))</f>
      </c>
      <c r="H98" s="6">
        <f>IF(COUNTA(A98:F98)=0,"",IF(AND(A98&lt;&gt;"",B98&lt;&gt;"",E98&lt;&gt;""),"OK","ERRO: faltam "&amp;IF(A98="","Conta; ","")&amp;IF(B98="","Oportunidade; ","")&amp;IF(E98="","Novo gerente; ","")))</f>
      </c>
      <c r="I98" s="6">
        <f>IF(COUNTA(A98:F98)=0,"",IF(AND(G98="OK",H98="OK"),"OK","REVISAR"))</f>
      </c>
    </row>
    <row r="99">
      <c r="A99" s="5"/>
      <c r="B99" s="5"/>
      <c r="C99" s="4"/>
      <c r="D99" s="4"/>
      <c r="E99" s="5"/>
      <c r="F99" s="4"/>
      <c r="G99" s="6">
        <f>IF(AND(A99="",B99=""),"",IF(COUNTIFS($A$2:$A$2001,A99,$B$2:$B$2001,B99)&gt;1,"DUPLICADO","OK"))</f>
      </c>
      <c r="H99" s="6">
        <f>IF(COUNTA(A99:F99)=0,"",IF(AND(A99&lt;&gt;"",B99&lt;&gt;"",E99&lt;&gt;""),"OK","ERRO: faltam "&amp;IF(A99="","Conta; ","")&amp;IF(B99="","Oportunidade; ","")&amp;IF(E99="","Novo gerente; ","")))</f>
      </c>
      <c r="I99" s="6">
        <f>IF(COUNTA(A99:F99)=0,"",IF(AND(G99="OK",H99="OK"),"OK","REVISAR"))</f>
      </c>
    </row>
    <row r="100">
      <c r="A100" s="5"/>
      <c r="B100" s="5"/>
      <c r="C100" s="4"/>
      <c r="D100" s="4"/>
      <c r="E100" s="5"/>
      <c r="F100" s="4"/>
      <c r="G100" s="6">
        <f>IF(AND(A100="",B100=""),"",IF(COUNTIFS($A$2:$A$2001,A100,$B$2:$B$2001,B100)&gt;1,"DUPLICADO","OK"))</f>
      </c>
      <c r="H100" s="6">
        <f>IF(COUNTA(A100:F100)=0,"",IF(AND(A100&lt;&gt;"",B100&lt;&gt;"",E100&lt;&gt;""),"OK","ERRO: faltam "&amp;IF(A100="","Conta; ","")&amp;IF(B100="","Oportunidade; ","")&amp;IF(E100="","Novo gerente; ","")))</f>
      </c>
      <c r="I100" s="6">
        <f>IF(COUNTA(A100:F100)=0,"",IF(AND(G100="OK",H100="OK"),"OK","REVISAR"))</f>
      </c>
    </row>
    <row r="101">
      <c r="A101" s="5"/>
      <c r="B101" s="5"/>
      <c r="C101" s="4"/>
      <c r="D101" s="4"/>
      <c r="E101" s="5"/>
      <c r="F101" s="4"/>
      <c r="G101" s="6">
        <f>IF(AND(A101="",B101=""),"",IF(COUNTIFS($A$2:$A$2001,A101,$B$2:$B$2001,B101)&gt;1,"DUPLICADO","OK"))</f>
      </c>
      <c r="H101" s="6">
        <f>IF(COUNTA(A101:F101)=0,"",IF(AND(A101&lt;&gt;"",B101&lt;&gt;"",E101&lt;&gt;""),"OK","ERRO: faltam "&amp;IF(A101="","Conta; ","")&amp;IF(B101="","Oportunidade; ","")&amp;IF(E101="","Novo gerente; ","")))</f>
      </c>
      <c r="I101" s="6">
        <f>IF(COUNTA(A101:F101)=0,"",IF(AND(G101="OK",H101="OK"),"OK","REVISAR"))</f>
      </c>
    </row>
    <row r="102">
      <c r="A102" s="5"/>
      <c r="B102" s="5"/>
      <c r="C102" s="4"/>
      <c r="D102" s="4"/>
      <c r="E102" s="5"/>
      <c r="F102" s="4"/>
      <c r="G102" s="6">
        <f>IF(AND(A102="",B102=""),"",IF(COUNTIFS($A$2:$A$2001,A102,$B$2:$B$2001,B102)&gt;1,"DUPLICADO","OK"))</f>
      </c>
      <c r="H102" s="6">
        <f>IF(COUNTA(A102:F102)=0,"",IF(AND(A102&lt;&gt;"",B102&lt;&gt;"",E102&lt;&gt;""),"OK","ERRO: faltam "&amp;IF(A102="","Conta; ","")&amp;IF(B102="","Oportunidade; ","")&amp;IF(E102="","Novo gerente; ","")))</f>
      </c>
      <c r="I102" s="6">
        <f>IF(COUNTA(A102:F102)=0,"",IF(AND(G102="OK",H102="OK"),"OK","REVISAR"))</f>
      </c>
    </row>
    <row r="103">
      <c r="A103" s="5"/>
      <c r="B103" s="5"/>
      <c r="C103" s="4"/>
      <c r="D103" s="4"/>
      <c r="E103" s="5"/>
      <c r="F103" s="4"/>
      <c r="G103" s="6">
        <f>IF(AND(A103="",B103=""),"",IF(COUNTIFS($A$2:$A$2001,A103,$B$2:$B$2001,B103)&gt;1,"DUPLICADO","OK"))</f>
      </c>
      <c r="H103" s="6">
        <f>IF(COUNTA(A103:F103)=0,"",IF(AND(A103&lt;&gt;"",B103&lt;&gt;"",E103&lt;&gt;""),"OK","ERRO: faltam "&amp;IF(A103="","Conta; ","")&amp;IF(B103="","Oportunidade; ","")&amp;IF(E103="","Novo gerente; ","")))</f>
      </c>
      <c r="I103" s="6">
        <f>IF(COUNTA(A103:F103)=0,"",IF(AND(G103="OK",H103="OK"),"OK","REVISAR"))</f>
      </c>
    </row>
    <row r="104">
      <c r="A104" s="5"/>
      <c r="B104" s="5"/>
      <c r="C104" s="4"/>
      <c r="D104" s="4"/>
      <c r="E104" s="5"/>
      <c r="F104" s="4"/>
      <c r="G104" s="6">
        <f>IF(AND(A104="",B104=""),"",IF(COUNTIFS($A$2:$A$2001,A104,$B$2:$B$2001,B104)&gt;1,"DUPLICADO","OK"))</f>
      </c>
      <c r="H104" s="6">
        <f>IF(COUNTA(A104:F104)=0,"",IF(AND(A104&lt;&gt;"",B104&lt;&gt;"",E104&lt;&gt;""),"OK","ERRO: faltam "&amp;IF(A104="","Conta; ","")&amp;IF(B104="","Oportunidade; ","")&amp;IF(E104="","Novo gerente; ","")))</f>
      </c>
      <c r="I104" s="6">
        <f>IF(COUNTA(A104:F104)=0,"",IF(AND(G104="OK",H104="OK"),"OK","REVISAR"))</f>
      </c>
    </row>
    <row r="105">
      <c r="A105" s="5"/>
      <c r="B105" s="5"/>
      <c r="C105" s="4"/>
      <c r="D105" s="4"/>
      <c r="E105" s="5"/>
      <c r="F105" s="4"/>
      <c r="G105" s="6">
        <f>IF(AND(A105="",B105=""),"",IF(COUNTIFS($A$2:$A$2001,A105,$B$2:$B$2001,B105)&gt;1,"DUPLICADO","OK"))</f>
      </c>
      <c r="H105" s="6">
        <f>IF(COUNTA(A105:F105)=0,"",IF(AND(A105&lt;&gt;"",B105&lt;&gt;"",E105&lt;&gt;""),"OK","ERRO: faltam "&amp;IF(A105="","Conta; ","")&amp;IF(B105="","Oportunidade; ","")&amp;IF(E105="","Novo gerente; ","")))</f>
      </c>
      <c r="I105" s="6">
        <f>IF(COUNTA(A105:F105)=0,"",IF(AND(G105="OK",H105="OK"),"OK","REVISAR"))</f>
      </c>
    </row>
    <row r="106">
      <c r="A106" s="5"/>
      <c r="B106" s="5"/>
      <c r="C106" s="4"/>
      <c r="D106" s="4"/>
      <c r="E106" s="5"/>
      <c r="F106" s="4"/>
      <c r="G106" s="6">
        <f>IF(AND(A106="",B106=""),"",IF(COUNTIFS($A$2:$A$2001,A106,$B$2:$B$2001,B106)&gt;1,"DUPLICADO","OK"))</f>
      </c>
      <c r="H106" s="6">
        <f>IF(COUNTA(A106:F106)=0,"",IF(AND(A106&lt;&gt;"",B106&lt;&gt;"",E106&lt;&gt;""),"OK","ERRO: faltam "&amp;IF(A106="","Conta; ","")&amp;IF(B106="","Oportunidade; ","")&amp;IF(E106="","Novo gerente; ","")))</f>
      </c>
      <c r="I106" s="6">
        <f>IF(COUNTA(A106:F106)=0,"",IF(AND(G106="OK",H106="OK"),"OK","REVISAR"))</f>
      </c>
    </row>
    <row r="107">
      <c r="A107" s="5"/>
      <c r="B107" s="5"/>
      <c r="C107" s="4"/>
      <c r="D107" s="4"/>
      <c r="E107" s="5"/>
      <c r="F107" s="4"/>
      <c r="G107" s="6">
        <f>IF(AND(A107="",B107=""),"",IF(COUNTIFS($A$2:$A$2001,A107,$B$2:$B$2001,B107)&gt;1,"DUPLICADO","OK"))</f>
      </c>
      <c r="H107" s="6">
        <f>IF(COUNTA(A107:F107)=0,"",IF(AND(A107&lt;&gt;"",B107&lt;&gt;"",E107&lt;&gt;""),"OK","ERRO: faltam "&amp;IF(A107="","Conta; ","")&amp;IF(B107="","Oportunidade; ","")&amp;IF(E107="","Novo gerente; ","")))</f>
      </c>
      <c r="I107" s="6">
        <f>IF(COUNTA(A107:F107)=0,"",IF(AND(G107="OK",H107="OK"),"OK","REVISAR"))</f>
      </c>
    </row>
    <row r="108">
      <c r="A108" s="5"/>
      <c r="B108" s="5"/>
      <c r="C108" s="4"/>
      <c r="D108" s="4"/>
      <c r="E108" s="5"/>
      <c r="F108" s="4"/>
      <c r="G108" s="6">
        <f>IF(AND(A108="",B108=""),"",IF(COUNTIFS($A$2:$A$2001,A108,$B$2:$B$2001,B108)&gt;1,"DUPLICADO","OK"))</f>
      </c>
      <c r="H108" s="6">
        <f>IF(COUNTA(A108:F108)=0,"",IF(AND(A108&lt;&gt;"",B108&lt;&gt;"",E108&lt;&gt;""),"OK","ERRO: faltam "&amp;IF(A108="","Conta; ","")&amp;IF(B108="","Oportunidade; ","")&amp;IF(E108="","Novo gerente; ","")))</f>
      </c>
      <c r="I108" s="6">
        <f>IF(COUNTA(A108:F108)=0,"",IF(AND(G108="OK",H108="OK"),"OK","REVISAR"))</f>
      </c>
    </row>
    <row r="109">
      <c r="A109" s="5"/>
      <c r="B109" s="5"/>
      <c r="C109" s="4"/>
      <c r="D109" s="4"/>
      <c r="E109" s="5"/>
      <c r="F109" s="4"/>
      <c r="G109" s="6">
        <f>IF(AND(A109="",B109=""),"",IF(COUNTIFS($A$2:$A$2001,A109,$B$2:$B$2001,B109)&gt;1,"DUPLICADO","OK"))</f>
      </c>
      <c r="H109" s="6">
        <f>IF(COUNTA(A109:F109)=0,"",IF(AND(A109&lt;&gt;"",B109&lt;&gt;"",E109&lt;&gt;""),"OK","ERRO: faltam "&amp;IF(A109="","Conta; ","")&amp;IF(B109="","Oportunidade; ","")&amp;IF(E109="","Novo gerente; ","")))</f>
      </c>
      <c r="I109" s="6">
        <f>IF(COUNTA(A109:F109)=0,"",IF(AND(G109="OK",H109="OK"),"OK","REVISAR"))</f>
      </c>
    </row>
    <row r="110">
      <c r="A110" s="5"/>
      <c r="B110" s="5"/>
      <c r="C110" s="4"/>
      <c r="D110" s="4"/>
      <c r="E110" s="5"/>
      <c r="F110" s="4"/>
      <c r="G110" s="6">
        <f>IF(AND(A110="",B110=""),"",IF(COUNTIFS($A$2:$A$2001,A110,$B$2:$B$2001,B110)&gt;1,"DUPLICADO","OK"))</f>
      </c>
      <c r="H110" s="6">
        <f>IF(COUNTA(A110:F110)=0,"",IF(AND(A110&lt;&gt;"",B110&lt;&gt;"",E110&lt;&gt;""),"OK","ERRO: faltam "&amp;IF(A110="","Conta; ","")&amp;IF(B110="","Oportunidade; ","")&amp;IF(E110="","Novo gerente; ","")))</f>
      </c>
      <c r="I110" s="6">
        <f>IF(COUNTA(A110:F110)=0,"",IF(AND(G110="OK",H110="OK"),"OK","REVISAR"))</f>
      </c>
    </row>
    <row r="111">
      <c r="A111" s="5"/>
      <c r="B111" s="5"/>
      <c r="C111" s="4"/>
      <c r="D111" s="4"/>
      <c r="E111" s="5"/>
      <c r="F111" s="4"/>
      <c r="G111" s="6">
        <f>IF(AND(A111="",B111=""),"",IF(COUNTIFS($A$2:$A$2001,A111,$B$2:$B$2001,B111)&gt;1,"DUPLICADO","OK"))</f>
      </c>
      <c r="H111" s="6">
        <f>IF(COUNTA(A111:F111)=0,"",IF(AND(A111&lt;&gt;"",B111&lt;&gt;"",E111&lt;&gt;""),"OK","ERRO: faltam "&amp;IF(A111="","Conta; ","")&amp;IF(B111="","Oportunidade; ","")&amp;IF(E111="","Novo gerente; ","")))</f>
      </c>
      <c r="I111" s="6">
        <f>IF(COUNTA(A111:F111)=0,"",IF(AND(G111="OK",H111="OK"),"OK","REVISAR"))</f>
      </c>
    </row>
    <row r="112">
      <c r="A112" s="5"/>
      <c r="B112" s="5"/>
      <c r="C112" s="4"/>
      <c r="D112" s="4"/>
      <c r="E112" s="5"/>
      <c r="F112" s="4"/>
      <c r="G112" s="6">
        <f>IF(AND(A112="",B112=""),"",IF(COUNTIFS($A$2:$A$2001,A112,$B$2:$B$2001,B112)&gt;1,"DUPLICADO","OK"))</f>
      </c>
      <c r="H112" s="6">
        <f>IF(COUNTA(A112:F112)=0,"",IF(AND(A112&lt;&gt;"",B112&lt;&gt;"",E112&lt;&gt;""),"OK","ERRO: faltam "&amp;IF(A112="","Conta; ","")&amp;IF(B112="","Oportunidade; ","")&amp;IF(E112="","Novo gerente; ","")))</f>
      </c>
      <c r="I112" s="6">
        <f>IF(COUNTA(A112:F112)=0,"",IF(AND(G112="OK",H112="OK"),"OK","REVISAR"))</f>
      </c>
    </row>
    <row r="113">
      <c r="A113" s="5"/>
      <c r="B113" s="5"/>
      <c r="C113" s="4"/>
      <c r="D113" s="4"/>
      <c r="E113" s="5"/>
      <c r="F113" s="4"/>
      <c r="G113" s="6">
        <f>IF(AND(A113="",B113=""),"",IF(COUNTIFS($A$2:$A$2001,A113,$B$2:$B$2001,B113)&gt;1,"DUPLICADO","OK"))</f>
      </c>
      <c r="H113" s="6">
        <f>IF(COUNTA(A113:F113)=0,"",IF(AND(A113&lt;&gt;"",B113&lt;&gt;"",E113&lt;&gt;""),"OK","ERRO: faltam "&amp;IF(A113="","Conta; ","")&amp;IF(B113="","Oportunidade; ","")&amp;IF(E113="","Novo gerente; ","")))</f>
      </c>
      <c r="I113" s="6">
        <f>IF(COUNTA(A113:F113)=0,"",IF(AND(G113="OK",H113="OK"),"OK","REVISAR"))</f>
      </c>
    </row>
    <row r="114">
      <c r="A114" s="5"/>
      <c r="B114" s="5"/>
      <c r="C114" s="4"/>
      <c r="D114" s="4"/>
      <c r="E114" s="5"/>
      <c r="F114" s="4"/>
      <c r="G114" s="6">
        <f>IF(AND(A114="",B114=""),"",IF(COUNTIFS($A$2:$A$2001,A114,$B$2:$B$2001,B114)&gt;1,"DUPLICADO","OK"))</f>
      </c>
      <c r="H114" s="6">
        <f>IF(COUNTA(A114:F114)=0,"",IF(AND(A114&lt;&gt;"",B114&lt;&gt;"",E114&lt;&gt;""),"OK","ERRO: faltam "&amp;IF(A114="","Conta; ","")&amp;IF(B114="","Oportunidade; ","")&amp;IF(E114="","Novo gerente; ","")))</f>
      </c>
      <c r="I114" s="6">
        <f>IF(COUNTA(A114:F114)=0,"",IF(AND(G114="OK",H114="OK"),"OK","REVISAR"))</f>
      </c>
    </row>
    <row r="115">
      <c r="A115" s="5"/>
      <c r="B115" s="5"/>
      <c r="C115" s="4"/>
      <c r="D115" s="4"/>
      <c r="E115" s="5"/>
      <c r="F115" s="4"/>
      <c r="G115" s="6">
        <f>IF(AND(A115="",B115=""),"",IF(COUNTIFS($A$2:$A$2001,A115,$B$2:$B$2001,B115)&gt;1,"DUPLICADO","OK"))</f>
      </c>
      <c r="H115" s="6">
        <f>IF(COUNTA(A115:F115)=0,"",IF(AND(A115&lt;&gt;"",B115&lt;&gt;"",E115&lt;&gt;""),"OK","ERRO: faltam "&amp;IF(A115="","Conta; ","")&amp;IF(B115="","Oportunidade; ","")&amp;IF(E115="","Novo gerente; ","")))</f>
      </c>
      <c r="I115" s="6">
        <f>IF(COUNTA(A115:F115)=0,"",IF(AND(G115="OK",H115="OK"),"OK","REVISAR"))</f>
      </c>
    </row>
    <row r="116">
      <c r="A116" s="5"/>
      <c r="B116" s="5"/>
      <c r="C116" s="4"/>
      <c r="D116" s="4"/>
      <c r="E116" s="5"/>
      <c r="F116" s="4"/>
      <c r="G116" s="6">
        <f>IF(AND(A116="",B116=""),"",IF(COUNTIFS($A$2:$A$2001,A116,$B$2:$B$2001,B116)&gt;1,"DUPLICADO","OK"))</f>
      </c>
      <c r="H116" s="6">
        <f>IF(COUNTA(A116:F116)=0,"",IF(AND(A116&lt;&gt;"",B116&lt;&gt;"",E116&lt;&gt;""),"OK","ERRO: faltam "&amp;IF(A116="","Conta; ","")&amp;IF(B116="","Oportunidade; ","")&amp;IF(E116="","Novo gerente; ","")))</f>
      </c>
      <c r="I116" s="6">
        <f>IF(COUNTA(A116:F116)=0,"",IF(AND(G116="OK",H116="OK"),"OK","REVISAR"))</f>
      </c>
    </row>
    <row r="117">
      <c r="A117" s="5"/>
      <c r="B117" s="5"/>
      <c r="C117" s="4"/>
      <c r="D117" s="4"/>
      <c r="E117" s="5"/>
      <c r="F117" s="4"/>
      <c r="G117" s="6">
        <f>IF(AND(A117="",B117=""),"",IF(COUNTIFS($A$2:$A$2001,A117,$B$2:$B$2001,B117)&gt;1,"DUPLICADO","OK"))</f>
      </c>
      <c r="H117" s="6">
        <f>IF(COUNTA(A117:F117)=0,"",IF(AND(A117&lt;&gt;"",B117&lt;&gt;"",E117&lt;&gt;""),"OK","ERRO: faltam "&amp;IF(A117="","Conta; ","")&amp;IF(B117="","Oportunidade; ","")&amp;IF(E117="","Novo gerente; ","")))</f>
      </c>
      <c r="I117" s="6">
        <f>IF(COUNTA(A117:F117)=0,"",IF(AND(G117="OK",H117="OK"),"OK","REVISAR"))</f>
      </c>
    </row>
    <row r="118">
      <c r="A118" s="5"/>
      <c r="B118" s="5"/>
      <c r="C118" s="4"/>
      <c r="D118" s="4"/>
      <c r="E118" s="5"/>
      <c r="F118" s="4"/>
      <c r="G118" s="6">
        <f>IF(AND(A118="",B118=""),"",IF(COUNTIFS($A$2:$A$2001,A118,$B$2:$B$2001,B118)&gt;1,"DUPLICADO","OK"))</f>
      </c>
      <c r="H118" s="6">
        <f>IF(COUNTA(A118:F118)=0,"",IF(AND(A118&lt;&gt;"",B118&lt;&gt;"",E118&lt;&gt;""),"OK","ERRO: faltam "&amp;IF(A118="","Conta; ","")&amp;IF(B118="","Oportunidade; ","")&amp;IF(E118="","Novo gerente; ","")))</f>
      </c>
      <c r="I118" s="6">
        <f>IF(COUNTA(A118:F118)=0,"",IF(AND(G118="OK",H118="OK"),"OK","REVISAR"))</f>
      </c>
    </row>
    <row r="119">
      <c r="A119" s="5"/>
      <c r="B119" s="5"/>
      <c r="C119" s="4"/>
      <c r="D119" s="4"/>
      <c r="E119" s="5"/>
      <c r="F119" s="4"/>
      <c r="G119" s="6">
        <f>IF(AND(A119="",B119=""),"",IF(COUNTIFS($A$2:$A$2001,A119,$B$2:$B$2001,B119)&gt;1,"DUPLICADO","OK"))</f>
      </c>
      <c r="H119" s="6">
        <f>IF(COUNTA(A119:F119)=0,"",IF(AND(A119&lt;&gt;"",B119&lt;&gt;"",E119&lt;&gt;""),"OK","ERRO: faltam "&amp;IF(A119="","Conta; ","")&amp;IF(B119="","Oportunidade; ","")&amp;IF(E119="","Novo gerente; ","")))</f>
      </c>
      <c r="I119" s="6">
        <f>IF(COUNTA(A119:F119)=0,"",IF(AND(G119="OK",H119="OK"),"OK","REVISAR"))</f>
      </c>
    </row>
    <row r="120">
      <c r="A120" s="5"/>
      <c r="B120" s="5"/>
      <c r="C120" s="4"/>
      <c r="D120" s="4"/>
      <c r="E120" s="5"/>
      <c r="F120" s="4"/>
      <c r="G120" s="6">
        <f>IF(AND(A120="",B120=""),"",IF(COUNTIFS($A$2:$A$2001,A120,$B$2:$B$2001,B120)&gt;1,"DUPLICADO","OK"))</f>
      </c>
      <c r="H120" s="6">
        <f>IF(COUNTA(A120:F120)=0,"",IF(AND(A120&lt;&gt;"",B120&lt;&gt;"",E120&lt;&gt;""),"OK","ERRO: faltam "&amp;IF(A120="","Conta; ","")&amp;IF(B120="","Oportunidade; ","")&amp;IF(E120="","Novo gerente; ","")))</f>
      </c>
      <c r="I120" s="6">
        <f>IF(COUNTA(A120:F120)=0,"",IF(AND(G120="OK",H120="OK"),"OK","REVISAR"))</f>
      </c>
    </row>
    <row r="121">
      <c r="A121" s="5"/>
      <c r="B121" s="5"/>
      <c r="C121" s="4"/>
      <c r="D121" s="4"/>
      <c r="E121" s="5"/>
      <c r="F121" s="4"/>
      <c r="G121" s="6">
        <f>IF(AND(A121="",B121=""),"",IF(COUNTIFS($A$2:$A$2001,A121,$B$2:$B$2001,B121)&gt;1,"DUPLICADO","OK"))</f>
      </c>
      <c r="H121" s="6">
        <f>IF(COUNTA(A121:F121)=0,"",IF(AND(A121&lt;&gt;"",B121&lt;&gt;"",E121&lt;&gt;""),"OK","ERRO: faltam "&amp;IF(A121="","Conta; ","")&amp;IF(B121="","Oportunidade; ","")&amp;IF(E121="","Novo gerente; ","")))</f>
      </c>
      <c r="I121" s="6">
        <f>IF(COUNTA(A121:F121)=0,"",IF(AND(G121="OK",H121="OK"),"OK","REVISAR"))</f>
      </c>
    </row>
    <row r="122">
      <c r="A122" s="5"/>
      <c r="B122" s="5"/>
      <c r="C122" s="4"/>
      <c r="D122" s="4"/>
      <c r="E122" s="5"/>
      <c r="F122" s="4"/>
      <c r="G122" s="6">
        <f>IF(AND(A122="",B122=""),"",IF(COUNTIFS($A$2:$A$2001,A122,$B$2:$B$2001,B122)&gt;1,"DUPLICADO","OK"))</f>
      </c>
      <c r="H122" s="6">
        <f>IF(COUNTA(A122:F122)=0,"",IF(AND(A122&lt;&gt;"",B122&lt;&gt;"",E122&lt;&gt;""),"OK","ERRO: faltam "&amp;IF(A122="","Conta; ","")&amp;IF(B122="","Oportunidade; ","")&amp;IF(E122="","Novo gerente; ","")))</f>
      </c>
      <c r="I122" s="6">
        <f>IF(COUNTA(A122:F122)=0,"",IF(AND(G122="OK",H122="OK"),"OK","REVISAR"))</f>
      </c>
    </row>
    <row r="123">
      <c r="A123" s="5"/>
      <c r="B123" s="5"/>
      <c r="C123" s="4"/>
      <c r="D123" s="4"/>
      <c r="E123" s="5"/>
      <c r="F123" s="4"/>
      <c r="G123" s="6">
        <f>IF(AND(A123="",B123=""),"",IF(COUNTIFS($A$2:$A$2001,A123,$B$2:$B$2001,B123)&gt;1,"DUPLICADO","OK"))</f>
      </c>
      <c r="H123" s="6">
        <f>IF(COUNTA(A123:F123)=0,"",IF(AND(A123&lt;&gt;"",B123&lt;&gt;"",E123&lt;&gt;""),"OK","ERRO: faltam "&amp;IF(A123="","Conta; ","")&amp;IF(B123="","Oportunidade; ","")&amp;IF(E123="","Novo gerente; ","")))</f>
      </c>
      <c r="I123" s="6">
        <f>IF(COUNTA(A123:F123)=0,"",IF(AND(G123="OK",H123="OK"),"OK","REVISAR"))</f>
      </c>
    </row>
    <row r="124">
      <c r="A124" s="5"/>
      <c r="B124" s="5"/>
      <c r="C124" s="4"/>
      <c r="D124" s="4"/>
      <c r="E124" s="5"/>
      <c r="F124" s="4"/>
      <c r="G124" s="6">
        <f>IF(AND(A124="",B124=""),"",IF(COUNTIFS($A$2:$A$2001,A124,$B$2:$B$2001,B124)&gt;1,"DUPLICADO","OK"))</f>
      </c>
      <c r="H124" s="6">
        <f>IF(COUNTA(A124:F124)=0,"",IF(AND(A124&lt;&gt;"",B124&lt;&gt;"",E124&lt;&gt;""),"OK","ERRO: faltam "&amp;IF(A124="","Conta; ","")&amp;IF(B124="","Oportunidade; ","")&amp;IF(E124="","Novo gerente; ","")))</f>
      </c>
      <c r="I124" s="6">
        <f>IF(COUNTA(A124:F124)=0,"",IF(AND(G124="OK",H124="OK"),"OK","REVISAR"))</f>
      </c>
    </row>
    <row r="125">
      <c r="A125" s="5"/>
      <c r="B125" s="5"/>
      <c r="C125" s="4"/>
      <c r="D125" s="4"/>
      <c r="E125" s="5"/>
      <c r="F125" s="4"/>
      <c r="G125" s="6">
        <f>IF(AND(A125="",B125=""),"",IF(COUNTIFS($A$2:$A$2001,A125,$B$2:$B$2001,B125)&gt;1,"DUPLICADO","OK"))</f>
      </c>
      <c r="H125" s="6">
        <f>IF(COUNTA(A125:F125)=0,"",IF(AND(A125&lt;&gt;"",B125&lt;&gt;"",E125&lt;&gt;""),"OK","ERRO: faltam "&amp;IF(A125="","Conta; ","")&amp;IF(B125="","Oportunidade; ","")&amp;IF(E125="","Novo gerente; ","")))</f>
      </c>
      <c r="I125" s="6">
        <f>IF(COUNTA(A125:F125)=0,"",IF(AND(G125="OK",H125="OK"),"OK","REVISAR"))</f>
      </c>
    </row>
    <row r="126">
      <c r="A126" s="5"/>
      <c r="B126" s="5"/>
      <c r="C126" s="4"/>
      <c r="D126" s="4"/>
      <c r="E126" s="5"/>
      <c r="F126" s="4"/>
      <c r="G126" s="6">
        <f>IF(AND(A126="",B126=""),"",IF(COUNTIFS($A$2:$A$2001,A126,$B$2:$B$2001,B126)&gt;1,"DUPLICADO","OK"))</f>
      </c>
      <c r="H126" s="6">
        <f>IF(COUNTA(A126:F126)=0,"",IF(AND(A126&lt;&gt;"",B126&lt;&gt;"",E126&lt;&gt;""),"OK","ERRO: faltam "&amp;IF(A126="","Conta; ","")&amp;IF(B126="","Oportunidade; ","")&amp;IF(E126="","Novo gerente; ","")))</f>
      </c>
      <c r="I126" s="6">
        <f>IF(COUNTA(A126:F126)=0,"",IF(AND(G126="OK",H126="OK"),"OK","REVISAR"))</f>
      </c>
    </row>
    <row r="127">
      <c r="A127" s="5"/>
      <c r="B127" s="5"/>
      <c r="C127" s="4"/>
      <c r="D127" s="4"/>
      <c r="E127" s="5"/>
      <c r="F127" s="4"/>
      <c r="G127" s="6">
        <f>IF(AND(A127="",B127=""),"",IF(COUNTIFS($A$2:$A$2001,A127,$B$2:$B$2001,B127)&gt;1,"DUPLICADO","OK"))</f>
      </c>
      <c r="H127" s="6">
        <f>IF(COUNTA(A127:F127)=0,"",IF(AND(A127&lt;&gt;"",B127&lt;&gt;"",E127&lt;&gt;""),"OK","ERRO: faltam "&amp;IF(A127="","Conta; ","")&amp;IF(B127="","Oportunidade; ","")&amp;IF(E127="","Novo gerente; ","")))</f>
      </c>
      <c r="I127" s="6">
        <f>IF(COUNTA(A127:F127)=0,"",IF(AND(G127="OK",H127="OK"),"OK","REVISAR"))</f>
      </c>
    </row>
    <row r="128">
      <c r="A128" s="5"/>
      <c r="B128" s="5"/>
      <c r="C128" s="4"/>
      <c r="D128" s="4"/>
      <c r="E128" s="5"/>
      <c r="F128" s="4"/>
      <c r="G128" s="6">
        <f>IF(AND(A128="",B128=""),"",IF(COUNTIFS($A$2:$A$2001,A128,$B$2:$B$2001,B128)&gt;1,"DUPLICADO","OK"))</f>
      </c>
      <c r="H128" s="6">
        <f>IF(COUNTA(A128:F128)=0,"",IF(AND(A128&lt;&gt;"",B128&lt;&gt;"",E128&lt;&gt;""),"OK","ERRO: faltam "&amp;IF(A128="","Conta; ","")&amp;IF(B128="","Oportunidade; ","")&amp;IF(E128="","Novo gerente; ","")))</f>
      </c>
      <c r="I128" s="6">
        <f>IF(COUNTA(A128:F128)=0,"",IF(AND(G128="OK",H128="OK"),"OK","REVISAR"))</f>
      </c>
    </row>
    <row r="129">
      <c r="A129" s="5"/>
      <c r="B129" s="5"/>
      <c r="C129" s="4"/>
      <c r="D129" s="4"/>
      <c r="E129" s="5"/>
      <c r="F129" s="4"/>
      <c r="G129" s="6">
        <f>IF(AND(A129="",B129=""),"",IF(COUNTIFS($A$2:$A$2001,A129,$B$2:$B$2001,B129)&gt;1,"DUPLICADO","OK"))</f>
      </c>
      <c r="H129" s="6">
        <f>IF(COUNTA(A129:F129)=0,"",IF(AND(A129&lt;&gt;"",B129&lt;&gt;"",E129&lt;&gt;""),"OK","ERRO: faltam "&amp;IF(A129="","Conta; ","")&amp;IF(B129="","Oportunidade; ","")&amp;IF(E129="","Novo gerente; ","")))</f>
      </c>
      <c r="I129" s="6">
        <f>IF(COUNTA(A129:F129)=0,"",IF(AND(G129="OK",H129="OK"),"OK","REVISAR"))</f>
      </c>
    </row>
    <row r="130">
      <c r="A130" s="5"/>
      <c r="B130" s="5"/>
      <c r="C130" s="4"/>
      <c r="D130" s="4"/>
      <c r="E130" s="5"/>
      <c r="F130" s="4"/>
      <c r="G130" s="6">
        <f>IF(AND(A130="",B130=""),"",IF(COUNTIFS($A$2:$A$2001,A130,$B$2:$B$2001,B130)&gt;1,"DUPLICADO","OK"))</f>
      </c>
      <c r="H130" s="6">
        <f>IF(COUNTA(A130:F130)=0,"",IF(AND(A130&lt;&gt;"",B130&lt;&gt;"",E130&lt;&gt;""),"OK","ERRO: faltam "&amp;IF(A130="","Conta; ","")&amp;IF(B130="","Oportunidade; ","")&amp;IF(E130="","Novo gerente; ","")))</f>
      </c>
      <c r="I130" s="6">
        <f>IF(COUNTA(A130:F130)=0,"",IF(AND(G130="OK",H130="OK"),"OK","REVISAR"))</f>
      </c>
    </row>
    <row r="131">
      <c r="A131" s="5"/>
      <c r="B131" s="5"/>
      <c r="C131" s="4"/>
      <c r="D131" s="4"/>
      <c r="E131" s="5"/>
      <c r="F131" s="4"/>
      <c r="G131" s="6">
        <f>IF(AND(A131="",B131=""),"",IF(COUNTIFS($A$2:$A$2001,A131,$B$2:$B$2001,B131)&gt;1,"DUPLICADO","OK"))</f>
      </c>
      <c r="H131" s="6">
        <f>IF(COUNTA(A131:F131)=0,"",IF(AND(A131&lt;&gt;"",B131&lt;&gt;"",E131&lt;&gt;""),"OK","ERRO: faltam "&amp;IF(A131="","Conta; ","")&amp;IF(B131="","Oportunidade; ","")&amp;IF(E131="","Novo gerente; ","")))</f>
      </c>
      <c r="I131" s="6">
        <f>IF(COUNTA(A131:F131)=0,"",IF(AND(G131="OK",H131="OK"),"OK","REVISAR"))</f>
      </c>
    </row>
    <row r="132">
      <c r="A132" s="5"/>
      <c r="B132" s="5"/>
      <c r="C132" s="4"/>
      <c r="D132" s="4"/>
      <c r="E132" s="5"/>
      <c r="F132" s="4"/>
      <c r="G132" s="6">
        <f>IF(AND(A132="",B132=""),"",IF(COUNTIFS($A$2:$A$2001,A132,$B$2:$B$2001,B132)&gt;1,"DUPLICADO","OK"))</f>
      </c>
      <c r="H132" s="6">
        <f>IF(COUNTA(A132:F132)=0,"",IF(AND(A132&lt;&gt;"",B132&lt;&gt;"",E132&lt;&gt;""),"OK","ERRO: faltam "&amp;IF(A132="","Conta; ","")&amp;IF(B132="","Oportunidade; ","")&amp;IF(E132="","Novo gerente; ","")))</f>
      </c>
      <c r="I132" s="6">
        <f>IF(COUNTA(A132:F132)=0,"",IF(AND(G132="OK",H132="OK"),"OK","REVISAR"))</f>
      </c>
    </row>
    <row r="133">
      <c r="A133" s="5"/>
      <c r="B133" s="5"/>
      <c r="C133" s="4"/>
      <c r="D133" s="4"/>
      <c r="E133" s="5"/>
      <c r="F133" s="4"/>
      <c r="G133" s="6">
        <f>IF(AND(A133="",B133=""),"",IF(COUNTIFS($A$2:$A$2001,A133,$B$2:$B$2001,B133)&gt;1,"DUPLICADO","OK"))</f>
      </c>
      <c r="H133" s="6">
        <f>IF(COUNTA(A133:F133)=0,"",IF(AND(A133&lt;&gt;"",B133&lt;&gt;"",E133&lt;&gt;""),"OK","ERRO: faltam "&amp;IF(A133="","Conta; ","")&amp;IF(B133="","Oportunidade; ","")&amp;IF(E133="","Novo gerente; ","")))</f>
      </c>
      <c r="I133" s="6">
        <f>IF(COUNTA(A133:F133)=0,"",IF(AND(G133="OK",H133="OK"),"OK","REVISAR"))</f>
      </c>
    </row>
    <row r="134">
      <c r="A134" s="5"/>
      <c r="B134" s="5"/>
      <c r="C134" s="4"/>
      <c r="D134" s="4"/>
      <c r="E134" s="5"/>
      <c r="F134" s="4"/>
      <c r="G134" s="6">
        <f>IF(AND(A134="",B134=""),"",IF(COUNTIFS($A$2:$A$2001,A134,$B$2:$B$2001,B134)&gt;1,"DUPLICADO","OK"))</f>
      </c>
      <c r="H134" s="6">
        <f>IF(COUNTA(A134:F134)=0,"",IF(AND(A134&lt;&gt;"",B134&lt;&gt;"",E134&lt;&gt;""),"OK","ERRO: faltam "&amp;IF(A134="","Conta; ","")&amp;IF(B134="","Oportunidade; ","")&amp;IF(E134="","Novo gerente; ","")))</f>
      </c>
      <c r="I134" s="6">
        <f>IF(COUNTA(A134:F134)=0,"",IF(AND(G134="OK",H134="OK"),"OK","REVISAR"))</f>
      </c>
    </row>
    <row r="135">
      <c r="A135" s="5"/>
      <c r="B135" s="5"/>
      <c r="C135" s="4"/>
      <c r="D135" s="4"/>
      <c r="E135" s="5"/>
      <c r="F135" s="4"/>
      <c r="G135" s="6">
        <f>IF(AND(A135="",B135=""),"",IF(COUNTIFS($A$2:$A$2001,A135,$B$2:$B$2001,B135)&gt;1,"DUPLICADO","OK"))</f>
      </c>
      <c r="H135" s="6">
        <f>IF(COUNTA(A135:F135)=0,"",IF(AND(A135&lt;&gt;"",B135&lt;&gt;"",E135&lt;&gt;""),"OK","ERRO: faltam "&amp;IF(A135="","Conta; ","")&amp;IF(B135="","Oportunidade; ","")&amp;IF(E135="","Novo gerente; ","")))</f>
      </c>
      <c r="I135" s="6">
        <f>IF(COUNTA(A135:F135)=0,"",IF(AND(G135="OK",H135="OK"),"OK","REVISAR"))</f>
      </c>
    </row>
    <row r="136">
      <c r="A136" s="5"/>
      <c r="B136" s="5"/>
      <c r="C136" s="4"/>
      <c r="D136" s="4"/>
      <c r="E136" s="5"/>
      <c r="F136" s="4"/>
      <c r="G136" s="6">
        <f>IF(AND(A136="",B136=""),"",IF(COUNTIFS($A$2:$A$2001,A136,$B$2:$B$2001,B136)&gt;1,"DUPLICADO","OK"))</f>
      </c>
      <c r="H136" s="6">
        <f>IF(COUNTA(A136:F136)=0,"",IF(AND(A136&lt;&gt;"",B136&lt;&gt;"",E136&lt;&gt;""),"OK","ERRO: faltam "&amp;IF(A136="","Conta; ","")&amp;IF(B136="","Oportunidade; ","")&amp;IF(E136="","Novo gerente; ","")))</f>
      </c>
      <c r="I136" s="6">
        <f>IF(COUNTA(A136:F136)=0,"",IF(AND(G136="OK",H136="OK"),"OK","REVISAR"))</f>
      </c>
    </row>
    <row r="137">
      <c r="A137" s="5"/>
      <c r="B137" s="5"/>
      <c r="C137" s="4"/>
      <c r="D137" s="4"/>
      <c r="E137" s="5"/>
      <c r="F137" s="4"/>
      <c r="G137" s="6">
        <f>IF(AND(A137="",B137=""),"",IF(COUNTIFS($A$2:$A$2001,A137,$B$2:$B$2001,B137)&gt;1,"DUPLICADO","OK"))</f>
      </c>
      <c r="H137" s="6">
        <f>IF(COUNTA(A137:F137)=0,"",IF(AND(A137&lt;&gt;"",B137&lt;&gt;"",E137&lt;&gt;""),"OK","ERRO: faltam "&amp;IF(A137="","Conta; ","")&amp;IF(B137="","Oportunidade; ","")&amp;IF(E137="","Novo gerente; ","")))</f>
      </c>
      <c r="I137" s="6">
        <f>IF(COUNTA(A137:F137)=0,"",IF(AND(G137="OK",H137="OK"),"OK","REVISAR"))</f>
      </c>
    </row>
    <row r="138">
      <c r="A138" s="5"/>
      <c r="B138" s="5"/>
      <c r="C138" s="4"/>
      <c r="D138" s="4"/>
      <c r="E138" s="5"/>
      <c r="F138" s="4"/>
      <c r="G138" s="6">
        <f>IF(AND(A138="",B138=""),"",IF(COUNTIFS($A$2:$A$2001,A138,$B$2:$B$2001,B138)&gt;1,"DUPLICADO","OK"))</f>
      </c>
      <c r="H138" s="6">
        <f>IF(COUNTA(A138:F138)=0,"",IF(AND(A138&lt;&gt;"",B138&lt;&gt;"",E138&lt;&gt;""),"OK","ERRO: faltam "&amp;IF(A138="","Conta; ","")&amp;IF(B138="","Oportunidade; ","")&amp;IF(E138="","Novo gerente; ","")))</f>
      </c>
      <c r="I138" s="6">
        <f>IF(COUNTA(A138:F138)=0,"",IF(AND(G138="OK",H138="OK"),"OK","REVISAR"))</f>
      </c>
    </row>
    <row r="139">
      <c r="A139" s="5"/>
      <c r="B139" s="5"/>
      <c r="C139" s="4"/>
      <c r="D139" s="4"/>
      <c r="E139" s="5"/>
      <c r="F139" s="4"/>
      <c r="G139" s="6">
        <f>IF(AND(A139="",B139=""),"",IF(COUNTIFS($A$2:$A$2001,A139,$B$2:$B$2001,B139)&gt;1,"DUPLICADO","OK"))</f>
      </c>
      <c r="H139" s="6">
        <f>IF(COUNTA(A139:F139)=0,"",IF(AND(A139&lt;&gt;"",B139&lt;&gt;"",E139&lt;&gt;""),"OK","ERRO: faltam "&amp;IF(A139="","Conta; ","")&amp;IF(B139="","Oportunidade; ","")&amp;IF(E139="","Novo gerente; ","")))</f>
      </c>
      <c r="I139" s="6">
        <f>IF(COUNTA(A139:F139)=0,"",IF(AND(G139="OK",H139="OK"),"OK","REVISAR"))</f>
      </c>
    </row>
    <row r="140">
      <c r="A140" s="5"/>
      <c r="B140" s="5"/>
      <c r="C140" s="4"/>
      <c r="D140" s="4"/>
      <c r="E140" s="5"/>
      <c r="F140" s="4"/>
      <c r="G140" s="6">
        <f>IF(AND(A140="",B140=""),"",IF(COUNTIFS($A$2:$A$2001,A140,$B$2:$B$2001,B140)&gt;1,"DUPLICADO","OK"))</f>
      </c>
      <c r="H140" s="6">
        <f>IF(COUNTA(A140:F140)=0,"",IF(AND(A140&lt;&gt;"",B140&lt;&gt;"",E140&lt;&gt;""),"OK","ERRO: faltam "&amp;IF(A140="","Conta; ","")&amp;IF(B140="","Oportunidade; ","")&amp;IF(E140="","Novo gerente; ","")))</f>
      </c>
      <c r="I140" s="6">
        <f>IF(COUNTA(A140:F140)=0,"",IF(AND(G140="OK",H140="OK"),"OK","REVISAR"))</f>
      </c>
    </row>
    <row r="141">
      <c r="A141" s="5"/>
      <c r="B141" s="5"/>
      <c r="C141" s="4"/>
      <c r="D141" s="4"/>
      <c r="E141" s="5"/>
      <c r="F141" s="4"/>
      <c r="G141" s="6">
        <f>IF(AND(A141="",B141=""),"",IF(COUNTIFS($A$2:$A$2001,A141,$B$2:$B$2001,B141)&gt;1,"DUPLICADO","OK"))</f>
      </c>
      <c r="H141" s="6">
        <f>IF(COUNTA(A141:F141)=0,"",IF(AND(A141&lt;&gt;"",B141&lt;&gt;"",E141&lt;&gt;""),"OK","ERRO: faltam "&amp;IF(A141="","Conta; ","")&amp;IF(B141="","Oportunidade; ","")&amp;IF(E141="","Novo gerente; ","")))</f>
      </c>
      <c r="I141" s="6">
        <f>IF(COUNTA(A141:F141)=0,"",IF(AND(G141="OK",H141="OK"),"OK","REVISAR"))</f>
      </c>
    </row>
    <row r="142">
      <c r="A142" s="5"/>
      <c r="B142" s="5"/>
      <c r="C142" s="4"/>
      <c r="D142" s="4"/>
      <c r="E142" s="5"/>
      <c r="F142" s="4"/>
      <c r="G142" s="6">
        <f>IF(AND(A142="",B142=""),"",IF(COUNTIFS($A$2:$A$2001,A142,$B$2:$B$2001,B142)&gt;1,"DUPLICADO","OK"))</f>
      </c>
      <c r="H142" s="6">
        <f>IF(COUNTA(A142:F142)=0,"",IF(AND(A142&lt;&gt;"",B142&lt;&gt;"",E142&lt;&gt;""),"OK","ERRO: faltam "&amp;IF(A142="","Conta; ","")&amp;IF(B142="","Oportunidade; ","")&amp;IF(E142="","Novo gerente; ","")))</f>
      </c>
      <c r="I142" s="6">
        <f>IF(COUNTA(A142:F142)=0,"",IF(AND(G142="OK",H142="OK"),"OK","REVISAR"))</f>
      </c>
    </row>
    <row r="143">
      <c r="A143" s="5"/>
      <c r="B143" s="5"/>
      <c r="C143" s="4"/>
      <c r="D143" s="4"/>
      <c r="E143" s="5"/>
      <c r="F143" s="4"/>
      <c r="G143" s="6">
        <f>IF(AND(A143="",B143=""),"",IF(COUNTIFS($A$2:$A$2001,A143,$B$2:$B$2001,B143)&gt;1,"DUPLICADO","OK"))</f>
      </c>
      <c r="H143" s="6">
        <f>IF(COUNTA(A143:F143)=0,"",IF(AND(A143&lt;&gt;"",B143&lt;&gt;"",E143&lt;&gt;""),"OK","ERRO: faltam "&amp;IF(A143="","Conta; ","")&amp;IF(B143="","Oportunidade; ","")&amp;IF(E143="","Novo gerente; ","")))</f>
      </c>
      <c r="I143" s="6">
        <f>IF(COUNTA(A143:F143)=0,"",IF(AND(G143="OK",H143="OK"),"OK","REVISAR"))</f>
      </c>
    </row>
    <row r="144">
      <c r="A144" s="5"/>
      <c r="B144" s="5"/>
      <c r="C144" s="4"/>
      <c r="D144" s="4"/>
      <c r="E144" s="5"/>
      <c r="F144" s="4"/>
      <c r="G144" s="6">
        <f>IF(AND(A144="",B144=""),"",IF(COUNTIFS($A$2:$A$2001,A144,$B$2:$B$2001,B144)&gt;1,"DUPLICADO","OK"))</f>
      </c>
      <c r="H144" s="6">
        <f>IF(COUNTA(A144:F144)=0,"",IF(AND(A144&lt;&gt;"",B144&lt;&gt;"",E144&lt;&gt;""),"OK","ERRO: faltam "&amp;IF(A144="","Conta; ","")&amp;IF(B144="","Oportunidade; ","")&amp;IF(E144="","Novo gerente; ","")))</f>
      </c>
      <c r="I144" s="6">
        <f>IF(COUNTA(A144:F144)=0,"",IF(AND(G144="OK",H144="OK"),"OK","REVISAR"))</f>
      </c>
    </row>
    <row r="145">
      <c r="A145" s="5"/>
      <c r="B145" s="5"/>
      <c r="C145" s="4"/>
      <c r="D145" s="4"/>
      <c r="E145" s="5"/>
      <c r="F145" s="4"/>
      <c r="G145" s="6">
        <f>IF(AND(A145="",B145=""),"",IF(COUNTIFS($A$2:$A$2001,A145,$B$2:$B$2001,B145)&gt;1,"DUPLICADO","OK"))</f>
      </c>
      <c r="H145" s="6">
        <f>IF(COUNTA(A145:F145)=0,"",IF(AND(A145&lt;&gt;"",B145&lt;&gt;"",E145&lt;&gt;""),"OK","ERRO: faltam "&amp;IF(A145="","Conta; ","")&amp;IF(B145="","Oportunidade; ","")&amp;IF(E145="","Novo gerente; ","")))</f>
      </c>
      <c r="I145" s="6">
        <f>IF(COUNTA(A145:F145)=0,"",IF(AND(G145="OK",H145="OK"),"OK","REVISAR"))</f>
      </c>
    </row>
    <row r="146">
      <c r="A146" s="5"/>
      <c r="B146" s="5"/>
      <c r="C146" s="4"/>
      <c r="D146" s="4"/>
      <c r="E146" s="5"/>
      <c r="F146" s="4"/>
      <c r="G146" s="6">
        <f>IF(AND(A146="",B146=""),"",IF(COUNTIFS($A$2:$A$2001,A146,$B$2:$B$2001,B146)&gt;1,"DUPLICADO","OK"))</f>
      </c>
      <c r="H146" s="6">
        <f>IF(COUNTA(A146:F146)=0,"",IF(AND(A146&lt;&gt;"",B146&lt;&gt;"",E146&lt;&gt;""),"OK","ERRO: faltam "&amp;IF(A146="","Conta; ","")&amp;IF(B146="","Oportunidade; ","")&amp;IF(E146="","Novo gerente; ","")))</f>
      </c>
      <c r="I146" s="6">
        <f>IF(COUNTA(A146:F146)=0,"",IF(AND(G146="OK",H146="OK"),"OK","REVISAR"))</f>
      </c>
    </row>
    <row r="147">
      <c r="A147" s="5"/>
      <c r="B147" s="5"/>
      <c r="C147" s="4"/>
      <c r="D147" s="4"/>
      <c r="E147" s="5"/>
      <c r="F147" s="4"/>
      <c r="G147" s="6">
        <f>IF(AND(A147="",B147=""),"",IF(COUNTIFS($A$2:$A$2001,A147,$B$2:$B$2001,B147)&gt;1,"DUPLICADO","OK"))</f>
      </c>
      <c r="H147" s="6">
        <f>IF(COUNTA(A147:F147)=0,"",IF(AND(A147&lt;&gt;"",B147&lt;&gt;"",E147&lt;&gt;""),"OK","ERRO: faltam "&amp;IF(A147="","Conta; ","")&amp;IF(B147="","Oportunidade; ","")&amp;IF(E147="","Novo gerente; ","")))</f>
      </c>
      <c r="I147" s="6">
        <f>IF(COUNTA(A147:F147)=0,"",IF(AND(G147="OK",H147="OK"),"OK","REVISAR"))</f>
      </c>
    </row>
    <row r="148">
      <c r="A148" s="5"/>
      <c r="B148" s="5"/>
      <c r="C148" s="4"/>
      <c r="D148" s="4"/>
      <c r="E148" s="5"/>
      <c r="F148" s="4"/>
      <c r="G148" s="6">
        <f>IF(AND(A148="",B148=""),"",IF(COUNTIFS($A$2:$A$2001,A148,$B$2:$B$2001,B148)&gt;1,"DUPLICADO","OK"))</f>
      </c>
      <c r="H148" s="6">
        <f>IF(COUNTA(A148:F148)=0,"",IF(AND(A148&lt;&gt;"",B148&lt;&gt;"",E148&lt;&gt;""),"OK","ERRO: faltam "&amp;IF(A148="","Conta; ","")&amp;IF(B148="","Oportunidade; ","")&amp;IF(E148="","Novo gerente; ","")))</f>
      </c>
      <c r="I148" s="6">
        <f>IF(COUNTA(A148:F148)=0,"",IF(AND(G148="OK",H148="OK"),"OK","REVISAR"))</f>
      </c>
    </row>
    <row r="149">
      <c r="A149" s="5"/>
      <c r="B149" s="5"/>
      <c r="C149" s="4"/>
      <c r="D149" s="4"/>
      <c r="E149" s="5"/>
      <c r="F149" s="4"/>
      <c r="G149" s="6">
        <f>IF(AND(A149="",B149=""),"",IF(COUNTIFS($A$2:$A$2001,A149,$B$2:$B$2001,B149)&gt;1,"DUPLICADO","OK"))</f>
      </c>
      <c r="H149" s="6">
        <f>IF(COUNTA(A149:F149)=0,"",IF(AND(A149&lt;&gt;"",B149&lt;&gt;"",E149&lt;&gt;""),"OK","ERRO: faltam "&amp;IF(A149="","Conta; ","")&amp;IF(B149="","Oportunidade; ","")&amp;IF(E149="","Novo gerente; ","")))</f>
      </c>
      <c r="I149" s="6">
        <f>IF(COUNTA(A149:F149)=0,"",IF(AND(G149="OK",H149="OK"),"OK","REVISAR"))</f>
      </c>
    </row>
    <row r="150">
      <c r="A150" s="5"/>
      <c r="B150" s="5"/>
      <c r="C150" s="4"/>
      <c r="D150" s="4"/>
      <c r="E150" s="5"/>
      <c r="F150" s="4"/>
      <c r="G150" s="6">
        <f>IF(AND(A150="",B150=""),"",IF(COUNTIFS($A$2:$A$2001,A150,$B$2:$B$2001,B150)&gt;1,"DUPLICADO","OK"))</f>
      </c>
      <c r="H150" s="6">
        <f>IF(COUNTA(A150:F150)=0,"",IF(AND(A150&lt;&gt;"",B150&lt;&gt;"",E150&lt;&gt;""),"OK","ERRO: faltam "&amp;IF(A150="","Conta; ","")&amp;IF(B150="","Oportunidade; ","")&amp;IF(E150="","Novo gerente; ","")))</f>
      </c>
      <c r="I150" s="6">
        <f>IF(COUNTA(A150:F150)=0,"",IF(AND(G150="OK",H150="OK"),"OK","REVISAR"))</f>
      </c>
    </row>
    <row r="151">
      <c r="A151" s="5"/>
      <c r="B151" s="5"/>
      <c r="C151" s="4"/>
      <c r="D151" s="4"/>
      <c r="E151" s="5"/>
      <c r="F151" s="4"/>
      <c r="G151" s="6">
        <f>IF(AND(A151="",B151=""),"",IF(COUNTIFS($A$2:$A$2001,A151,$B$2:$B$2001,B151)&gt;1,"DUPLICADO","OK"))</f>
      </c>
      <c r="H151" s="6">
        <f>IF(COUNTA(A151:F151)=0,"",IF(AND(A151&lt;&gt;"",B151&lt;&gt;"",E151&lt;&gt;""),"OK","ERRO: faltam "&amp;IF(A151="","Conta; ","")&amp;IF(B151="","Oportunidade; ","")&amp;IF(E151="","Novo gerente; ","")))</f>
      </c>
      <c r="I151" s="6">
        <f>IF(COUNTA(A151:F151)=0,"",IF(AND(G151="OK",H151="OK"),"OK","REVISAR"))</f>
      </c>
    </row>
    <row r="152">
      <c r="A152" s="5"/>
      <c r="B152" s="5"/>
      <c r="C152" s="4"/>
      <c r="D152" s="4"/>
      <c r="E152" s="5"/>
      <c r="F152" s="4"/>
      <c r="G152" s="6">
        <f>IF(AND(A152="",B152=""),"",IF(COUNTIFS($A$2:$A$2001,A152,$B$2:$B$2001,B152)&gt;1,"DUPLICADO","OK"))</f>
      </c>
      <c r="H152" s="6">
        <f>IF(COUNTA(A152:F152)=0,"",IF(AND(A152&lt;&gt;"",B152&lt;&gt;"",E152&lt;&gt;""),"OK","ERRO: faltam "&amp;IF(A152="","Conta; ","")&amp;IF(B152="","Oportunidade; ","")&amp;IF(E152="","Novo gerente; ","")))</f>
      </c>
      <c r="I152" s="6">
        <f>IF(COUNTA(A152:F152)=0,"",IF(AND(G152="OK",H152="OK"),"OK","REVISAR"))</f>
      </c>
    </row>
    <row r="153">
      <c r="A153" s="5"/>
      <c r="B153" s="5"/>
      <c r="C153" s="4"/>
      <c r="D153" s="4"/>
      <c r="E153" s="5"/>
      <c r="F153" s="4"/>
      <c r="G153" s="6">
        <f>IF(AND(A153="",B153=""),"",IF(COUNTIFS($A$2:$A$2001,A153,$B$2:$B$2001,B153)&gt;1,"DUPLICADO","OK"))</f>
      </c>
      <c r="H153" s="6">
        <f>IF(COUNTA(A153:F153)=0,"",IF(AND(A153&lt;&gt;"",B153&lt;&gt;"",E153&lt;&gt;""),"OK","ERRO: faltam "&amp;IF(A153="","Conta; ","")&amp;IF(B153="","Oportunidade; ","")&amp;IF(E153="","Novo gerente; ","")))</f>
      </c>
      <c r="I153" s="6">
        <f>IF(COUNTA(A153:F153)=0,"",IF(AND(G153="OK",H153="OK"),"OK","REVISAR"))</f>
      </c>
    </row>
    <row r="154">
      <c r="A154" s="5"/>
      <c r="B154" s="5"/>
      <c r="C154" s="4"/>
      <c r="D154" s="4"/>
      <c r="E154" s="5"/>
      <c r="F154" s="4"/>
      <c r="G154" s="6">
        <f>IF(AND(A154="",B154=""),"",IF(COUNTIFS($A$2:$A$2001,A154,$B$2:$B$2001,B154)&gt;1,"DUPLICADO","OK"))</f>
      </c>
      <c r="H154" s="6">
        <f>IF(COUNTA(A154:F154)=0,"",IF(AND(A154&lt;&gt;"",B154&lt;&gt;"",E154&lt;&gt;""),"OK","ERRO: faltam "&amp;IF(A154="","Conta; ","")&amp;IF(B154="","Oportunidade; ","")&amp;IF(E154="","Novo gerente; ","")))</f>
      </c>
      <c r="I154" s="6">
        <f>IF(COUNTA(A154:F154)=0,"",IF(AND(G154="OK",H154="OK"),"OK","REVISAR"))</f>
      </c>
    </row>
    <row r="155">
      <c r="A155" s="5"/>
      <c r="B155" s="5"/>
      <c r="C155" s="4"/>
      <c r="D155" s="4"/>
      <c r="E155" s="5"/>
      <c r="F155" s="4"/>
      <c r="G155" s="6">
        <f>IF(AND(A155="",B155=""),"",IF(COUNTIFS($A$2:$A$2001,A155,$B$2:$B$2001,B155)&gt;1,"DUPLICADO","OK"))</f>
      </c>
      <c r="H155" s="6">
        <f>IF(COUNTA(A155:F155)=0,"",IF(AND(A155&lt;&gt;"",B155&lt;&gt;"",E155&lt;&gt;""),"OK","ERRO: faltam "&amp;IF(A155="","Conta; ","")&amp;IF(B155="","Oportunidade; ","")&amp;IF(E155="","Novo gerente; ","")))</f>
      </c>
      <c r="I155" s="6">
        <f>IF(COUNTA(A155:F155)=0,"",IF(AND(G155="OK",H155="OK"),"OK","REVISAR"))</f>
      </c>
    </row>
    <row r="156">
      <c r="A156" s="5"/>
      <c r="B156" s="5"/>
      <c r="C156" s="4"/>
      <c r="D156" s="4"/>
      <c r="E156" s="5"/>
      <c r="F156" s="4"/>
      <c r="G156" s="6">
        <f>IF(AND(A156="",B156=""),"",IF(COUNTIFS($A$2:$A$2001,A156,$B$2:$B$2001,B156)&gt;1,"DUPLICADO","OK"))</f>
      </c>
      <c r="H156" s="6">
        <f>IF(COUNTA(A156:F156)=0,"",IF(AND(A156&lt;&gt;"",B156&lt;&gt;"",E156&lt;&gt;""),"OK","ERRO: faltam "&amp;IF(A156="","Conta; ","")&amp;IF(B156="","Oportunidade; ","")&amp;IF(E156="","Novo gerente; ","")))</f>
      </c>
      <c r="I156" s="6">
        <f>IF(COUNTA(A156:F156)=0,"",IF(AND(G156="OK",H156="OK"),"OK","REVISAR"))</f>
      </c>
    </row>
    <row r="157">
      <c r="A157" s="5"/>
      <c r="B157" s="5"/>
      <c r="C157" s="4"/>
      <c r="D157" s="4"/>
      <c r="E157" s="5"/>
      <c r="F157" s="4"/>
      <c r="G157" s="6">
        <f>IF(AND(A157="",B157=""),"",IF(COUNTIFS($A$2:$A$2001,A157,$B$2:$B$2001,B157)&gt;1,"DUPLICADO","OK"))</f>
      </c>
      <c r="H157" s="6">
        <f>IF(COUNTA(A157:F157)=0,"",IF(AND(A157&lt;&gt;"",B157&lt;&gt;"",E157&lt;&gt;""),"OK","ERRO: faltam "&amp;IF(A157="","Conta; ","")&amp;IF(B157="","Oportunidade; ","")&amp;IF(E157="","Novo gerente; ","")))</f>
      </c>
      <c r="I157" s="6">
        <f>IF(COUNTA(A157:F157)=0,"",IF(AND(G157="OK",H157="OK"),"OK","REVISAR"))</f>
      </c>
    </row>
    <row r="158">
      <c r="A158" s="5"/>
      <c r="B158" s="5"/>
      <c r="C158" s="4"/>
      <c r="D158" s="4"/>
      <c r="E158" s="5"/>
      <c r="F158" s="4"/>
      <c r="G158" s="6">
        <f>IF(AND(A158="",B158=""),"",IF(COUNTIFS($A$2:$A$2001,A158,$B$2:$B$2001,B158)&gt;1,"DUPLICADO","OK"))</f>
      </c>
      <c r="H158" s="6">
        <f>IF(COUNTA(A158:F158)=0,"",IF(AND(A158&lt;&gt;"",B158&lt;&gt;"",E158&lt;&gt;""),"OK","ERRO: faltam "&amp;IF(A158="","Conta; ","")&amp;IF(B158="","Oportunidade; ","")&amp;IF(E158="","Novo gerente; ","")))</f>
      </c>
      <c r="I158" s="6">
        <f>IF(COUNTA(A158:F158)=0,"",IF(AND(G158="OK",H158="OK"),"OK","REVISAR"))</f>
      </c>
    </row>
    <row r="159">
      <c r="A159" s="5"/>
      <c r="B159" s="5"/>
      <c r="C159" s="4"/>
      <c r="D159" s="4"/>
      <c r="E159" s="5"/>
      <c r="F159" s="4"/>
      <c r="G159" s="6">
        <f>IF(AND(A159="",B159=""),"",IF(COUNTIFS($A$2:$A$2001,A159,$B$2:$B$2001,B159)&gt;1,"DUPLICADO","OK"))</f>
      </c>
      <c r="H159" s="6">
        <f>IF(COUNTA(A159:F159)=0,"",IF(AND(A159&lt;&gt;"",B159&lt;&gt;"",E159&lt;&gt;""),"OK","ERRO: faltam "&amp;IF(A159="","Conta; ","")&amp;IF(B159="","Oportunidade; ","")&amp;IF(E159="","Novo gerente; ","")))</f>
      </c>
      <c r="I159" s="6">
        <f>IF(COUNTA(A159:F159)=0,"",IF(AND(G159="OK",H159="OK"),"OK","REVISAR"))</f>
      </c>
    </row>
    <row r="160">
      <c r="A160" s="5"/>
      <c r="B160" s="5"/>
      <c r="C160" s="4"/>
      <c r="D160" s="4"/>
      <c r="E160" s="5"/>
      <c r="F160" s="4"/>
      <c r="G160" s="6">
        <f>IF(AND(A160="",B160=""),"",IF(COUNTIFS($A$2:$A$2001,A160,$B$2:$B$2001,B160)&gt;1,"DUPLICADO","OK"))</f>
      </c>
      <c r="H160" s="6">
        <f>IF(COUNTA(A160:F160)=0,"",IF(AND(A160&lt;&gt;"",B160&lt;&gt;"",E160&lt;&gt;""),"OK","ERRO: faltam "&amp;IF(A160="","Conta; ","")&amp;IF(B160="","Oportunidade; ","")&amp;IF(E160="","Novo gerente; ","")))</f>
      </c>
      <c r="I160" s="6">
        <f>IF(COUNTA(A160:F160)=0,"",IF(AND(G160="OK",H160="OK"),"OK","REVISAR"))</f>
      </c>
    </row>
    <row r="161">
      <c r="A161" s="5"/>
      <c r="B161" s="5"/>
      <c r="C161" s="4"/>
      <c r="D161" s="4"/>
      <c r="E161" s="5"/>
      <c r="F161" s="4"/>
      <c r="G161" s="6">
        <f>IF(AND(A161="",B161=""),"",IF(COUNTIFS($A$2:$A$2001,A161,$B$2:$B$2001,B161)&gt;1,"DUPLICADO","OK"))</f>
      </c>
      <c r="H161" s="6">
        <f>IF(COUNTA(A161:F161)=0,"",IF(AND(A161&lt;&gt;"",B161&lt;&gt;"",E161&lt;&gt;""),"OK","ERRO: faltam "&amp;IF(A161="","Conta; ","")&amp;IF(B161="","Oportunidade; ","")&amp;IF(E161="","Novo gerente; ","")))</f>
      </c>
      <c r="I161" s="6">
        <f>IF(COUNTA(A161:F161)=0,"",IF(AND(G161="OK",H161="OK"),"OK","REVISAR"))</f>
      </c>
    </row>
    <row r="162">
      <c r="A162" s="5"/>
      <c r="B162" s="5"/>
      <c r="C162" s="4"/>
      <c r="D162" s="4"/>
      <c r="E162" s="5"/>
      <c r="F162" s="4"/>
      <c r="G162" s="6">
        <f>IF(AND(A162="",B162=""),"",IF(COUNTIFS($A$2:$A$2001,A162,$B$2:$B$2001,B162)&gt;1,"DUPLICADO","OK"))</f>
      </c>
      <c r="H162" s="6">
        <f>IF(COUNTA(A162:F162)=0,"",IF(AND(A162&lt;&gt;"",B162&lt;&gt;"",E162&lt;&gt;""),"OK","ERRO: faltam "&amp;IF(A162="","Conta; ","")&amp;IF(B162="","Oportunidade; ","")&amp;IF(E162="","Novo gerente; ","")))</f>
      </c>
      <c r="I162" s="6">
        <f>IF(COUNTA(A162:F162)=0,"",IF(AND(G162="OK",H162="OK"),"OK","REVISAR"))</f>
      </c>
    </row>
    <row r="163">
      <c r="A163" s="5"/>
      <c r="B163" s="5"/>
      <c r="C163" s="4"/>
      <c r="D163" s="4"/>
      <c r="E163" s="5"/>
      <c r="F163" s="4"/>
      <c r="G163" s="6">
        <f>IF(AND(A163="",B163=""),"",IF(COUNTIFS($A$2:$A$2001,A163,$B$2:$B$2001,B163)&gt;1,"DUPLICADO","OK"))</f>
      </c>
      <c r="H163" s="6">
        <f>IF(COUNTA(A163:F163)=0,"",IF(AND(A163&lt;&gt;"",B163&lt;&gt;"",E163&lt;&gt;""),"OK","ERRO: faltam "&amp;IF(A163="","Conta; ","")&amp;IF(B163="","Oportunidade; ","")&amp;IF(E163="","Novo gerente; ","")))</f>
      </c>
      <c r="I163" s="6">
        <f>IF(COUNTA(A163:F163)=0,"",IF(AND(G163="OK",H163="OK"),"OK","REVISAR"))</f>
      </c>
    </row>
    <row r="164">
      <c r="A164" s="5"/>
      <c r="B164" s="5"/>
      <c r="C164" s="4"/>
      <c r="D164" s="4"/>
      <c r="E164" s="5"/>
      <c r="F164" s="4"/>
      <c r="G164" s="6">
        <f>IF(AND(A164="",B164=""),"",IF(COUNTIFS($A$2:$A$2001,A164,$B$2:$B$2001,B164)&gt;1,"DUPLICADO","OK"))</f>
      </c>
      <c r="H164" s="6">
        <f>IF(COUNTA(A164:F164)=0,"",IF(AND(A164&lt;&gt;"",B164&lt;&gt;"",E164&lt;&gt;""),"OK","ERRO: faltam "&amp;IF(A164="","Conta; ","")&amp;IF(B164="","Oportunidade; ","")&amp;IF(E164="","Novo gerente; ","")))</f>
      </c>
      <c r="I164" s="6">
        <f>IF(COUNTA(A164:F164)=0,"",IF(AND(G164="OK",H164="OK"),"OK","REVISAR"))</f>
      </c>
    </row>
    <row r="165">
      <c r="A165" s="5"/>
      <c r="B165" s="5"/>
      <c r="C165" s="4"/>
      <c r="D165" s="4"/>
      <c r="E165" s="5"/>
      <c r="F165" s="4"/>
      <c r="G165" s="6">
        <f>IF(AND(A165="",B165=""),"",IF(COUNTIFS($A$2:$A$2001,A165,$B$2:$B$2001,B165)&gt;1,"DUPLICADO","OK"))</f>
      </c>
      <c r="H165" s="6">
        <f>IF(COUNTA(A165:F165)=0,"",IF(AND(A165&lt;&gt;"",B165&lt;&gt;"",E165&lt;&gt;""),"OK","ERRO: faltam "&amp;IF(A165="","Conta; ","")&amp;IF(B165="","Oportunidade; ","")&amp;IF(E165="","Novo gerente; ","")))</f>
      </c>
      <c r="I165" s="6">
        <f>IF(COUNTA(A165:F165)=0,"",IF(AND(G165="OK",H165="OK"),"OK","REVISAR"))</f>
      </c>
    </row>
    <row r="166">
      <c r="A166" s="5"/>
      <c r="B166" s="5"/>
      <c r="C166" s="4"/>
      <c r="D166" s="4"/>
      <c r="E166" s="5"/>
      <c r="F166" s="4"/>
      <c r="G166" s="6">
        <f>IF(AND(A166="",B166=""),"",IF(COUNTIFS($A$2:$A$2001,A166,$B$2:$B$2001,B166)&gt;1,"DUPLICADO","OK"))</f>
      </c>
      <c r="H166" s="6">
        <f>IF(COUNTA(A166:F166)=0,"",IF(AND(A166&lt;&gt;"",B166&lt;&gt;"",E166&lt;&gt;""),"OK","ERRO: faltam "&amp;IF(A166="","Conta; ","")&amp;IF(B166="","Oportunidade; ","")&amp;IF(E166="","Novo gerente; ","")))</f>
      </c>
      <c r="I166" s="6">
        <f>IF(COUNTA(A166:F166)=0,"",IF(AND(G166="OK",H166="OK"),"OK","REVISAR"))</f>
      </c>
    </row>
    <row r="167">
      <c r="A167" s="5"/>
      <c r="B167" s="5"/>
      <c r="C167" s="4"/>
      <c r="D167" s="4"/>
      <c r="E167" s="5"/>
      <c r="F167" s="4"/>
      <c r="G167" s="6">
        <f>IF(AND(A167="",B167=""),"",IF(COUNTIFS($A$2:$A$2001,A167,$B$2:$B$2001,B167)&gt;1,"DUPLICADO","OK"))</f>
      </c>
      <c r="H167" s="6">
        <f>IF(COUNTA(A167:F167)=0,"",IF(AND(A167&lt;&gt;"",B167&lt;&gt;"",E167&lt;&gt;""),"OK","ERRO: faltam "&amp;IF(A167="","Conta; ","")&amp;IF(B167="","Oportunidade; ","")&amp;IF(E167="","Novo gerente; ","")))</f>
      </c>
      <c r="I167" s="6">
        <f>IF(COUNTA(A167:F167)=0,"",IF(AND(G167="OK",H167="OK"),"OK","REVISAR"))</f>
      </c>
    </row>
    <row r="168">
      <c r="A168" s="5"/>
      <c r="B168" s="5"/>
      <c r="C168" s="4"/>
      <c r="D168" s="4"/>
      <c r="E168" s="5"/>
      <c r="F168" s="4"/>
      <c r="G168" s="6">
        <f>IF(AND(A168="",B168=""),"",IF(COUNTIFS($A$2:$A$2001,A168,$B$2:$B$2001,B168)&gt;1,"DUPLICADO","OK"))</f>
      </c>
      <c r="H168" s="6">
        <f>IF(COUNTA(A168:F168)=0,"",IF(AND(A168&lt;&gt;"",B168&lt;&gt;"",E168&lt;&gt;""),"OK","ERRO: faltam "&amp;IF(A168="","Conta; ","")&amp;IF(B168="","Oportunidade; ","")&amp;IF(E168="","Novo gerente; ","")))</f>
      </c>
      <c r="I168" s="6">
        <f>IF(COUNTA(A168:F168)=0,"",IF(AND(G168="OK",H168="OK"),"OK","REVISAR"))</f>
      </c>
    </row>
    <row r="169">
      <c r="A169" s="5"/>
      <c r="B169" s="5"/>
      <c r="C169" s="4"/>
      <c r="D169" s="4"/>
      <c r="E169" s="5"/>
      <c r="F169" s="4"/>
      <c r="G169" s="6">
        <f>IF(AND(A169="",B169=""),"",IF(COUNTIFS($A$2:$A$2001,A169,$B$2:$B$2001,B169)&gt;1,"DUPLICADO","OK"))</f>
      </c>
      <c r="H169" s="6">
        <f>IF(COUNTA(A169:F169)=0,"",IF(AND(A169&lt;&gt;"",B169&lt;&gt;"",E169&lt;&gt;""),"OK","ERRO: faltam "&amp;IF(A169="","Conta; ","")&amp;IF(B169="","Oportunidade; ","")&amp;IF(E169="","Novo gerente; ","")))</f>
      </c>
      <c r="I169" s="6">
        <f>IF(COUNTA(A169:F169)=0,"",IF(AND(G169="OK",H169="OK"),"OK","REVISAR"))</f>
      </c>
    </row>
    <row r="170">
      <c r="A170" s="5"/>
      <c r="B170" s="5"/>
      <c r="C170" s="4"/>
      <c r="D170" s="4"/>
      <c r="E170" s="5"/>
      <c r="F170" s="4"/>
      <c r="G170" s="6">
        <f>IF(AND(A170="",B170=""),"",IF(COUNTIFS($A$2:$A$2001,A170,$B$2:$B$2001,B170)&gt;1,"DUPLICADO","OK"))</f>
      </c>
      <c r="H170" s="6">
        <f>IF(COUNTA(A170:F170)=0,"",IF(AND(A170&lt;&gt;"",B170&lt;&gt;"",E170&lt;&gt;""),"OK","ERRO: faltam "&amp;IF(A170="","Conta; ","")&amp;IF(B170="","Oportunidade; ","")&amp;IF(E170="","Novo gerente; ","")))</f>
      </c>
      <c r="I170" s="6">
        <f>IF(COUNTA(A170:F170)=0,"",IF(AND(G170="OK",H170="OK"),"OK","REVISAR"))</f>
      </c>
    </row>
    <row r="171">
      <c r="A171" s="5"/>
      <c r="B171" s="5"/>
      <c r="C171" s="4"/>
      <c r="D171" s="4"/>
      <c r="E171" s="5"/>
      <c r="F171" s="4"/>
      <c r="G171" s="6">
        <f>IF(AND(A171="",B171=""),"",IF(COUNTIFS($A$2:$A$2001,A171,$B$2:$B$2001,B171)&gt;1,"DUPLICADO","OK"))</f>
      </c>
      <c r="H171" s="6">
        <f>IF(COUNTA(A171:F171)=0,"",IF(AND(A171&lt;&gt;"",B171&lt;&gt;"",E171&lt;&gt;""),"OK","ERRO: faltam "&amp;IF(A171="","Conta; ","")&amp;IF(B171="","Oportunidade; ","")&amp;IF(E171="","Novo gerente; ","")))</f>
      </c>
      <c r="I171" s="6">
        <f>IF(COUNTA(A171:F171)=0,"",IF(AND(G171="OK",H171="OK"),"OK","REVISAR"))</f>
      </c>
    </row>
    <row r="172">
      <c r="A172" s="5"/>
      <c r="B172" s="5"/>
      <c r="C172" s="4"/>
      <c r="D172" s="4"/>
      <c r="E172" s="5"/>
      <c r="F172" s="4"/>
      <c r="G172" s="6">
        <f>IF(AND(A172="",B172=""),"",IF(COUNTIFS($A$2:$A$2001,A172,$B$2:$B$2001,B172)&gt;1,"DUPLICADO","OK"))</f>
      </c>
      <c r="H172" s="6">
        <f>IF(COUNTA(A172:F172)=0,"",IF(AND(A172&lt;&gt;"",B172&lt;&gt;"",E172&lt;&gt;""),"OK","ERRO: faltam "&amp;IF(A172="","Conta; ","")&amp;IF(B172="","Oportunidade; ","")&amp;IF(E172="","Novo gerente; ","")))</f>
      </c>
      <c r="I172" s="6">
        <f>IF(COUNTA(A172:F172)=0,"",IF(AND(G172="OK",H172="OK"),"OK","REVISAR"))</f>
      </c>
    </row>
    <row r="173">
      <c r="A173" s="5"/>
      <c r="B173" s="5"/>
      <c r="C173" s="4"/>
      <c r="D173" s="4"/>
      <c r="E173" s="5"/>
      <c r="F173" s="4"/>
      <c r="G173" s="6">
        <f>IF(AND(A173="",B173=""),"",IF(COUNTIFS($A$2:$A$2001,A173,$B$2:$B$2001,B173)&gt;1,"DUPLICADO","OK"))</f>
      </c>
      <c r="H173" s="6">
        <f>IF(COUNTA(A173:F173)=0,"",IF(AND(A173&lt;&gt;"",B173&lt;&gt;"",E173&lt;&gt;""),"OK","ERRO: faltam "&amp;IF(A173="","Conta; ","")&amp;IF(B173="","Oportunidade; ","")&amp;IF(E173="","Novo gerente; ","")))</f>
      </c>
      <c r="I173" s="6">
        <f>IF(COUNTA(A173:F173)=0,"",IF(AND(G173="OK",H173="OK"),"OK","REVISAR"))</f>
      </c>
    </row>
    <row r="174">
      <c r="A174" s="5"/>
      <c r="B174" s="5"/>
      <c r="C174" s="4"/>
      <c r="D174" s="4"/>
      <c r="E174" s="5"/>
      <c r="F174" s="4"/>
      <c r="G174" s="6">
        <f>IF(AND(A174="",B174=""),"",IF(COUNTIFS($A$2:$A$2001,A174,$B$2:$B$2001,B174)&gt;1,"DUPLICADO","OK"))</f>
      </c>
      <c r="H174" s="6">
        <f>IF(COUNTA(A174:F174)=0,"",IF(AND(A174&lt;&gt;"",B174&lt;&gt;"",E174&lt;&gt;""),"OK","ERRO: faltam "&amp;IF(A174="","Conta; ","")&amp;IF(B174="","Oportunidade; ","")&amp;IF(E174="","Novo gerente; ","")))</f>
      </c>
      <c r="I174" s="6">
        <f>IF(COUNTA(A174:F174)=0,"",IF(AND(G174="OK",H174="OK"),"OK","REVISAR"))</f>
      </c>
    </row>
    <row r="175">
      <c r="A175" s="5"/>
      <c r="B175" s="5"/>
      <c r="C175" s="4"/>
      <c r="D175" s="4"/>
      <c r="E175" s="5"/>
      <c r="F175" s="4"/>
      <c r="G175" s="6">
        <f>IF(AND(A175="",B175=""),"",IF(COUNTIFS($A$2:$A$2001,A175,$B$2:$B$2001,B175)&gt;1,"DUPLICADO","OK"))</f>
      </c>
      <c r="H175" s="6">
        <f>IF(COUNTA(A175:F175)=0,"",IF(AND(A175&lt;&gt;"",B175&lt;&gt;"",E175&lt;&gt;""),"OK","ERRO: faltam "&amp;IF(A175="","Conta; ","")&amp;IF(B175="","Oportunidade; ","")&amp;IF(E175="","Novo gerente; ","")))</f>
      </c>
      <c r="I175" s="6">
        <f>IF(COUNTA(A175:F175)=0,"",IF(AND(G175="OK",H175="OK"),"OK","REVISAR"))</f>
      </c>
    </row>
    <row r="176">
      <c r="A176" s="5"/>
      <c r="B176" s="5"/>
      <c r="C176" s="4"/>
      <c r="D176" s="4"/>
      <c r="E176" s="5"/>
      <c r="F176" s="4"/>
      <c r="G176" s="6">
        <f>IF(AND(A176="",B176=""),"",IF(COUNTIFS($A$2:$A$2001,A176,$B$2:$B$2001,B176)&gt;1,"DUPLICADO","OK"))</f>
      </c>
      <c r="H176" s="6">
        <f>IF(COUNTA(A176:F176)=0,"",IF(AND(A176&lt;&gt;"",B176&lt;&gt;"",E176&lt;&gt;""),"OK","ERRO: faltam "&amp;IF(A176="","Conta; ","")&amp;IF(B176="","Oportunidade; ","")&amp;IF(E176="","Novo gerente; ","")))</f>
      </c>
      <c r="I176" s="6">
        <f>IF(COUNTA(A176:F176)=0,"",IF(AND(G176="OK",H176="OK"),"OK","REVISAR"))</f>
      </c>
    </row>
    <row r="177">
      <c r="A177" s="5"/>
      <c r="B177" s="5"/>
      <c r="C177" s="4"/>
      <c r="D177" s="4"/>
      <c r="E177" s="5"/>
      <c r="F177" s="4"/>
      <c r="G177" s="6">
        <f>IF(AND(A177="",B177=""),"",IF(COUNTIFS($A$2:$A$2001,A177,$B$2:$B$2001,B177)&gt;1,"DUPLICADO","OK"))</f>
      </c>
      <c r="H177" s="6">
        <f>IF(COUNTA(A177:F177)=0,"",IF(AND(A177&lt;&gt;"",B177&lt;&gt;"",E177&lt;&gt;""),"OK","ERRO: faltam "&amp;IF(A177="","Conta; ","")&amp;IF(B177="","Oportunidade; ","")&amp;IF(E177="","Novo gerente; ","")))</f>
      </c>
      <c r="I177" s="6">
        <f>IF(COUNTA(A177:F177)=0,"",IF(AND(G177="OK",H177="OK"),"OK","REVISAR"))</f>
      </c>
    </row>
    <row r="178">
      <c r="A178" s="5"/>
      <c r="B178" s="5"/>
      <c r="C178" s="4"/>
      <c r="D178" s="4"/>
      <c r="E178" s="5"/>
      <c r="F178" s="4"/>
      <c r="G178" s="6">
        <f>IF(AND(A178="",B178=""),"",IF(COUNTIFS($A$2:$A$2001,A178,$B$2:$B$2001,B178)&gt;1,"DUPLICADO","OK"))</f>
      </c>
      <c r="H178" s="6">
        <f>IF(COUNTA(A178:F178)=0,"",IF(AND(A178&lt;&gt;"",B178&lt;&gt;"",E178&lt;&gt;""),"OK","ERRO: faltam "&amp;IF(A178="","Conta; ","")&amp;IF(B178="","Oportunidade; ","")&amp;IF(E178="","Novo gerente; ","")))</f>
      </c>
      <c r="I178" s="6">
        <f>IF(COUNTA(A178:F178)=0,"",IF(AND(G178="OK",H178="OK"),"OK","REVISAR"))</f>
      </c>
    </row>
    <row r="179">
      <c r="A179" s="5"/>
      <c r="B179" s="5"/>
      <c r="C179" s="4"/>
      <c r="D179" s="4"/>
      <c r="E179" s="5"/>
      <c r="F179" s="4"/>
      <c r="G179" s="6">
        <f>IF(AND(A179="",B179=""),"",IF(COUNTIFS($A$2:$A$2001,A179,$B$2:$B$2001,B179)&gt;1,"DUPLICADO","OK"))</f>
      </c>
      <c r="H179" s="6">
        <f>IF(COUNTA(A179:F179)=0,"",IF(AND(A179&lt;&gt;"",B179&lt;&gt;"",E179&lt;&gt;""),"OK","ERRO: faltam "&amp;IF(A179="","Conta; ","")&amp;IF(B179="","Oportunidade; ","")&amp;IF(E179="","Novo gerente; ","")))</f>
      </c>
      <c r="I179" s="6">
        <f>IF(COUNTA(A179:F179)=0,"",IF(AND(G179="OK",H179="OK"),"OK","REVISAR"))</f>
      </c>
    </row>
    <row r="180">
      <c r="A180" s="5"/>
      <c r="B180" s="5"/>
      <c r="C180" s="4"/>
      <c r="D180" s="4"/>
      <c r="E180" s="5"/>
      <c r="F180" s="4"/>
      <c r="G180" s="6">
        <f>IF(AND(A180="",B180=""),"",IF(COUNTIFS($A$2:$A$2001,A180,$B$2:$B$2001,B180)&gt;1,"DUPLICADO","OK"))</f>
      </c>
      <c r="H180" s="6">
        <f>IF(COUNTA(A180:F180)=0,"",IF(AND(A180&lt;&gt;"",B180&lt;&gt;"",E180&lt;&gt;""),"OK","ERRO: faltam "&amp;IF(A180="","Conta; ","")&amp;IF(B180="","Oportunidade; ","")&amp;IF(E180="","Novo gerente; ","")))</f>
      </c>
      <c r="I180" s="6">
        <f>IF(COUNTA(A180:F180)=0,"",IF(AND(G180="OK",H180="OK"),"OK","REVISAR"))</f>
      </c>
    </row>
    <row r="181">
      <c r="A181" s="5"/>
      <c r="B181" s="5"/>
      <c r="C181" s="4"/>
      <c r="D181" s="4"/>
      <c r="E181" s="5"/>
      <c r="F181" s="4"/>
      <c r="G181" s="6">
        <f>IF(AND(A181="",B181=""),"",IF(COUNTIFS($A$2:$A$2001,A181,$B$2:$B$2001,B181)&gt;1,"DUPLICADO","OK"))</f>
      </c>
      <c r="H181" s="6">
        <f>IF(COUNTA(A181:F181)=0,"",IF(AND(A181&lt;&gt;"",B181&lt;&gt;"",E181&lt;&gt;""),"OK","ERRO: faltam "&amp;IF(A181="","Conta; ","")&amp;IF(B181="","Oportunidade; ","")&amp;IF(E181="","Novo gerente; ","")))</f>
      </c>
      <c r="I181" s="6">
        <f>IF(COUNTA(A181:F181)=0,"",IF(AND(G181="OK",H181="OK"),"OK","REVISAR"))</f>
      </c>
    </row>
    <row r="182">
      <c r="A182" s="5"/>
      <c r="B182" s="5"/>
      <c r="C182" s="4"/>
      <c r="D182" s="4"/>
      <c r="E182" s="5"/>
      <c r="F182" s="4"/>
      <c r="G182" s="6">
        <f>IF(AND(A182="",B182=""),"",IF(COUNTIFS($A$2:$A$2001,A182,$B$2:$B$2001,B182)&gt;1,"DUPLICADO","OK"))</f>
      </c>
      <c r="H182" s="6">
        <f>IF(COUNTA(A182:F182)=0,"",IF(AND(A182&lt;&gt;"",B182&lt;&gt;"",E182&lt;&gt;""),"OK","ERRO: faltam "&amp;IF(A182="","Conta; ","")&amp;IF(B182="","Oportunidade; ","")&amp;IF(E182="","Novo gerente; ","")))</f>
      </c>
      <c r="I182" s="6">
        <f>IF(COUNTA(A182:F182)=0,"",IF(AND(G182="OK",H182="OK"),"OK","REVISAR"))</f>
      </c>
    </row>
    <row r="183">
      <c r="A183" s="5"/>
      <c r="B183" s="5"/>
      <c r="C183" s="4"/>
      <c r="D183" s="4"/>
      <c r="E183" s="5"/>
      <c r="F183" s="4"/>
      <c r="G183" s="6">
        <f>IF(AND(A183="",B183=""),"",IF(COUNTIFS($A$2:$A$2001,A183,$B$2:$B$2001,B183)&gt;1,"DUPLICADO","OK"))</f>
      </c>
      <c r="H183" s="6">
        <f>IF(COUNTA(A183:F183)=0,"",IF(AND(A183&lt;&gt;"",B183&lt;&gt;"",E183&lt;&gt;""),"OK","ERRO: faltam "&amp;IF(A183="","Conta; ","")&amp;IF(B183="","Oportunidade; ","")&amp;IF(E183="","Novo gerente; ","")))</f>
      </c>
      <c r="I183" s="6">
        <f>IF(COUNTA(A183:F183)=0,"",IF(AND(G183="OK",H183="OK"),"OK","REVISAR"))</f>
      </c>
    </row>
    <row r="184">
      <c r="A184" s="5"/>
      <c r="B184" s="5"/>
      <c r="C184" s="4"/>
      <c r="D184" s="4"/>
      <c r="E184" s="5"/>
      <c r="F184" s="4"/>
      <c r="G184" s="6">
        <f>IF(AND(A184="",B184=""),"",IF(COUNTIFS($A$2:$A$2001,A184,$B$2:$B$2001,B184)&gt;1,"DUPLICADO","OK"))</f>
      </c>
      <c r="H184" s="6">
        <f>IF(COUNTA(A184:F184)=0,"",IF(AND(A184&lt;&gt;"",B184&lt;&gt;"",E184&lt;&gt;""),"OK","ERRO: faltam "&amp;IF(A184="","Conta; ","")&amp;IF(B184="","Oportunidade; ","")&amp;IF(E184="","Novo gerente; ","")))</f>
      </c>
      <c r="I184" s="6">
        <f>IF(COUNTA(A184:F184)=0,"",IF(AND(G184="OK",H184="OK"),"OK","REVISAR"))</f>
      </c>
    </row>
    <row r="185">
      <c r="A185" s="5"/>
      <c r="B185" s="5"/>
      <c r="C185" s="4"/>
      <c r="D185" s="4"/>
      <c r="E185" s="5"/>
      <c r="F185" s="4"/>
      <c r="G185" s="6">
        <f>IF(AND(A185="",B185=""),"",IF(COUNTIFS($A$2:$A$2001,A185,$B$2:$B$2001,B185)&gt;1,"DUPLICADO","OK"))</f>
      </c>
      <c r="H185" s="6">
        <f>IF(COUNTA(A185:F185)=0,"",IF(AND(A185&lt;&gt;"",B185&lt;&gt;"",E185&lt;&gt;""),"OK","ERRO: faltam "&amp;IF(A185="","Conta; ","")&amp;IF(B185="","Oportunidade; ","")&amp;IF(E185="","Novo gerente; ","")))</f>
      </c>
      <c r="I185" s="6">
        <f>IF(COUNTA(A185:F185)=0,"",IF(AND(G185="OK",H185="OK"),"OK","REVISAR"))</f>
      </c>
    </row>
    <row r="186">
      <c r="A186" s="5"/>
      <c r="B186" s="5"/>
      <c r="C186" s="4"/>
      <c r="D186" s="4"/>
      <c r="E186" s="5"/>
      <c r="F186" s="4"/>
      <c r="G186" s="6">
        <f>IF(AND(A186="",B186=""),"",IF(COUNTIFS($A$2:$A$2001,A186,$B$2:$B$2001,B186)&gt;1,"DUPLICADO","OK"))</f>
      </c>
      <c r="H186" s="6">
        <f>IF(COUNTA(A186:F186)=0,"",IF(AND(A186&lt;&gt;"",B186&lt;&gt;"",E186&lt;&gt;""),"OK","ERRO: faltam "&amp;IF(A186="","Conta; ","")&amp;IF(B186="","Oportunidade; ","")&amp;IF(E186="","Novo gerente; ","")))</f>
      </c>
      <c r="I186" s="6">
        <f>IF(COUNTA(A186:F186)=0,"",IF(AND(G186="OK",H186="OK"),"OK","REVISAR"))</f>
      </c>
    </row>
    <row r="187">
      <c r="A187" s="5"/>
      <c r="B187" s="5"/>
      <c r="C187" s="4"/>
      <c r="D187" s="4"/>
      <c r="E187" s="5"/>
      <c r="F187" s="4"/>
      <c r="G187" s="6">
        <f>IF(AND(A187="",B187=""),"",IF(COUNTIFS($A$2:$A$2001,A187,$B$2:$B$2001,B187)&gt;1,"DUPLICADO","OK"))</f>
      </c>
      <c r="H187" s="6">
        <f>IF(COUNTA(A187:F187)=0,"",IF(AND(A187&lt;&gt;"",B187&lt;&gt;"",E187&lt;&gt;""),"OK","ERRO: faltam "&amp;IF(A187="","Conta; ","")&amp;IF(B187="","Oportunidade; ","")&amp;IF(E187="","Novo gerente; ","")))</f>
      </c>
      <c r="I187" s="6">
        <f>IF(COUNTA(A187:F187)=0,"",IF(AND(G187="OK",H187="OK"),"OK","REVISAR"))</f>
      </c>
    </row>
    <row r="188">
      <c r="A188" s="5"/>
      <c r="B188" s="5"/>
      <c r="C188" s="4"/>
      <c r="D188" s="4"/>
      <c r="E188" s="5"/>
      <c r="F188" s="4"/>
      <c r="G188" s="6">
        <f>IF(AND(A188="",B188=""),"",IF(COUNTIFS($A$2:$A$2001,A188,$B$2:$B$2001,B188)&gt;1,"DUPLICADO","OK"))</f>
      </c>
      <c r="H188" s="6">
        <f>IF(COUNTA(A188:F188)=0,"",IF(AND(A188&lt;&gt;"",B188&lt;&gt;"",E188&lt;&gt;""),"OK","ERRO: faltam "&amp;IF(A188="","Conta; ","")&amp;IF(B188="","Oportunidade; ","")&amp;IF(E188="","Novo gerente; ","")))</f>
      </c>
      <c r="I188" s="6">
        <f>IF(COUNTA(A188:F188)=0,"",IF(AND(G188="OK",H188="OK"),"OK","REVISAR"))</f>
      </c>
    </row>
    <row r="189">
      <c r="A189" s="5"/>
      <c r="B189" s="5"/>
      <c r="C189" s="4"/>
      <c r="D189" s="4"/>
      <c r="E189" s="5"/>
      <c r="F189" s="4"/>
      <c r="G189" s="6">
        <f>IF(AND(A189="",B189=""),"",IF(COUNTIFS($A$2:$A$2001,A189,$B$2:$B$2001,B189)&gt;1,"DUPLICADO","OK"))</f>
      </c>
      <c r="H189" s="6">
        <f>IF(COUNTA(A189:F189)=0,"",IF(AND(A189&lt;&gt;"",B189&lt;&gt;"",E189&lt;&gt;""),"OK","ERRO: faltam "&amp;IF(A189="","Conta; ","")&amp;IF(B189="","Oportunidade; ","")&amp;IF(E189="","Novo gerente; ","")))</f>
      </c>
      <c r="I189" s="6">
        <f>IF(COUNTA(A189:F189)=0,"",IF(AND(G189="OK",H189="OK"),"OK","REVISAR"))</f>
      </c>
    </row>
    <row r="190">
      <c r="A190" s="5"/>
      <c r="B190" s="5"/>
      <c r="C190" s="4"/>
      <c r="D190" s="4"/>
      <c r="E190" s="5"/>
      <c r="F190" s="4"/>
      <c r="G190" s="6">
        <f>IF(AND(A190="",B190=""),"",IF(COUNTIFS($A$2:$A$2001,A190,$B$2:$B$2001,B190)&gt;1,"DUPLICADO","OK"))</f>
      </c>
      <c r="H190" s="6">
        <f>IF(COUNTA(A190:F190)=0,"",IF(AND(A190&lt;&gt;"",B190&lt;&gt;"",E190&lt;&gt;""),"OK","ERRO: faltam "&amp;IF(A190="","Conta; ","")&amp;IF(B190="","Oportunidade; ","")&amp;IF(E190="","Novo gerente; ","")))</f>
      </c>
      <c r="I190" s="6">
        <f>IF(COUNTA(A190:F190)=0,"",IF(AND(G190="OK",H190="OK"),"OK","REVISAR"))</f>
      </c>
    </row>
    <row r="191">
      <c r="A191" s="5"/>
      <c r="B191" s="5"/>
      <c r="C191" s="4"/>
      <c r="D191" s="4"/>
      <c r="E191" s="5"/>
      <c r="F191" s="4"/>
      <c r="G191" s="6">
        <f>IF(AND(A191="",B191=""),"",IF(COUNTIFS($A$2:$A$2001,A191,$B$2:$B$2001,B191)&gt;1,"DUPLICADO","OK"))</f>
      </c>
      <c r="H191" s="6">
        <f>IF(COUNTA(A191:F191)=0,"",IF(AND(A191&lt;&gt;"",B191&lt;&gt;"",E191&lt;&gt;""),"OK","ERRO: faltam "&amp;IF(A191="","Conta; ","")&amp;IF(B191="","Oportunidade; ","")&amp;IF(E191="","Novo gerente; ","")))</f>
      </c>
      <c r="I191" s="6">
        <f>IF(COUNTA(A191:F191)=0,"",IF(AND(G191="OK",H191="OK"),"OK","REVISAR"))</f>
      </c>
    </row>
    <row r="192">
      <c r="A192" s="5"/>
      <c r="B192" s="5"/>
      <c r="C192" s="4"/>
      <c r="D192" s="4"/>
      <c r="E192" s="5"/>
      <c r="F192" s="4"/>
      <c r="G192" s="6">
        <f>IF(AND(A192="",B192=""),"",IF(COUNTIFS($A$2:$A$2001,A192,$B$2:$B$2001,B192)&gt;1,"DUPLICADO","OK"))</f>
      </c>
      <c r="H192" s="6">
        <f>IF(COUNTA(A192:F192)=0,"",IF(AND(A192&lt;&gt;"",B192&lt;&gt;"",E192&lt;&gt;""),"OK","ERRO: faltam "&amp;IF(A192="","Conta; ","")&amp;IF(B192="","Oportunidade; ","")&amp;IF(E192="","Novo gerente; ","")))</f>
      </c>
      <c r="I192" s="6">
        <f>IF(COUNTA(A192:F192)=0,"",IF(AND(G192="OK",H192="OK"),"OK","REVISAR"))</f>
      </c>
    </row>
    <row r="193">
      <c r="A193" s="5"/>
      <c r="B193" s="5"/>
      <c r="C193" s="4"/>
      <c r="D193" s="4"/>
      <c r="E193" s="5"/>
      <c r="F193" s="4"/>
      <c r="G193" s="6">
        <f>IF(AND(A193="",B193=""),"",IF(COUNTIFS($A$2:$A$2001,A193,$B$2:$B$2001,B193)&gt;1,"DUPLICADO","OK"))</f>
      </c>
      <c r="H193" s="6">
        <f>IF(COUNTA(A193:F193)=0,"",IF(AND(A193&lt;&gt;"",B193&lt;&gt;"",E193&lt;&gt;""),"OK","ERRO: faltam "&amp;IF(A193="","Conta; ","")&amp;IF(B193="","Oportunidade; ","")&amp;IF(E193="","Novo gerente; ","")))</f>
      </c>
      <c r="I193" s="6">
        <f>IF(COUNTA(A193:F193)=0,"",IF(AND(G193="OK",H193="OK"),"OK","REVISAR"))</f>
      </c>
    </row>
    <row r="194">
      <c r="A194" s="5"/>
      <c r="B194" s="5"/>
      <c r="C194" s="4"/>
      <c r="D194" s="4"/>
      <c r="E194" s="5"/>
      <c r="F194" s="4"/>
      <c r="G194" s="6">
        <f>IF(AND(A194="",B194=""),"",IF(COUNTIFS($A$2:$A$2001,A194,$B$2:$B$2001,B194)&gt;1,"DUPLICADO","OK"))</f>
      </c>
      <c r="H194" s="6">
        <f>IF(COUNTA(A194:F194)=0,"",IF(AND(A194&lt;&gt;"",B194&lt;&gt;"",E194&lt;&gt;""),"OK","ERRO: faltam "&amp;IF(A194="","Conta; ","")&amp;IF(B194="","Oportunidade; ","")&amp;IF(E194="","Novo gerente; ","")))</f>
      </c>
      <c r="I194" s="6">
        <f>IF(COUNTA(A194:F194)=0,"",IF(AND(G194="OK",H194="OK"),"OK","REVISAR"))</f>
      </c>
    </row>
    <row r="195">
      <c r="A195" s="5"/>
      <c r="B195" s="5"/>
      <c r="C195" s="4"/>
      <c r="D195" s="4"/>
      <c r="E195" s="5"/>
      <c r="F195" s="4"/>
      <c r="G195" s="6">
        <f>IF(AND(A195="",B195=""),"",IF(COUNTIFS($A$2:$A$2001,A195,$B$2:$B$2001,B195)&gt;1,"DUPLICADO","OK"))</f>
      </c>
      <c r="H195" s="6">
        <f>IF(COUNTA(A195:F195)=0,"",IF(AND(A195&lt;&gt;"",B195&lt;&gt;"",E195&lt;&gt;""),"OK","ERRO: faltam "&amp;IF(A195="","Conta; ","")&amp;IF(B195="","Oportunidade; ","")&amp;IF(E195="","Novo gerente; ","")))</f>
      </c>
      <c r="I195" s="6">
        <f>IF(COUNTA(A195:F195)=0,"",IF(AND(G195="OK",H195="OK"),"OK","REVISAR"))</f>
      </c>
    </row>
    <row r="196">
      <c r="A196" s="5"/>
      <c r="B196" s="5"/>
      <c r="C196" s="4"/>
      <c r="D196" s="4"/>
      <c r="E196" s="5"/>
      <c r="F196" s="4"/>
      <c r="G196" s="6">
        <f>IF(AND(A196="",B196=""),"",IF(COUNTIFS($A$2:$A$2001,A196,$B$2:$B$2001,B196)&gt;1,"DUPLICADO","OK"))</f>
      </c>
      <c r="H196" s="6">
        <f>IF(COUNTA(A196:F196)=0,"",IF(AND(A196&lt;&gt;"",B196&lt;&gt;"",E196&lt;&gt;""),"OK","ERRO: faltam "&amp;IF(A196="","Conta; ","")&amp;IF(B196="","Oportunidade; ","")&amp;IF(E196="","Novo gerente; ","")))</f>
      </c>
      <c r="I196" s="6">
        <f>IF(COUNTA(A196:F196)=0,"",IF(AND(G196="OK",H196="OK"),"OK","REVISAR"))</f>
      </c>
    </row>
    <row r="197">
      <c r="A197" s="5"/>
      <c r="B197" s="5"/>
      <c r="C197" s="4"/>
      <c r="D197" s="4"/>
      <c r="E197" s="5"/>
      <c r="F197" s="4"/>
      <c r="G197" s="6">
        <f>IF(AND(A197="",B197=""),"",IF(COUNTIFS($A$2:$A$2001,A197,$B$2:$B$2001,B197)&gt;1,"DUPLICADO","OK"))</f>
      </c>
      <c r="H197" s="6">
        <f>IF(COUNTA(A197:F197)=0,"",IF(AND(A197&lt;&gt;"",B197&lt;&gt;"",E197&lt;&gt;""),"OK","ERRO: faltam "&amp;IF(A197="","Conta; ","")&amp;IF(B197="","Oportunidade; ","")&amp;IF(E197="","Novo gerente; ","")))</f>
      </c>
      <c r="I197" s="6">
        <f>IF(COUNTA(A197:F197)=0,"",IF(AND(G197="OK",H197="OK"),"OK","REVISAR"))</f>
      </c>
    </row>
    <row r="198">
      <c r="A198" s="5"/>
      <c r="B198" s="5"/>
      <c r="C198" s="4"/>
      <c r="D198" s="4"/>
      <c r="E198" s="5"/>
      <c r="F198" s="4"/>
      <c r="G198" s="6">
        <f>IF(AND(A198="",B198=""),"",IF(COUNTIFS($A$2:$A$2001,A198,$B$2:$B$2001,B198)&gt;1,"DUPLICADO","OK"))</f>
      </c>
      <c r="H198" s="6">
        <f>IF(COUNTA(A198:F198)=0,"",IF(AND(A198&lt;&gt;"",B198&lt;&gt;"",E198&lt;&gt;""),"OK","ERRO: faltam "&amp;IF(A198="","Conta; ","")&amp;IF(B198="","Oportunidade; ","")&amp;IF(E198="","Novo gerente; ","")))</f>
      </c>
      <c r="I198" s="6">
        <f>IF(COUNTA(A198:F198)=0,"",IF(AND(G198="OK",H198="OK"),"OK","REVISAR"))</f>
      </c>
    </row>
    <row r="199">
      <c r="A199" s="5"/>
      <c r="B199" s="5"/>
      <c r="C199" s="4"/>
      <c r="D199" s="4"/>
      <c r="E199" s="5"/>
      <c r="F199" s="4"/>
      <c r="G199" s="6">
        <f>IF(AND(A199="",B199=""),"",IF(COUNTIFS($A$2:$A$2001,A199,$B$2:$B$2001,B199)&gt;1,"DUPLICADO","OK"))</f>
      </c>
      <c r="H199" s="6">
        <f>IF(COUNTA(A199:F199)=0,"",IF(AND(A199&lt;&gt;"",B199&lt;&gt;"",E199&lt;&gt;""),"OK","ERRO: faltam "&amp;IF(A199="","Conta; ","")&amp;IF(B199="","Oportunidade; ","")&amp;IF(E199="","Novo gerente; ","")))</f>
      </c>
      <c r="I199" s="6">
        <f>IF(COUNTA(A199:F199)=0,"",IF(AND(G199="OK",H199="OK"),"OK","REVISAR"))</f>
      </c>
    </row>
    <row r="200">
      <c r="A200" s="5"/>
      <c r="B200" s="5"/>
      <c r="C200" s="4"/>
      <c r="D200" s="4"/>
      <c r="E200" s="5"/>
      <c r="F200" s="4"/>
      <c r="G200" s="6">
        <f>IF(AND(A200="",B200=""),"",IF(COUNTIFS($A$2:$A$2001,A200,$B$2:$B$2001,B200)&gt;1,"DUPLICADO","OK"))</f>
      </c>
      <c r="H200" s="6">
        <f>IF(COUNTA(A200:F200)=0,"",IF(AND(A200&lt;&gt;"",B200&lt;&gt;"",E200&lt;&gt;""),"OK","ERRO: faltam "&amp;IF(A200="","Conta; ","")&amp;IF(B200="","Oportunidade; ","")&amp;IF(E200="","Novo gerente; ","")))</f>
      </c>
      <c r="I200" s="6">
        <f>IF(COUNTA(A200:F200)=0,"",IF(AND(G200="OK",H200="OK"),"OK","REVISAR"))</f>
      </c>
    </row>
    <row r="201">
      <c r="A201" s="5"/>
      <c r="B201" s="5"/>
      <c r="C201" s="4"/>
      <c r="D201" s="4"/>
      <c r="E201" s="5"/>
      <c r="F201" s="4"/>
      <c r="G201" s="6">
        <f>IF(AND(A201="",B201=""),"",IF(COUNTIFS($A$2:$A$2001,A201,$B$2:$B$2001,B201)&gt;1,"DUPLICADO","OK"))</f>
      </c>
      <c r="H201" s="6">
        <f>IF(COUNTA(A201:F201)=0,"",IF(AND(A201&lt;&gt;"",B201&lt;&gt;"",E201&lt;&gt;""),"OK","ERRO: faltam "&amp;IF(A201="","Conta; ","")&amp;IF(B201="","Oportunidade; ","")&amp;IF(E201="","Novo gerente; ","")))</f>
      </c>
      <c r="I201" s="6">
        <f>IF(COUNTA(A201:F201)=0,"",IF(AND(G201="OK",H201="OK"),"OK","REVISAR"))</f>
      </c>
    </row>
    <row r="202">
      <c r="A202" s="5"/>
      <c r="B202" s="5"/>
      <c r="C202" s="4"/>
      <c r="D202" s="4"/>
      <c r="E202" s="5"/>
      <c r="F202" s="4"/>
      <c r="G202" s="6">
        <f>IF(AND(A202="",B202=""),"",IF(COUNTIFS($A$2:$A$2001,A202,$B$2:$B$2001,B202)&gt;1,"DUPLICADO","OK"))</f>
      </c>
      <c r="H202" s="6">
        <f>IF(COUNTA(A202:F202)=0,"",IF(AND(A202&lt;&gt;"",B202&lt;&gt;"",E202&lt;&gt;""),"OK","ERRO: faltam "&amp;IF(A202="","Conta; ","")&amp;IF(B202="","Oportunidade; ","")&amp;IF(E202="","Novo gerente; ","")))</f>
      </c>
      <c r="I202" s="6">
        <f>IF(COUNTA(A202:F202)=0,"",IF(AND(G202="OK",H202="OK"),"OK","REVISAR"))</f>
      </c>
    </row>
    <row r="203">
      <c r="A203" s="5"/>
      <c r="B203" s="5"/>
      <c r="C203" s="4"/>
      <c r="D203" s="4"/>
      <c r="E203" s="5"/>
      <c r="F203" s="4"/>
      <c r="G203" s="6">
        <f>IF(AND(A203="",B203=""),"",IF(COUNTIFS($A$2:$A$2001,A203,$B$2:$B$2001,B203)&gt;1,"DUPLICADO","OK"))</f>
      </c>
      <c r="H203" s="6">
        <f>IF(COUNTA(A203:F203)=0,"",IF(AND(A203&lt;&gt;"",B203&lt;&gt;"",E203&lt;&gt;""),"OK","ERRO: faltam "&amp;IF(A203="","Conta; ","")&amp;IF(B203="","Oportunidade; ","")&amp;IF(E203="","Novo gerente; ","")))</f>
      </c>
      <c r="I203" s="6">
        <f>IF(COUNTA(A203:F203)=0,"",IF(AND(G203="OK",H203="OK"),"OK","REVISAR"))</f>
      </c>
    </row>
    <row r="204">
      <c r="A204" s="5"/>
      <c r="B204" s="5"/>
      <c r="C204" s="4"/>
      <c r="D204" s="4"/>
      <c r="E204" s="5"/>
      <c r="F204" s="4"/>
      <c r="G204" s="6">
        <f>IF(AND(A204="",B204=""),"",IF(COUNTIFS($A$2:$A$2001,A204,$B$2:$B$2001,B204)&gt;1,"DUPLICADO","OK"))</f>
      </c>
      <c r="H204" s="6">
        <f>IF(COUNTA(A204:F204)=0,"",IF(AND(A204&lt;&gt;"",B204&lt;&gt;"",E204&lt;&gt;""),"OK","ERRO: faltam "&amp;IF(A204="","Conta; ","")&amp;IF(B204="","Oportunidade; ","")&amp;IF(E204="","Novo gerente; ","")))</f>
      </c>
      <c r="I204" s="6">
        <f>IF(COUNTA(A204:F204)=0,"",IF(AND(G204="OK",H204="OK"),"OK","REVISAR"))</f>
      </c>
    </row>
    <row r="205">
      <c r="A205" s="5"/>
      <c r="B205" s="5"/>
      <c r="C205" s="4"/>
      <c r="D205" s="4"/>
      <c r="E205" s="5"/>
      <c r="F205" s="4"/>
      <c r="G205" s="6">
        <f>IF(AND(A205="",B205=""),"",IF(COUNTIFS($A$2:$A$2001,A205,$B$2:$B$2001,B205)&gt;1,"DUPLICADO","OK"))</f>
      </c>
      <c r="H205" s="6">
        <f>IF(COUNTA(A205:F205)=0,"",IF(AND(A205&lt;&gt;"",B205&lt;&gt;"",E205&lt;&gt;""),"OK","ERRO: faltam "&amp;IF(A205="","Conta; ","")&amp;IF(B205="","Oportunidade; ","")&amp;IF(E205="","Novo gerente; ","")))</f>
      </c>
      <c r="I205" s="6">
        <f>IF(COUNTA(A205:F205)=0,"",IF(AND(G205="OK",H205="OK"),"OK","REVISAR"))</f>
      </c>
    </row>
    <row r="206">
      <c r="A206" s="5"/>
      <c r="B206" s="5"/>
      <c r="C206" s="4"/>
      <c r="D206" s="4"/>
      <c r="E206" s="5"/>
      <c r="F206" s="4"/>
      <c r="G206" s="6">
        <f>IF(AND(A206="",B206=""),"",IF(COUNTIFS($A$2:$A$2001,A206,$B$2:$B$2001,B206)&gt;1,"DUPLICADO","OK"))</f>
      </c>
      <c r="H206" s="6">
        <f>IF(COUNTA(A206:F206)=0,"",IF(AND(A206&lt;&gt;"",B206&lt;&gt;"",E206&lt;&gt;""),"OK","ERRO: faltam "&amp;IF(A206="","Conta; ","")&amp;IF(B206="","Oportunidade; ","")&amp;IF(E206="","Novo gerente; ","")))</f>
      </c>
      <c r="I206" s="6">
        <f>IF(COUNTA(A206:F206)=0,"",IF(AND(G206="OK",H206="OK"),"OK","REVISAR"))</f>
      </c>
    </row>
    <row r="207">
      <c r="A207" s="5"/>
      <c r="B207" s="5"/>
      <c r="C207" s="4"/>
      <c r="D207" s="4"/>
      <c r="E207" s="5"/>
      <c r="F207" s="4"/>
      <c r="G207" s="6">
        <f>IF(AND(A207="",B207=""),"",IF(COUNTIFS($A$2:$A$2001,A207,$B$2:$B$2001,B207)&gt;1,"DUPLICADO","OK"))</f>
      </c>
      <c r="H207" s="6">
        <f>IF(COUNTA(A207:F207)=0,"",IF(AND(A207&lt;&gt;"",B207&lt;&gt;"",E207&lt;&gt;""),"OK","ERRO: faltam "&amp;IF(A207="","Conta; ","")&amp;IF(B207="","Oportunidade; ","")&amp;IF(E207="","Novo gerente; ","")))</f>
      </c>
      <c r="I207" s="6">
        <f>IF(COUNTA(A207:F207)=0,"",IF(AND(G207="OK",H207="OK"),"OK","REVISAR"))</f>
      </c>
    </row>
    <row r="208">
      <c r="A208" s="5"/>
      <c r="B208" s="5"/>
      <c r="C208" s="4"/>
      <c r="D208" s="4"/>
      <c r="E208" s="5"/>
      <c r="F208" s="4"/>
      <c r="G208" s="6">
        <f>IF(AND(A208="",B208=""),"",IF(COUNTIFS($A$2:$A$2001,A208,$B$2:$B$2001,B208)&gt;1,"DUPLICADO","OK"))</f>
      </c>
      <c r="H208" s="6">
        <f>IF(COUNTA(A208:F208)=0,"",IF(AND(A208&lt;&gt;"",B208&lt;&gt;"",E208&lt;&gt;""),"OK","ERRO: faltam "&amp;IF(A208="","Conta; ","")&amp;IF(B208="","Oportunidade; ","")&amp;IF(E208="","Novo gerente; ","")))</f>
      </c>
      <c r="I208" s="6">
        <f>IF(COUNTA(A208:F208)=0,"",IF(AND(G208="OK",H208="OK"),"OK","REVISAR"))</f>
      </c>
    </row>
    <row r="209">
      <c r="A209" s="5"/>
      <c r="B209" s="5"/>
      <c r="C209" s="4"/>
      <c r="D209" s="4"/>
      <c r="E209" s="5"/>
      <c r="F209" s="4"/>
      <c r="G209" s="6">
        <f>IF(AND(A209="",B209=""),"",IF(COUNTIFS($A$2:$A$2001,A209,$B$2:$B$2001,B209)&gt;1,"DUPLICADO","OK"))</f>
      </c>
      <c r="H209" s="6">
        <f>IF(COUNTA(A209:F209)=0,"",IF(AND(A209&lt;&gt;"",B209&lt;&gt;"",E209&lt;&gt;""),"OK","ERRO: faltam "&amp;IF(A209="","Conta; ","")&amp;IF(B209="","Oportunidade; ","")&amp;IF(E209="","Novo gerente; ","")))</f>
      </c>
      <c r="I209" s="6">
        <f>IF(COUNTA(A209:F209)=0,"",IF(AND(G209="OK",H209="OK"),"OK","REVISAR"))</f>
      </c>
    </row>
    <row r="210">
      <c r="A210" s="5"/>
      <c r="B210" s="5"/>
      <c r="C210" s="4"/>
      <c r="D210" s="4"/>
      <c r="E210" s="5"/>
      <c r="F210" s="4"/>
      <c r="G210" s="6">
        <f>IF(AND(A210="",B210=""),"",IF(COUNTIFS($A$2:$A$2001,A210,$B$2:$B$2001,B210)&gt;1,"DUPLICADO","OK"))</f>
      </c>
      <c r="H210" s="6">
        <f>IF(COUNTA(A210:F210)=0,"",IF(AND(A210&lt;&gt;"",B210&lt;&gt;"",E210&lt;&gt;""),"OK","ERRO: faltam "&amp;IF(A210="","Conta; ","")&amp;IF(B210="","Oportunidade; ","")&amp;IF(E210="","Novo gerente; ","")))</f>
      </c>
      <c r="I210" s="6">
        <f>IF(COUNTA(A210:F210)=0,"",IF(AND(G210="OK",H210="OK"),"OK","REVISAR"))</f>
      </c>
    </row>
    <row r="211">
      <c r="A211" s="5"/>
      <c r="B211" s="5"/>
      <c r="C211" s="4"/>
      <c r="D211" s="4"/>
      <c r="E211" s="5"/>
      <c r="F211" s="4"/>
      <c r="G211" s="6">
        <f>IF(AND(A211="",B211=""),"",IF(COUNTIFS($A$2:$A$2001,A211,$B$2:$B$2001,B211)&gt;1,"DUPLICADO","OK"))</f>
      </c>
      <c r="H211" s="6">
        <f>IF(COUNTA(A211:F211)=0,"",IF(AND(A211&lt;&gt;"",B211&lt;&gt;"",E211&lt;&gt;""),"OK","ERRO: faltam "&amp;IF(A211="","Conta; ","")&amp;IF(B211="","Oportunidade; ","")&amp;IF(E211="","Novo gerente; ","")))</f>
      </c>
      <c r="I211" s="6">
        <f>IF(COUNTA(A211:F211)=0,"",IF(AND(G211="OK",H211="OK"),"OK","REVISAR"))</f>
      </c>
    </row>
    <row r="212">
      <c r="A212" s="5"/>
      <c r="B212" s="5"/>
      <c r="C212" s="4"/>
      <c r="D212" s="4"/>
      <c r="E212" s="5"/>
      <c r="F212" s="4"/>
      <c r="G212" s="6">
        <f>IF(AND(A212="",B212=""),"",IF(COUNTIFS($A$2:$A$2001,A212,$B$2:$B$2001,B212)&gt;1,"DUPLICADO","OK"))</f>
      </c>
      <c r="H212" s="6">
        <f>IF(COUNTA(A212:F212)=0,"",IF(AND(A212&lt;&gt;"",B212&lt;&gt;"",E212&lt;&gt;""),"OK","ERRO: faltam "&amp;IF(A212="","Conta; ","")&amp;IF(B212="","Oportunidade; ","")&amp;IF(E212="","Novo gerente; ","")))</f>
      </c>
      <c r="I212" s="6">
        <f>IF(COUNTA(A212:F212)=0,"",IF(AND(G212="OK",H212="OK"),"OK","REVISAR"))</f>
      </c>
    </row>
    <row r="213">
      <c r="A213" s="5"/>
      <c r="B213" s="5"/>
      <c r="C213" s="4"/>
      <c r="D213" s="4"/>
      <c r="E213" s="5"/>
      <c r="F213" s="4"/>
      <c r="G213" s="6">
        <f>IF(AND(A213="",B213=""),"",IF(COUNTIFS($A$2:$A$2001,A213,$B$2:$B$2001,B213)&gt;1,"DUPLICADO","OK"))</f>
      </c>
      <c r="H213" s="6">
        <f>IF(COUNTA(A213:F213)=0,"",IF(AND(A213&lt;&gt;"",B213&lt;&gt;"",E213&lt;&gt;""),"OK","ERRO: faltam "&amp;IF(A213="","Conta; ","")&amp;IF(B213="","Oportunidade; ","")&amp;IF(E213="","Novo gerente; ","")))</f>
      </c>
      <c r="I213" s="6">
        <f>IF(COUNTA(A213:F213)=0,"",IF(AND(G213="OK",H213="OK"),"OK","REVISAR"))</f>
      </c>
    </row>
    <row r="214">
      <c r="A214" s="5"/>
      <c r="B214" s="5"/>
      <c r="C214" s="4"/>
      <c r="D214" s="4"/>
      <c r="E214" s="5"/>
      <c r="F214" s="4"/>
      <c r="G214" s="6">
        <f>IF(AND(A214="",B214=""),"",IF(COUNTIFS($A$2:$A$2001,A214,$B$2:$B$2001,B214)&gt;1,"DUPLICADO","OK"))</f>
      </c>
      <c r="H214" s="6">
        <f>IF(COUNTA(A214:F214)=0,"",IF(AND(A214&lt;&gt;"",B214&lt;&gt;"",E214&lt;&gt;""),"OK","ERRO: faltam "&amp;IF(A214="","Conta; ","")&amp;IF(B214="","Oportunidade; ","")&amp;IF(E214="","Novo gerente; ","")))</f>
      </c>
      <c r="I214" s="6">
        <f>IF(COUNTA(A214:F214)=0,"",IF(AND(G214="OK",H214="OK"),"OK","REVISAR"))</f>
      </c>
    </row>
    <row r="215">
      <c r="A215" s="5"/>
      <c r="B215" s="5"/>
      <c r="C215" s="4"/>
      <c r="D215" s="4"/>
      <c r="E215" s="5"/>
      <c r="F215" s="4"/>
      <c r="G215" s="6">
        <f>IF(AND(A215="",B215=""),"",IF(COUNTIFS($A$2:$A$2001,A215,$B$2:$B$2001,B215)&gt;1,"DUPLICADO","OK"))</f>
      </c>
      <c r="H215" s="6">
        <f>IF(COUNTA(A215:F215)=0,"",IF(AND(A215&lt;&gt;"",B215&lt;&gt;"",E215&lt;&gt;""),"OK","ERRO: faltam "&amp;IF(A215="","Conta; ","")&amp;IF(B215="","Oportunidade; ","")&amp;IF(E215="","Novo gerente; ","")))</f>
      </c>
      <c r="I215" s="6">
        <f>IF(COUNTA(A215:F215)=0,"",IF(AND(G215="OK",H215="OK"),"OK","REVISAR"))</f>
      </c>
    </row>
    <row r="216">
      <c r="A216" s="5"/>
      <c r="B216" s="5"/>
      <c r="C216" s="4"/>
      <c r="D216" s="4"/>
      <c r="E216" s="5"/>
      <c r="F216" s="4"/>
      <c r="G216" s="6">
        <f>IF(AND(A216="",B216=""),"",IF(COUNTIFS($A$2:$A$2001,A216,$B$2:$B$2001,B216)&gt;1,"DUPLICADO","OK"))</f>
      </c>
      <c r="H216" s="6">
        <f>IF(COUNTA(A216:F216)=0,"",IF(AND(A216&lt;&gt;"",B216&lt;&gt;"",E216&lt;&gt;""),"OK","ERRO: faltam "&amp;IF(A216="","Conta; ","")&amp;IF(B216="","Oportunidade; ","")&amp;IF(E216="","Novo gerente; ","")))</f>
      </c>
      <c r="I216" s="6">
        <f>IF(COUNTA(A216:F216)=0,"",IF(AND(G216="OK",H216="OK"),"OK","REVISAR"))</f>
      </c>
    </row>
    <row r="217">
      <c r="A217" s="5"/>
      <c r="B217" s="5"/>
      <c r="C217" s="4"/>
      <c r="D217" s="4"/>
      <c r="E217" s="5"/>
      <c r="F217" s="4"/>
      <c r="G217" s="6">
        <f>IF(AND(A217="",B217=""),"",IF(COUNTIFS($A$2:$A$2001,A217,$B$2:$B$2001,B217)&gt;1,"DUPLICADO","OK"))</f>
      </c>
      <c r="H217" s="6">
        <f>IF(COUNTA(A217:F217)=0,"",IF(AND(A217&lt;&gt;"",B217&lt;&gt;"",E217&lt;&gt;""),"OK","ERRO: faltam "&amp;IF(A217="","Conta; ","")&amp;IF(B217="","Oportunidade; ","")&amp;IF(E217="","Novo gerente; ","")))</f>
      </c>
      <c r="I217" s="6">
        <f>IF(COUNTA(A217:F217)=0,"",IF(AND(G217="OK",H217="OK"),"OK","REVISAR"))</f>
      </c>
    </row>
    <row r="218">
      <c r="A218" s="5"/>
      <c r="B218" s="5"/>
      <c r="C218" s="4"/>
      <c r="D218" s="4"/>
      <c r="E218" s="5"/>
      <c r="F218" s="4"/>
      <c r="G218" s="6">
        <f>IF(AND(A218="",B218=""),"",IF(COUNTIFS($A$2:$A$2001,A218,$B$2:$B$2001,B218)&gt;1,"DUPLICADO","OK"))</f>
      </c>
      <c r="H218" s="6">
        <f>IF(COUNTA(A218:F218)=0,"",IF(AND(A218&lt;&gt;"",B218&lt;&gt;"",E218&lt;&gt;""),"OK","ERRO: faltam "&amp;IF(A218="","Conta; ","")&amp;IF(B218="","Oportunidade; ","")&amp;IF(E218="","Novo gerente; ","")))</f>
      </c>
      <c r="I218" s="6">
        <f>IF(COUNTA(A218:F218)=0,"",IF(AND(G218="OK",H218="OK"),"OK","REVISAR"))</f>
      </c>
    </row>
    <row r="219">
      <c r="A219" s="5"/>
      <c r="B219" s="5"/>
      <c r="C219" s="4"/>
      <c r="D219" s="4"/>
      <c r="E219" s="5"/>
      <c r="F219" s="4"/>
      <c r="G219" s="6">
        <f>IF(AND(A219="",B219=""),"",IF(COUNTIFS($A$2:$A$2001,A219,$B$2:$B$2001,B219)&gt;1,"DUPLICADO","OK"))</f>
      </c>
      <c r="H219" s="6">
        <f>IF(COUNTA(A219:F219)=0,"",IF(AND(A219&lt;&gt;"",B219&lt;&gt;"",E219&lt;&gt;""),"OK","ERRO: faltam "&amp;IF(A219="","Conta; ","")&amp;IF(B219="","Oportunidade; ","")&amp;IF(E219="","Novo gerente; ","")))</f>
      </c>
      <c r="I219" s="6">
        <f>IF(COUNTA(A219:F219)=0,"",IF(AND(G219="OK",H219="OK"),"OK","REVISAR"))</f>
      </c>
    </row>
    <row r="220">
      <c r="A220" s="5"/>
      <c r="B220" s="5"/>
      <c r="C220" s="4"/>
      <c r="D220" s="4"/>
      <c r="E220" s="5"/>
      <c r="F220" s="4"/>
      <c r="G220" s="6">
        <f>IF(AND(A220="",B220=""),"",IF(COUNTIFS($A$2:$A$2001,A220,$B$2:$B$2001,B220)&gt;1,"DUPLICADO","OK"))</f>
      </c>
      <c r="H220" s="6">
        <f>IF(COUNTA(A220:F220)=0,"",IF(AND(A220&lt;&gt;"",B220&lt;&gt;"",E220&lt;&gt;""),"OK","ERRO: faltam "&amp;IF(A220="","Conta; ","")&amp;IF(B220="","Oportunidade; ","")&amp;IF(E220="","Novo gerente; ","")))</f>
      </c>
      <c r="I220" s="6">
        <f>IF(COUNTA(A220:F220)=0,"",IF(AND(G220="OK",H220="OK"),"OK","REVISAR"))</f>
      </c>
    </row>
    <row r="221">
      <c r="A221" s="5"/>
      <c r="B221" s="5"/>
      <c r="C221" s="4"/>
      <c r="D221" s="4"/>
      <c r="E221" s="5"/>
      <c r="F221" s="4"/>
      <c r="G221" s="6">
        <f>IF(AND(A221="",B221=""),"",IF(COUNTIFS($A$2:$A$2001,A221,$B$2:$B$2001,B221)&gt;1,"DUPLICADO","OK"))</f>
      </c>
      <c r="H221" s="6">
        <f>IF(COUNTA(A221:F221)=0,"",IF(AND(A221&lt;&gt;"",B221&lt;&gt;"",E221&lt;&gt;""),"OK","ERRO: faltam "&amp;IF(A221="","Conta; ","")&amp;IF(B221="","Oportunidade; ","")&amp;IF(E221="","Novo gerente; ","")))</f>
      </c>
      <c r="I221" s="6">
        <f>IF(COUNTA(A221:F221)=0,"",IF(AND(G221="OK",H221="OK"),"OK","REVISAR"))</f>
      </c>
    </row>
    <row r="222">
      <c r="A222" s="5"/>
      <c r="B222" s="5"/>
      <c r="C222" s="4"/>
      <c r="D222" s="4"/>
      <c r="E222" s="5"/>
      <c r="F222" s="4"/>
      <c r="G222" s="6">
        <f>IF(AND(A222="",B222=""),"",IF(COUNTIFS($A$2:$A$2001,A222,$B$2:$B$2001,B222)&gt;1,"DUPLICADO","OK"))</f>
      </c>
      <c r="H222" s="6">
        <f>IF(COUNTA(A222:F222)=0,"",IF(AND(A222&lt;&gt;"",B222&lt;&gt;"",E222&lt;&gt;""),"OK","ERRO: faltam "&amp;IF(A222="","Conta; ","")&amp;IF(B222="","Oportunidade; ","")&amp;IF(E222="","Novo gerente; ","")))</f>
      </c>
      <c r="I222" s="6">
        <f>IF(COUNTA(A222:F222)=0,"",IF(AND(G222="OK",H222="OK"),"OK","REVISAR"))</f>
      </c>
    </row>
    <row r="223">
      <c r="A223" s="5"/>
      <c r="B223" s="5"/>
      <c r="C223" s="4"/>
      <c r="D223" s="4"/>
      <c r="E223" s="5"/>
      <c r="F223" s="4"/>
      <c r="G223" s="6">
        <f>IF(AND(A223="",B223=""),"",IF(COUNTIFS($A$2:$A$2001,A223,$B$2:$B$2001,B223)&gt;1,"DUPLICADO","OK"))</f>
      </c>
      <c r="H223" s="6">
        <f>IF(COUNTA(A223:F223)=0,"",IF(AND(A223&lt;&gt;"",B223&lt;&gt;"",E223&lt;&gt;""),"OK","ERRO: faltam "&amp;IF(A223="","Conta; ","")&amp;IF(B223="","Oportunidade; ","")&amp;IF(E223="","Novo gerente; ","")))</f>
      </c>
      <c r="I223" s="6">
        <f>IF(COUNTA(A223:F223)=0,"",IF(AND(G223="OK",H223="OK"),"OK","REVISAR"))</f>
      </c>
    </row>
    <row r="224">
      <c r="A224" s="5"/>
      <c r="B224" s="5"/>
      <c r="C224" s="4"/>
      <c r="D224" s="4"/>
      <c r="E224" s="5"/>
      <c r="F224" s="4"/>
      <c r="G224" s="6">
        <f>IF(AND(A224="",B224=""),"",IF(COUNTIFS($A$2:$A$2001,A224,$B$2:$B$2001,B224)&gt;1,"DUPLICADO","OK"))</f>
      </c>
      <c r="H224" s="6">
        <f>IF(COUNTA(A224:F224)=0,"",IF(AND(A224&lt;&gt;"",B224&lt;&gt;"",E224&lt;&gt;""),"OK","ERRO: faltam "&amp;IF(A224="","Conta; ","")&amp;IF(B224="","Oportunidade; ","")&amp;IF(E224="","Novo gerente; ","")))</f>
      </c>
      <c r="I224" s="6">
        <f>IF(COUNTA(A224:F224)=0,"",IF(AND(G224="OK",H224="OK"),"OK","REVISAR"))</f>
      </c>
    </row>
    <row r="225">
      <c r="A225" s="5"/>
      <c r="B225" s="5"/>
      <c r="C225" s="4"/>
      <c r="D225" s="4"/>
      <c r="E225" s="5"/>
      <c r="F225" s="4"/>
      <c r="G225" s="6">
        <f>IF(AND(A225="",B225=""),"",IF(COUNTIFS($A$2:$A$2001,A225,$B$2:$B$2001,B225)&gt;1,"DUPLICADO","OK"))</f>
      </c>
      <c r="H225" s="6">
        <f>IF(COUNTA(A225:F225)=0,"",IF(AND(A225&lt;&gt;"",B225&lt;&gt;"",E225&lt;&gt;""),"OK","ERRO: faltam "&amp;IF(A225="","Conta; ","")&amp;IF(B225="","Oportunidade; ","")&amp;IF(E225="","Novo gerente; ","")))</f>
      </c>
      <c r="I225" s="6">
        <f>IF(COUNTA(A225:F225)=0,"",IF(AND(G225="OK",H225="OK"),"OK","REVISAR"))</f>
      </c>
    </row>
    <row r="226">
      <c r="A226" s="5"/>
      <c r="B226" s="5"/>
      <c r="C226" s="4"/>
      <c r="D226" s="4"/>
      <c r="E226" s="5"/>
      <c r="F226" s="4"/>
      <c r="G226" s="6">
        <f>IF(AND(A226="",B226=""),"",IF(COUNTIFS($A$2:$A$2001,A226,$B$2:$B$2001,B226)&gt;1,"DUPLICADO","OK"))</f>
      </c>
      <c r="H226" s="6">
        <f>IF(COUNTA(A226:F226)=0,"",IF(AND(A226&lt;&gt;"",B226&lt;&gt;"",E226&lt;&gt;""),"OK","ERRO: faltam "&amp;IF(A226="","Conta; ","")&amp;IF(B226="","Oportunidade; ","")&amp;IF(E226="","Novo gerente; ","")))</f>
      </c>
      <c r="I226" s="6">
        <f>IF(COUNTA(A226:F226)=0,"",IF(AND(G226="OK",H226="OK"),"OK","REVISAR"))</f>
      </c>
    </row>
    <row r="227">
      <c r="A227" s="5"/>
      <c r="B227" s="5"/>
      <c r="C227" s="4"/>
      <c r="D227" s="4"/>
      <c r="E227" s="5"/>
      <c r="F227" s="4"/>
      <c r="G227" s="6">
        <f>IF(AND(A227="",B227=""),"",IF(COUNTIFS($A$2:$A$2001,A227,$B$2:$B$2001,B227)&gt;1,"DUPLICADO","OK"))</f>
      </c>
      <c r="H227" s="6">
        <f>IF(COUNTA(A227:F227)=0,"",IF(AND(A227&lt;&gt;"",B227&lt;&gt;"",E227&lt;&gt;""),"OK","ERRO: faltam "&amp;IF(A227="","Conta; ","")&amp;IF(B227="","Oportunidade; ","")&amp;IF(E227="","Novo gerente; ","")))</f>
      </c>
      <c r="I227" s="6">
        <f>IF(COUNTA(A227:F227)=0,"",IF(AND(G227="OK",H227="OK"),"OK","REVISAR"))</f>
      </c>
    </row>
    <row r="228">
      <c r="A228" s="5"/>
      <c r="B228" s="5"/>
      <c r="C228" s="4"/>
      <c r="D228" s="4"/>
      <c r="E228" s="5"/>
      <c r="F228" s="4"/>
      <c r="G228" s="6">
        <f>IF(AND(A228="",B228=""),"",IF(COUNTIFS($A$2:$A$2001,A228,$B$2:$B$2001,B228)&gt;1,"DUPLICADO","OK"))</f>
      </c>
      <c r="H228" s="6">
        <f>IF(COUNTA(A228:F228)=0,"",IF(AND(A228&lt;&gt;"",B228&lt;&gt;"",E228&lt;&gt;""),"OK","ERRO: faltam "&amp;IF(A228="","Conta; ","")&amp;IF(B228="","Oportunidade; ","")&amp;IF(E228="","Novo gerente; ","")))</f>
      </c>
      <c r="I228" s="6">
        <f>IF(COUNTA(A228:F228)=0,"",IF(AND(G228="OK",H228="OK"),"OK","REVISAR"))</f>
      </c>
    </row>
    <row r="229">
      <c r="A229" s="5"/>
      <c r="B229" s="5"/>
      <c r="C229" s="4"/>
      <c r="D229" s="4"/>
      <c r="E229" s="5"/>
      <c r="F229" s="4"/>
      <c r="G229" s="6">
        <f>IF(AND(A229="",B229=""),"",IF(COUNTIFS($A$2:$A$2001,A229,$B$2:$B$2001,B229)&gt;1,"DUPLICADO","OK"))</f>
      </c>
      <c r="H229" s="6">
        <f>IF(COUNTA(A229:F229)=0,"",IF(AND(A229&lt;&gt;"",B229&lt;&gt;"",E229&lt;&gt;""),"OK","ERRO: faltam "&amp;IF(A229="","Conta; ","")&amp;IF(B229="","Oportunidade; ","")&amp;IF(E229="","Novo gerente; ","")))</f>
      </c>
      <c r="I229" s="6">
        <f>IF(COUNTA(A229:F229)=0,"",IF(AND(G229="OK",H229="OK"),"OK","REVISAR"))</f>
      </c>
    </row>
    <row r="230">
      <c r="A230" s="5"/>
      <c r="B230" s="5"/>
      <c r="C230" s="4"/>
      <c r="D230" s="4"/>
      <c r="E230" s="5"/>
      <c r="F230" s="4"/>
      <c r="G230" s="6">
        <f>IF(AND(A230="",B230=""),"",IF(COUNTIFS($A$2:$A$2001,A230,$B$2:$B$2001,B230)&gt;1,"DUPLICADO","OK"))</f>
      </c>
      <c r="H230" s="6">
        <f>IF(COUNTA(A230:F230)=0,"",IF(AND(A230&lt;&gt;"",B230&lt;&gt;"",E230&lt;&gt;""),"OK","ERRO: faltam "&amp;IF(A230="","Conta; ","")&amp;IF(B230="","Oportunidade; ","")&amp;IF(E230="","Novo gerente; ","")))</f>
      </c>
      <c r="I230" s="6">
        <f>IF(COUNTA(A230:F230)=0,"",IF(AND(G230="OK",H230="OK"),"OK","REVISAR"))</f>
      </c>
    </row>
    <row r="231">
      <c r="A231" s="5"/>
      <c r="B231" s="5"/>
      <c r="C231" s="4"/>
      <c r="D231" s="4"/>
      <c r="E231" s="5"/>
      <c r="F231" s="4"/>
      <c r="G231" s="6">
        <f>IF(AND(A231="",B231=""),"",IF(COUNTIFS($A$2:$A$2001,A231,$B$2:$B$2001,B231)&gt;1,"DUPLICADO","OK"))</f>
      </c>
      <c r="H231" s="6">
        <f>IF(COUNTA(A231:F231)=0,"",IF(AND(A231&lt;&gt;"",B231&lt;&gt;"",E231&lt;&gt;""),"OK","ERRO: faltam "&amp;IF(A231="","Conta; ","")&amp;IF(B231="","Oportunidade; ","")&amp;IF(E231="","Novo gerente; ","")))</f>
      </c>
      <c r="I231" s="6">
        <f>IF(COUNTA(A231:F231)=0,"",IF(AND(G231="OK",H231="OK"),"OK","REVISAR"))</f>
      </c>
    </row>
    <row r="232">
      <c r="A232" s="5"/>
      <c r="B232" s="5"/>
      <c r="C232" s="4"/>
      <c r="D232" s="4"/>
      <c r="E232" s="5"/>
      <c r="F232" s="4"/>
      <c r="G232" s="6">
        <f>IF(AND(A232="",B232=""),"",IF(COUNTIFS($A$2:$A$2001,A232,$B$2:$B$2001,B232)&gt;1,"DUPLICADO","OK"))</f>
      </c>
      <c r="H232" s="6">
        <f>IF(COUNTA(A232:F232)=0,"",IF(AND(A232&lt;&gt;"",B232&lt;&gt;"",E232&lt;&gt;""),"OK","ERRO: faltam "&amp;IF(A232="","Conta; ","")&amp;IF(B232="","Oportunidade; ","")&amp;IF(E232="","Novo gerente; ","")))</f>
      </c>
      <c r="I232" s="6">
        <f>IF(COUNTA(A232:F232)=0,"",IF(AND(G232="OK",H232="OK"),"OK","REVISAR"))</f>
      </c>
    </row>
    <row r="233">
      <c r="A233" s="5"/>
      <c r="B233" s="5"/>
      <c r="C233" s="4"/>
      <c r="D233" s="4"/>
      <c r="E233" s="5"/>
      <c r="F233" s="4"/>
      <c r="G233" s="6">
        <f>IF(AND(A233="",B233=""),"",IF(COUNTIFS($A$2:$A$2001,A233,$B$2:$B$2001,B233)&gt;1,"DUPLICADO","OK"))</f>
      </c>
      <c r="H233" s="6">
        <f>IF(COUNTA(A233:F233)=0,"",IF(AND(A233&lt;&gt;"",B233&lt;&gt;"",E233&lt;&gt;""),"OK","ERRO: faltam "&amp;IF(A233="","Conta; ","")&amp;IF(B233="","Oportunidade; ","")&amp;IF(E233="","Novo gerente; ","")))</f>
      </c>
      <c r="I233" s="6">
        <f>IF(COUNTA(A233:F233)=0,"",IF(AND(G233="OK",H233="OK"),"OK","REVISAR"))</f>
      </c>
    </row>
    <row r="234">
      <c r="A234" s="5"/>
      <c r="B234" s="5"/>
      <c r="C234" s="4"/>
      <c r="D234" s="4"/>
      <c r="E234" s="5"/>
      <c r="F234" s="4"/>
      <c r="G234" s="6">
        <f>IF(AND(A234="",B234=""),"",IF(COUNTIFS($A$2:$A$2001,A234,$B$2:$B$2001,B234)&gt;1,"DUPLICADO","OK"))</f>
      </c>
      <c r="H234" s="6">
        <f>IF(COUNTA(A234:F234)=0,"",IF(AND(A234&lt;&gt;"",B234&lt;&gt;"",E234&lt;&gt;""),"OK","ERRO: faltam "&amp;IF(A234="","Conta; ","")&amp;IF(B234="","Oportunidade; ","")&amp;IF(E234="","Novo gerente; ","")))</f>
      </c>
      <c r="I234" s="6">
        <f>IF(COUNTA(A234:F234)=0,"",IF(AND(G234="OK",H234="OK"),"OK","REVISAR"))</f>
      </c>
    </row>
    <row r="235">
      <c r="A235" s="5"/>
      <c r="B235" s="5"/>
      <c r="C235" s="4"/>
      <c r="D235" s="4"/>
      <c r="E235" s="5"/>
      <c r="F235" s="4"/>
      <c r="G235" s="6">
        <f>IF(AND(A235="",B235=""),"",IF(COUNTIFS($A$2:$A$2001,A235,$B$2:$B$2001,B235)&gt;1,"DUPLICADO","OK"))</f>
      </c>
      <c r="H235" s="6">
        <f>IF(COUNTA(A235:F235)=0,"",IF(AND(A235&lt;&gt;"",B235&lt;&gt;"",E235&lt;&gt;""),"OK","ERRO: faltam "&amp;IF(A235="","Conta; ","")&amp;IF(B235="","Oportunidade; ","")&amp;IF(E235="","Novo gerente; ","")))</f>
      </c>
      <c r="I235" s="6">
        <f>IF(COUNTA(A235:F235)=0,"",IF(AND(G235="OK",H235="OK"),"OK","REVISAR"))</f>
      </c>
    </row>
    <row r="236">
      <c r="A236" s="5"/>
      <c r="B236" s="5"/>
      <c r="C236" s="4"/>
      <c r="D236" s="4"/>
      <c r="E236" s="5"/>
      <c r="F236" s="4"/>
      <c r="G236" s="6">
        <f>IF(AND(A236="",B236=""),"",IF(COUNTIFS($A$2:$A$2001,A236,$B$2:$B$2001,B236)&gt;1,"DUPLICADO","OK"))</f>
      </c>
      <c r="H236" s="6">
        <f>IF(COUNTA(A236:F236)=0,"",IF(AND(A236&lt;&gt;"",B236&lt;&gt;"",E236&lt;&gt;""),"OK","ERRO: faltam "&amp;IF(A236="","Conta; ","")&amp;IF(B236="","Oportunidade; ","")&amp;IF(E236="","Novo gerente; ","")))</f>
      </c>
      <c r="I236" s="6">
        <f>IF(COUNTA(A236:F236)=0,"",IF(AND(G236="OK",H236="OK"),"OK","REVISAR"))</f>
      </c>
    </row>
    <row r="237">
      <c r="A237" s="5"/>
      <c r="B237" s="5"/>
      <c r="C237" s="4"/>
      <c r="D237" s="4"/>
      <c r="E237" s="5"/>
      <c r="F237" s="4"/>
      <c r="G237" s="6">
        <f>IF(AND(A237="",B237=""),"",IF(COUNTIFS($A$2:$A$2001,A237,$B$2:$B$2001,B237)&gt;1,"DUPLICADO","OK"))</f>
      </c>
      <c r="H237" s="6">
        <f>IF(COUNTA(A237:F237)=0,"",IF(AND(A237&lt;&gt;"",B237&lt;&gt;"",E237&lt;&gt;""),"OK","ERRO: faltam "&amp;IF(A237="","Conta; ","")&amp;IF(B237="","Oportunidade; ","")&amp;IF(E237="","Novo gerente; ","")))</f>
      </c>
      <c r="I237" s="6">
        <f>IF(COUNTA(A237:F237)=0,"",IF(AND(G237="OK",H237="OK"),"OK","REVISAR"))</f>
      </c>
    </row>
    <row r="238">
      <c r="A238" s="5"/>
      <c r="B238" s="5"/>
      <c r="C238" s="4"/>
      <c r="D238" s="4"/>
      <c r="E238" s="5"/>
      <c r="F238" s="4"/>
      <c r="G238" s="6">
        <f>IF(AND(A238="",B238=""),"",IF(COUNTIFS($A$2:$A$2001,A238,$B$2:$B$2001,B238)&gt;1,"DUPLICADO","OK"))</f>
      </c>
      <c r="H238" s="6">
        <f>IF(COUNTA(A238:F238)=0,"",IF(AND(A238&lt;&gt;"",B238&lt;&gt;"",E238&lt;&gt;""),"OK","ERRO: faltam "&amp;IF(A238="","Conta; ","")&amp;IF(B238="","Oportunidade; ","")&amp;IF(E238="","Novo gerente; ","")))</f>
      </c>
      <c r="I238" s="6">
        <f>IF(COUNTA(A238:F238)=0,"",IF(AND(G238="OK",H238="OK"),"OK","REVISAR"))</f>
      </c>
    </row>
    <row r="239">
      <c r="A239" s="5"/>
      <c r="B239" s="5"/>
      <c r="C239" s="4"/>
      <c r="D239" s="4"/>
      <c r="E239" s="5"/>
      <c r="F239" s="4"/>
      <c r="G239" s="6">
        <f>IF(AND(A239="",B239=""),"",IF(COUNTIFS($A$2:$A$2001,A239,$B$2:$B$2001,B239)&gt;1,"DUPLICADO","OK"))</f>
      </c>
      <c r="H239" s="6">
        <f>IF(COUNTA(A239:F239)=0,"",IF(AND(A239&lt;&gt;"",B239&lt;&gt;"",E239&lt;&gt;""),"OK","ERRO: faltam "&amp;IF(A239="","Conta; ","")&amp;IF(B239="","Oportunidade; ","")&amp;IF(E239="","Novo gerente; ","")))</f>
      </c>
      <c r="I239" s="6">
        <f>IF(COUNTA(A239:F239)=0,"",IF(AND(G239="OK",H239="OK"),"OK","REVISAR"))</f>
      </c>
    </row>
    <row r="240">
      <c r="A240" s="5"/>
      <c r="B240" s="5"/>
      <c r="C240" s="4"/>
      <c r="D240" s="4"/>
      <c r="E240" s="5"/>
      <c r="F240" s="4"/>
      <c r="G240" s="6">
        <f>IF(AND(A240="",B240=""),"",IF(COUNTIFS($A$2:$A$2001,A240,$B$2:$B$2001,B240)&gt;1,"DUPLICADO","OK"))</f>
      </c>
      <c r="H240" s="6">
        <f>IF(COUNTA(A240:F240)=0,"",IF(AND(A240&lt;&gt;"",B240&lt;&gt;"",E240&lt;&gt;""),"OK","ERRO: faltam "&amp;IF(A240="","Conta; ","")&amp;IF(B240="","Oportunidade; ","")&amp;IF(E240="","Novo gerente; ","")))</f>
      </c>
      <c r="I240" s="6">
        <f>IF(COUNTA(A240:F240)=0,"",IF(AND(G240="OK",H240="OK"),"OK","REVISAR"))</f>
      </c>
    </row>
    <row r="241">
      <c r="A241" s="5"/>
      <c r="B241" s="5"/>
      <c r="C241" s="4"/>
      <c r="D241" s="4"/>
      <c r="E241" s="5"/>
      <c r="F241" s="4"/>
      <c r="G241" s="6">
        <f>IF(AND(A241="",B241=""),"",IF(COUNTIFS($A$2:$A$2001,A241,$B$2:$B$2001,B241)&gt;1,"DUPLICADO","OK"))</f>
      </c>
      <c r="H241" s="6">
        <f>IF(COUNTA(A241:F241)=0,"",IF(AND(A241&lt;&gt;"",B241&lt;&gt;"",E241&lt;&gt;""),"OK","ERRO: faltam "&amp;IF(A241="","Conta; ","")&amp;IF(B241="","Oportunidade; ","")&amp;IF(E241="","Novo gerente; ","")))</f>
      </c>
      <c r="I241" s="6">
        <f>IF(COUNTA(A241:F241)=0,"",IF(AND(G241="OK",H241="OK"),"OK","REVISAR"))</f>
      </c>
    </row>
    <row r="242">
      <c r="A242" s="5"/>
      <c r="B242" s="5"/>
      <c r="C242" s="4"/>
      <c r="D242" s="4"/>
      <c r="E242" s="5"/>
      <c r="F242" s="4"/>
      <c r="G242" s="6">
        <f>IF(AND(A242="",B242=""),"",IF(COUNTIFS($A$2:$A$2001,A242,$B$2:$B$2001,B242)&gt;1,"DUPLICADO","OK"))</f>
      </c>
      <c r="H242" s="6">
        <f>IF(COUNTA(A242:F242)=0,"",IF(AND(A242&lt;&gt;"",B242&lt;&gt;"",E242&lt;&gt;""),"OK","ERRO: faltam "&amp;IF(A242="","Conta; ","")&amp;IF(B242="","Oportunidade; ","")&amp;IF(E242="","Novo gerente; ","")))</f>
      </c>
      <c r="I242" s="6">
        <f>IF(COUNTA(A242:F242)=0,"",IF(AND(G242="OK",H242="OK"),"OK","REVISAR"))</f>
      </c>
    </row>
    <row r="243">
      <c r="A243" s="5"/>
      <c r="B243" s="5"/>
      <c r="C243" s="4"/>
      <c r="D243" s="4"/>
      <c r="E243" s="5"/>
      <c r="F243" s="4"/>
      <c r="G243" s="6">
        <f>IF(AND(A243="",B243=""),"",IF(COUNTIFS($A$2:$A$2001,A243,$B$2:$B$2001,B243)&gt;1,"DUPLICADO","OK"))</f>
      </c>
      <c r="H243" s="6">
        <f>IF(COUNTA(A243:F243)=0,"",IF(AND(A243&lt;&gt;"",B243&lt;&gt;"",E243&lt;&gt;""),"OK","ERRO: faltam "&amp;IF(A243="","Conta; ","")&amp;IF(B243="","Oportunidade; ","")&amp;IF(E243="","Novo gerente; ","")))</f>
      </c>
      <c r="I243" s="6">
        <f>IF(COUNTA(A243:F243)=0,"",IF(AND(G243="OK",H243="OK"),"OK","REVISAR"))</f>
      </c>
    </row>
    <row r="244">
      <c r="A244" s="5"/>
      <c r="B244" s="5"/>
      <c r="C244" s="4"/>
      <c r="D244" s="4"/>
      <c r="E244" s="5"/>
      <c r="F244" s="4"/>
      <c r="G244" s="6">
        <f>IF(AND(A244="",B244=""),"",IF(COUNTIFS($A$2:$A$2001,A244,$B$2:$B$2001,B244)&gt;1,"DUPLICADO","OK"))</f>
      </c>
      <c r="H244" s="6">
        <f>IF(COUNTA(A244:F244)=0,"",IF(AND(A244&lt;&gt;"",B244&lt;&gt;"",E244&lt;&gt;""),"OK","ERRO: faltam "&amp;IF(A244="","Conta; ","")&amp;IF(B244="","Oportunidade; ","")&amp;IF(E244="","Novo gerente; ","")))</f>
      </c>
      <c r="I244" s="6">
        <f>IF(COUNTA(A244:F244)=0,"",IF(AND(G244="OK",H244="OK"),"OK","REVISAR"))</f>
      </c>
    </row>
    <row r="245">
      <c r="A245" s="5"/>
      <c r="B245" s="5"/>
      <c r="C245" s="4"/>
      <c r="D245" s="4"/>
      <c r="E245" s="5"/>
      <c r="F245" s="4"/>
      <c r="G245" s="6">
        <f>IF(AND(A245="",B245=""),"",IF(COUNTIFS($A$2:$A$2001,A245,$B$2:$B$2001,B245)&gt;1,"DUPLICADO","OK"))</f>
      </c>
      <c r="H245" s="6">
        <f>IF(COUNTA(A245:F245)=0,"",IF(AND(A245&lt;&gt;"",B245&lt;&gt;"",E245&lt;&gt;""),"OK","ERRO: faltam "&amp;IF(A245="","Conta; ","")&amp;IF(B245="","Oportunidade; ","")&amp;IF(E245="","Novo gerente; ","")))</f>
      </c>
      <c r="I245" s="6">
        <f>IF(COUNTA(A245:F245)=0,"",IF(AND(G245="OK",H245="OK"),"OK","REVISAR"))</f>
      </c>
    </row>
    <row r="246">
      <c r="A246" s="5"/>
      <c r="B246" s="5"/>
      <c r="C246" s="4"/>
      <c r="D246" s="4"/>
      <c r="E246" s="5"/>
      <c r="F246" s="4"/>
      <c r="G246" s="6">
        <f>IF(AND(A246="",B246=""),"",IF(COUNTIFS($A$2:$A$2001,A246,$B$2:$B$2001,B246)&gt;1,"DUPLICADO","OK"))</f>
      </c>
      <c r="H246" s="6">
        <f>IF(COUNTA(A246:F246)=0,"",IF(AND(A246&lt;&gt;"",B246&lt;&gt;"",E246&lt;&gt;""),"OK","ERRO: faltam "&amp;IF(A246="","Conta; ","")&amp;IF(B246="","Oportunidade; ","")&amp;IF(E246="","Novo gerente; ","")))</f>
      </c>
      <c r="I246" s="6">
        <f>IF(COUNTA(A246:F246)=0,"",IF(AND(G246="OK",H246="OK"),"OK","REVISAR"))</f>
      </c>
    </row>
    <row r="247">
      <c r="A247" s="5"/>
      <c r="B247" s="5"/>
      <c r="C247" s="4"/>
      <c r="D247" s="4"/>
      <c r="E247" s="5"/>
      <c r="F247" s="4"/>
      <c r="G247" s="6">
        <f>IF(AND(A247="",B247=""),"",IF(COUNTIFS($A$2:$A$2001,A247,$B$2:$B$2001,B247)&gt;1,"DUPLICADO","OK"))</f>
      </c>
      <c r="H247" s="6">
        <f>IF(COUNTA(A247:F247)=0,"",IF(AND(A247&lt;&gt;"",B247&lt;&gt;"",E247&lt;&gt;""),"OK","ERRO: faltam "&amp;IF(A247="","Conta; ","")&amp;IF(B247="","Oportunidade; ","")&amp;IF(E247="","Novo gerente; ","")))</f>
      </c>
      <c r="I247" s="6">
        <f>IF(COUNTA(A247:F247)=0,"",IF(AND(G247="OK",H247="OK"),"OK","REVISAR"))</f>
      </c>
    </row>
    <row r="248">
      <c r="A248" s="5"/>
      <c r="B248" s="5"/>
      <c r="C248" s="4"/>
      <c r="D248" s="4"/>
      <c r="E248" s="5"/>
      <c r="F248" s="4"/>
      <c r="G248" s="6">
        <f>IF(AND(A248="",B248=""),"",IF(COUNTIFS($A$2:$A$2001,A248,$B$2:$B$2001,B248)&gt;1,"DUPLICADO","OK"))</f>
      </c>
      <c r="H248" s="6">
        <f>IF(COUNTA(A248:F248)=0,"",IF(AND(A248&lt;&gt;"",B248&lt;&gt;"",E248&lt;&gt;""),"OK","ERRO: faltam "&amp;IF(A248="","Conta; ","")&amp;IF(B248="","Oportunidade; ","")&amp;IF(E248="","Novo gerente; ","")))</f>
      </c>
      <c r="I248" s="6">
        <f>IF(COUNTA(A248:F248)=0,"",IF(AND(G248="OK",H248="OK"),"OK","REVISAR"))</f>
      </c>
    </row>
    <row r="249">
      <c r="A249" s="5"/>
      <c r="B249" s="5"/>
      <c r="C249" s="4"/>
      <c r="D249" s="4"/>
      <c r="E249" s="5"/>
      <c r="F249" s="4"/>
      <c r="G249" s="6">
        <f>IF(AND(A249="",B249=""),"",IF(COUNTIFS($A$2:$A$2001,A249,$B$2:$B$2001,B249)&gt;1,"DUPLICADO","OK"))</f>
      </c>
      <c r="H249" s="6">
        <f>IF(COUNTA(A249:F249)=0,"",IF(AND(A249&lt;&gt;"",B249&lt;&gt;"",E249&lt;&gt;""),"OK","ERRO: faltam "&amp;IF(A249="","Conta; ","")&amp;IF(B249="","Oportunidade; ","")&amp;IF(E249="","Novo gerente; ","")))</f>
      </c>
      <c r="I249" s="6">
        <f>IF(COUNTA(A249:F249)=0,"",IF(AND(G249="OK",H249="OK"),"OK","REVISAR"))</f>
      </c>
    </row>
    <row r="250">
      <c r="A250" s="5"/>
      <c r="B250" s="5"/>
      <c r="C250" s="4"/>
      <c r="D250" s="4"/>
      <c r="E250" s="5"/>
      <c r="F250" s="4"/>
      <c r="G250" s="6">
        <f>IF(AND(A250="",B250=""),"",IF(COUNTIFS($A$2:$A$2001,A250,$B$2:$B$2001,B250)&gt;1,"DUPLICADO","OK"))</f>
      </c>
      <c r="H250" s="6">
        <f>IF(COUNTA(A250:F250)=0,"",IF(AND(A250&lt;&gt;"",B250&lt;&gt;"",E250&lt;&gt;""),"OK","ERRO: faltam "&amp;IF(A250="","Conta; ","")&amp;IF(B250="","Oportunidade; ","")&amp;IF(E250="","Novo gerente; ","")))</f>
      </c>
      <c r="I250" s="6">
        <f>IF(COUNTA(A250:F250)=0,"",IF(AND(G250="OK",H250="OK"),"OK","REVISAR"))</f>
      </c>
    </row>
    <row r="251">
      <c r="A251" s="5"/>
      <c r="B251" s="5"/>
      <c r="C251" s="4"/>
      <c r="D251" s="4"/>
      <c r="E251" s="5"/>
      <c r="F251" s="4"/>
      <c r="G251" s="6">
        <f>IF(AND(A251="",B251=""),"",IF(COUNTIFS($A$2:$A$2001,A251,$B$2:$B$2001,B251)&gt;1,"DUPLICADO","OK"))</f>
      </c>
      <c r="H251" s="6">
        <f>IF(COUNTA(A251:F251)=0,"",IF(AND(A251&lt;&gt;"",B251&lt;&gt;"",E251&lt;&gt;""),"OK","ERRO: faltam "&amp;IF(A251="","Conta; ","")&amp;IF(B251="","Oportunidade; ","")&amp;IF(E251="","Novo gerente; ","")))</f>
      </c>
      <c r="I251" s="6">
        <f>IF(COUNTA(A251:F251)=0,"",IF(AND(G251="OK",H251="OK"),"OK","REVISAR"))</f>
      </c>
    </row>
    <row r="252">
      <c r="A252" s="5"/>
      <c r="B252" s="5"/>
      <c r="C252" s="4"/>
      <c r="D252" s="4"/>
      <c r="E252" s="5"/>
      <c r="F252" s="4"/>
      <c r="G252" s="6">
        <f>IF(AND(A252="",B252=""),"",IF(COUNTIFS($A$2:$A$2001,A252,$B$2:$B$2001,B252)&gt;1,"DUPLICADO","OK"))</f>
      </c>
      <c r="H252" s="6">
        <f>IF(COUNTA(A252:F252)=0,"",IF(AND(A252&lt;&gt;"",B252&lt;&gt;"",E252&lt;&gt;""),"OK","ERRO: faltam "&amp;IF(A252="","Conta; ","")&amp;IF(B252="","Oportunidade; ","")&amp;IF(E252="","Novo gerente; ","")))</f>
      </c>
      <c r="I252" s="6">
        <f>IF(COUNTA(A252:F252)=0,"",IF(AND(G252="OK",H252="OK"),"OK","REVISAR"))</f>
      </c>
    </row>
    <row r="253">
      <c r="A253" s="5"/>
      <c r="B253" s="5"/>
      <c r="C253" s="4"/>
      <c r="D253" s="4"/>
      <c r="E253" s="5"/>
      <c r="F253" s="4"/>
      <c r="G253" s="6">
        <f>IF(AND(A253="",B253=""),"",IF(COUNTIFS($A$2:$A$2001,A253,$B$2:$B$2001,B253)&gt;1,"DUPLICADO","OK"))</f>
      </c>
      <c r="H253" s="6">
        <f>IF(COUNTA(A253:F253)=0,"",IF(AND(A253&lt;&gt;"",B253&lt;&gt;"",E253&lt;&gt;""),"OK","ERRO: faltam "&amp;IF(A253="","Conta; ","")&amp;IF(B253="","Oportunidade; ","")&amp;IF(E253="","Novo gerente; ","")))</f>
      </c>
      <c r="I253" s="6">
        <f>IF(COUNTA(A253:F253)=0,"",IF(AND(G253="OK",H253="OK"),"OK","REVISAR"))</f>
      </c>
    </row>
    <row r="254">
      <c r="A254" s="5"/>
      <c r="B254" s="5"/>
      <c r="C254" s="4"/>
      <c r="D254" s="4"/>
      <c r="E254" s="5"/>
      <c r="F254" s="4"/>
      <c r="G254" s="6">
        <f>IF(AND(A254="",B254=""),"",IF(COUNTIFS($A$2:$A$2001,A254,$B$2:$B$2001,B254)&gt;1,"DUPLICADO","OK"))</f>
      </c>
      <c r="H254" s="6">
        <f>IF(COUNTA(A254:F254)=0,"",IF(AND(A254&lt;&gt;"",B254&lt;&gt;"",E254&lt;&gt;""),"OK","ERRO: faltam "&amp;IF(A254="","Conta; ","")&amp;IF(B254="","Oportunidade; ","")&amp;IF(E254="","Novo gerente; ","")))</f>
      </c>
      <c r="I254" s="6">
        <f>IF(COUNTA(A254:F254)=0,"",IF(AND(G254="OK",H254="OK"),"OK","REVISAR"))</f>
      </c>
    </row>
    <row r="255">
      <c r="A255" s="5"/>
      <c r="B255" s="5"/>
      <c r="C255" s="4"/>
      <c r="D255" s="4"/>
      <c r="E255" s="5"/>
      <c r="F255" s="4"/>
      <c r="G255" s="6">
        <f>IF(AND(A255="",B255=""),"",IF(COUNTIFS($A$2:$A$2001,A255,$B$2:$B$2001,B255)&gt;1,"DUPLICADO","OK"))</f>
      </c>
      <c r="H255" s="6">
        <f>IF(COUNTA(A255:F255)=0,"",IF(AND(A255&lt;&gt;"",B255&lt;&gt;"",E255&lt;&gt;""),"OK","ERRO: faltam "&amp;IF(A255="","Conta; ","")&amp;IF(B255="","Oportunidade; ","")&amp;IF(E255="","Novo gerente; ","")))</f>
      </c>
      <c r="I255" s="6">
        <f>IF(COUNTA(A255:F255)=0,"",IF(AND(G255="OK",H255="OK"),"OK","REVISAR"))</f>
      </c>
    </row>
    <row r="256">
      <c r="A256" s="5"/>
      <c r="B256" s="5"/>
      <c r="C256" s="4"/>
      <c r="D256" s="4"/>
      <c r="E256" s="5"/>
      <c r="F256" s="4"/>
      <c r="G256" s="6">
        <f>IF(AND(A256="",B256=""),"",IF(COUNTIFS($A$2:$A$2001,A256,$B$2:$B$2001,B256)&gt;1,"DUPLICADO","OK"))</f>
      </c>
      <c r="H256" s="6">
        <f>IF(COUNTA(A256:F256)=0,"",IF(AND(A256&lt;&gt;"",B256&lt;&gt;"",E256&lt;&gt;""),"OK","ERRO: faltam "&amp;IF(A256="","Conta; ","")&amp;IF(B256="","Oportunidade; ","")&amp;IF(E256="","Novo gerente; ","")))</f>
      </c>
      <c r="I256" s="6">
        <f>IF(COUNTA(A256:F256)=0,"",IF(AND(G256="OK",H256="OK"),"OK","REVISAR"))</f>
      </c>
    </row>
    <row r="257">
      <c r="A257" s="5"/>
      <c r="B257" s="5"/>
      <c r="C257" s="4"/>
      <c r="D257" s="4"/>
      <c r="E257" s="5"/>
      <c r="F257" s="4"/>
      <c r="G257" s="6">
        <f>IF(AND(A257="",B257=""),"",IF(COUNTIFS($A$2:$A$2001,A257,$B$2:$B$2001,B257)&gt;1,"DUPLICADO","OK"))</f>
      </c>
      <c r="H257" s="6">
        <f>IF(COUNTA(A257:F257)=0,"",IF(AND(A257&lt;&gt;"",B257&lt;&gt;"",E257&lt;&gt;""),"OK","ERRO: faltam "&amp;IF(A257="","Conta; ","")&amp;IF(B257="","Oportunidade; ","")&amp;IF(E257="","Novo gerente; ","")))</f>
      </c>
      <c r="I257" s="6">
        <f>IF(COUNTA(A257:F257)=0,"",IF(AND(G257="OK",H257="OK"),"OK","REVISAR"))</f>
      </c>
    </row>
    <row r="258">
      <c r="A258" s="5"/>
      <c r="B258" s="5"/>
      <c r="C258" s="4"/>
      <c r="D258" s="4"/>
      <c r="E258" s="5"/>
      <c r="F258" s="4"/>
      <c r="G258" s="6">
        <f>IF(AND(A258="",B258=""),"",IF(COUNTIFS($A$2:$A$2001,A258,$B$2:$B$2001,B258)&gt;1,"DUPLICADO","OK"))</f>
      </c>
      <c r="H258" s="6">
        <f>IF(COUNTA(A258:F258)=0,"",IF(AND(A258&lt;&gt;"",B258&lt;&gt;"",E258&lt;&gt;""),"OK","ERRO: faltam "&amp;IF(A258="","Conta; ","")&amp;IF(B258="","Oportunidade; ","")&amp;IF(E258="","Novo gerente; ","")))</f>
      </c>
      <c r="I258" s="6">
        <f>IF(COUNTA(A258:F258)=0,"",IF(AND(G258="OK",H258="OK"),"OK","REVISAR"))</f>
      </c>
    </row>
    <row r="259">
      <c r="A259" s="5"/>
      <c r="B259" s="5"/>
      <c r="C259" s="4"/>
      <c r="D259" s="4"/>
      <c r="E259" s="5"/>
      <c r="F259" s="4"/>
      <c r="G259" s="6">
        <f>IF(AND(A259="",B259=""),"",IF(COUNTIFS($A$2:$A$2001,A259,$B$2:$B$2001,B259)&gt;1,"DUPLICADO","OK"))</f>
      </c>
      <c r="H259" s="6">
        <f>IF(COUNTA(A259:F259)=0,"",IF(AND(A259&lt;&gt;"",B259&lt;&gt;"",E259&lt;&gt;""),"OK","ERRO: faltam "&amp;IF(A259="","Conta; ","")&amp;IF(B259="","Oportunidade; ","")&amp;IF(E259="","Novo gerente; ","")))</f>
      </c>
      <c r="I259" s="6">
        <f>IF(COUNTA(A259:F259)=0,"",IF(AND(G259="OK",H259="OK"),"OK","REVISAR"))</f>
      </c>
    </row>
    <row r="260">
      <c r="A260" s="5"/>
      <c r="B260" s="5"/>
      <c r="C260" s="4"/>
      <c r="D260" s="4"/>
      <c r="E260" s="5"/>
      <c r="F260" s="4"/>
      <c r="G260" s="6">
        <f>IF(AND(A260="",B260=""),"",IF(COUNTIFS($A$2:$A$2001,A260,$B$2:$B$2001,B260)&gt;1,"DUPLICADO","OK"))</f>
      </c>
      <c r="H260" s="6">
        <f>IF(COUNTA(A260:F260)=0,"",IF(AND(A260&lt;&gt;"",B260&lt;&gt;"",E260&lt;&gt;""),"OK","ERRO: faltam "&amp;IF(A260="","Conta; ","")&amp;IF(B260="","Oportunidade; ","")&amp;IF(E260="","Novo gerente; ","")))</f>
      </c>
      <c r="I260" s="6">
        <f>IF(COUNTA(A260:F260)=0,"",IF(AND(G260="OK",H260="OK"),"OK","REVISAR"))</f>
      </c>
    </row>
    <row r="261">
      <c r="A261" s="5"/>
      <c r="B261" s="5"/>
      <c r="C261" s="4"/>
      <c r="D261" s="4"/>
      <c r="E261" s="5"/>
      <c r="F261" s="4"/>
      <c r="G261" s="6">
        <f>IF(AND(A261="",B261=""),"",IF(COUNTIFS($A$2:$A$2001,A261,$B$2:$B$2001,B261)&gt;1,"DUPLICADO","OK"))</f>
      </c>
      <c r="H261" s="6">
        <f>IF(COUNTA(A261:F261)=0,"",IF(AND(A261&lt;&gt;"",B261&lt;&gt;"",E261&lt;&gt;""),"OK","ERRO: faltam "&amp;IF(A261="","Conta; ","")&amp;IF(B261="","Oportunidade; ","")&amp;IF(E261="","Novo gerente; ","")))</f>
      </c>
      <c r="I261" s="6">
        <f>IF(COUNTA(A261:F261)=0,"",IF(AND(G261="OK",H261="OK"),"OK","REVISAR"))</f>
      </c>
    </row>
    <row r="262">
      <c r="A262" s="5"/>
      <c r="B262" s="5"/>
      <c r="C262" s="4"/>
      <c r="D262" s="4"/>
      <c r="E262" s="5"/>
      <c r="F262" s="4"/>
      <c r="G262" s="6">
        <f>IF(AND(A262="",B262=""),"",IF(COUNTIFS($A$2:$A$2001,A262,$B$2:$B$2001,B262)&gt;1,"DUPLICADO","OK"))</f>
      </c>
      <c r="H262" s="6">
        <f>IF(COUNTA(A262:F262)=0,"",IF(AND(A262&lt;&gt;"",B262&lt;&gt;"",E262&lt;&gt;""),"OK","ERRO: faltam "&amp;IF(A262="","Conta; ","")&amp;IF(B262="","Oportunidade; ","")&amp;IF(E262="","Novo gerente; ","")))</f>
      </c>
      <c r="I262" s="6">
        <f>IF(COUNTA(A262:F262)=0,"",IF(AND(G262="OK",H262="OK"),"OK","REVISAR"))</f>
      </c>
    </row>
    <row r="263">
      <c r="A263" s="5"/>
      <c r="B263" s="5"/>
      <c r="C263" s="4"/>
      <c r="D263" s="4"/>
      <c r="E263" s="5"/>
      <c r="F263" s="4"/>
      <c r="G263" s="6">
        <f>IF(AND(A263="",B263=""),"",IF(COUNTIFS($A$2:$A$2001,A263,$B$2:$B$2001,B263)&gt;1,"DUPLICADO","OK"))</f>
      </c>
      <c r="H263" s="6">
        <f>IF(COUNTA(A263:F263)=0,"",IF(AND(A263&lt;&gt;"",B263&lt;&gt;"",E263&lt;&gt;""),"OK","ERRO: faltam "&amp;IF(A263="","Conta; ","")&amp;IF(B263="","Oportunidade; ","")&amp;IF(E263="","Novo gerente; ","")))</f>
      </c>
      <c r="I263" s="6">
        <f>IF(COUNTA(A263:F263)=0,"",IF(AND(G263="OK",H263="OK"),"OK","REVISAR"))</f>
      </c>
    </row>
    <row r="264">
      <c r="A264" s="5"/>
      <c r="B264" s="5"/>
      <c r="C264" s="4"/>
      <c r="D264" s="4"/>
      <c r="E264" s="5"/>
      <c r="F264" s="4"/>
      <c r="G264" s="6">
        <f>IF(AND(A264="",B264=""),"",IF(COUNTIFS($A$2:$A$2001,A264,$B$2:$B$2001,B264)&gt;1,"DUPLICADO","OK"))</f>
      </c>
      <c r="H264" s="6">
        <f>IF(COUNTA(A264:F264)=0,"",IF(AND(A264&lt;&gt;"",B264&lt;&gt;"",E264&lt;&gt;""),"OK","ERRO: faltam "&amp;IF(A264="","Conta; ","")&amp;IF(B264="","Oportunidade; ","")&amp;IF(E264="","Novo gerente; ","")))</f>
      </c>
      <c r="I264" s="6">
        <f>IF(COUNTA(A264:F264)=0,"",IF(AND(G264="OK",H264="OK"),"OK","REVISAR"))</f>
      </c>
    </row>
    <row r="265">
      <c r="A265" s="5"/>
      <c r="B265" s="5"/>
      <c r="C265" s="4"/>
      <c r="D265" s="4"/>
      <c r="E265" s="5"/>
      <c r="F265" s="4"/>
      <c r="G265" s="6">
        <f>IF(AND(A265="",B265=""),"",IF(COUNTIFS($A$2:$A$2001,A265,$B$2:$B$2001,B265)&gt;1,"DUPLICADO","OK"))</f>
      </c>
      <c r="H265" s="6">
        <f>IF(COUNTA(A265:F265)=0,"",IF(AND(A265&lt;&gt;"",B265&lt;&gt;"",E265&lt;&gt;""),"OK","ERRO: faltam "&amp;IF(A265="","Conta; ","")&amp;IF(B265="","Oportunidade; ","")&amp;IF(E265="","Novo gerente; ","")))</f>
      </c>
      <c r="I265" s="6">
        <f>IF(COUNTA(A265:F265)=0,"",IF(AND(G265="OK",H265="OK"),"OK","REVISAR"))</f>
      </c>
    </row>
    <row r="266">
      <c r="A266" s="5"/>
      <c r="B266" s="5"/>
      <c r="C266" s="4"/>
      <c r="D266" s="4"/>
      <c r="E266" s="5"/>
      <c r="F266" s="4"/>
      <c r="G266" s="6">
        <f>IF(AND(A266="",B266=""),"",IF(COUNTIFS($A$2:$A$2001,A266,$B$2:$B$2001,B266)&gt;1,"DUPLICADO","OK"))</f>
      </c>
      <c r="H266" s="6">
        <f>IF(COUNTA(A266:F266)=0,"",IF(AND(A266&lt;&gt;"",B266&lt;&gt;"",E266&lt;&gt;""),"OK","ERRO: faltam "&amp;IF(A266="","Conta; ","")&amp;IF(B266="","Oportunidade; ","")&amp;IF(E266="","Novo gerente; ","")))</f>
      </c>
      <c r="I266" s="6">
        <f>IF(COUNTA(A266:F266)=0,"",IF(AND(G266="OK",H266="OK"),"OK","REVISAR"))</f>
      </c>
    </row>
    <row r="267">
      <c r="A267" s="5"/>
      <c r="B267" s="5"/>
      <c r="C267" s="4"/>
      <c r="D267" s="4"/>
      <c r="E267" s="5"/>
      <c r="F267" s="4"/>
      <c r="G267" s="6">
        <f>IF(AND(A267="",B267=""),"",IF(COUNTIFS($A$2:$A$2001,A267,$B$2:$B$2001,B267)&gt;1,"DUPLICADO","OK"))</f>
      </c>
      <c r="H267" s="6">
        <f>IF(COUNTA(A267:F267)=0,"",IF(AND(A267&lt;&gt;"",B267&lt;&gt;"",E267&lt;&gt;""),"OK","ERRO: faltam "&amp;IF(A267="","Conta; ","")&amp;IF(B267="","Oportunidade; ","")&amp;IF(E267="","Novo gerente; ","")))</f>
      </c>
      <c r="I267" s="6">
        <f>IF(COUNTA(A267:F267)=0,"",IF(AND(G267="OK",H267="OK"),"OK","REVISAR"))</f>
      </c>
    </row>
    <row r="268">
      <c r="A268" s="5"/>
      <c r="B268" s="5"/>
      <c r="C268" s="4"/>
      <c r="D268" s="4"/>
      <c r="E268" s="5"/>
      <c r="F268" s="4"/>
      <c r="G268" s="6">
        <f>IF(AND(A268="",B268=""),"",IF(COUNTIFS($A$2:$A$2001,A268,$B$2:$B$2001,B268)&gt;1,"DUPLICADO","OK"))</f>
      </c>
      <c r="H268" s="6">
        <f>IF(COUNTA(A268:F268)=0,"",IF(AND(A268&lt;&gt;"",B268&lt;&gt;"",E268&lt;&gt;""),"OK","ERRO: faltam "&amp;IF(A268="","Conta; ","")&amp;IF(B268="","Oportunidade; ","")&amp;IF(E268="","Novo gerente; ","")))</f>
      </c>
      <c r="I268" s="6">
        <f>IF(COUNTA(A268:F268)=0,"",IF(AND(G268="OK",H268="OK"),"OK","REVISAR"))</f>
      </c>
    </row>
    <row r="269">
      <c r="A269" s="5"/>
      <c r="B269" s="5"/>
      <c r="C269" s="4"/>
      <c r="D269" s="4"/>
      <c r="E269" s="5"/>
      <c r="F269" s="4"/>
      <c r="G269" s="6">
        <f>IF(AND(A269="",B269=""),"",IF(COUNTIFS($A$2:$A$2001,A269,$B$2:$B$2001,B269)&gt;1,"DUPLICADO","OK"))</f>
      </c>
      <c r="H269" s="6">
        <f>IF(COUNTA(A269:F269)=0,"",IF(AND(A269&lt;&gt;"",B269&lt;&gt;"",E269&lt;&gt;""),"OK","ERRO: faltam "&amp;IF(A269="","Conta; ","")&amp;IF(B269="","Oportunidade; ","")&amp;IF(E269="","Novo gerente; ","")))</f>
      </c>
      <c r="I269" s="6">
        <f>IF(COUNTA(A269:F269)=0,"",IF(AND(G269="OK",H269="OK"),"OK","REVISAR"))</f>
      </c>
    </row>
    <row r="270">
      <c r="A270" s="5"/>
      <c r="B270" s="5"/>
      <c r="C270" s="4"/>
      <c r="D270" s="4"/>
      <c r="E270" s="5"/>
      <c r="F270" s="4"/>
      <c r="G270" s="6">
        <f>IF(AND(A270="",B270=""),"",IF(COUNTIFS($A$2:$A$2001,A270,$B$2:$B$2001,B270)&gt;1,"DUPLICADO","OK"))</f>
      </c>
      <c r="H270" s="6">
        <f>IF(COUNTA(A270:F270)=0,"",IF(AND(A270&lt;&gt;"",B270&lt;&gt;"",E270&lt;&gt;""),"OK","ERRO: faltam "&amp;IF(A270="","Conta; ","")&amp;IF(B270="","Oportunidade; ","")&amp;IF(E270="","Novo gerente; ","")))</f>
      </c>
      <c r="I270" s="6">
        <f>IF(COUNTA(A270:F270)=0,"",IF(AND(G270="OK",H270="OK"),"OK","REVISAR"))</f>
      </c>
    </row>
    <row r="271">
      <c r="A271" s="5"/>
      <c r="B271" s="5"/>
      <c r="C271" s="4"/>
      <c r="D271" s="4"/>
      <c r="E271" s="5"/>
      <c r="F271" s="4"/>
      <c r="G271" s="6">
        <f>IF(AND(A271="",B271=""),"",IF(COUNTIFS($A$2:$A$2001,A271,$B$2:$B$2001,B271)&gt;1,"DUPLICADO","OK"))</f>
      </c>
      <c r="H271" s="6">
        <f>IF(COUNTA(A271:F271)=0,"",IF(AND(A271&lt;&gt;"",B271&lt;&gt;"",E271&lt;&gt;""),"OK","ERRO: faltam "&amp;IF(A271="","Conta; ","")&amp;IF(B271="","Oportunidade; ","")&amp;IF(E271="","Novo gerente; ","")))</f>
      </c>
      <c r="I271" s="6">
        <f>IF(COUNTA(A271:F271)=0,"",IF(AND(G271="OK",H271="OK"),"OK","REVISAR"))</f>
      </c>
    </row>
    <row r="272">
      <c r="A272" s="5"/>
      <c r="B272" s="5"/>
      <c r="C272" s="4"/>
      <c r="D272" s="4"/>
      <c r="E272" s="5"/>
      <c r="F272" s="4"/>
      <c r="G272" s="6">
        <f>IF(AND(A272="",B272=""),"",IF(COUNTIFS($A$2:$A$2001,A272,$B$2:$B$2001,B272)&gt;1,"DUPLICADO","OK"))</f>
      </c>
      <c r="H272" s="6">
        <f>IF(COUNTA(A272:F272)=0,"",IF(AND(A272&lt;&gt;"",B272&lt;&gt;"",E272&lt;&gt;""),"OK","ERRO: faltam "&amp;IF(A272="","Conta; ","")&amp;IF(B272="","Oportunidade; ","")&amp;IF(E272="","Novo gerente; ","")))</f>
      </c>
      <c r="I272" s="6">
        <f>IF(COUNTA(A272:F272)=0,"",IF(AND(G272="OK",H272="OK"),"OK","REVISAR"))</f>
      </c>
    </row>
    <row r="273">
      <c r="A273" s="5"/>
      <c r="B273" s="5"/>
      <c r="C273" s="4"/>
      <c r="D273" s="4"/>
      <c r="E273" s="5"/>
      <c r="F273" s="4"/>
      <c r="G273" s="6">
        <f>IF(AND(A273="",B273=""),"",IF(COUNTIFS($A$2:$A$2001,A273,$B$2:$B$2001,B273)&gt;1,"DUPLICADO","OK"))</f>
      </c>
      <c r="H273" s="6">
        <f>IF(COUNTA(A273:F273)=0,"",IF(AND(A273&lt;&gt;"",B273&lt;&gt;"",E273&lt;&gt;""),"OK","ERRO: faltam "&amp;IF(A273="","Conta; ","")&amp;IF(B273="","Oportunidade; ","")&amp;IF(E273="","Novo gerente; ","")))</f>
      </c>
      <c r="I273" s="6">
        <f>IF(COUNTA(A273:F273)=0,"",IF(AND(G273="OK",H273="OK"),"OK","REVISAR"))</f>
      </c>
    </row>
    <row r="274">
      <c r="A274" s="5"/>
      <c r="B274" s="5"/>
      <c r="C274" s="4"/>
      <c r="D274" s="4"/>
      <c r="E274" s="5"/>
      <c r="F274" s="4"/>
      <c r="G274" s="6">
        <f>IF(AND(A274="",B274=""),"",IF(COUNTIFS($A$2:$A$2001,A274,$B$2:$B$2001,B274)&gt;1,"DUPLICADO","OK"))</f>
      </c>
      <c r="H274" s="6">
        <f>IF(COUNTA(A274:F274)=0,"",IF(AND(A274&lt;&gt;"",B274&lt;&gt;"",E274&lt;&gt;""),"OK","ERRO: faltam "&amp;IF(A274="","Conta; ","")&amp;IF(B274="","Oportunidade; ","")&amp;IF(E274="","Novo gerente; ","")))</f>
      </c>
      <c r="I274" s="6">
        <f>IF(COUNTA(A274:F274)=0,"",IF(AND(G274="OK",H274="OK"),"OK","REVISAR"))</f>
      </c>
    </row>
    <row r="275">
      <c r="A275" s="5"/>
      <c r="B275" s="5"/>
      <c r="C275" s="4"/>
      <c r="D275" s="4"/>
      <c r="E275" s="5"/>
      <c r="F275" s="4"/>
      <c r="G275" s="6">
        <f>IF(AND(A275="",B275=""),"",IF(COUNTIFS($A$2:$A$2001,A275,$B$2:$B$2001,B275)&gt;1,"DUPLICADO","OK"))</f>
      </c>
      <c r="H275" s="6">
        <f>IF(COUNTA(A275:F275)=0,"",IF(AND(A275&lt;&gt;"",B275&lt;&gt;"",E275&lt;&gt;""),"OK","ERRO: faltam "&amp;IF(A275="","Conta; ","")&amp;IF(B275="","Oportunidade; ","")&amp;IF(E275="","Novo gerente; ","")))</f>
      </c>
      <c r="I275" s="6">
        <f>IF(COUNTA(A275:F275)=0,"",IF(AND(G275="OK",H275="OK"),"OK","REVISAR"))</f>
      </c>
    </row>
    <row r="276">
      <c r="A276" s="5"/>
      <c r="B276" s="5"/>
      <c r="C276" s="4"/>
      <c r="D276" s="4"/>
      <c r="E276" s="5"/>
      <c r="F276" s="4"/>
      <c r="G276" s="6">
        <f>IF(AND(A276="",B276=""),"",IF(COUNTIFS($A$2:$A$2001,A276,$B$2:$B$2001,B276)&gt;1,"DUPLICADO","OK"))</f>
      </c>
      <c r="H276" s="6">
        <f>IF(COUNTA(A276:F276)=0,"",IF(AND(A276&lt;&gt;"",B276&lt;&gt;"",E276&lt;&gt;""),"OK","ERRO: faltam "&amp;IF(A276="","Conta; ","")&amp;IF(B276="","Oportunidade; ","")&amp;IF(E276="","Novo gerente; ","")))</f>
      </c>
      <c r="I276" s="6">
        <f>IF(COUNTA(A276:F276)=0,"",IF(AND(G276="OK",H276="OK"),"OK","REVISAR"))</f>
      </c>
    </row>
    <row r="277">
      <c r="A277" s="5"/>
      <c r="B277" s="5"/>
      <c r="C277" s="4"/>
      <c r="D277" s="4"/>
      <c r="E277" s="5"/>
      <c r="F277" s="4"/>
      <c r="G277" s="6">
        <f>IF(AND(A277="",B277=""),"",IF(COUNTIFS($A$2:$A$2001,A277,$B$2:$B$2001,B277)&gt;1,"DUPLICADO","OK"))</f>
      </c>
      <c r="H277" s="6">
        <f>IF(COUNTA(A277:F277)=0,"",IF(AND(A277&lt;&gt;"",B277&lt;&gt;"",E277&lt;&gt;""),"OK","ERRO: faltam "&amp;IF(A277="","Conta; ","")&amp;IF(B277="","Oportunidade; ","")&amp;IF(E277="","Novo gerente; ","")))</f>
      </c>
      <c r="I277" s="6">
        <f>IF(COUNTA(A277:F277)=0,"",IF(AND(G277="OK",H277="OK"),"OK","REVISAR"))</f>
      </c>
    </row>
    <row r="278">
      <c r="A278" s="5"/>
      <c r="B278" s="5"/>
      <c r="C278" s="4"/>
      <c r="D278" s="4"/>
      <c r="E278" s="5"/>
      <c r="F278" s="4"/>
      <c r="G278" s="6">
        <f>IF(AND(A278="",B278=""),"",IF(COUNTIFS($A$2:$A$2001,A278,$B$2:$B$2001,B278)&gt;1,"DUPLICADO","OK"))</f>
      </c>
      <c r="H278" s="6">
        <f>IF(COUNTA(A278:F278)=0,"",IF(AND(A278&lt;&gt;"",B278&lt;&gt;"",E278&lt;&gt;""),"OK","ERRO: faltam "&amp;IF(A278="","Conta; ","")&amp;IF(B278="","Oportunidade; ","")&amp;IF(E278="","Novo gerente; ","")))</f>
      </c>
      <c r="I278" s="6">
        <f>IF(COUNTA(A278:F278)=0,"",IF(AND(G278="OK",H278="OK"),"OK","REVISAR"))</f>
      </c>
    </row>
    <row r="279">
      <c r="A279" s="5"/>
      <c r="B279" s="5"/>
      <c r="C279" s="4"/>
      <c r="D279" s="4"/>
      <c r="E279" s="5"/>
      <c r="F279" s="4"/>
      <c r="G279" s="6">
        <f>IF(AND(A279="",B279=""),"",IF(COUNTIFS($A$2:$A$2001,A279,$B$2:$B$2001,B279)&gt;1,"DUPLICADO","OK"))</f>
      </c>
      <c r="H279" s="6">
        <f>IF(COUNTA(A279:F279)=0,"",IF(AND(A279&lt;&gt;"",B279&lt;&gt;"",E279&lt;&gt;""),"OK","ERRO: faltam "&amp;IF(A279="","Conta; ","")&amp;IF(B279="","Oportunidade; ","")&amp;IF(E279="","Novo gerente; ","")))</f>
      </c>
      <c r="I279" s="6">
        <f>IF(COUNTA(A279:F279)=0,"",IF(AND(G279="OK",H279="OK"),"OK","REVISAR"))</f>
      </c>
    </row>
    <row r="280">
      <c r="A280" s="5"/>
      <c r="B280" s="5"/>
      <c r="C280" s="4"/>
      <c r="D280" s="4"/>
      <c r="E280" s="5"/>
      <c r="F280" s="4"/>
      <c r="G280" s="6">
        <f>IF(AND(A280="",B280=""),"",IF(COUNTIFS($A$2:$A$2001,A280,$B$2:$B$2001,B280)&gt;1,"DUPLICADO","OK"))</f>
      </c>
      <c r="H280" s="6">
        <f>IF(COUNTA(A280:F280)=0,"",IF(AND(A280&lt;&gt;"",B280&lt;&gt;"",E280&lt;&gt;""),"OK","ERRO: faltam "&amp;IF(A280="","Conta; ","")&amp;IF(B280="","Oportunidade; ","")&amp;IF(E280="","Novo gerente; ","")))</f>
      </c>
      <c r="I280" s="6">
        <f>IF(COUNTA(A280:F280)=0,"",IF(AND(G280="OK",H280="OK"),"OK","REVISAR"))</f>
      </c>
    </row>
    <row r="281">
      <c r="A281" s="5"/>
      <c r="B281" s="5"/>
      <c r="C281" s="4"/>
      <c r="D281" s="4"/>
      <c r="E281" s="5"/>
      <c r="F281" s="4"/>
      <c r="G281" s="6">
        <f>IF(AND(A281="",B281=""),"",IF(COUNTIFS($A$2:$A$2001,A281,$B$2:$B$2001,B281)&gt;1,"DUPLICADO","OK"))</f>
      </c>
      <c r="H281" s="6">
        <f>IF(COUNTA(A281:F281)=0,"",IF(AND(A281&lt;&gt;"",B281&lt;&gt;"",E281&lt;&gt;""),"OK","ERRO: faltam "&amp;IF(A281="","Conta; ","")&amp;IF(B281="","Oportunidade; ","")&amp;IF(E281="","Novo gerente; ","")))</f>
      </c>
      <c r="I281" s="6">
        <f>IF(COUNTA(A281:F281)=0,"",IF(AND(G281="OK",H281="OK"),"OK","REVISAR"))</f>
      </c>
    </row>
    <row r="282">
      <c r="A282" s="5"/>
      <c r="B282" s="5"/>
      <c r="C282" s="4"/>
      <c r="D282" s="4"/>
      <c r="E282" s="5"/>
      <c r="F282" s="4"/>
      <c r="G282" s="6">
        <f>IF(AND(A282="",B282=""),"",IF(COUNTIFS($A$2:$A$2001,A282,$B$2:$B$2001,B282)&gt;1,"DUPLICADO","OK"))</f>
      </c>
      <c r="H282" s="6">
        <f>IF(COUNTA(A282:F282)=0,"",IF(AND(A282&lt;&gt;"",B282&lt;&gt;"",E282&lt;&gt;""),"OK","ERRO: faltam "&amp;IF(A282="","Conta; ","")&amp;IF(B282="","Oportunidade; ","")&amp;IF(E282="","Novo gerente; ","")))</f>
      </c>
      <c r="I282" s="6">
        <f>IF(COUNTA(A282:F282)=0,"",IF(AND(G282="OK",H282="OK"),"OK","REVISAR"))</f>
      </c>
    </row>
    <row r="283">
      <c r="A283" s="5"/>
      <c r="B283" s="5"/>
      <c r="C283" s="4"/>
      <c r="D283" s="4"/>
      <c r="E283" s="5"/>
      <c r="F283" s="4"/>
      <c r="G283" s="6">
        <f>IF(AND(A283="",B283=""),"",IF(COUNTIFS($A$2:$A$2001,A283,$B$2:$B$2001,B283)&gt;1,"DUPLICADO","OK"))</f>
      </c>
      <c r="H283" s="6">
        <f>IF(COUNTA(A283:F283)=0,"",IF(AND(A283&lt;&gt;"",B283&lt;&gt;"",E283&lt;&gt;""),"OK","ERRO: faltam "&amp;IF(A283="","Conta; ","")&amp;IF(B283="","Oportunidade; ","")&amp;IF(E283="","Novo gerente; ","")))</f>
      </c>
      <c r="I283" s="6">
        <f>IF(COUNTA(A283:F283)=0,"",IF(AND(G283="OK",H283="OK"),"OK","REVISAR"))</f>
      </c>
    </row>
    <row r="284">
      <c r="A284" s="5"/>
      <c r="B284" s="5"/>
      <c r="C284" s="4"/>
      <c r="D284" s="4"/>
      <c r="E284" s="5"/>
      <c r="F284" s="4"/>
      <c r="G284" s="6">
        <f>IF(AND(A284="",B284=""),"",IF(COUNTIFS($A$2:$A$2001,A284,$B$2:$B$2001,B284)&gt;1,"DUPLICADO","OK"))</f>
      </c>
      <c r="H284" s="6">
        <f>IF(COUNTA(A284:F284)=0,"",IF(AND(A284&lt;&gt;"",B284&lt;&gt;"",E284&lt;&gt;""),"OK","ERRO: faltam "&amp;IF(A284="","Conta; ","")&amp;IF(B284="","Oportunidade; ","")&amp;IF(E284="","Novo gerente; ","")))</f>
      </c>
      <c r="I284" s="6">
        <f>IF(COUNTA(A284:F284)=0,"",IF(AND(G284="OK",H284="OK"),"OK","REVISAR"))</f>
      </c>
    </row>
    <row r="285">
      <c r="A285" s="5"/>
      <c r="B285" s="5"/>
      <c r="C285" s="4"/>
      <c r="D285" s="4"/>
      <c r="E285" s="5"/>
      <c r="F285" s="4"/>
      <c r="G285" s="6">
        <f>IF(AND(A285="",B285=""),"",IF(COUNTIFS($A$2:$A$2001,A285,$B$2:$B$2001,B285)&gt;1,"DUPLICADO","OK"))</f>
      </c>
      <c r="H285" s="6">
        <f>IF(COUNTA(A285:F285)=0,"",IF(AND(A285&lt;&gt;"",B285&lt;&gt;"",E285&lt;&gt;""),"OK","ERRO: faltam "&amp;IF(A285="","Conta; ","")&amp;IF(B285="","Oportunidade; ","")&amp;IF(E285="","Novo gerente; ","")))</f>
      </c>
      <c r="I285" s="6">
        <f>IF(COUNTA(A285:F285)=0,"",IF(AND(G285="OK",H285="OK"),"OK","REVISAR"))</f>
      </c>
    </row>
    <row r="286">
      <c r="A286" s="5"/>
      <c r="B286" s="5"/>
      <c r="C286" s="4"/>
      <c r="D286" s="4"/>
      <c r="E286" s="5"/>
      <c r="F286" s="4"/>
      <c r="G286" s="6">
        <f>IF(AND(A286="",B286=""),"",IF(COUNTIFS($A$2:$A$2001,A286,$B$2:$B$2001,B286)&gt;1,"DUPLICADO","OK"))</f>
      </c>
      <c r="H286" s="6">
        <f>IF(COUNTA(A286:F286)=0,"",IF(AND(A286&lt;&gt;"",B286&lt;&gt;"",E286&lt;&gt;""),"OK","ERRO: faltam "&amp;IF(A286="","Conta; ","")&amp;IF(B286="","Oportunidade; ","")&amp;IF(E286="","Novo gerente; ","")))</f>
      </c>
      <c r="I286" s="6">
        <f>IF(COUNTA(A286:F286)=0,"",IF(AND(G286="OK",H286="OK"),"OK","REVISAR"))</f>
      </c>
    </row>
    <row r="287">
      <c r="A287" s="5"/>
      <c r="B287" s="5"/>
      <c r="C287" s="4"/>
      <c r="D287" s="4"/>
      <c r="E287" s="5"/>
      <c r="F287" s="4"/>
      <c r="G287" s="6">
        <f>IF(AND(A287="",B287=""),"",IF(COUNTIFS($A$2:$A$2001,A287,$B$2:$B$2001,B287)&gt;1,"DUPLICADO","OK"))</f>
      </c>
      <c r="H287" s="6">
        <f>IF(COUNTA(A287:F287)=0,"",IF(AND(A287&lt;&gt;"",B287&lt;&gt;"",E287&lt;&gt;""),"OK","ERRO: faltam "&amp;IF(A287="","Conta; ","")&amp;IF(B287="","Oportunidade; ","")&amp;IF(E287="","Novo gerente; ","")))</f>
      </c>
      <c r="I287" s="6">
        <f>IF(COUNTA(A287:F287)=0,"",IF(AND(G287="OK",H287="OK"),"OK","REVISAR"))</f>
      </c>
    </row>
    <row r="288">
      <c r="A288" s="5"/>
      <c r="B288" s="5"/>
      <c r="C288" s="4"/>
      <c r="D288" s="4"/>
      <c r="E288" s="5"/>
      <c r="F288" s="4"/>
      <c r="G288" s="6">
        <f>IF(AND(A288="",B288=""),"",IF(COUNTIFS($A$2:$A$2001,A288,$B$2:$B$2001,B288)&gt;1,"DUPLICADO","OK"))</f>
      </c>
      <c r="H288" s="6">
        <f>IF(COUNTA(A288:F288)=0,"",IF(AND(A288&lt;&gt;"",B288&lt;&gt;"",E288&lt;&gt;""),"OK","ERRO: faltam "&amp;IF(A288="","Conta; ","")&amp;IF(B288="","Oportunidade; ","")&amp;IF(E288="","Novo gerente; ","")))</f>
      </c>
      <c r="I288" s="6">
        <f>IF(COUNTA(A288:F288)=0,"",IF(AND(G288="OK",H288="OK"),"OK","REVISAR"))</f>
      </c>
    </row>
    <row r="289">
      <c r="A289" s="5"/>
      <c r="B289" s="5"/>
      <c r="C289" s="4"/>
      <c r="D289" s="4"/>
      <c r="E289" s="5"/>
      <c r="F289" s="4"/>
      <c r="G289" s="6">
        <f>IF(AND(A289="",B289=""),"",IF(COUNTIFS($A$2:$A$2001,A289,$B$2:$B$2001,B289)&gt;1,"DUPLICADO","OK"))</f>
      </c>
      <c r="H289" s="6">
        <f>IF(COUNTA(A289:F289)=0,"",IF(AND(A289&lt;&gt;"",B289&lt;&gt;"",E289&lt;&gt;""),"OK","ERRO: faltam "&amp;IF(A289="","Conta; ","")&amp;IF(B289="","Oportunidade; ","")&amp;IF(E289="","Novo gerente; ","")))</f>
      </c>
      <c r="I289" s="6">
        <f>IF(COUNTA(A289:F289)=0,"",IF(AND(G289="OK",H289="OK"),"OK","REVISAR"))</f>
      </c>
    </row>
    <row r="290">
      <c r="A290" s="5"/>
      <c r="B290" s="5"/>
      <c r="C290" s="4"/>
      <c r="D290" s="4"/>
      <c r="E290" s="5"/>
      <c r="F290" s="4"/>
      <c r="G290" s="6">
        <f>IF(AND(A290="",B290=""),"",IF(COUNTIFS($A$2:$A$2001,A290,$B$2:$B$2001,B290)&gt;1,"DUPLICADO","OK"))</f>
      </c>
      <c r="H290" s="6">
        <f>IF(COUNTA(A290:F290)=0,"",IF(AND(A290&lt;&gt;"",B290&lt;&gt;"",E290&lt;&gt;""),"OK","ERRO: faltam "&amp;IF(A290="","Conta; ","")&amp;IF(B290="","Oportunidade; ","")&amp;IF(E290="","Novo gerente; ","")))</f>
      </c>
      <c r="I290" s="6">
        <f>IF(COUNTA(A290:F290)=0,"",IF(AND(G290="OK",H290="OK"),"OK","REVISAR"))</f>
      </c>
    </row>
    <row r="291">
      <c r="A291" s="5"/>
      <c r="B291" s="5"/>
      <c r="C291" s="4"/>
      <c r="D291" s="4"/>
      <c r="E291" s="5"/>
      <c r="F291" s="4"/>
      <c r="G291" s="6">
        <f>IF(AND(A291="",B291=""),"",IF(COUNTIFS($A$2:$A$2001,A291,$B$2:$B$2001,B291)&gt;1,"DUPLICADO","OK"))</f>
      </c>
      <c r="H291" s="6">
        <f>IF(COUNTA(A291:F291)=0,"",IF(AND(A291&lt;&gt;"",B291&lt;&gt;"",E291&lt;&gt;""),"OK","ERRO: faltam "&amp;IF(A291="","Conta; ","")&amp;IF(B291="","Oportunidade; ","")&amp;IF(E291="","Novo gerente; ","")))</f>
      </c>
      <c r="I291" s="6">
        <f>IF(COUNTA(A291:F291)=0,"",IF(AND(G291="OK",H291="OK"),"OK","REVISAR"))</f>
      </c>
    </row>
    <row r="292">
      <c r="A292" s="5"/>
      <c r="B292" s="5"/>
      <c r="C292" s="4"/>
      <c r="D292" s="4"/>
      <c r="E292" s="5"/>
      <c r="F292" s="4"/>
      <c r="G292" s="6">
        <f>IF(AND(A292="",B292=""),"",IF(COUNTIFS($A$2:$A$2001,A292,$B$2:$B$2001,B292)&gt;1,"DUPLICADO","OK"))</f>
      </c>
      <c r="H292" s="6">
        <f>IF(COUNTA(A292:F292)=0,"",IF(AND(A292&lt;&gt;"",B292&lt;&gt;"",E292&lt;&gt;""),"OK","ERRO: faltam "&amp;IF(A292="","Conta; ","")&amp;IF(B292="","Oportunidade; ","")&amp;IF(E292="","Novo gerente; ","")))</f>
      </c>
      <c r="I292" s="6">
        <f>IF(COUNTA(A292:F292)=0,"",IF(AND(G292="OK",H292="OK"),"OK","REVISAR"))</f>
      </c>
    </row>
    <row r="293">
      <c r="A293" s="5"/>
      <c r="B293" s="5"/>
      <c r="C293" s="4"/>
      <c r="D293" s="4"/>
      <c r="E293" s="5"/>
      <c r="F293" s="4"/>
      <c r="G293" s="6">
        <f>IF(AND(A293="",B293=""),"",IF(COUNTIFS($A$2:$A$2001,A293,$B$2:$B$2001,B293)&gt;1,"DUPLICADO","OK"))</f>
      </c>
      <c r="H293" s="6">
        <f>IF(COUNTA(A293:F293)=0,"",IF(AND(A293&lt;&gt;"",B293&lt;&gt;"",E293&lt;&gt;""),"OK","ERRO: faltam "&amp;IF(A293="","Conta; ","")&amp;IF(B293="","Oportunidade; ","")&amp;IF(E293="","Novo gerente; ","")))</f>
      </c>
      <c r="I293" s="6">
        <f>IF(COUNTA(A293:F293)=0,"",IF(AND(G293="OK",H293="OK"),"OK","REVISAR"))</f>
      </c>
    </row>
    <row r="294">
      <c r="A294" s="5"/>
      <c r="B294" s="5"/>
      <c r="C294" s="4"/>
      <c r="D294" s="4"/>
      <c r="E294" s="5"/>
      <c r="F294" s="4"/>
      <c r="G294" s="6">
        <f>IF(AND(A294="",B294=""),"",IF(COUNTIFS($A$2:$A$2001,A294,$B$2:$B$2001,B294)&gt;1,"DUPLICADO","OK"))</f>
      </c>
      <c r="H294" s="6">
        <f>IF(COUNTA(A294:F294)=0,"",IF(AND(A294&lt;&gt;"",B294&lt;&gt;"",E294&lt;&gt;""),"OK","ERRO: faltam "&amp;IF(A294="","Conta; ","")&amp;IF(B294="","Oportunidade; ","")&amp;IF(E294="","Novo gerente; ","")))</f>
      </c>
      <c r="I294" s="6">
        <f>IF(COUNTA(A294:F294)=0,"",IF(AND(G294="OK",H294="OK"),"OK","REVISAR"))</f>
      </c>
    </row>
    <row r="295">
      <c r="A295" s="5"/>
      <c r="B295" s="5"/>
      <c r="C295" s="4"/>
      <c r="D295" s="4"/>
      <c r="E295" s="5"/>
      <c r="F295" s="4"/>
      <c r="G295" s="6">
        <f>IF(AND(A295="",B295=""),"",IF(COUNTIFS($A$2:$A$2001,A295,$B$2:$B$2001,B295)&gt;1,"DUPLICADO","OK"))</f>
      </c>
      <c r="H295" s="6">
        <f>IF(COUNTA(A295:F295)=0,"",IF(AND(A295&lt;&gt;"",B295&lt;&gt;"",E295&lt;&gt;""),"OK","ERRO: faltam "&amp;IF(A295="","Conta; ","")&amp;IF(B295="","Oportunidade; ","")&amp;IF(E295="","Novo gerente; ","")))</f>
      </c>
      <c r="I295" s="6">
        <f>IF(COUNTA(A295:F295)=0,"",IF(AND(G295="OK",H295="OK"),"OK","REVISAR"))</f>
      </c>
    </row>
    <row r="296">
      <c r="A296" s="5"/>
      <c r="B296" s="5"/>
      <c r="C296" s="4"/>
      <c r="D296" s="4"/>
      <c r="E296" s="5"/>
      <c r="F296" s="4"/>
      <c r="G296" s="6">
        <f>IF(AND(A296="",B296=""),"",IF(COUNTIFS($A$2:$A$2001,A296,$B$2:$B$2001,B296)&gt;1,"DUPLICADO","OK"))</f>
      </c>
      <c r="H296" s="6">
        <f>IF(COUNTA(A296:F296)=0,"",IF(AND(A296&lt;&gt;"",B296&lt;&gt;"",E296&lt;&gt;""),"OK","ERRO: faltam "&amp;IF(A296="","Conta; ","")&amp;IF(B296="","Oportunidade; ","")&amp;IF(E296="","Novo gerente; ","")))</f>
      </c>
      <c r="I296" s="6">
        <f>IF(COUNTA(A296:F296)=0,"",IF(AND(G296="OK",H296="OK"),"OK","REVISAR"))</f>
      </c>
    </row>
    <row r="297">
      <c r="A297" s="5"/>
      <c r="B297" s="5"/>
      <c r="C297" s="4"/>
      <c r="D297" s="4"/>
      <c r="E297" s="5"/>
      <c r="F297" s="4"/>
      <c r="G297" s="6">
        <f>IF(AND(A297="",B297=""),"",IF(COUNTIFS($A$2:$A$2001,A297,$B$2:$B$2001,B297)&gt;1,"DUPLICADO","OK"))</f>
      </c>
      <c r="H297" s="6">
        <f>IF(COUNTA(A297:F297)=0,"",IF(AND(A297&lt;&gt;"",B297&lt;&gt;"",E297&lt;&gt;""),"OK","ERRO: faltam "&amp;IF(A297="","Conta; ","")&amp;IF(B297="","Oportunidade; ","")&amp;IF(E297="","Novo gerente; ","")))</f>
      </c>
      <c r="I297" s="6">
        <f>IF(COUNTA(A297:F297)=0,"",IF(AND(G297="OK",H297="OK"),"OK","REVISAR"))</f>
      </c>
    </row>
    <row r="298">
      <c r="A298" s="5"/>
      <c r="B298" s="5"/>
      <c r="C298" s="4"/>
      <c r="D298" s="4"/>
      <c r="E298" s="5"/>
      <c r="F298" s="4"/>
      <c r="G298" s="6">
        <f>IF(AND(A298="",B298=""),"",IF(COUNTIFS($A$2:$A$2001,A298,$B$2:$B$2001,B298)&gt;1,"DUPLICADO","OK"))</f>
      </c>
      <c r="H298" s="6">
        <f>IF(COUNTA(A298:F298)=0,"",IF(AND(A298&lt;&gt;"",B298&lt;&gt;"",E298&lt;&gt;""),"OK","ERRO: faltam "&amp;IF(A298="","Conta; ","")&amp;IF(B298="","Oportunidade; ","")&amp;IF(E298="","Novo gerente; ","")))</f>
      </c>
      <c r="I298" s="6">
        <f>IF(COUNTA(A298:F298)=0,"",IF(AND(G298="OK",H298="OK"),"OK","REVISAR"))</f>
      </c>
    </row>
    <row r="299">
      <c r="A299" s="5"/>
      <c r="B299" s="5"/>
      <c r="C299" s="4"/>
      <c r="D299" s="4"/>
      <c r="E299" s="5"/>
      <c r="F299" s="4"/>
      <c r="G299" s="6">
        <f>IF(AND(A299="",B299=""),"",IF(COUNTIFS($A$2:$A$2001,A299,$B$2:$B$2001,B299)&gt;1,"DUPLICADO","OK"))</f>
      </c>
      <c r="H299" s="6">
        <f>IF(COUNTA(A299:F299)=0,"",IF(AND(A299&lt;&gt;"",B299&lt;&gt;"",E299&lt;&gt;""),"OK","ERRO: faltam "&amp;IF(A299="","Conta; ","")&amp;IF(B299="","Oportunidade; ","")&amp;IF(E299="","Novo gerente; ","")))</f>
      </c>
      <c r="I299" s="6">
        <f>IF(COUNTA(A299:F299)=0,"",IF(AND(G299="OK",H299="OK"),"OK","REVISAR"))</f>
      </c>
    </row>
    <row r="300">
      <c r="A300" s="5"/>
      <c r="B300" s="5"/>
      <c r="C300" s="4"/>
      <c r="D300" s="4"/>
      <c r="E300" s="5"/>
      <c r="F300" s="4"/>
      <c r="G300" s="6">
        <f>IF(AND(A300="",B300=""),"",IF(COUNTIFS($A$2:$A$2001,A300,$B$2:$B$2001,B300)&gt;1,"DUPLICADO","OK"))</f>
      </c>
      <c r="H300" s="6">
        <f>IF(COUNTA(A300:F300)=0,"",IF(AND(A300&lt;&gt;"",B300&lt;&gt;"",E300&lt;&gt;""),"OK","ERRO: faltam "&amp;IF(A300="","Conta; ","")&amp;IF(B300="","Oportunidade; ","")&amp;IF(E300="","Novo gerente; ","")))</f>
      </c>
      <c r="I300" s="6">
        <f>IF(COUNTA(A300:F300)=0,"",IF(AND(G300="OK",H300="OK"),"OK","REVISAR"))</f>
      </c>
    </row>
    <row r="301">
      <c r="A301" s="5"/>
      <c r="B301" s="5"/>
      <c r="C301" s="4"/>
      <c r="D301" s="4"/>
      <c r="E301" s="5"/>
      <c r="F301" s="4"/>
      <c r="G301" s="6">
        <f>IF(AND(A301="",B301=""),"",IF(COUNTIFS($A$2:$A$2001,A301,$B$2:$B$2001,B301)&gt;1,"DUPLICADO","OK"))</f>
      </c>
      <c r="H301" s="6">
        <f>IF(COUNTA(A301:F301)=0,"",IF(AND(A301&lt;&gt;"",B301&lt;&gt;"",E301&lt;&gt;""),"OK","ERRO: faltam "&amp;IF(A301="","Conta; ","")&amp;IF(B301="","Oportunidade; ","")&amp;IF(E301="","Novo gerente; ","")))</f>
      </c>
      <c r="I301" s="6">
        <f>IF(COUNTA(A301:F301)=0,"",IF(AND(G301="OK",H301="OK"),"OK","REVISAR"))</f>
      </c>
    </row>
    <row r="302">
      <c r="A302" s="5"/>
      <c r="B302" s="5"/>
      <c r="C302" s="4"/>
      <c r="D302" s="4"/>
      <c r="E302" s="5"/>
      <c r="F302" s="4"/>
      <c r="G302" s="6">
        <f>IF(AND(A302="",B302=""),"",IF(COUNTIFS($A$2:$A$2001,A302,$B$2:$B$2001,B302)&gt;1,"DUPLICADO","OK"))</f>
      </c>
      <c r="H302" s="6">
        <f>IF(COUNTA(A302:F302)=0,"",IF(AND(A302&lt;&gt;"",B302&lt;&gt;"",E302&lt;&gt;""),"OK","ERRO: faltam "&amp;IF(A302="","Conta; ","")&amp;IF(B302="","Oportunidade; ","")&amp;IF(E302="","Novo gerente; ","")))</f>
      </c>
      <c r="I302" s="6">
        <f>IF(COUNTA(A302:F302)=0,"",IF(AND(G302="OK",H302="OK"),"OK","REVISAR"))</f>
      </c>
    </row>
    <row r="303">
      <c r="A303" s="5"/>
      <c r="B303" s="5"/>
      <c r="C303" s="4"/>
      <c r="D303" s="4"/>
      <c r="E303" s="5"/>
      <c r="F303" s="4"/>
      <c r="G303" s="6">
        <f>IF(AND(A303="",B303=""),"",IF(COUNTIFS($A$2:$A$2001,A303,$B$2:$B$2001,B303)&gt;1,"DUPLICADO","OK"))</f>
      </c>
      <c r="H303" s="6">
        <f>IF(COUNTA(A303:F303)=0,"",IF(AND(A303&lt;&gt;"",B303&lt;&gt;"",E303&lt;&gt;""),"OK","ERRO: faltam "&amp;IF(A303="","Conta; ","")&amp;IF(B303="","Oportunidade; ","")&amp;IF(E303="","Novo gerente; ","")))</f>
      </c>
      <c r="I303" s="6">
        <f>IF(COUNTA(A303:F303)=0,"",IF(AND(G303="OK",H303="OK"),"OK","REVISAR"))</f>
      </c>
    </row>
    <row r="304">
      <c r="A304" s="5"/>
      <c r="B304" s="5"/>
      <c r="C304" s="4"/>
      <c r="D304" s="4"/>
      <c r="E304" s="5"/>
      <c r="F304" s="4"/>
      <c r="G304" s="6">
        <f>IF(AND(A304="",B304=""),"",IF(COUNTIFS($A$2:$A$2001,A304,$B$2:$B$2001,B304)&gt;1,"DUPLICADO","OK"))</f>
      </c>
      <c r="H304" s="6">
        <f>IF(COUNTA(A304:F304)=0,"",IF(AND(A304&lt;&gt;"",B304&lt;&gt;"",E304&lt;&gt;""),"OK","ERRO: faltam "&amp;IF(A304="","Conta; ","")&amp;IF(B304="","Oportunidade; ","")&amp;IF(E304="","Novo gerente; ","")))</f>
      </c>
      <c r="I304" s="6">
        <f>IF(COUNTA(A304:F304)=0,"",IF(AND(G304="OK",H304="OK"),"OK","REVISAR"))</f>
      </c>
    </row>
    <row r="305">
      <c r="A305" s="5"/>
      <c r="B305" s="5"/>
      <c r="C305" s="4"/>
      <c r="D305" s="4"/>
      <c r="E305" s="5"/>
      <c r="F305" s="4"/>
      <c r="G305" s="6">
        <f>IF(AND(A305="",B305=""),"",IF(COUNTIFS($A$2:$A$2001,A305,$B$2:$B$2001,B305)&gt;1,"DUPLICADO","OK"))</f>
      </c>
      <c r="H305" s="6">
        <f>IF(COUNTA(A305:F305)=0,"",IF(AND(A305&lt;&gt;"",B305&lt;&gt;"",E305&lt;&gt;""),"OK","ERRO: faltam "&amp;IF(A305="","Conta; ","")&amp;IF(B305="","Oportunidade; ","")&amp;IF(E305="","Novo gerente; ","")))</f>
      </c>
      <c r="I305" s="6">
        <f>IF(COUNTA(A305:F305)=0,"",IF(AND(G305="OK",H305="OK"),"OK","REVISAR"))</f>
      </c>
    </row>
    <row r="306">
      <c r="A306" s="5"/>
      <c r="B306" s="5"/>
      <c r="C306" s="4"/>
      <c r="D306" s="4"/>
      <c r="E306" s="5"/>
      <c r="F306" s="4"/>
      <c r="G306" s="6">
        <f>IF(AND(A306="",B306=""),"",IF(COUNTIFS($A$2:$A$2001,A306,$B$2:$B$2001,B306)&gt;1,"DUPLICADO","OK"))</f>
      </c>
      <c r="H306" s="6">
        <f>IF(COUNTA(A306:F306)=0,"",IF(AND(A306&lt;&gt;"",B306&lt;&gt;"",E306&lt;&gt;""),"OK","ERRO: faltam "&amp;IF(A306="","Conta; ","")&amp;IF(B306="","Oportunidade; ","")&amp;IF(E306="","Novo gerente; ","")))</f>
      </c>
      <c r="I306" s="6">
        <f>IF(COUNTA(A306:F306)=0,"",IF(AND(G306="OK",H306="OK"),"OK","REVISAR"))</f>
      </c>
    </row>
    <row r="307">
      <c r="A307" s="5"/>
      <c r="B307" s="5"/>
      <c r="C307" s="4"/>
      <c r="D307" s="4"/>
      <c r="E307" s="5"/>
      <c r="F307" s="4"/>
      <c r="G307" s="6">
        <f>IF(AND(A307="",B307=""),"",IF(COUNTIFS($A$2:$A$2001,A307,$B$2:$B$2001,B307)&gt;1,"DUPLICADO","OK"))</f>
      </c>
      <c r="H307" s="6">
        <f>IF(COUNTA(A307:F307)=0,"",IF(AND(A307&lt;&gt;"",B307&lt;&gt;"",E307&lt;&gt;""),"OK","ERRO: faltam "&amp;IF(A307="","Conta; ","")&amp;IF(B307="","Oportunidade; ","")&amp;IF(E307="","Novo gerente; ","")))</f>
      </c>
      <c r="I307" s="6">
        <f>IF(COUNTA(A307:F307)=0,"",IF(AND(G307="OK",H307="OK"),"OK","REVISAR"))</f>
      </c>
    </row>
    <row r="308">
      <c r="A308" s="5"/>
      <c r="B308" s="5"/>
      <c r="C308" s="4"/>
      <c r="D308" s="4"/>
      <c r="E308" s="5"/>
      <c r="F308" s="4"/>
      <c r="G308" s="6">
        <f>IF(AND(A308="",B308=""),"",IF(COUNTIFS($A$2:$A$2001,A308,$B$2:$B$2001,B308)&gt;1,"DUPLICADO","OK"))</f>
      </c>
      <c r="H308" s="6">
        <f>IF(COUNTA(A308:F308)=0,"",IF(AND(A308&lt;&gt;"",B308&lt;&gt;"",E308&lt;&gt;""),"OK","ERRO: faltam "&amp;IF(A308="","Conta; ","")&amp;IF(B308="","Oportunidade; ","")&amp;IF(E308="","Novo gerente; ","")))</f>
      </c>
      <c r="I308" s="6">
        <f>IF(COUNTA(A308:F308)=0,"",IF(AND(G308="OK",H308="OK"),"OK","REVISAR"))</f>
      </c>
    </row>
    <row r="309">
      <c r="A309" s="5"/>
      <c r="B309" s="5"/>
      <c r="C309" s="4"/>
      <c r="D309" s="4"/>
      <c r="E309" s="5"/>
      <c r="F309" s="4"/>
      <c r="G309" s="6">
        <f>IF(AND(A309="",B309=""),"",IF(COUNTIFS($A$2:$A$2001,A309,$B$2:$B$2001,B309)&gt;1,"DUPLICADO","OK"))</f>
      </c>
      <c r="H309" s="6">
        <f>IF(COUNTA(A309:F309)=0,"",IF(AND(A309&lt;&gt;"",B309&lt;&gt;"",E309&lt;&gt;""),"OK","ERRO: faltam "&amp;IF(A309="","Conta; ","")&amp;IF(B309="","Oportunidade; ","")&amp;IF(E309="","Novo gerente; ","")))</f>
      </c>
      <c r="I309" s="6">
        <f>IF(COUNTA(A309:F309)=0,"",IF(AND(G309="OK",H309="OK"),"OK","REVISAR"))</f>
      </c>
    </row>
    <row r="310">
      <c r="A310" s="5"/>
      <c r="B310" s="5"/>
      <c r="C310" s="4"/>
      <c r="D310" s="4"/>
      <c r="E310" s="5"/>
      <c r="F310" s="4"/>
      <c r="G310" s="6">
        <f>IF(AND(A310="",B310=""),"",IF(COUNTIFS($A$2:$A$2001,A310,$B$2:$B$2001,B310)&gt;1,"DUPLICADO","OK"))</f>
      </c>
      <c r="H310" s="6">
        <f>IF(COUNTA(A310:F310)=0,"",IF(AND(A310&lt;&gt;"",B310&lt;&gt;"",E310&lt;&gt;""),"OK","ERRO: faltam "&amp;IF(A310="","Conta; ","")&amp;IF(B310="","Oportunidade; ","")&amp;IF(E310="","Novo gerente; ","")))</f>
      </c>
      <c r="I310" s="6">
        <f>IF(COUNTA(A310:F310)=0,"",IF(AND(G310="OK",H310="OK"),"OK","REVISAR"))</f>
      </c>
    </row>
    <row r="311">
      <c r="A311" s="5"/>
      <c r="B311" s="5"/>
      <c r="C311" s="4"/>
      <c r="D311" s="4"/>
      <c r="E311" s="5"/>
      <c r="F311" s="4"/>
      <c r="G311" s="6">
        <f>IF(AND(A311="",B311=""),"",IF(COUNTIFS($A$2:$A$2001,A311,$B$2:$B$2001,B311)&gt;1,"DUPLICADO","OK"))</f>
      </c>
      <c r="H311" s="6">
        <f>IF(COUNTA(A311:F311)=0,"",IF(AND(A311&lt;&gt;"",B311&lt;&gt;"",E311&lt;&gt;""),"OK","ERRO: faltam "&amp;IF(A311="","Conta; ","")&amp;IF(B311="","Oportunidade; ","")&amp;IF(E311="","Novo gerente; ","")))</f>
      </c>
      <c r="I311" s="6">
        <f>IF(COUNTA(A311:F311)=0,"",IF(AND(G311="OK",H311="OK"),"OK","REVISAR"))</f>
      </c>
    </row>
    <row r="312">
      <c r="A312" s="5"/>
      <c r="B312" s="5"/>
      <c r="C312" s="4"/>
      <c r="D312" s="4"/>
      <c r="E312" s="5"/>
      <c r="F312" s="4"/>
      <c r="G312" s="6">
        <f>IF(AND(A312="",B312=""),"",IF(COUNTIFS($A$2:$A$2001,A312,$B$2:$B$2001,B312)&gt;1,"DUPLICADO","OK"))</f>
      </c>
      <c r="H312" s="6">
        <f>IF(COUNTA(A312:F312)=0,"",IF(AND(A312&lt;&gt;"",B312&lt;&gt;"",E312&lt;&gt;""),"OK","ERRO: faltam "&amp;IF(A312="","Conta; ","")&amp;IF(B312="","Oportunidade; ","")&amp;IF(E312="","Novo gerente; ","")))</f>
      </c>
      <c r="I312" s="6">
        <f>IF(COUNTA(A312:F312)=0,"",IF(AND(G312="OK",H312="OK"),"OK","REVISAR"))</f>
      </c>
    </row>
    <row r="313">
      <c r="A313" s="5"/>
      <c r="B313" s="5"/>
      <c r="C313" s="4"/>
      <c r="D313" s="4"/>
      <c r="E313" s="5"/>
      <c r="F313" s="4"/>
      <c r="G313" s="6">
        <f>IF(AND(A313="",B313=""),"",IF(COUNTIFS($A$2:$A$2001,A313,$B$2:$B$2001,B313)&gt;1,"DUPLICADO","OK"))</f>
      </c>
      <c r="H313" s="6">
        <f>IF(COUNTA(A313:F313)=0,"",IF(AND(A313&lt;&gt;"",B313&lt;&gt;"",E313&lt;&gt;""),"OK","ERRO: faltam "&amp;IF(A313="","Conta; ","")&amp;IF(B313="","Oportunidade; ","")&amp;IF(E313="","Novo gerente; ","")))</f>
      </c>
      <c r="I313" s="6">
        <f>IF(COUNTA(A313:F313)=0,"",IF(AND(G313="OK",H313="OK"),"OK","REVISAR"))</f>
      </c>
    </row>
    <row r="314">
      <c r="A314" s="5"/>
      <c r="B314" s="5"/>
      <c r="C314" s="4"/>
      <c r="D314" s="4"/>
      <c r="E314" s="5"/>
      <c r="F314" s="4"/>
      <c r="G314" s="6">
        <f>IF(AND(A314="",B314=""),"",IF(COUNTIFS($A$2:$A$2001,A314,$B$2:$B$2001,B314)&gt;1,"DUPLICADO","OK"))</f>
      </c>
      <c r="H314" s="6">
        <f>IF(COUNTA(A314:F314)=0,"",IF(AND(A314&lt;&gt;"",B314&lt;&gt;"",E314&lt;&gt;""),"OK","ERRO: faltam "&amp;IF(A314="","Conta; ","")&amp;IF(B314="","Oportunidade; ","")&amp;IF(E314="","Novo gerente; ","")))</f>
      </c>
      <c r="I314" s="6">
        <f>IF(COUNTA(A314:F314)=0,"",IF(AND(G314="OK",H314="OK"),"OK","REVISAR"))</f>
      </c>
    </row>
    <row r="315">
      <c r="A315" s="5"/>
      <c r="B315" s="5"/>
      <c r="C315" s="4"/>
      <c r="D315" s="4"/>
      <c r="E315" s="5"/>
      <c r="F315" s="4"/>
      <c r="G315" s="6">
        <f>IF(AND(A315="",B315=""),"",IF(COUNTIFS($A$2:$A$2001,A315,$B$2:$B$2001,B315)&gt;1,"DUPLICADO","OK"))</f>
      </c>
      <c r="H315" s="6">
        <f>IF(COUNTA(A315:F315)=0,"",IF(AND(A315&lt;&gt;"",B315&lt;&gt;"",E315&lt;&gt;""),"OK","ERRO: faltam "&amp;IF(A315="","Conta; ","")&amp;IF(B315="","Oportunidade; ","")&amp;IF(E315="","Novo gerente; ","")))</f>
      </c>
      <c r="I315" s="6">
        <f>IF(COUNTA(A315:F315)=0,"",IF(AND(G315="OK",H315="OK"),"OK","REVISAR"))</f>
      </c>
    </row>
    <row r="316">
      <c r="A316" s="5"/>
      <c r="B316" s="5"/>
      <c r="C316" s="4"/>
      <c r="D316" s="4"/>
      <c r="E316" s="5"/>
      <c r="F316" s="4"/>
      <c r="G316" s="6">
        <f>IF(AND(A316="",B316=""),"",IF(COUNTIFS($A$2:$A$2001,A316,$B$2:$B$2001,B316)&gt;1,"DUPLICADO","OK"))</f>
      </c>
      <c r="H316" s="6">
        <f>IF(COUNTA(A316:F316)=0,"",IF(AND(A316&lt;&gt;"",B316&lt;&gt;"",E316&lt;&gt;""),"OK","ERRO: faltam "&amp;IF(A316="","Conta; ","")&amp;IF(B316="","Oportunidade; ","")&amp;IF(E316="","Novo gerente; ","")))</f>
      </c>
      <c r="I316" s="6">
        <f>IF(COUNTA(A316:F316)=0,"",IF(AND(G316="OK",H316="OK"),"OK","REVISAR"))</f>
      </c>
    </row>
    <row r="317">
      <c r="A317" s="5"/>
      <c r="B317" s="5"/>
      <c r="C317" s="4"/>
      <c r="D317" s="4"/>
      <c r="E317" s="5"/>
      <c r="F317" s="4"/>
      <c r="G317" s="6">
        <f>IF(AND(A317="",B317=""),"",IF(COUNTIFS($A$2:$A$2001,A317,$B$2:$B$2001,B317)&gt;1,"DUPLICADO","OK"))</f>
      </c>
      <c r="H317" s="6">
        <f>IF(COUNTA(A317:F317)=0,"",IF(AND(A317&lt;&gt;"",B317&lt;&gt;"",E317&lt;&gt;""),"OK","ERRO: faltam "&amp;IF(A317="","Conta; ","")&amp;IF(B317="","Oportunidade; ","")&amp;IF(E317="","Novo gerente; ","")))</f>
      </c>
      <c r="I317" s="6">
        <f>IF(COUNTA(A317:F317)=0,"",IF(AND(G317="OK",H317="OK"),"OK","REVISAR"))</f>
      </c>
    </row>
    <row r="318">
      <c r="A318" s="5"/>
      <c r="B318" s="5"/>
      <c r="C318" s="4"/>
      <c r="D318" s="4"/>
      <c r="E318" s="5"/>
      <c r="F318" s="4"/>
      <c r="G318" s="6">
        <f>IF(AND(A318="",B318=""),"",IF(COUNTIFS($A$2:$A$2001,A318,$B$2:$B$2001,B318)&gt;1,"DUPLICADO","OK"))</f>
      </c>
      <c r="H318" s="6">
        <f>IF(COUNTA(A318:F318)=0,"",IF(AND(A318&lt;&gt;"",B318&lt;&gt;"",E318&lt;&gt;""),"OK","ERRO: faltam "&amp;IF(A318="","Conta; ","")&amp;IF(B318="","Oportunidade; ","")&amp;IF(E318="","Novo gerente; ","")))</f>
      </c>
      <c r="I318" s="6">
        <f>IF(COUNTA(A318:F318)=0,"",IF(AND(G318="OK",H318="OK"),"OK","REVISAR"))</f>
      </c>
    </row>
    <row r="319">
      <c r="A319" s="5"/>
      <c r="B319" s="5"/>
      <c r="C319" s="4"/>
      <c r="D319" s="4"/>
      <c r="E319" s="5"/>
      <c r="F319" s="4"/>
      <c r="G319" s="6">
        <f>IF(AND(A319="",B319=""),"",IF(COUNTIFS($A$2:$A$2001,A319,$B$2:$B$2001,B319)&gt;1,"DUPLICADO","OK"))</f>
      </c>
      <c r="H319" s="6">
        <f>IF(COUNTA(A319:F319)=0,"",IF(AND(A319&lt;&gt;"",B319&lt;&gt;"",E319&lt;&gt;""),"OK","ERRO: faltam "&amp;IF(A319="","Conta; ","")&amp;IF(B319="","Oportunidade; ","")&amp;IF(E319="","Novo gerente; ","")))</f>
      </c>
      <c r="I319" s="6">
        <f>IF(COUNTA(A319:F319)=0,"",IF(AND(G319="OK",H319="OK"),"OK","REVISAR"))</f>
      </c>
    </row>
    <row r="320">
      <c r="A320" s="5"/>
      <c r="B320" s="5"/>
      <c r="C320" s="4"/>
      <c r="D320" s="4"/>
      <c r="E320" s="5"/>
      <c r="F320" s="4"/>
      <c r="G320" s="6">
        <f>IF(AND(A320="",B320=""),"",IF(COUNTIFS($A$2:$A$2001,A320,$B$2:$B$2001,B320)&gt;1,"DUPLICADO","OK"))</f>
      </c>
      <c r="H320" s="6">
        <f>IF(COUNTA(A320:F320)=0,"",IF(AND(A320&lt;&gt;"",B320&lt;&gt;"",E320&lt;&gt;""),"OK","ERRO: faltam "&amp;IF(A320="","Conta; ","")&amp;IF(B320="","Oportunidade; ","")&amp;IF(E320="","Novo gerente; ","")))</f>
      </c>
      <c r="I320" s="6">
        <f>IF(COUNTA(A320:F320)=0,"",IF(AND(G320="OK",H320="OK"),"OK","REVISAR"))</f>
      </c>
    </row>
    <row r="321">
      <c r="A321" s="5"/>
      <c r="B321" s="5"/>
      <c r="C321" s="4"/>
      <c r="D321" s="4"/>
      <c r="E321" s="5"/>
      <c r="F321" s="4"/>
      <c r="G321" s="6">
        <f>IF(AND(A321="",B321=""),"",IF(COUNTIFS($A$2:$A$2001,A321,$B$2:$B$2001,B321)&gt;1,"DUPLICADO","OK"))</f>
      </c>
      <c r="H321" s="6">
        <f>IF(COUNTA(A321:F321)=0,"",IF(AND(A321&lt;&gt;"",B321&lt;&gt;"",E321&lt;&gt;""),"OK","ERRO: faltam "&amp;IF(A321="","Conta; ","")&amp;IF(B321="","Oportunidade; ","")&amp;IF(E321="","Novo gerente; ","")))</f>
      </c>
      <c r="I321" s="6">
        <f>IF(COUNTA(A321:F321)=0,"",IF(AND(G321="OK",H321="OK"),"OK","REVISAR"))</f>
      </c>
    </row>
    <row r="322">
      <c r="A322" s="5"/>
      <c r="B322" s="5"/>
      <c r="C322" s="4"/>
      <c r="D322" s="4"/>
      <c r="E322" s="5"/>
      <c r="F322" s="4"/>
      <c r="G322" s="6">
        <f>IF(AND(A322="",B322=""),"",IF(COUNTIFS($A$2:$A$2001,A322,$B$2:$B$2001,B322)&gt;1,"DUPLICADO","OK"))</f>
      </c>
      <c r="H322" s="6">
        <f>IF(COUNTA(A322:F322)=0,"",IF(AND(A322&lt;&gt;"",B322&lt;&gt;"",E322&lt;&gt;""),"OK","ERRO: faltam "&amp;IF(A322="","Conta; ","")&amp;IF(B322="","Oportunidade; ","")&amp;IF(E322="","Novo gerente; ","")))</f>
      </c>
      <c r="I322" s="6">
        <f>IF(COUNTA(A322:F322)=0,"",IF(AND(G322="OK",H322="OK"),"OK","REVISAR"))</f>
      </c>
    </row>
    <row r="323">
      <c r="A323" s="5"/>
      <c r="B323" s="5"/>
      <c r="C323" s="4"/>
      <c r="D323" s="4"/>
      <c r="E323" s="5"/>
      <c r="F323" s="4"/>
      <c r="G323" s="6">
        <f>IF(AND(A323="",B323=""),"",IF(COUNTIFS($A$2:$A$2001,A323,$B$2:$B$2001,B323)&gt;1,"DUPLICADO","OK"))</f>
      </c>
      <c r="H323" s="6">
        <f>IF(COUNTA(A323:F323)=0,"",IF(AND(A323&lt;&gt;"",B323&lt;&gt;"",E323&lt;&gt;""),"OK","ERRO: faltam "&amp;IF(A323="","Conta; ","")&amp;IF(B323="","Oportunidade; ","")&amp;IF(E323="","Novo gerente; ","")))</f>
      </c>
      <c r="I323" s="6">
        <f>IF(COUNTA(A323:F323)=0,"",IF(AND(G323="OK",H323="OK"),"OK","REVISAR"))</f>
      </c>
    </row>
    <row r="324">
      <c r="A324" s="5"/>
      <c r="B324" s="5"/>
      <c r="C324" s="4"/>
      <c r="D324" s="4"/>
      <c r="E324" s="5"/>
      <c r="F324" s="4"/>
      <c r="G324" s="6">
        <f>IF(AND(A324="",B324=""),"",IF(COUNTIFS($A$2:$A$2001,A324,$B$2:$B$2001,B324)&gt;1,"DUPLICADO","OK"))</f>
      </c>
      <c r="H324" s="6">
        <f>IF(COUNTA(A324:F324)=0,"",IF(AND(A324&lt;&gt;"",B324&lt;&gt;"",E324&lt;&gt;""),"OK","ERRO: faltam "&amp;IF(A324="","Conta; ","")&amp;IF(B324="","Oportunidade; ","")&amp;IF(E324="","Novo gerente; ","")))</f>
      </c>
      <c r="I324" s="6">
        <f>IF(COUNTA(A324:F324)=0,"",IF(AND(G324="OK",H324="OK"),"OK","REVISAR"))</f>
      </c>
    </row>
    <row r="325">
      <c r="A325" s="5"/>
      <c r="B325" s="5"/>
      <c r="C325" s="4"/>
      <c r="D325" s="4"/>
      <c r="E325" s="5"/>
      <c r="F325" s="4"/>
      <c r="G325" s="6">
        <f>IF(AND(A325="",B325=""),"",IF(COUNTIFS($A$2:$A$2001,A325,$B$2:$B$2001,B325)&gt;1,"DUPLICADO","OK"))</f>
      </c>
      <c r="H325" s="6">
        <f>IF(COUNTA(A325:F325)=0,"",IF(AND(A325&lt;&gt;"",B325&lt;&gt;"",E325&lt;&gt;""),"OK","ERRO: faltam "&amp;IF(A325="","Conta; ","")&amp;IF(B325="","Oportunidade; ","")&amp;IF(E325="","Novo gerente; ","")))</f>
      </c>
      <c r="I325" s="6">
        <f>IF(COUNTA(A325:F325)=0,"",IF(AND(G325="OK",H325="OK"),"OK","REVISAR"))</f>
      </c>
    </row>
    <row r="326">
      <c r="A326" s="5"/>
      <c r="B326" s="5"/>
      <c r="C326" s="4"/>
      <c r="D326" s="4"/>
      <c r="E326" s="5"/>
      <c r="F326" s="4"/>
      <c r="G326" s="6">
        <f>IF(AND(A326="",B326=""),"",IF(COUNTIFS($A$2:$A$2001,A326,$B$2:$B$2001,B326)&gt;1,"DUPLICADO","OK"))</f>
      </c>
      <c r="H326" s="6">
        <f>IF(COUNTA(A326:F326)=0,"",IF(AND(A326&lt;&gt;"",B326&lt;&gt;"",E326&lt;&gt;""),"OK","ERRO: faltam "&amp;IF(A326="","Conta; ","")&amp;IF(B326="","Oportunidade; ","")&amp;IF(E326="","Novo gerente; ","")))</f>
      </c>
      <c r="I326" s="6">
        <f>IF(COUNTA(A326:F326)=0,"",IF(AND(G326="OK",H326="OK"),"OK","REVISAR"))</f>
      </c>
    </row>
    <row r="327">
      <c r="A327" s="5"/>
      <c r="B327" s="5"/>
      <c r="C327" s="4"/>
      <c r="D327" s="4"/>
      <c r="E327" s="5"/>
      <c r="F327" s="4"/>
      <c r="G327" s="6">
        <f>IF(AND(A327="",B327=""),"",IF(COUNTIFS($A$2:$A$2001,A327,$B$2:$B$2001,B327)&gt;1,"DUPLICADO","OK"))</f>
      </c>
      <c r="H327" s="6">
        <f>IF(COUNTA(A327:F327)=0,"",IF(AND(A327&lt;&gt;"",B327&lt;&gt;"",E327&lt;&gt;""),"OK","ERRO: faltam "&amp;IF(A327="","Conta; ","")&amp;IF(B327="","Oportunidade; ","")&amp;IF(E327="","Novo gerente; ","")))</f>
      </c>
      <c r="I327" s="6">
        <f>IF(COUNTA(A327:F327)=0,"",IF(AND(G327="OK",H327="OK"),"OK","REVISAR"))</f>
      </c>
    </row>
    <row r="328">
      <c r="A328" s="5"/>
      <c r="B328" s="5"/>
      <c r="C328" s="4"/>
      <c r="D328" s="4"/>
      <c r="E328" s="5"/>
      <c r="F328" s="4"/>
      <c r="G328" s="6">
        <f>IF(AND(A328="",B328=""),"",IF(COUNTIFS($A$2:$A$2001,A328,$B$2:$B$2001,B328)&gt;1,"DUPLICADO","OK"))</f>
      </c>
      <c r="H328" s="6">
        <f>IF(COUNTA(A328:F328)=0,"",IF(AND(A328&lt;&gt;"",B328&lt;&gt;"",E328&lt;&gt;""),"OK","ERRO: faltam "&amp;IF(A328="","Conta; ","")&amp;IF(B328="","Oportunidade; ","")&amp;IF(E328="","Novo gerente; ","")))</f>
      </c>
      <c r="I328" s="6">
        <f>IF(COUNTA(A328:F328)=0,"",IF(AND(G328="OK",H328="OK"),"OK","REVISAR"))</f>
      </c>
    </row>
    <row r="329">
      <c r="A329" s="5"/>
      <c r="B329" s="5"/>
      <c r="C329" s="4"/>
      <c r="D329" s="4"/>
      <c r="E329" s="5"/>
      <c r="F329" s="4"/>
      <c r="G329" s="6">
        <f>IF(AND(A329="",B329=""),"",IF(COUNTIFS($A$2:$A$2001,A329,$B$2:$B$2001,B329)&gt;1,"DUPLICADO","OK"))</f>
      </c>
      <c r="H329" s="6">
        <f>IF(COUNTA(A329:F329)=0,"",IF(AND(A329&lt;&gt;"",B329&lt;&gt;"",E329&lt;&gt;""),"OK","ERRO: faltam "&amp;IF(A329="","Conta; ","")&amp;IF(B329="","Oportunidade; ","")&amp;IF(E329="","Novo gerente; ","")))</f>
      </c>
      <c r="I329" s="6">
        <f>IF(COUNTA(A329:F329)=0,"",IF(AND(G329="OK",H329="OK"),"OK","REVISAR"))</f>
      </c>
    </row>
    <row r="330">
      <c r="A330" s="5"/>
      <c r="B330" s="5"/>
      <c r="C330" s="4"/>
      <c r="D330" s="4"/>
      <c r="E330" s="5"/>
      <c r="F330" s="4"/>
      <c r="G330" s="6">
        <f>IF(AND(A330="",B330=""),"",IF(COUNTIFS($A$2:$A$2001,A330,$B$2:$B$2001,B330)&gt;1,"DUPLICADO","OK"))</f>
      </c>
      <c r="H330" s="6">
        <f>IF(COUNTA(A330:F330)=0,"",IF(AND(A330&lt;&gt;"",B330&lt;&gt;"",E330&lt;&gt;""),"OK","ERRO: faltam "&amp;IF(A330="","Conta; ","")&amp;IF(B330="","Oportunidade; ","")&amp;IF(E330="","Novo gerente; ","")))</f>
      </c>
      <c r="I330" s="6">
        <f>IF(COUNTA(A330:F330)=0,"",IF(AND(G330="OK",H330="OK"),"OK","REVISAR"))</f>
      </c>
    </row>
    <row r="331">
      <c r="A331" s="5"/>
      <c r="B331" s="5"/>
      <c r="C331" s="4"/>
      <c r="D331" s="4"/>
      <c r="E331" s="5"/>
      <c r="F331" s="4"/>
      <c r="G331" s="6">
        <f>IF(AND(A331="",B331=""),"",IF(COUNTIFS($A$2:$A$2001,A331,$B$2:$B$2001,B331)&gt;1,"DUPLICADO","OK"))</f>
      </c>
      <c r="H331" s="6">
        <f>IF(COUNTA(A331:F331)=0,"",IF(AND(A331&lt;&gt;"",B331&lt;&gt;"",E331&lt;&gt;""),"OK","ERRO: faltam "&amp;IF(A331="","Conta; ","")&amp;IF(B331="","Oportunidade; ","")&amp;IF(E331="","Novo gerente; ","")))</f>
      </c>
      <c r="I331" s="6">
        <f>IF(COUNTA(A331:F331)=0,"",IF(AND(G331="OK",H331="OK"),"OK","REVISAR"))</f>
      </c>
    </row>
    <row r="332">
      <c r="A332" s="5"/>
      <c r="B332" s="5"/>
      <c r="C332" s="4"/>
      <c r="D332" s="4"/>
      <c r="E332" s="5"/>
      <c r="F332" s="4"/>
      <c r="G332" s="6">
        <f>IF(AND(A332="",B332=""),"",IF(COUNTIFS($A$2:$A$2001,A332,$B$2:$B$2001,B332)&gt;1,"DUPLICADO","OK"))</f>
      </c>
      <c r="H332" s="6">
        <f>IF(COUNTA(A332:F332)=0,"",IF(AND(A332&lt;&gt;"",B332&lt;&gt;"",E332&lt;&gt;""),"OK","ERRO: faltam "&amp;IF(A332="","Conta; ","")&amp;IF(B332="","Oportunidade; ","")&amp;IF(E332="","Novo gerente; ","")))</f>
      </c>
      <c r="I332" s="6">
        <f>IF(COUNTA(A332:F332)=0,"",IF(AND(G332="OK",H332="OK"),"OK","REVISAR"))</f>
      </c>
    </row>
    <row r="333">
      <c r="A333" s="5"/>
      <c r="B333" s="5"/>
      <c r="C333" s="4"/>
      <c r="D333" s="4"/>
      <c r="E333" s="5"/>
      <c r="F333" s="4"/>
      <c r="G333" s="6">
        <f>IF(AND(A333="",B333=""),"",IF(COUNTIFS($A$2:$A$2001,A333,$B$2:$B$2001,B333)&gt;1,"DUPLICADO","OK"))</f>
      </c>
      <c r="H333" s="6">
        <f>IF(COUNTA(A333:F333)=0,"",IF(AND(A333&lt;&gt;"",B333&lt;&gt;"",E333&lt;&gt;""),"OK","ERRO: faltam "&amp;IF(A333="","Conta; ","")&amp;IF(B333="","Oportunidade; ","")&amp;IF(E333="","Novo gerente; ","")))</f>
      </c>
      <c r="I333" s="6">
        <f>IF(COUNTA(A333:F333)=0,"",IF(AND(G333="OK",H333="OK"),"OK","REVISAR"))</f>
      </c>
    </row>
    <row r="334">
      <c r="A334" s="5"/>
      <c r="B334" s="5"/>
      <c r="C334" s="4"/>
      <c r="D334" s="4"/>
      <c r="E334" s="5"/>
      <c r="F334" s="4"/>
      <c r="G334" s="6">
        <f>IF(AND(A334="",B334=""),"",IF(COUNTIFS($A$2:$A$2001,A334,$B$2:$B$2001,B334)&gt;1,"DUPLICADO","OK"))</f>
      </c>
      <c r="H334" s="6">
        <f>IF(COUNTA(A334:F334)=0,"",IF(AND(A334&lt;&gt;"",B334&lt;&gt;"",E334&lt;&gt;""),"OK","ERRO: faltam "&amp;IF(A334="","Conta; ","")&amp;IF(B334="","Oportunidade; ","")&amp;IF(E334="","Novo gerente; ","")))</f>
      </c>
      <c r="I334" s="6">
        <f>IF(COUNTA(A334:F334)=0,"",IF(AND(G334="OK",H334="OK"),"OK","REVISAR"))</f>
      </c>
    </row>
    <row r="335">
      <c r="A335" s="5"/>
      <c r="B335" s="5"/>
      <c r="C335" s="4"/>
      <c r="D335" s="4"/>
      <c r="E335" s="5"/>
      <c r="F335" s="4"/>
      <c r="G335" s="6">
        <f>IF(AND(A335="",B335=""),"",IF(COUNTIFS($A$2:$A$2001,A335,$B$2:$B$2001,B335)&gt;1,"DUPLICADO","OK"))</f>
      </c>
      <c r="H335" s="6">
        <f>IF(COUNTA(A335:F335)=0,"",IF(AND(A335&lt;&gt;"",B335&lt;&gt;"",E335&lt;&gt;""),"OK","ERRO: faltam "&amp;IF(A335="","Conta; ","")&amp;IF(B335="","Oportunidade; ","")&amp;IF(E335="","Novo gerente; ","")))</f>
      </c>
      <c r="I335" s="6">
        <f>IF(COUNTA(A335:F335)=0,"",IF(AND(G335="OK",H335="OK"),"OK","REVISAR"))</f>
      </c>
    </row>
    <row r="336">
      <c r="A336" s="5"/>
      <c r="B336" s="5"/>
      <c r="C336" s="4"/>
      <c r="D336" s="4"/>
      <c r="E336" s="5"/>
      <c r="F336" s="4"/>
      <c r="G336" s="6">
        <f>IF(AND(A336="",B336=""),"",IF(COUNTIFS($A$2:$A$2001,A336,$B$2:$B$2001,B336)&gt;1,"DUPLICADO","OK"))</f>
      </c>
      <c r="H336" s="6">
        <f>IF(COUNTA(A336:F336)=0,"",IF(AND(A336&lt;&gt;"",B336&lt;&gt;"",E336&lt;&gt;""),"OK","ERRO: faltam "&amp;IF(A336="","Conta; ","")&amp;IF(B336="","Oportunidade; ","")&amp;IF(E336="","Novo gerente; ","")))</f>
      </c>
      <c r="I336" s="6">
        <f>IF(COUNTA(A336:F336)=0,"",IF(AND(G336="OK",H336="OK"),"OK","REVISAR"))</f>
      </c>
    </row>
    <row r="337">
      <c r="A337" s="5"/>
      <c r="B337" s="5"/>
      <c r="C337" s="4"/>
      <c r="D337" s="4"/>
      <c r="E337" s="5"/>
      <c r="F337" s="4"/>
      <c r="G337" s="6">
        <f>IF(AND(A337="",B337=""),"",IF(COUNTIFS($A$2:$A$2001,A337,$B$2:$B$2001,B337)&gt;1,"DUPLICADO","OK"))</f>
      </c>
      <c r="H337" s="6">
        <f>IF(COUNTA(A337:F337)=0,"",IF(AND(A337&lt;&gt;"",B337&lt;&gt;"",E337&lt;&gt;""),"OK","ERRO: faltam "&amp;IF(A337="","Conta; ","")&amp;IF(B337="","Oportunidade; ","")&amp;IF(E337="","Novo gerente; ","")))</f>
      </c>
      <c r="I337" s="6">
        <f>IF(COUNTA(A337:F337)=0,"",IF(AND(G337="OK",H337="OK"),"OK","REVISAR"))</f>
      </c>
    </row>
    <row r="338">
      <c r="A338" s="5"/>
      <c r="B338" s="5"/>
      <c r="C338" s="4"/>
      <c r="D338" s="4"/>
      <c r="E338" s="5"/>
      <c r="F338" s="4"/>
      <c r="G338" s="6">
        <f>IF(AND(A338="",B338=""),"",IF(COUNTIFS($A$2:$A$2001,A338,$B$2:$B$2001,B338)&gt;1,"DUPLICADO","OK"))</f>
      </c>
      <c r="H338" s="6">
        <f>IF(COUNTA(A338:F338)=0,"",IF(AND(A338&lt;&gt;"",B338&lt;&gt;"",E338&lt;&gt;""),"OK","ERRO: faltam "&amp;IF(A338="","Conta; ","")&amp;IF(B338="","Oportunidade; ","")&amp;IF(E338="","Novo gerente; ","")))</f>
      </c>
      <c r="I338" s="6">
        <f>IF(COUNTA(A338:F338)=0,"",IF(AND(G338="OK",H338="OK"),"OK","REVISAR"))</f>
      </c>
    </row>
    <row r="339">
      <c r="A339" s="5"/>
      <c r="B339" s="5"/>
      <c r="C339" s="4"/>
      <c r="D339" s="4"/>
      <c r="E339" s="5"/>
      <c r="F339" s="4"/>
      <c r="G339" s="6">
        <f>IF(AND(A339="",B339=""),"",IF(COUNTIFS($A$2:$A$2001,A339,$B$2:$B$2001,B339)&gt;1,"DUPLICADO","OK"))</f>
      </c>
      <c r="H339" s="6">
        <f>IF(COUNTA(A339:F339)=0,"",IF(AND(A339&lt;&gt;"",B339&lt;&gt;"",E339&lt;&gt;""),"OK","ERRO: faltam "&amp;IF(A339="","Conta; ","")&amp;IF(B339="","Oportunidade; ","")&amp;IF(E339="","Novo gerente; ","")))</f>
      </c>
      <c r="I339" s="6">
        <f>IF(COUNTA(A339:F339)=0,"",IF(AND(G339="OK",H339="OK"),"OK","REVISAR"))</f>
      </c>
    </row>
    <row r="340">
      <c r="A340" s="5"/>
      <c r="B340" s="5"/>
      <c r="C340" s="4"/>
      <c r="D340" s="4"/>
      <c r="E340" s="5"/>
      <c r="F340" s="4"/>
      <c r="G340" s="6">
        <f>IF(AND(A340="",B340=""),"",IF(COUNTIFS($A$2:$A$2001,A340,$B$2:$B$2001,B340)&gt;1,"DUPLICADO","OK"))</f>
      </c>
      <c r="H340" s="6">
        <f>IF(COUNTA(A340:F340)=0,"",IF(AND(A340&lt;&gt;"",B340&lt;&gt;"",E340&lt;&gt;""),"OK","ERRO: faltam "&amp;IF(A340="","Conta; ","")&amp;IF(B340="","Oportunidade; ","")&amp;IF(E340="","Novo gerente; ","")))</f>
      </c>
      <c r="I340" s="6">
        <f>IF(COUNTA(A340:F340)=0,"",IF(AND(G340="OK",H340="OK"),"OK","REVISAR"))</f>
      </c>
    </row>
    <row r="341">
      <c r="A341" s="5"/>
      <c r="B341" s="5"/>
      <c r="C341" s="4"/>
      <c r="D341" s="4"/>
      <c r="E341" s="5"/>
      <c r="F341" s="4"/>
      <c r="G341" s="6">
        <f>IF(AND(A341="",B341=""),"",IF(COUNTIFS($A$2:$A$2001,A341,$B$2:$B$2001,B341)&gt;1,"DUPLICADO","OK"))</f>
      </c>
      <c r="H341" s="6">
        <f>IF(COUNTA(A341:F341)=0,"",IF(AND(A341&lt;&gt;"",B341&lt;&gt;"",E341&lt;&gt;""),"OK","ERRO: faltam "&amp;IF(A341="","Conta; ","")&amp;IF(B341="","Oportunidade; ","")&amp;IF(E341="","Novo gerente; ","")))</f>
      </c>
      <c r="I341" s="6">
        <f>IF(COUNTA(A341:F341)=0,"",IF(AND(G341="OK",H341="OK"),"OK","REVISAR"))</f>
      </c>
    </row>
    <row r="342">
      <c r="A342" s="5"/>
      <c r="B342" s="5"/>
      <c r="C342" s="4"/>
      <c r="D342" s="4"/>
      <c r="E342" s="5"/>
      <c r="F342" s="4"/>
      <c r="G342" s="6">
        <f>IF(AND(A342="",B342=""),"",IF(COUNTIFS($A$2:$A$2001,A342,$B$2:$B$2001,B342)&gt;1,"DUPLICADO","OK"))</f>
      </c>
      <c r="H342" s="6">
        <f>IF(COUNTA(A342:F342)=0,"",IF(AND(A342&lt;&gt;"",B342&lt;&gt;"",E342&lt;&gt;""),"OK","ERRO: faltam "&amp;IF(A342="","Conta; ","")&amp;IF(B342="","Oportunidade; ","")&amp;IF(E342="","Novo gerente; ","")))</f>
      </c>
      <c r="I342" s="6">
        <f>IF(COUNTA(A342:F342)=0,"",IF(AND(G342="OK",H342="OK"),"OK","REVISAR"))</f>
      </c>
    </row>
    <row r="343">
      <c r="A343" s="5"/>
      <c r="B343" s="5"/>
      <c r="C343" s="4"/>
      <c r="D343" s="4"/>
      <c r="E343" s="5"/>
      <c r="F343" s="4"/>
      <c r="G343" s="6">
        <f>IF(AND(A343="",B343=""),"",IF(COUNTIFS($A$2:$A$2001,A343,$B$2:$B$2001,B343)&gt;1,"DUPLICADO","OK"))</f>
      </c>
      <c r="H343" s="6">
        <f>IF(COUNTA(A343:F343)=0,"",IF(AND(A343&lt;&gt;"",B343&lt;&gt;"",E343&lt;&gt;""),"OK","ERRO: faltam "&amp;IF(A343="","Conta; ","")&amp;IF(B343="","Oportunidade; ","")&amp;IF(E343="","Novo gerente; ","")))</f>
      </c>
      <c r="I343" s="6">
        <f>IF(COUNTA(A343:F343)=0,"",IF(AND(G343="OK",H343="OK"),"OK","REVISAR"))</f>
      </c>
    </row>
    <row r="344">
      <c r="A344" s="5"/>
      <c r="B344" s="5"/>
      <c r="C344" s="4"/>
      <c r="D344" s="4"/>
      <c r="E344" s="5"/>
      <c r="F344" s="4"/>
      <c r="G344" s="6">
        <f>IF(AND(A344="",B344=""),"",IF(COUNTIFS($A$2:$A$2001,A344,$B$2:$B$2001,B344)&gt;1,"DUPLICADO","OK"))</f>
      </c>
      <c r="H344" s="6">
        <f>IF(COUNTA(A344:F344)=0,"",IF(AND(A344&lt;&gt;"",B344&lt;&gt;"",E344&lt;&gt;""),"OK","ERRO: faltam "&amp;IF(A344="","Conta; ","")&amp;IF(B344="","Oportunidade; ","")&amp;IF(E344="","Novo gerente; ","")))</f>
      </c>
      <c r="I344" s="6">
        <f>IF(COUNTA(A344:F344)=0,"",IF(AND(G344="OK",H344="OK"),"OK","REVISAR"))</f>
      </c>
    </row>
    <row r="345">
      <c r="A345" s="5"/>
      <c r="B345" s="5"/>
      <c r="C345" s="4"/>
      <c r="D345" s="4"/>
      <c r="E345" s="5"/>
      <c r="F345" s="4"/>
      <c r="G345" s="6">
        <f>IF(AND(A345="",B345=""),"",IF(COUNTIFS($A$2:$A$2001,A345,$B$2:$B$2001,B345)&gt;1,"DUPLICADO","OK"))</f>
      </c>
      <c r="H345" s="6">
        <f>IF(COUNTA(A345:F345)=0,"",IF(AND(A345&lt;&gt;"",B345&lt;&gt;"",E345&lt;&gt;""),"OK","ERRO: faltam "&amp;IF(A345="","Conta; ","")&amp;IF(B345="","Oportunidade; ","")&amp;IF(E345="","Novo gerente; ","")))</f>
      </c>
      <c r="I345" s="6">
        <f>IF(COUNTA(A345:F345)=0,"",IF(AND(G345="OK",H345="OK"),"OK","REVISAR"))</f>
      </c>
    </row>
    <row r="346">
      <c r="A346" s="5"/>
      <c r="B346" s="5"/>
      <c r="C346" s="4"/>
      <c r="D346" s="4"/>
      <c r="E346" s="5"/>
      <c r="F346" s="4"/>
      <c r="G346" s="6">
        <f>IF(AND(A346="",B346=""),"",IF(COUNTIFS($A$2:$A$2001,A346,$B$2:$B$2001,B346)&gt;1,"DUPLICADO","OK"))</f>
      </c>
      <c r="H346" s="6">
        <f>IF(COUNTA(A346:F346)=0,"",IF(AND(A346&lt;&gt;"",B346&lt;&gt;"",E346&lt;&gt;""),"OK","ERRO: faltam "&amp;IF(A346="","Conta; ","")&amp;IF(B346="","Oportunidade; ","")&amp;IF(E346="","Novo gerente; ","")))</f>
      </c>
      <c r="I346" s="6">
        <f>IF(COUNTA(A346:F346)=0,"",IF(AND(G346="OK",H346="OK"),"OK","REVISAR"))</f>
      </c>
    </row>
    <row r="347">
      <c r="A347" s="5"/>
      <c r="B347" s="5"/>
      <c r="C347" s="4"/>
      <c r="D347" s="4"/>
      <c r="E347" s="5"/>
      <c r="F347" s="4"/>
      <c r="G347" s="6">
        <f>IF(AND(A347="",B347=""),"",IF(COUNTIFS($A$2:$A$2001,A347,$B$2:$B$2001,B347)&gt;1,"DUPLICADO","OK"))</f>
      </c>
      <c r="H347" s="6">
        <f>IF(COUNTA(A347:F347)=0,"",IF(AND(A347&lt;&gt;"",B347&lt;&gt;"",E347&lt;&gt;""),"OK","ERRO: faltam "&amp;IF(A347="","Conta; ","")&amp;IF(B347="","Oportunidade; ","")&amp;IF(E347="","Novo gerente; ","")))</f>
      </c>
      <c r="I347" s="6">
        <f>IF(COUNTA(A347:F347)=0,"",IF(AND(G347="OK",H347="OK"),"OK","REVISAR"))</f>
      </c>
    </row>
    <row r="348">
      <c r="A348" s="5"/>
      <c r="B348" s="5"/>
      <c r="C348" s="4"/>
      <c r="D348" s="4"/>
      <c r="E348" s="5"/>
      <c r="F348" s="4"/>
      <c r="G348" s="6">
        <f>IF(AND(A348="",B348=""),"",IF(COUNTIFS($A$2:$A$2001,A348,$B$2:$B$2001,B348)&gt;1,"DUPLICADO","OK"))</f>
      </c>
      <c r="H348" s="6">
        <f>IF(COUNTA(A348:F348)=0,"",IF(AND(A348&lt;&gt;"",B348&lt;&gt;"",E348&lt;&gt;""),"OK","ERRO: faltam "&amp;IF(A348="","Conta; ","")&amp;IF(B348="","Oportunidade; ","")&amp;IF(E348="","Novo gerente; ","")))</f>
      </c>
      <c r="I348" s="6">
        <f>IF(COUNTA(A348:F348)=0,"",IF(AND(G348="OK",H348="OK"),"OK","REVISAR"))</f>
      </c>
    </row>
    <row r="349">
      <c r="A349" s="5"/>
      <c r="B349" s="5"/>
      <c r="C349" s="4"/>
      <c r="D349" s="4"/>
      <c r="E349" s="5"/>
      <c r="F349" s="4"/>
      <c r="G349" s="6">
        <f>IF(AND(A349="",B349=""),"",IF(COUNTIFS($A$2:$A$2001,A349,$B$2:$B$2001,B349)&gt;1,"DUPLICADO","OK"))</f>
      </c>
      <c r="H349" s="6">
        <f>IF(COUNTA(A349:F349)=0,"",IF(AND(A349&lt;&gt;"",B349&lt;&gt;"",E349&lt;&gt;""),"OK","ERRO: faltam "&amp;IF(A349="","Conta; ","")&amp;IF(B349="","Oportunidade; ","")&amp;IF(E349="","Novo gerente; ","")))</f>
      </c>
      <c r="I349" s="6">
        <f>IF(COUNTA(A349:F349)=0,"",IF(AND(G349="OK",H349="OK"),"OK","REVISAR"))</f>
      </c>
    </row>
    <row r="350">
      <c r="A350" s="5"/>
      <c r="B350" s="5"/>
      <c r="C350" s="4"/>
      <c r="D350" s="4"/>
      <c r="E350" s="5"/>
      <c r="F350" s="4"/>
      <c r="G350" s="6">
        <f>IF(AND(A350="",B350=""),"",IF(COUNTIFS($A$2:$A$2001,A350,$B$2:$B$2001,B350)&gt;1,"DUPLICADO","OK"))</f>
      </c>
      <c r="H350" s="6">
        <f>IF(COUNTA(A350:F350)=0,"",IF(AND(A350&lt;&gt;"",B350&lt;&gt;"",E350&lt;&gt;""),"OK","ERRO: faltam "&amp;IF(A350="","Conta; ","")&amp;IF(B350="","Oportunidade; ","")&amp;IF(E350="","Novo gerente; ","")))</f>
      </c>
      <c r="I350" s="6">
        <f>IF(COUNTA(A350:F350)=0,"",IF(AND(G350="OK",H350="OK"),"OK","REVISAR"))</f>
      </c>
    </row>
    <row r="351">
      <c r="A351" s="5"/>
      <c r="B351" s="5"/>
      <c r="C351" s="4"/>
      <c r="D351" s="4"/>
      <c r="E351" s="5"/>
      <c r="F351" s="4"/>
      <c r="G351" s="6">
        <f>IF(AND(A351="",B351=""),"",IF(COUNTIFS($A$2:$A$2001,A351,$B$2:$B$2001,B351)&gt;1,"DUPLICADO","OK"))</f>
      </c>
      <c r="H351" s="6">
        <f>IF(COUNTA(A351:F351)=0,"",IF(AND(A351&lt;&gt;"",B351&lt;&gt;"",E351&lt;&gt;""),"OK","ERRO: faltam "&amp;IF(A351="","Conta; ","")&amp;IF(B351="","Oportunidade; ","")&amp;IF(E351="","Novo gerente; ","")))</f>
      </c>
      <c r="I351" s="6">
        <f>IF(COUNTA(A351:F351)=0,"",IF(AND(G351="OK",H351="OK"),"OK","REVISAR"))</f>
      </c>
    </row>
    <row r="352">
      <c r="A352" s="5"/>
      <c r="B352" s="5"/>
      <c r="C352" s="4"/>
      <c r="D352" s="4"/>
      <c r="E352" s="5"/>
      <c r="F352" s="4"/>
      <c r="G352" s="6">
        <f>IF(AND(A352="",B352=""),"",IF(COUNTIFS($A$2:$A$2001,A352,$B$2:$B$2001,B352)&gt;1,"DUPLICADO","OK"))</f>
      </c>
      <c r="H352" s="6">
        <f>IF(COUNTA(A352:F352)=0,"",IF(AND(A352&lt;&gt;"",B352&lt;&gt;"",E352&lt;&gt;""),"OK","ERRO: faltam "&amp;IF(A352="","Conta; ","")&amp;IF(B352="","Oportunidade; ","")&amp;IF(E352="","Novo gerente; ","")))</f>
      </c>
      <c r="I352" s="6">
        <f>IF(COUNTA(A352:F352)=0,"",IF(AND(G352="OK",H352="OK"),"OK","REVISAR"))</f>
      </c>
    </row>
    <row r="353">
      <c r="A353" s="5"/>
      <c r="B353" s="5"/>
      <c r="C353" s="4"/>
      <c r="D353" s="4"/>
      <c r="E353" s="5"/>
      <c r="F353" s="4"/>
      <c r="G353" s="6">
        <f>IF(AND(A353="",B353=""),"",IF(COUNTIFS($A$2:$A$2001,A353,$B$2:$B$2001,B353)&gt;1,"DUPLICADO","OK"))</f>
      </c>
      <c r="H353" s="6">
        <f>IF(COUNTA(A353:F353)=0,"",IF(AND(A353&lt;&gt;"",B353&lt;&gt;"",E353&lt;&gt;""),"OK","ERRO: faltam "&amp;IF(A353="","Conta; ","")&amp;IF(B353="","Oportunidade; ","")&amp;IF(E353="","Novo gerente; ","")))</f>
      </c>
      <c r="I353" s="6">
        <f>IF(COUNTA(A353:F353)=0,"",IF(AND(G353="OK",H353="OK"),"OK","REVISAR"))</f>
      </c>
    </row>
    <row r="354">
      <c r="A354" s="5"/>
      <c r="B354" s="5"/>
      <c r="C354" s="4"/>
      <c r="D354" s="4"/>
      <c r="E354" s="5"/>
      <c r="F354" s="4"/>
      <c r="G354" s="6">
        <f>IF(AND(A354="",B354=""),"",IF(COUNTIFS($A$2:$A$2001,A354,$B$2:$B$2001,B354)&gt;1,"DUPLICADO","OK"))</f>
      </c>
      <c r="H354" s="6">
        <f>IF(COUNTA(A354:F354)=0,"",IF(AND(A354&lt;&gt;"",B354&lt;&gt;"",E354&lt;&gt;""),"OK","ERRO: faltam "&amp;IF(A354="","Conta; ","")&amp;IF(B354="","Oportunidade; ","")&amp;IF(E354="","Novo gerente; ","")))</f>
      </c>
      <c r="I354" s="6">
        <f>IF(COUNTA(A354:F354)=0,"",IF(AND(G354="OK",H354="OK"),"OK","REVISAR"))</f>
      </c>
    </row>
    <row r="355">
      <c r="A355" s="5"/>
      <c r="B355" s="5"/>
      <c r="C355" s="4"/>
      <c r="D355" s="4"/>
      <c r="E355" s="5"/>
      <c r="F355" s="4"/>
      <c r="G355" s="6">
        <f>IF(AND(A355="",B355=""),"",IF(COUNTIFS($A$2:$A$2001,A355,$B$2:$B$2001,B355)&gt;1,"DUPLICADO","OK"))</f>
      </c>
      <c r="H355" s="6">
        <f>IF(COUNTA(A355:F355)=0,"",IF(AND(A355&lt;&gt;"",B355&lt;&gt;"",E355&lt;&gt;""),"OK","ERRO: faltam "&amp;IF(A355="","Conta; ","")&amp;IF(B355="","Oportunidade; ","")&amp;IF(E355="","Novo gerente; ","")))</f>
      </c>
      <c r="I355" s="6">
        <f>IF(COUNTA(A355:F355)=0,"",IF(AND(G355="OK",H355="OK"),"OK","REVISAR"))</f>
      </c>
    </row>
    <row r="356">
      <c r="A356" s="5"/>
      <c r="B356" s="5"/>
      <c r="C356" s="4"/>
      <c r="D356" s="4"/>
      <c r="E356" s="5"/>
      <c r="F356" s="4"/>
      <c r="G356" s="6">
        <f>IF(AND(A356="",B356=""),"",IF(COUNTIFS($A$2:$A$2001,A356,$B$2:$B$2001,B356)&gt;1,"DUPLICADO","OK"))</f>
      </c>
      <c r="H356" s="6">
        <f>IF(COUNTA(A356:F356)=0,"",IF(AND(A356&lt;&gt;"",B356&lt;&gt;"",E356&lt;&gt;""),"OK","ERRO: faltam "&amp;IF(A356="","Conta; ","")&amp;IF(B356="","Oportunidade; ","")&amp;IF(E356="","Novo gerente; ","")))</f>
      </c>
      <c r="I356" s="6">
        <f>IF(COUNTA(A356:F356)=0,"",IF(AND(G356="OK",H356="OK"),"OK","REVISAR"))</f>
      </c>
    </row>
    <row r="357">
      <c r="A357" s="5"/>
      <c r="B357" s="5"/>
      <c r="C357" s="4"/>
      <c r="D357" s="4"/>
      <c r="E357" s="5"/>
      <c r="F357" s="4"/>
      <c r="G357" s="6">
        <f>IF(AND(A357="",B357=""),"",IF(COUNTIFS($A$2:$A$2001,A357,$B$2:$B$2001,B357)&gt;1,"DUPLICADO","OK"))</f>
      </c>
      <c r="H357" s="6">
        <f>IF(COUNTA(A357:F357)=0,"",IF(AND(A357&lt;&gt;"",B357&lt;&gt;"",E357&lt;&gt;""),"OK","ERRO: faltam "&amp;IF(A357="","Conta; ","")&amp;IF(B357="","Oportunidade; ","")&amp;IF(E357="","Novo gerente; ","")))</f>
      </c>
      <c r="I357" s="6">
        <f>IF(COUNTA(A357:F357)=0,"",IF(AND(G357="OK",H357="OK"),"OK","REVISAR"))</f>
      </c>
    </row>
    <row r="358">
      <c r="A358" s="5"/>
      <c r="B358" s="5"/>
      <c r="C358" s="4"/>
      <c r="D358" s="4"/>
      <c r="E358" s="5"/>
      <c r="F358" s="4"/>
      <c r="G358" s="6">
        <f>IF(AND(A358="",B358=""),"",IF(COUNTIFS($A$2:$A$2001,A358,$B$2:$B$2001,B358)&gt;1,"DUPLICADO","OK"))</f>
      </c>
      <c r="H358" s="6">
        <f>IF(COUNTA(A358:F358)=0,"",IF(AND(A358&lt;&gt;"",B358&lt;&gt;"",E358&lt;&gt;""),"OK","ERRO: faltam "&amp;IF(A358="","Conta; ","")&amp;IF(B358="","Oportunidade; ","")&amp;IF(E358="","Novo gerente; ","")))</f>
      </c>
      <c r="I358" s="6">
        <f>IF(COUNTA(A358:F358)=0,"",IF(AND(G358="OK",H358="OK"),"OK","REVISAR"))</f>
      </c>
    </row>
    <row r="359">
      <c r="A359" s="5"/>
      <c r="B359" s="5"/>
      <c r="C359" s="4"/>
      <c r="D359" s="4"/>
      <c r="E359" s="5"/>
      <c r="F359" s="4"/>
      <c r="G359" s="6">
        <f>IF(AND(A359="",B359=""),"",IF(COUNTIFS($A$2:$A$2001,A359,$B$2:$B$2001,B359)&gt;1,"DUPLICADO","OK"))</f>
      </c>
      <c r="H359" s="6">
        <f>IF(COUNTA(A359:F359)=0,"",IF(AND(A359&lt;&gt;"",B359&lt;&gt;"",E359&lt;&gt;""),"OK","ERRO: faltam "&amp;IF(A359="","Conta; ","")&amp;IF(B359="","Oportunidade; ","")&amp;IF(E359="","Novo gerente; ","")))</f>
      </c>
      <c r="I359" s="6">
        <f>IF(COUNTA(A359:F359)=0,"",IF(AND(G359="OK",H359="OK"),"OK","REVISAR"))</f>
      </c>
    </row>
    <row r="360">
      <c r="A360" s="5"/>
      <c r="B360" s="5"/>
      <c r="C360" s="4"/>
      <c r="D360" s="4"/>
      <c r="E360" s="5"/>
      <c r="F360" s="4"/>
      <c r="G360" s="6">
        <f>IF(AND(A360="",B360=""),"",IF(COUNTIFS($A$2:$A$2001,A360,$B$2:$B$2001,B360)&gt;1,"DUPLICADO","OK"))</f>
      </c>
      <c r="H360" s="6">
        <f>IF(COUNTA(A360:F360)=0,"",IF(AND(A360&lt;&gt;"",B360&lt;&gt;"",E360&lt;&gt;""),"OK","ERRO: faltam "&amp;IF(A360="","Conta; ","")&amp;IF(B360="","Oportunidade; ","")&amp;IF(E360="","Novo gerente; ","")))</f>
      </c>
      <c r="I360" s="6">
        <f>IF(COUNTA(A360:F360)=0,"",IF(AND(G360="OK",H360="OK"),"OK","REVISAR"))</f>
      </c>
    </row>
    <row r="361">
      <c r="A361" s="5"/>
      <c r="B361" s="5"/>
      <c r="C361" s="4"/>
      <c r="D361" s="4"/>
      <c r="E361" s="5"/>
      <c r="F361" s="4"/>
      <c r="G361" s="6">
        <f>IF(AND(A361="",B361=""),"",IF(COUNTIFS($A$2:$A$2001,A361,$B$2:$B$2001,B361)&gt;1,"DUPLICADO","OK"))</f>
      </c>
      <c r="H361" s="6">
        <f>IF(COUNTA(A361:F361)=0,"",IF(AND(A361&lt;&gt;"",B361&lt;&gt;"",E361&lt;&gt;""),"OK","ERRO: faltam "&amp;IF(A361="","Conta; ","")&amp;IF(B361="","Oportunidade; ","")&amp;IF(E361="","Novo gerente; ","")))</f>
      </c>
      <c r="I361" s="6">
        <f>IF(COUNTA(A361:F361)=0,"",IF(AND(G361="OK",H361="OK"),"OK","REVISAR"))</f>
      </c>
    </row>
    <row r="362">
      <c r="A362" s="5"/>
      <c r="B362" s="5"/>
      <c r="C362" s="4"/>
      <c r="D362" s="4"/>
      <c r="E362" s="5"/>
      <c r="F362" s="4"/>
      <c r="G362" s="6">
        <f>IF(AND(A362="",B362=""),"",IF(COUNTIFS($A$2:$A$2001,A362,$B$2:$B$2001,B362)&gt;1,"DUPLICADO","OK"))</f>
      </c>
      <c r="H362" s="6">
        <f>IF(COUNTA(A362:F362)=0,"",IF(AND(A362&lt;&gt;"",B362&lt;&gt;"",E362&lt;&gt;""),"OK","ERRO: faltam "&amp;IF(A362="","Conta; ","")&amp;IF(B362="","Oportunidade; ","")&amp;IF(E362="","Novo gerente; ","")))</f>
      </c>
      <c r="I362" s="6">
        <f>IF(COUNTA(A362:F362)=0,"",IF(AND(G362="OK",H362="OK"),"OK","REVISAR"))</f>
      </c>
    </row>
    <row r="363">
      <c r="A363" s="5"/>
      <c r="B363" s="5"/>
      <c r="C363" s="4"/>
      <c r="D363" s="4"/>
      <c r="E363" s="5"/>
      <c r="F363" s="4"/>
      <c r="G363" s="6">
        <f>IF(AND(A363="",B363=""),"",IF(COUNTIFS($A$2:$A$2001,A363,$B$2:$B$2001,B363)&gt;1,"DUPLICADO","OK"))</f>
      </c>
      <c r="H363" s="6">
        <f>IF(COUNTA(A363:F363)=0,"",IF(AND(A363&lt;&gt;"",B363&lt;&gt;"",E363&lt;&gt;""),"OK","ERRO: faltam "&amp;IF(A363="","Conta; ","")&amp;IF(B363="","Oportunidade; ","")&amp;IF(E363="","Novo gerente; ","")))</f>
      </c>
      <c r="I363" s="6">
        <f>IF(COUNTA(A363:F363)=0,"",IF(AND(G363="OK",H363="OK"),"OK","REVISAR"))</f>
      </c>
    </row>
    <row r="364">
      <c r="A364" s="5"/>
      <c r="B364" s="5"/>
      <c r="C364" s="4"/>
      <c r="D364" s="4"/>
      <c r="E364" s="5"/>
      <c r="F364" s="4"/>
      <c r="G364" s="6">
        <f>IF(AND(A364="",B364=""),"",IF(COUNTIFS($A$2:$A$2001,A364,$B$2:$B$2001,B364)&gt;1,"DUPLICADO","OK"))</f>
      </c>
      <c r="H364" s="6">
        <f>IF(COUNTA(A364:F364)=0,"",IF(AND(A364&lt;&gt;"",B364&lt;&gt;"",E364&lt;&gt;""),"OK","ERRO: faltam "&amp;IF(A364="","Conta; ","")&amp;IF(B364="","Oportunidade; ","")&amp;IF(E364="","Novo gerente; ","")))</f>
      </c>
      <c r="I364" s="6">
        <f>IF(COUNTA(A364:F364)=0,"",IF(AND(G364="OK",H364="OK"),"OK","REVISAR"))</f>
      </c>
    </row>
    <row r="365">
      <c r="A365" s="5"/>
      <c r="B365" s="5"/>
      <c r="C365" s="4"/>
      <c r="D365" s="4"/>
      <c r="E365" s="5"/>
      <c r="F365" s="4"/>
      <c r="G365" s="6">
        <f>IF(AND(A365="",B365=""),"",IF(COUNTIFS($A$2:$A$2001,A365,$B$2:$B$2001,B365)&gt;1,"DUPLICADO","OK"))</f>
      </c>
      <c r="H365" s="6">
        <f>IF(COUNTA(A365:F365)=0,"",IF(AND(A365&lt;&gt;"",B365&lt;&gt;"",E365&lt;&gt;""),"OK","ERRO: faltam "&amp;IF(A365="","Conta; ","")&amp;IF(B365="","Oportunidade; ","")&amp;IF(E365="","Novo gerente; ","")))</f>
      </c>
      <c r="I365" s="6">
        <f>IF(COUNTA(A365:F365)=0,"",IF(AND(G365="OK",H365="OK"),"OK","REVISAR"))</f>
      </c>
    </row>
    <row r="366">
      <c r="A366" s="5"/>
      <c r="B366" s="5"/>
      <c r="C366" s="4"/>
      <c r="D366" s="4"/>
      <c r="E366" s="5"/>
      <c r="F366" s="4"/>
      <c r="G366" s="6">
        <f>IF(AND(A366="",B366=""),"",IF(COUNTIFS($A$2:$A$2001,A366,$B$2:$B$2001,B366)&gt;1,"DUPLICADO","OK"))</f>
      </c>
      <c r="H366" s="6">
        <f>IF(COUNTA(A366:F366)=0,"",IF(AND(A366&lt;&gt;"",B366&lt;&gt;"",E366&lt;&gt;""),"OK","ERRO: faltam "&amp;IF(A366="","Conta; ","")&amp;IF(B366="","Oportunidade; ","")&amp;IF(E366="","Novo gerente; ","")))</f>
      </c>
      <c r="I366" s="6">
        <f>IF(COUNTA(A366:F366)=0,"",IF(AND(G366="OK",H366="OK"),"OK","REVISAR"))</f>
      </c>
    </row>
    <row r="367">
      <c r="A367" s="5"/>
      <c r="B367" s="5"/>
      <c r="C367" s="4"/>
      <c r="D367" s="4"/>
      <c r="E367" s="5"/>
      <c r="F367" s="4"/>
      <c r="G367" s="6">
        <f>IF(AND(A367="",B367=""),"",IF(COUNTIFS($A$2:$A$2001,A367,$B$2:$B$2001,B367)&gt;1,"DUPLICADO","OK"))</f>
      </c>
      <c r="H367" s="6">
        <f>IF(COUNTA(A367:F367)=0,"",IF(AND(A367&lt;&gt;"",B367&lt;&gt;"",E367&lt;&gt;""),"OK","ERRO: faltam "&amp;IF(A367="","Conta; ","")&amp;IF(B367="","Oportunidade; ","")&amp;IF(E367="","Novo gerente; ","")))</f>
      </c>
      <c r="I367" s="6">
        <f>IF(COUNTA(A367:F367)=0,"",IF(AND(G367="OK",H367="OK"),"OK","REVISAR"))</f>
      </c>
    </row>
    <row r="368">
      <c r="A368" s="5"/>
      <c r="B368" s="5"/>
      <c r="C368" s="4"/>
      <c r="D368" s="4"/>
      <c r="E368" s="5"/>
      <c r="F368" s="4"/>
      <c r="G368" s="6">
        <f>IF(AND(A368="",B368=""),"",IF(COUNTIFS($A$2:$A$2001,A368,$B$2:$B$2001,B368)&gt;1,"DUPLICADO","OK"))</f>
      </c>
      <c r="H368" s="6">
        <f>IF(COUNTA(A368:F368)=0,"",IF(AND(A368&lt;&gt;"",B368&lt;&gt;"",E368&lt;&gt;""),"OK","ERRO: faltam "&amp;IF(A368="","Conta; ","")&amp;IF(B368="","Oportunidade; ","")&amp;IF(E368="","Novo gerente; ","")))</f>
      </c>
      <c r="I368" s="6">
        <f>IF(COUNTA(A368:F368)=0,"",IF(AND(G368="OK",H368="OK"),"OK","REVISAR"))</f>
      </c>
    </row>
    <row r="369">
      <c r="A369" s="5"/>
      <c r="B369" s="5"/>
      <c r="C369" s="4"/>
      <c r="D369" s="4"/>
      <c r="E369" s="5"/>
      <c r="F369" s="4"/>
      <c r="G369" s="6">
        <f>IF(AND(A369="",B369=""),"",IF(COUNTIFS($A$2:$A$2001,A369,$B$2:$B$2001,B369)&gt;1,"DUPLICADO","OK"))</f>
      </c>
      <c r="H369" s="6">
        <f>IF(COUNTA(A369:F369)=0,"",IF(AND(A369&lt;&gt;"",B369&lt;&gt;"",E369&lt;&gt;""),"OK","ERRO: faltam "&amp;IF(A369="","Conta; ","")&amp;IF(B369="","Oportunidade; ","")&amp;IF(E369="","Novo gerente; ","")))</f>
      </c>
      <c r="I369" s="6">
        <f>IF(COUNTA(A369:F369)=0,"",IF(AND(G369="OK",H369="OK"),"OK","REVISAR"))</f>
      </c>
    </row>
    <row r="370">
      <c r="A370" s="5"/>
      <c r="B370" s="5"/>
      <c r="C370" s="4"/>
      <c r="D370" s="4"/>
      <c r="E370" s="5"/>
      <c r="F370" s="4"/>
      <c r="G370" s="6">
        <f>IF(AND(A370="",B370=""),"",IF(COUNTIFS($A$2:$A$2001,A370,$B$2:$B$2001,B370)&gt;1,"DUPLICADO","OK"))</f>
      </c>
      <c r="H370" s="6">
        <f>IF(COUNTA(A370:F370)=0,"",IF(AND(A370&lt;&gt;"",B370&lt;&gt;"",E370&lt;&gt;""),"OK","ERRO: faltam "&amp;IF(A370="","Conta; ","")&amp;IF(B370="","Oportunidade; ","")&amp;IF(E370="","Novo gerente; ","")))</f>
      </c>
      <c r="I370" s="6">
        <f>IF(COUNTA(A370:F370)=0,"",IF(AND(G370="OK",H370="OK"),"OK","REVISAR"))</f>
      </c>
    </row>
    <row r="371">
      <c r="A371" s="5"/>
      <c r="B371" s="5"/>
      <c r="C371" s="4"/>
      <c r="D371" s="4"/>
      <c r="E371" s="5"/>
      <c r="F371" s="4"/>
      <c r="G371" s="6">
        <f>IF(AND(A371="",B371=""),"",IF(COUNTIFS($A$2:$A$2001,A371,$B$2:$B$2001,B371)&gt;1,"DUPLICADO","OK"))</f>
      </c>
      <c r="H371" s="6">
        <f>IF(COUNTA(A371:F371)=0,"",IF(AND(A371&lt;&gt;"",B371&lt;&gt;"",E371&lt;&gt;""),"OK","ERRO: faltam "&amp;IF(A371="","Conta; ","")&amp;IF(B371="","Oportunidade; ","")&amp;IF(E371="","Novo gerente; ","")))</f>
      </c>
      <c r="I371" s="6">
        <f>IF(COUNTA(A371:F371)=0,"",IF(AND(G371="OK",H371="OK"),"OK","REVISAR"))</f>
      </c>
    </row>
    <row r="372">
      <c r="A372" s="5"/>
      <c r="B372" s="5"/>
      <c r="C372" s="4"/>
      <c r="D372" s="4"/>
      <c r="E372" s="5"/>
      <c r="F372" s="4"/>
      <c r="G372" s="6">
        <f>IF(AND(A372="",B372=""),"",IF(COUNTIFS($A$2:$A$2001,A372,$B$2:$B$2001,B372)&gt;1,"DUPLICADO","OK"))</f>
      </c>
      <c r="H372" s="6">
        <f>IF(COUNTA(A372:F372)=0,"",IF(AND(A372&lt;&gt;"",B372&lt;&gt;"",E372&lt;&gt;""),"OK","ERRO: faltam "&amp;IF(A372="","Conta; ","")&amp;IF(B372="","Oportunidade; ","")&amp;IF(E372="","Novo gerente; ","")))</f>
      </c>
      <c r="I372" s="6">
        <f>IF(COUNTA(A372:F372)=0,"",IF(AND(G372="OK",H372="OK"),"OK","REVISAR"))</f>
      </c>
    </row>
    <row r="373">
      <c r="A373" s="5"/>
      <c r="B373" s="5"/>
      <c r="C373" s="4"/>
      <c r="D373" s="4"/>
      <c r="E373" s="5"/>
      <c r="F373" s="4"/>
      <c r="G373" s="6">
        <f>IF(AND(A373="",B373=""),"",IF(COUNTIFS($A$2:$A$2001,A373,$B$2:$B$2001,B373)&gt;1,"DUPLICADO","OK"))</f>
      </c>
      <c r="H373" s="6">
        <f>IF(COUNTA(A373:F373)=0,"",IF(AND(A373&lt;&gt;"",B373&lt;&gt;"",E373&lt;&gt;""),"OK","ERRO: faltam "&amp;IF(A373="","Conta; ","")&amp;IF(B373="","Oportunidade; ","")&amp;IF(E373="","Novo gerente; ","")))</f>
      </c>
      <c r="I373" s="6">
        <f>IF(COUNTA(A373:F373)=0,"",IF(AND(G373="OK",H373="OK"),"OK","REVISAR"))</f>
      </c>
    </row>
    <row r="374">
      <c r="A374" s="5"/>
      <c r="B374" s="5"/>
      <c r="C374" s="4"/>
      <c r="D374" s="4"/>
      <c r="E374" s="5"/>
      <c r="F374" s="4"/>
      <c r="G374" s="6">
        <f>IF(AND(A374="",B374=""),"",IF(COUNTIFS($A$2:$A$2001,A374,$B$2:$B$2001,B374)&gt;1,"DUPLICADO","OK"))</f>
      </c>
      <c r="H374" s="6">
        <f>IF(COUNTA(A374:F374)=0,"",IF(AND(A374&lt;&gt;"",B374&lt;&gt;"",E374&lt;&gt;""),"OK","ERRO: faltam "&amp;IF(A374="","Conta; ","")&amp;IF(B374="","Oportunidade; ","")&amp;IF(E374="","Novo gerente; ","")))</f>
      </c>
      <c r="I374" s="6">
        <f>IF(COUNTA(A374:F374)=0,"",IF(AND(G374="OK",H374="OK"),"OK","REVISAR"))</f>
      </c>
    </row>
    <row r="375">
      <c r="A375" s="5"/>
      <c r="B375" s="5"/>
      <c r="C375" s="4"/>
      <c r="D375" s="4"/>
      <c r="E375" s="5"/>
      <c r="F375" s="4"/>
      <c r="G375" s="6">
        <f>IF(AND(A375="",B375=""),"",IF(COUNTIFS($A$2:$A$2001,A375,$B$2:$B$2001,B375)&gt;1,"DUPLICADO","OK"))</f>
      </c>
      <c r="H375" s="6">
        <f>IF(COUNTA(A375:F375)=0,"",IF(AND(A375&lt;&gt;"",B375&lt;&gt;"",E375&lt;&gt;""),"OK","ERRO: faltam "&amp;IF(A375="","Conta; ","")&amp;IF(B375="","Oportunidade; ","")&amp;IF(E375="","Novo gerente; ","")))</f>
      </c>
      <c r="I375" s="6">
        <f>IF(COUNTA(A375:F375)=0,"",IF(AND(G375="OK",H375="OK"),"OK","REVISAR"))</f>
      </c>
    </row>
    <row r="376">
      <c r="A376" s="5"/>
      <c r="B376" s="5"/>
      <c r="C376" s="4"/>
      <c r="D376" s="4"/>
      <c r="E376" s="5"/>
      <c r="F376" s="4"/>
      <c r="G376" s="6">
        <f>IF(AND(A376="",B376=""),"",IF(COUNTIFS($A$2:$A$2001,A376,$B$2:$B$2001,B376)&gt;1,"DUPLICADO","OK"))</f>
      </c>
      <c r="H376" s="6">
        <f>IF(COUNTA(A376:F376)=0,"",IF(AND(A376&lt;&gt;"",B376&lt;&gt;"",E376&lt;&gt;""),"OK","ERRO: faltam "&amp;IF(A376="","Conta; ","")&amp;IF(B376="","Oportunidade; ","")&amp;IF(E376="","Novo gerente; ","")))</f>
      </c>
      <c r="I376" s="6">
        <f>IF(COUNTA(A376:F376)=0,"",IF(AND(G376="OK",H376="OK"),"OK","REVISAR"))</f>
      </c>
    </row>
    <row r="377">
      <c r="A377" s="5"/>
      <c r="B377" s="5"/>
      <c r="C377" s="4"/>
      <c r="D377" s="4"/>
      <c r="E377" s="5"/>
      <c r="F377" s="4"/>
      <c r="G377" s="6">
        <f>IF(AND(A377="",B377=""),"",IF(COUNTIFS($A$2:$A$2001,A377,$B$2:$B$2001,B377)&gt;1,"DUPLICADO","OK"))</f>
      </c>
      <c r="H377" s="6">
        <f>IF(COUNTA(A377:F377)=0,"",IF(AND(A377&lt;&gt;"",B377&lt;&gt;"",E377&lt;&gt;""),"OK","ERRO: faltam "&amp;IF(A377="","Conta; ","")&amp;IF(B377="","Oportunidade; ","")&amp;IF(E377="","Novo gerente; ","")))</f>
      </c>
      <c r="I377" s="6">
        <f>IF(COUNTA(A377:F377)=0,"",IF(AND(G377="OK",H377="OK"),"OK","REVISAR"))</f>
      </c>
    </row>
    <row r="378">
      <c r="A378" s="5"/>
      <c r="B378" s="5"/>
      <c r="C378" s="4"/>
      <c r="D378" s="4"/>
      <c r="E378" s="5"/>
      <c r="F378" s="4"/>
      <c r="G378" s="6">
        <f>IF(AND(A378="",B378=""),"",IF(COUNTIFS($A$2:$A$2001,A378,$B$2:$B$2001,B378)&gt;1,"DUPLICADO","OK"))</f>
      </c>
      <c r="H378" s="6">
        <f>IF(COUNTA(A378:F378)=0,"",IF(AND(A378&lt;&gt;"",B378&lt;&gt;"",E378&lt;&gt;""),"OK","ERRO: faltam "&amp;IF(A378="","Conta; ","")&amp;IF(B378="","Oportunidade; ","")&amp;IF(E378="","Novo gerente; ","")))</f>
      </c>
      <c r="I378" s="6">
        <f>IF(COUNTA(A378:F378)=0,"",IF(AND(G378="OK",H378="OK"),"OK","REVISAR"))</f>
      </c>
    </row>
    <row r="379">
      <c r="A379" s="5"/>
      <c r="B379" s="5"/>
      <c r="C379" s="4"/>
      <c r="D379" s="4"/>
      <c r="E379" s="5"/>
      <c r="F379" s="4"/>
      <c r="G379" s="6">
        <f>IF(AND(A379="",B379=""),"",IF(COUNTIFS($A$2:$A$2001,A379,$B$2:$B$2001,B379)&gt;1,"DUPLICADO","OK"))</f>
      </c>
      <c r="H379" s="6">
        <f>IF(COUNTA(A379:F379)=0,"",IF(AND(A379&lt;&gt;"",B379&lt;&gt;"",E379&lt;&gt;""),"OK","ERRO: faltam "&amp;IF(A379="","Conta; ","")&amp;IF(B379="","Oportunidade; ","")&amp;IF(E379="","Novo gerente; ","")))</f>
      </c>
      <c r="I379" s="6">
        <f>IF(COUNTA(A379:F379)=0,"",IF(AND(G379="OK",H379="OK"),"OK","REVISAR"))</f>
      </c>
    </row>
    <row r="380">
      <c r="A380" s="5"/>
      <c r="B380" s="5"/>
      <c r="C380" s="4"/>
      <c r="D380" s="4"/>
      <c r="E380" s="5"/>
      <c r="F380" s="4"/>
      <c r="G380" s="6">
        <f>IF(AND(A380="",B380=""),"",IF(COUNTIFS($A$2:$A$2001,A380,$B$2:$B$2001,B380)&gt;1,"DUPLICADO","OK"))</f>
      </c>
      <c r="H380" s="6">
        <f>IF(COUNTA(A380:F380)=0,"",IF(AND(A380&lt;&gt;"",B380&lt;&gt;"",E380&lt;&gt;""),"OK","ERRO: faltam "&amp;IF(A380="","Conta; ","")&amp;IF(B380="","Oportunidade; ","")&amp;IF(E380="","Novo gerente; ","")))</f>
      </c>
      <c r="I380" s="6">
        <f>IF(COUNTA(A380:F380)=0,"",IF(AND(G380="OK",H380="OK"),"OK","REVISAR"))</f>
      </c>
    </row>
    <row r="381">
      <c r="A381" s="5"/>
      <c r="B381" s="5"/>
      <c r="C381" s="4"/>
      <c r="D381" s="4"/>
      <c r="E381" s="5"/>
      <c r="F381" s="4"/>
      <c r="G381" s="6">
        <f>IF(AND(A381="",B381=""),"",IF(COUNTIFS($A$2:$A$2001,A381,$B$2:$B$2001,B381)&gt;1,"DUPLICADO","OK"))</f>
      </c>
      <c r="H381" s="6">
        <f>IF(COUNTA(A381:F381)=0,"",IF(AND(A381&lt;&gt;"",B381&lt;&gt;"",E381&lt;&gt;""),"OK","ERRO: faltam "&amp;IF(A381="","Conta; ","")&amp;IF(B381="","Oportunidade; ","")&amp;IF(E381="","Novo gerente; ","")))</f>
      </c>
      <c r="I381" s="6">
        <f>IF(COUNTA(A381:F381)=0,"",IF(AND(G381="OK",H381="OK"),"OK","REVISAR"))</f>
      </c>
    </row>
    <row r="382">
      <c r="A382" s="5"/>
      <c r="B382" s="5"/>
      <c r="C382" s="4"/>
      <c r="D382" s="4"/>
      <c r="E382" s="5"/>
      <c r="F382" s="4"/>
      <c r="G382" s="6">
        <f>IF(AND(A382="",B382=""),"",IF(COUNTIFS($A$2:$A$2001,A382,$B$2:$B$2001,B382)&gt;1,"DUPLICADO","OK"))</f>
      </c>
      <c r="H382" s="6">
        <f>IF(COUNTA(A382:F382)=0,"",IF(AND(A382&lt;&gt;"",B382&lt;&gt;"",E382&lt;&gt;""),"OK","ERRO: faltam "&amp;IF(A382="","Conta; ","")&amp;IF(B382="","Oportunidade; ","")&amp;IF(E382="","Novo gerente; ","")))</f>
      </c>
      <c r="I382" s="6">
        <f>IF(COUNTA(A382:F382)=0,"",IF(AND(G382="OK",H382="OK"),"OK","REVISAR"))</f>
      </c>
    </row>
    <row r="383">
      <c r="A383" s="5"/>
      <c r="B383" s="5"/>
      <c r="C383" s="4"/>
      <c r="D383" s="4"/>
      <c r="E383" s="5"/>
      <c r="F383" s="4"/>
      <c r="G383" s="6">
        <f>IF(AND(A383="",B383=""),"",IF(COUNTIFS($A$2:$A$2001,A383,$B$2:$B$2001,B383)&gt;1,"DUPLICADO","OK"))</f>
      </c>
      <c r="H383" s="6">
        <f>IF(COUNTA(A383:F383)=0,"",IF(AND(A383&lt;&gt;"",B383&lt;&gt;"",E383&lt;&gt;""),"OK","ERRO: faltam "&amp;IF(A383="","Conta; ","")&amp;IF(B383="","Oportunidade; ","")&amp;IF(E383="","Novo gerente; ","")))</f>
      </c>
      <c r="I383" s="6">
        <f>IF(COUNTA(A383:F383)=0,"",IF(AND(G383="OK",H383="OK"),"OK","REVISAR"))</f>
      </c>
    </row>
    <row r="384">
      <c r="A384" s="5"/>
      <c r="B384" s="5"/>
      <c r="C384" s="4"/>
      <c r="D384" s="4"/>
      <c r="E384" s="5"/>
      <c r="F384" s="4"/>
      <c r="G384" s="6">
        <f>IF(AND(A384="",B384=""),"",IF(COUNTIFS($A$2:$A$2001,A384,$B$2:$B$2001,B384)&gt;1,"DUPLICADO","OK"))</f>
      </c>
      <c r="H384" s="6">
        <f>IF(COUNTA(A384:F384)=0,"",IF(AND(A384&lt;&gt;"",B384&lt;&gt;"",E384&lt;&gt;""),"OK","ERRO: faltam "&amp;IF(A384="","Conta; ","")&amp;IF(B384="","Oportunidade; ","")&amp;IF(E384="","Novo gerente; ","")))</f>
      </c>
      <c r="I384" s="6">
        <f>IF(COUNTA(A384:F384)=0,"",IF(AND(G384="OK",H384="OK"),"OK","REVISAR"))</f>
      </c>
    </row>
    <row r="385">
      <c r="A385" s="5"/>
      <c r="B385" s="5"/>
      <c r="C385" s="4"/>
      <c r="D385" s="4"/>
      <c r="E385" s="5"/>
      <c r="F385" s="4"/>
      <c r="G385" s="6">
        <f>IF(AND(A385="",B385=""),"",IF(COUNTIFS($A$2:$A$2001,A385,$B$2:$B$2001,B385)&gt;1,"DUPLICADO","OK"))</f>
      </c>
      <c r="H385" s="6">
        <f>IF(COUNTA(A385:F385)=0,"",IF(AND(A385&lt;&gt;"",B385&lt;&gt;"",E385&lt;&gt;""),"OK","ERRO: faltam "&amp;IF(A385="","Conta; ","")&amp;IF(B385="","Oportunidade; ","")&amp;IF(E385="","Novo gerente; ","")))</f>
      </c>
      <c r="I385" s="6">
        <f>IF(COUNTA(A385:F385)=0,"",IF(AND(G385="OK",H385="OK"),"OK","REVISAR"))</f>
      </c>
    </row>
    <row r="386">
      <c r="A386" s="5"/>
      <c r="B386" s="5"/>
      <c r="C386" s="4"/>
      <c r="D386" s="4"/>
      <c r="E386" s="5"/>
      <c r="F386" s="4"/>
      <c r="G386" s="6">
        <f>IF(AND(A386="",B386=""),"",IF(COUNTIFS($A$2:$A$2001,A386,$B$2:$B$2001,B386)&gt;1,"DUPLICADO","OK"))</f>
      </c>
      <c r="H386" s="6">
        <f>IF(COUNTA(A386:F386)=0,"",IF(AND(A386&lt;&gt;"",B386&lt;&gt;"",E386&lt;&gt;""),"OK","ERRO: faltam "&amp;IF(A386="","Conta; ","")&amp;IF(B386="","Oportunidade; ","")&amp;IF(E386="","Novo gerente; ","")))</f>
      </c>
      <c r="I386" s="6">
        <f>IF(COUNTA(A386:F386)=0,"",IF(AND(G386="OK",H386="OK"),"OK","REVISAR"))</f>
      </c>
    </row>
    <row r="387">
      <c r="A387" s="5"/>
      <c r="B387" s="5"/>
      <c r="C387" s="4"/>
      <c r="D387" s="4"/>
      <c r="E387" s="5"/>
      <c r="F387" s="4"/>
      <c r="G387" s="6">
        <f>IF(AND(A387="",B387=""),"",IF(COUNTIFS($A$2:$A$2001,A387,$B$2:$B$2001,B387)&gt;1,"DUPLICADO","OK"))</f>
      </c>
      <c r="H387" s="6">
        <f>IF(COUNTA(A387:F387)=0,"",IF(AND(A387&lt;&gt;"",B387&lt;&gt;"",E387&lt;&gt;""),"OK","ERRO: faltam "&amp;IF(A387="","Conta; ","")&amp;IF(B387="","Oportunidade; ","")&amp;IF(E387="","Novo gerente; ","")))</f>
      </c>
      <c r="I387" s="6">
        <f>IF(COUNTA(A387:F387)=0,"",IF(AND(G387="OK",H387="OK"),"OK","REVISAR"))</f>
      </c>
    </row>
    <row r="388">
      <c r="A388" s="5"/>
      <c r="B388" s="5"/>
      <c r="C388" s="4"/>
      <c r="D388" s="4"/>
      <c r="E388" s="5"/>
      <c r="F388" s="4"/>
      <c r="G388" s="6">
        <f>IF(AND(A388="",B388=""),"",IF(COUNTIFS($A$2:$A$2001,A388,$B$2:$B$2001,B388)&gt;1,"DUPLICADO","OK"))</f>
      </c>
      <c r="H388" s="6">
        <f>IF(COUNTA(A388:F388)=0,"",IF(AND(A388&lt;&gt;"",B388&lt;&gt;"",E388&lt;&gt;""),"OK","ERRO: faltam "&amp;IF(A388="","Conta; ","")&amp;IF(B388="","Oportunidade; ","")&amp;IF(E388="","Novo gerente; ","")))</f>
      </c>
      <c r="I388" s="6">
        <f>IF(COUNTA(A388:F388)=0,"",IF(AND(G388="OK",H388="OK"),"OK","REVISAR"))</f>
      </c>
    </row>
    <row r="389">
      <c r="A389" s="5"/>
      <c r="B389" s="5"/>
      <c r="C389" s="4"/>
      <c r="D389" s="4"/>
      <c r="E389" s="5"/>
      <c r="F389" s="4"/>
      <c r="G389" s="6">
        <f>IF(AND(A389="",B389=""),"",IF(COUNTIFS($A$2:$A$2001,A389,$B$2:$B$2001,B389)&gt;1,"DUPLICADO","OK"))</f>
      </c>
      <c r="H389" s="6">
        <f>IF(COUNTA(A389:F389)=0,"",IF(AND(A389&lt;&gt;"",B389&lt;&gt;"",E389&lt;&gt;""),"OK","ERRO: faltam "&amp;IF(A389="","Conta; ","")&amp;IF(B389="","Oportunidade; ","")&amp;IF(E389="","Novo gerente; ","")))</f>
      </c>
      <c r="I389" s="6">
        <f>IF(COUNTA(A389:F389)=0,"",IF(AND(G389="OK",H389="OK"),"OK","REVISAR"))</f>
      </c>
    </row>
    <row r="390">
      <c r="A390" s="5"/>
      <c r="B390" s="5"/>
      <c r="C390" s="4"/>
      <c r="D390" s="4"/>
      <c r="E390" s="5"/>
      <c r="F390" s="4"/>
      <c r="G390" s="6">
        <f>IF(AND(A390="",B390=""),"",IF(COUNTIFS($A$2:$A$2001,A390,$B$2:$B$2001,B390)&gt;1,"DUPLICADO","OK"))</f>
      </c>
      <c r="H390" s="6">
        <f>IF(COUNTA(A390:F390)=0,"",IF(AND(A390&lt;&gt;"",B390&lt;&gt;"",E390&lt;&gt;""),"OK","ERRO: faltam "&amp;IF(A390="","Conta; ","")&amp;IF(B390="","Oportunidade; ","")&amp;IF(E390="","Novo gerente; ","")))</f>
      </c>
      <c r="I390" s="6">
        <f>IF(COUNTA(A390:F390)=0,"",IF(AND(G390="OK",H390="OK"),"OK","REVISAR"))</f>
      </c>
    </row>
    <row r="391">
      <c r="A391" s="5"/>
      <c r="B391" s="5"/>
      <c r="C391" s="4"/>
      <c r="D391" s="4"/>
      <c r="E391" s="5"/>
      <c r="F391" s="4"/>
      <c r="G391" s="6">
        <f>IF(AND(A391="",B391=""),"",IF(COUNTIFS($A$2:$A$2001,A391,$B$2:$B$2001,B391)&gt;1,"DUPLICADO","OK"))</f>
      </c>
      <c r="H391" s="6">
        <f>IF(COUNTA(A391:F391)=0,"",IF(AND(A391&lt;&gt;"",B391&lt;&gt;"",E391&lt;&gt;""),"OK","ERRO: faltam "&amp;IF(A391="","Conta; ","")&amp;IF(B391="","Oportunidade; ","")&amp;IF(E391="","Novo gerente; ","")))</f>
      </c>
      <c r="I391" s="6">
        <f>IF(COUNTA(A391:F391)=0,"",IF(AND(G391="OK",H391="OK"),"OK","REVISAR"))</f>
      </c>
    </row>
    <row r="392">
      <c r="A392" s="5"/>
      <c r="B392" s="5"/>
      <c r="C392" s="4"/>
      <c r="D392" s="4"/>
      <c r="E392" s="5"/>
      <c r="F392" s="4"/>
      <c r="G392" s="6">
        <f>IF(AND(A392="",B392=""),"",IF(COUNTIFS($A$2:$A$2001,A392,$B$2:$B$2001,B392)&gt;1,"DUPLICADO","OK"))</f>
      </c>
      <c r="H392" s="6">
        <f>IF(COUNTA(A392:F392)=0,"",IF(AND(A392&lt;&gt;"",B392&lt;&gt;"",E392&lt;&gt;""),"OK","ERRO: faltam "&amp;IF(A392="","Conta; ","")&amp;IF(B392="","Oportunidade; ","")&amp;IF(E392="","Novo gerente; ","")))</f>
      </c>
      <c r="I392" s="6">
        <f>IF(COUNTA(A392:F392)=0,"",IF(AND(G392="OK",H392="OK"),"OK","REVISAR"))</f>
      </c>
    </row>
    <row r="393">
      <c r="A393" s="5"/>
      <c r="B393" s="5"/>
      <c r="C393" s="4"/>
      <c r="D393" s="4"/>
      <c r="E393" s="5"/>
      <c r="F393" s="4"/>
      <c r="G393" s="6">
        <f>IF(AND(A393="",B393=""),"",IF(COUNTIFS($A$2:$A$2001,A393,$B$2:$B$2001,B393)&gt;1,"DUPLICADO","OK"))</f>
      </c>
      <c r="H393" s="6">
        <f>IF(COUNTA(A393:F393)=0,"",IF(AND(A393&lt;&gt;"",B393&lt;&gt;"",E393&lt;&gt;""),"OK","ERRO: faltam "&amp;IF(A393="","Conta; ","")&amp;IF(B393="","Oportunidade; ","")&amp;IF(E393="","Novo gerente; ","")))</f>
      </c>
      <c r="I393" s="6">
        <f>IF(COUNTA(A393:F393)=0,"",IF(AND(G393="OK",H393="OK"),"OK","REVISAR"))</f>
      </c>
    </row>
    <row r="394">
      <c r="A394" s="5"/>
      <c r="B394" s="5"/>
      <c r="C394" s="4"/>
      <c r="D394" s="4"/>
      <c r="E394" s="5"/>
      <c r="F394" s="4"/>
      <c r="G394" s="6">
        <f>IF(AND(A394="",B394=""),"",IF(COUNTIFS($A$2:$A$2001,A394,$B$2:$B$2001,B394)&gt;1,"DUPLICADO","OK"))</f>
      </c>
      <c r="H394" s="6">
        <f>IF(COUNTA(A394:F394)=0,"",IF(AND(A394&lt;&gt;"",B394&lt;&gt;"",E394&lt;&gt;""),"OK","ERRO: faltam "&amp;IF(A394="","Conta; ","")&amp;IF(B394="","Oportunidade; ","")&amp;IF(E394="","Novo gerente; ","")))</f>
      </c>
      <c r="I394" s="6">
        <f>IF(COUNTA(A394:F394)=0,"",IF(AND(G394="OK",H394="OK"),"OK","REVISAR"))</f>
      </c>
    </row>
    <row r="395">
      <c r="A395" s="5"/>
      <c r="B395" s="5"/>
      <c r="C395" s="4"/>
      <c r="D395" s="4"/>
      <c r="E395" s="5"/>
      <c r="F395" s="4"/>
      <c r="G395" s="6">
        <f>IF(AND(A395="",B395=""),"",IF(COUNTIFS($A$2:$A$2001,A395,$B$2:$B$2001,B395)&gt;1,"DUPLICADO","OK"))</f>
      </c>
      <c r="H395" s="6">
        <f>IF(COUNTA(A395:F395)=0,"",IF(AND(A395&lt;&gt;"",B395&lt;&gt;"",E395&lt;&gt;""),"OK","ERRO: faltam "&amp;IF(A395="","Conta; ","")&amp;IF(B395="","Oportunidade; ","")&amp;IF(E395="","Novo gerente; ","")))</f>
      </c>
      <c r="I395" s="6">
        <f>IF(COUNTA(A395:F395)=0,"",IF(AND(G395="OK",H395="OK"),"OK","REVISAR"))</f>
      </c>
    </row>
    <row r="396">
      <c r="A396" s="5"/>
      <c r="B396" s="5"/>
      <c r="C396" s="4"/>
      <c r="D396" s="4"/>
      <c r="E396" s="5"/>
      <c r="F396" s="4"/>
      <c r="G396" s="6">
        <f>IF(AND(A396="",B396=""),"",IF(COUNTIFS($A$2:$A$2001,A396,$B$2:$B$2001,B396)&gt;1,"DUPLICADO","OK"))</f>
      </c>
      <c r="H396" s="6">
        <f>IF(COUNTA(A396:F396)=0,"",IF(AND(A396&lt;&gt;"",B396&lt;&gt;"",E396&lt;&gt;""),"OK","ERRO: faltam "&amp;IF(A396="","Conta; ","")&amp;IF(B396="","Oportunidade; ","")&amp;IF(E396="","Novo gerente; ","")))</f>
      </c>
      <c r="I396" s="6">
        <f>IF(COUNTA(A396:F396)=0,"",IF(AND(G396="OK",H396="OK"),"OK","REVISAR"))</f>
      </c>
    </row>
    <row r="397">
      <c r="A397" s="5"/>
      <c r="B397" s="5"/>
      <c r="C397" s="4"/>
      <c r="D397" s="4"/>
      <c r="E397" s="5"/>
      <c r="F397" s="4"/>
      <c r="G397" s="6">
        <f>IF(AND(A397="",B397=""),"",IF(COUNTIFS($A$2:$A$2001,A397,$B$2:$B$2001,B397)&gt;1,"DUPLICADO","OK"))</f>
      </c>
      <c r="H397" s="6">
        <f>IF(COUNTA(A397:F397)=0,"",IF(AND(A397&lt;&gt;"",B397&lt;&gt;"",E397&lt;&gt;""),"OK","ERRO: faltam "&amp;IF(A397="","Conta; ","")&amp;IF(B397="","Oportunidade; ","")&amp;IF(E397="","Novo gerente; ","")))</f>
      </c>
      <c r="I397" s="6">
        <f>IF(COUNTA(A397:F397)=0,"",IF(AND(G397="OK",H397="OK"),"OK","REVISAR"))</f>
      </c>
    </row>
    <row r="398">
      <c r="A398" s="5"/>
      <c r="B398" s="5"/>
      <c r="C398" s="4"/>
      <c r="D398" s="4"/>
      <c r="E398" s="5"/>
      <c r="F398" s="4"/>
      <c r="G398" s="6">
        <f>IF(AND(A398="",B398=""),"",IF(COUNTIFS($A$2:$A$2001,A398,$B$2:$B$2001,B398)&gt;1,"DUPLICADO","OK"))</f>
      </c>
      <c r="H398" s="6">
        <f>IF(COUNTA(A398:F398)=0,"",IF(AND(A398&lt;&gt;"",B398&lt;&gt;"",E398&lt;&gt;""),"OK","ERRO: faltam "&amp;IF(A398="","Conta; ","")&amp;IF(B398="","Oportunidade; ","")&amp;IF(E398="","Novo gerente; ","")))</f>
      </c>
      <c r="I398" s="6">
        <f>IF(COUNTA(A398:F398)=0,"",IF(AND(G398="OK",H398="OK"),"OK","REVISAR"))</f>
      </c>
    </row>
    <row r="399">
      <c r="A399" s="5"/>
      <c r="B399" s="5"/>
      <c r="C399" s="4"/>
      <c r="D399" s="4"/>
      <c r="E399" s="5"/>
      <c r="F399" s="4"/>
      <c r="G399" s="6">
        <f>IF(AND(A399="",B399=""),"",IF(COUNTIFS($A$2:$A$2001,A399,$B$2:$B$2001,B399)&gt;1,"DUPLICADO","OK"))</f>
      </c>
      <c r="H399" s="6">
        <f>IF(COUNTA(A399:F399)=0,"",IF(AND(A399&lt;&gt;"",B399&lt;&gt;"",E399&lt;&gt;""),"OK","ERRO: faltam "&amp;IF(A399="","Conta; ","")&amp;IF(B399="","Oportunidade; ","")&amp;IF(E399="","Novo gerente; ","")))</f>
      </c>
      <c r="I399" s="6">
        <f>IF(COUNTA(A399:F399)=0,"",IF(AND(G399="OK",H399="OK"),"OK","REVISAR"))</f>
      </c>
    </row>
    <row r="400">
      <c r="A400" s="5"/>
      <c r="B400" s="5"/>
      <c r="C400" s="4"/>
      <c r="D400" s="4"/>
      <c r="E400" s="5"/>
      <c r="F400" s="4"/>
      <c r="G400" s="6">
        <f>IF(AND(A400="",B400=""),"",IF(COUNTIFS($A$2:$A$2001,A400,$B$2:$B$2001,B400)&gt;1,"DUPLICADO","OK"))</f>
      </c>
      <c r="H400" s="6">
        <f>IF(COUNTA(A400:F400)=0,"",IF(AND(A400&lt;&gt;"",B400&lt;&gt;"",E400&lt;&gt;""),"OK","ERRO: faltam "&amp;IF(A400="","Conta; ","")&amp;IF(B400="","Oportunidade; ","")&amp;IF(E400="","Novo gerente; ","")))</f>
      </c>
      <c r="I400" s="6">
        <f>IF(COUNTA(A400:F400)=0,"",IF(AND(G400="OK",H400="OK"),"OK","REVISAR"))</f>
      </c>
    </row>
    <row r="401">
      <c r="A401" s="5"/>
      <c r="B401" s="5"/>
      <c r="C401" s="4"/>
      <c r="D401" s="4"/>
      <c r="E401" s="5"/>
      <c r="F401" s="4"/>
      <c r="G401" s="6">
        <f>IF(AND(A401="",B401=""),"",IF(COUNTIFS($A$2:$A$2001,A401,$B$2:$B$2001,B401)&gt;1,"DUPLICADO","OK"))</f>
      </c>
      <c r="H401" s="6">
        <f>IF(COUNTA(A401:F401)=0,"",IF(AND(A401&lt;&gt;"",B401&lt;&gt;"",E401&lt;&gt;""),"OK","ERRO: faltam "&amp;IF(A401="","Conta; ","")&amp;IF(B401="","Oportunidade; ","")&amp;IF(E401="","Novo gerente; ","")))</f>
      </c>
      <c r="I401" s="6">
        <f>IF(COUNTA(A401:F401)=0,"",IF(AND(G401="OK",H401="OK"),"OK","REVISAR"))</f>
      </c>
    </row>
    <row r="402">
      <c r="A402" s="5"/>
      <c r="B402" s="5"/>
      <c r="C402" s="4"/>
      <c r="D402" s="4"/>
      <c r="E402" s="5"/>
      <c r="F402" s="4"/>
      <c r="G402" s="6">
        <f>IF(AND(A402="",B402=""),"",IF(COUNTIFS($A$2:$A$2001,A402,$B$2:$B$2001,B402)&gt;1,"DUPLICADO","OK"))</f>
      </c>
      <c r="H402" s="6">
        <f>IF(COUNTA(A402:F402)=0,"",IF(AND(A402&lt;&gt;"",B402&lt;&gt;"",E402&lt;&gt;""),"OK","ERRO: faltam "&amp;IF(A402="","Conta; ","")&amp;IF(B402="","Oportunidade; ","")&amp;IF(E402="","Novo gerente; ","")))</f>
      </c>
      <c r="I402" s="6">
        <f>IF(COUNTA(A402:F402)=0,"",IF(AND(G402="OK",H402="OK"),"OK","REVISAR"))</f>
      </c>
    </row>
    <row r="403">
      <c r="A403" s="5"/>
      <c r="B403" s="5"/>
      <c r="C403" s="4"/>
      <c r="D403" s="4"/>
      <c r="E403" s="5"/>
      <c r="F403" s="4"/>
      <c r="G403" s="6">
        <f>IF(AND(A403="",B403=""),"",IF(COUNTIFS($A$2:$A$2001,A403,$B$2:$B$2001,B403)&gt;1,"DUPLICADO","OK"))</f>
      </c>
      <c r="H403" s="6">
        <f>IF(COUNTA(A403:F403)=0,"",IF(AND(A403&lt;&gt;"",B403&lt;&gt;"",E403&lt;&gt;""),"OK","ERRO: faltam "&amp;IF(A403="","Conta; ","")&amp;IF(B403="","Oportunidade; ","")&amp;IF(E403="","Novo gerente; ","")))</f>
      </c>
      <c r="I403" s="6">
        <f>IF(COUNTA(A403:F403)=0,"",IF(AND(G403="OK",H403="OK"),"OK","REVISAR"))</f>
      </c>
    </row>
    <row r="404">
      <c r="A404" s="5"/>
      <c r="B404" s="5"/>
      <c r="C404" s="4"/>
      <c r="D404" s="4"/>
      <c r="E404" s="5"/>
      <c r="F404" s="4"/>
      <c r="G404" s="6">
        <f>IF(AND(A404="",B404=""),"",IF(COUNTIFS($A$2:$A$2001,A404,$B$2:$B$2001,B404)&gt;1,"DUPLICADO","OK"))</f>
      </c>
      <c r="H404" s="6">
        <f>IF(COUNTA(A404:F404)=0,"",IF(AND(A404&lt;&gt;"",B404&lt;&gt;"",E404&lt;&gt;""),"OK","ERRO: faltam "&amp;IF(A404="","Conta; ","")&amp;IF(B404="","Oportunidade; ","")&amp;IF(E404="","Novo gerente; ","")))</f>
      </c>
      <c r="I404" s="6">
        <f>IF(COUNTA(A404:F404)=0,"",IF(AND(G404="OK",H404="OK"),"OK","REVISAR"))</f>
      </c>
    </row>
    <row r="405">
      <c r="A405" s="5"/>
      <c r="B405" s="5"/>
      <c r="C405" s="4"/>
      <c r="D405" s="4"/>
      <c r="E405" s="5"/>
      <c r="F405" s="4"/>
      <c r="G405" s="6">
        <f>IF(AND(A405="",B405=""),"",IF(COUNTIFS($A$2:$A$2001,A405,$B$2:$B$2001,B405)&gt;1,"DUPLICADO","OK"))</f>
      </c>
      <c r="H405" s="6">
        <f>IF(COUNTA(A405:F405)=0,"",IF(AND(A405&lt;&gt;"",B405&lt;&gt;"",E405&lt;&gt;""),"OK","ERRO: faltam "&amp;IF(A405="","Conta; ","")&amp;IF(B405="","Oportunidade; ","")&amp;IF(E405="","Novo gerente; ","")))</f>
      </c>
      <c r="I405" s="6">
        <f>IF(COUNTA(A405:F405)=0,"",IF(AND(G405="OK",H405="OK"),"OK","REVISAR"))</f>
      </c>
    </row>
    <row r="406">
      <c r="A406" s="5"/>
      <c r="B406" s="5"/>
      <c r="C406" s="4"/>
      <c r="D406" s="4"/>
      <c r="E406" s="5"/>
      <c r="F406" s="4"/>
      <c r="G406" s="6">
        <f>IF(AND(A406="",B406=""),"",IF(COUNTIFS($A$2:$A$2001,A406,$B$2:$B$2001,B406)&gt;1,"DUPLICADO","OK"))</f>
      </c>
      <c r="H406" s="6">
        <f>IF(COUNTA(A406:F406)=0,"",IF(AND(A406&lt;&gt;"",B406&lt;&gt;"",E406&lt;&gt;""),"OK","ERRO: faltam "&amp;IF(A406="","Conta; ","")&amp;IF(B406="","Oportunidade; ","")&amp;IF(E406="","Novo gerente; ","")))</f>
      </c>
      <c r="I406" s="6">
        <f>IF(COUNTA(A406:F406)=0,"",IF(AND(G406="OK",H406="OK"),"OK","REVISAR"))</f>
      </c>
    </row>
    <row r="407">
      <c r="A407" s="5"/>
      <c r="B407" s="5"/>
      <c r="C407" s="4"/>
      <c r="D407" s="4"/>
      <c r="E407" s="5"/>
      <c r="F407" s="4"/>
      <c r="G407" s="6">
        <f>IF(AND(A407="",B407=""),"",IF(COUNTIFS($A$2:$A$2001,A407,$B$2:$B$2001,B407)&gt;1,"DUPLICADO","OK"))</f>
      </c>
      <c r="H407" s="6">
        <f>IF(COUNTA(A407:F407)=0,"",IF(AND(A407&lt;&gt;"",B407&lt;&gt;"",E407&lt;&gt;""),"OK","ERRO: faltam "&amp;IF(A407="","Conta; ","")&amp;IF(B407="","Oportunidade; ","")&amp;IF(E407="","Novo gerente; ","")))</f>
      </c>
      <c r="I407" s="6">
        <f>IF(COUNTA(A407:F407)=0,"",IF(AND(G407="OK",H407="OK"),"OK","REVISAR"))</f>
      </c>
    </row>
    <row r="408">
      <c r="A408" s="5"/>
      <c r="B408" s="5"/>
      <c r="C408" s="4"/>
      <c r="D408" s="4"/>
      <c r="E408" s="5"/>
      <c r="F408" s="4"/>
      <c r="G408" s="6">
        <f>IF(AND(A408="",B408=""),"",IF(COUNTIFS($A$2:$A$2001,A408,$B$2:$B$2001,B408)&gt;1,"DUPLICADO","OK"))</f>
      </c>
      <c r="H408" s="6">
        <f>IF(COUNTA(A408:F408)=0,"",IF(AND(A408&lt;&gt;"",B408&lt;&gt;"",E408&lt;&gt;""),"OK","ERRO: faltam "&amp;IF(A408="","Conta; ","")&amp;IF(B408="","Oportunidade; ","")&amp;IF(E408="","Novo gerente; ","")))</f>
      </c>
      <c r="I408" s="6">
        <f>IF(COUNTA(A408:F408)=0,"",IF(AND(G408="OK",H408="OK"),"OK","REVISAR"))</f>
      </c>
    </row>
    <row r="409">
      <c r="A409" s="5"/>
      <c r="B409" s="5"/>
      <c r="C409" s="4"/>
      <c r="D409" s="4"/>
      <c r="E409" s="5"/>
      <c r="F409" s="4"/>
      <c r="G409" s="6">
        <f>IF(AND(A409="",B409=""),"",IF(COUNTIFS($A$2:$A$2001,A409,$B$2:$B$2001,B409)&gt;1,"DUPLICADO","OK"))</f>
      </c>
      <c r="H409" s="6">
        <f>IF(COUNTA(A409:F409)=0,"",IF(AND(A409&lt;&gt;"",B409&lt;&gt;"",E409&lt;&gt;""),"OK","ERRO: faltam "&amp;IF(A409="","Conta; ","")&amp;IF(B409="","Oportunidade; ","")&amp;IF(E409="","Novo gerente; ","")))</f>
      </c>
      <c r="I409" s="6">
        <f>IF(COUNTA(A409:F409)=0,"",IF(AND(G409="OK",H409="OK"),"OK","REVISAR"))</f>
      </c>
    </row>
    <row r="410">
      <c r="A410" s="5"/>
      <c r="B410" s="5"/>
      <c r="C410" s="4"/>
      <c r="D410" s="4"/>
      <c r="E410" s="5"/>
      <c r="F410" s="4"/>
      <c r="G410" s="6">
        <f>IF(AND(A410="",B410=""),"",IF(COUNTIFS($A$2:$A$2001,A410,$B$2:$B$2001,B410)&gt;1,"DUPLICADO","OK"))</f>
      </c>
      <c r="H410" s="6">
        <f>IF(COUNTA(A410:F410)=0,"",IF(AND(A410&lt;&gt;"",B410&lt;&gt;"",E410&lt;&gt;""),"OK","ERRO: faltam "&amp;IF(A410="","Conta; ","")&amp;IF(B410="","Oportunidade; ","")&amp;IF(E410="","Novo gerente; ","")))</f>
      </c>
      <c r="I410" s="6">
        <f>IF(COUNTA(A410:F410)=0,"",IF(AND(G410="OK",H410="OK"),"OK","REVISAR"))</f>
      </c>
    </row>
    <row r="411">
      <c r="A411" s="5"/>
      <c r="B411" s="5"/>
      <c r="C411" s="4"/>
      <c r="D411" s="4"/>
      <c r="E411" s="5"/>
      <c r="F411" s="4"/>
      <c r="G411" s="6">
        <f>IF(AND(A411="",B411=""),"",IF(COUNTIFS($A$2:$A$2001,A411,$B$2:$B$2001,B411)&gt;1,"DUPLICADO","OK"))</f>
      </c>
      <c r="H411" s="6">
        <f>IF(COUNTA(A411:F411)=0,"",IF(AND(A411&lt;&gt;"",B411&lt;&gt;"",E411&lt;&gt;""),"OK","ERRO: faltam "&amp;IF(A411="","Conta; ","")&amp;IF(B411="","Oportunidade; ","")&amp;IF(E411="","Novo gerente; ","")))</f>
      </c>
      <c r="I411" s="6">
        <f>IF(COUNTA(A411:F411)=0,"",IF(AND(G411="OK",H411="OK"),"OK","REVISAR"))</f>
      </c>
    </row>
    <row r="412">
      <c r="A412" s="5"/>
      <c r="B412" s="5"/>
      <c r="C412" s="4"/>
      <c r="D412" s="4"/>
      <c r="E412" s="5"/>
      <c r="F412" s="4"/>
      <c r="G412" s="6">
        <f>IF(AND(A412="",B412=""),"",IF(COUNTIFS($A$2:$A$2001,A412,$B$2:$B$2001,B412)&gt;1,"DUPLICADO","OK"))</f>
      </c>
      <c r="H412" s="6">
        <f>IF(COUNTA(A412:F412)=0,"",IF(AND(A412&lt;&gt;"",B412&lt;&gt;"",E412&lt;&gt;""),"OK","ERRO: faltam "&amp;IF(A412="","Conta; ","")&amp;IF(B412="","Oportunidade; ","")&amp;IF(E412="","Novo gerente; ","")))</f>
      </c>
      <c r="I412" s="6">
        <f>IF(COUNTA(A412:F412)=0,"",IF(AND(G412="OK",H412="OK"),"OK","REVISAR"))</f>
      </c>
    </row>
    <row r="413">
      <c r="A413" s="5"/>
      <c r="B413" s="5"/>
      <c r="C413" s="4"/>
      <c r="D413" s="4"/>
      <c r="E413" s="5"/>
      <c r="F413" s="4"/>
      <c r="G413" s="6">
        <f>IF(AND(A413="",B413=""),"",IF(COUNTIFS($A$2:$A$2001,A413,$B$2:$B$2001,B413)&gt;1,"DUPLICADO","OK"))</f>
      </c>
      <c r="H413" s="6">
        <f>IF(COUNTA(A413:F413)=0,"",IF(AND(A413&lt;&gt;"",B413&lt;&gt;"",E413&lt;&gt;""),"OK","ERRO: faltam "&amp;IF(A413="","Conta; ","")&amp;IF(B413="","Oportunidade; ","")&amp;IF(E413="","Novo gerente; ","")))</f>
      </c>
      <c r="I413" s="6">
        <f>IF(COUNTA(A413:F413)=0,"",IF(AND(G413="OK",H413="OK"),"OK","REVISAR"))</f>
      </c>
    </row>
    <row r="414">
      <c r="A414" s="5"/>
      <c r="B414" s="5"/>
      <c r="C414" s="4"/>
      <c r="D414" s="4"/>
      <c r="E414" s="5"/>
      <c r="F414" s="4"/>
      <c r="G414" s="6">
        <f>IF(AND(A414="",B414=""),"",IF(COUNTIFS($A$2:$A$2001,A414,$B$2:$B$2001,B414)&gt;1,"DUPLICADO","OK"))</f>
      </c>
      <c r="H414" s="6">
        <f>IF(COUNTA(A414:F414)=0,"",IF(AND(A414&lt;&gt;"",B414&lt;&gt;"",E414&lt;&gt;""),"OK","ERRO: faltam "&amp;IF(A414="","Conta; ","")&amp;IF(B414="","Oportunidade; ","")&amp;IF(E414="","Novo gerente; ","")))</f>
      </c>
      <c r="I414" s="6">
        <f>IF(COUNTA(A414:F414)=0,"",IF(AND(G414="OK",H414="OK"),"OK","REVISAR"))</f>
      </c>
    </row>
    <row r="415">
      <c r="A415" s="5"/>
      <c r="B415" s="5"/>
      <c r="C415" s="4"/>
      <c r="D415" s="4"/>
      <c r="E415" s="5"/>
      <c r="F415" s="4"/>
      <c r="G415" s="6">
        <f>IF(AND(A415="",B415=""),"",IF(COUNTIFS($A$2:$A$2001,A415,$B$2:$B$2001,B415)&gt;1,"DUPLICADO","OK"))</f>
      </c>
      <c r="H415" s="6">
        <f>IF(COUNTA(A415:F415)=0,"",IF(AND(A415&lt;&gt;"",B415&lt;&gt;"",E415&lt;&gt;""),"OK","ERRO: faltam "&amp;IF(A415="","Conta; ","")&amp;IF(B415="","Oportunidade; ","")&amp;IF(E415="","Novo gerente; ","")))</f>
      </c>
      <c r="I415" s="6">
        <f>IF(COUNTA(A415:F415)=0,"",IF(AND(G415="OK",H415="OK"),"OK","REVISAR"))</f>
      </c>
    </row>
    <row r="416">
      <c r="A416" s="5"/>
      <c r="B416" s="5"/>
      <c r="C416" s="4"/>
      <c r="D416" s="4"/>
      <c r="E416" s="5"/>
      <c r="F416" s="4"/>
      <c r="G416" s="6">
        <f>IF(AND(A416="",B416=""),"",IF(COUNTIFS($A$2:$A$2001,A416,$B$2:$B$2001,B416)&gt;1,"DUPLICADO","OK"))</f>
      </c>
      <c r="H416" s="6">
        <f>IF(COUNTA(A416:F416)=0,"",IF(AND(A416&lt;&gt;"",B416&lt;&gt;"",E416&lt;&gt;""),"OK","ERRO: faltam "&amp;IF(A416="","Conta; ","")&amp;IF(B416="","Oportunidade; ","")&amp;IF(E416="","Novo gerente; ","")))</f>
      </c>
      <c r="I416" s="6">
        <f>IF(COUNTA(A416:F416)=0,"",IF(AND(G416="OK",H416="OK"),"OK","REVISAR"))</f>
      </c>
    </row>
    <row r="417">
      <c r="A417" s="5"/>
      <c r="B417" s="5"/>
      <c r="C417" s="4"/>
      <c r="D417" s="4"/>
      <c r="E417" s="5"/>
      <c r="F417" s="4"/>
      <c r="G417" s="6">
        <f>IF(AND(A417="",B417=""),"",IF(COUNTIFS($A$2:$A$2001,A417,$B$2:$B$2001,B417)&gt;1,"DUPLICADO","OK"))</f>
      </c>
      <c r="H417" s="6">
        <f>IF(COUNTA(A417:F417)=0,"",IF(AND(A417&lt;&gt;"",B417&lt;&gt;"",E417&lt;&gt;""),"OK","ERRO: faltam "&amp;IF(A417="","Conta; ","")&amp;IF(B417="","Oportunidade; ","")&amp;IF(E417="","Novo gerente; ","")))</f>
      </c>
      <c r="I417" s="6">
        <f>IF(COUNTA(A417:F417)=0,"",IF(AND(G417="OK",H417="OK"),"OK","REVISAR"))</f>
      </c>
    </row>
    <row r="418">
      <c r="A418" s="5"/>
      <c r="B418" s="5"/>
      <c r="C418" s="4"/>
      <c r="D418" s="4"/>
      <c r="E418" s="5"/>
      <c r="F418" s="4"/>
      <c r="G418" s="6">
        <f>IF(AND(A418="",B418=""),"",IF(COUNTIFS($A$2:$A$2001,A418,$B$2:$B$2001,B418)&gt;1,"DUPLICADO","OK"))</f>
      </c>
      <c r="H418" s="6">
        <f>IF(COUNTA(A418:F418)=0,"",IF(AND(A418&lt;&gt;"",B418&lt;&gt;"",E418&lt;&gt;""),"OK","ERRO: faltam "&amp;IF(A418="","Conta; ","")&amp;IF(B418="","Oportunidade; ","")&amp;IF(E418="","Novo gerente; ","")))</f>
      </c>
      <c r="I418" s="6">
        <f>IF(COUNTA(A418:F418)=0,"",IF(AND(G418="OK",H418="OK"),"OK","REVISAR"))</f>
      </c>
    </row>
    <row r="419">
      <c r="A419" s="5"/>
      <c r="B419" s="5"/>
      <c r="C419" s="4"/>
      <c r="D419" s="4"/>
      <c r="E419" s="5"/>
      <c r="F419" s="4"/>
      <c r="G419" s="6">
        <f>IF(AND(A419="",B419=""),"",IF(COUNTIFS($A$2:$A$2001,A419,$B$2:$B$2001,B419)&gt;1,"DUPLICADO","OK"))</f>
      </c>
      <c r="H419" s="6">
        <f>IF(COUNTA(A419:F419)=0,"",IF(AND(A419&lt;&gt;"",B419&lt;&gt;"",E419&lt;&gt;""),"OK","ERRO: faltam "&amp;IF(A419="","Conta; ","")&amp;IF(B419="","Oportunidade; ","")&amp;IF(E419="","Novo gerente; ","")))</f>
      </c>
      <c r="I419" s="6">
        <f>IF(COUNTA(A419:F419)=0,"",IF(AND(G419="OK",H419="OK"),"OK","REVISAR"))</f>
      </c>
    </row>
    <row r="420">
      <c r="A420" s="5"/>
      <c r="B420" s="5"/>
      <c r="C420" s="4"/>
      <c r="D420" s="4"/>
      <c r="E420" s="5"/>
      <c r="F420" s="4"/>
      <c r="G420" s="6">
        <f>IF(AND(A420="",B420=""),"",IF(COUNTIFS($A$2:$A$2001,A420,$B$2:$B$2001,B420)&gt;1,"DUPLICADO","OK"))</f>
      </c>
      <c r="H420" s="6">
        <f>IF(COUNTA(A420:F420)=0,"",IF(AND(A420&lt;&gt;"",B420&lt;&gt;"",E420&lt;&gt;""),"OK","ERRO: faltam "&amp;IF(A420="","Conta; ","")&amp;IF(B420="","Oportunidade; ","")&amp;IF(E420="","Novo gerente; ","")))</f>
      </c>
      <c r="I420" s="6">
        <f>IF(COUNTA(A420:F420)=0,"",IF(AND(G420="OK",H420="OK"),"OK","REVISAR"))</f>
      </c>
    </row>
    <row r="421">
      <c r="A421" s="5"/>
      <c r="B421" s="5"/>
      <c r="C421" s="4"/>
      <c r="D421" s="4"/>
      <c r="E421" s="5"/>
      <c r="F421" s="4"/>
      <c r="G421" s="6">
        <f>IF(AND(A421="",B421=""),"",IF(COUNTIFS($A$2:$A$2001,A421,$B$2:$B$2001,B421)&gt;1,"DUPLICADO","OK"))</f>
      </c>
      <c r="H421" s="6">
        <f>IF(COUNTA(A421:F421)=0,"",IF(AND(A421&lt;&gt;"",B421&lt;&gt;"",E421&lt;&gt;""),"OK","ERRO: faltam "&amp;IF(A421="","Conta; ","")&amp;IF(B421="","Oportunidade; ","")&amp;IF(E421="","Novo gerente; ","")))</f>
      </c>
      <c r="I421" s="6">
        <f>IF(COUNTA(A421:F421)=0,"",IF(AND(G421="OK",H421="OK"),"OK","REVISAR"))</f>
      </c>
    </row>
    <row r="422">
      <c r="A422" s="5"/>
      <c r="B422" s="5"/>
      <c r="C422" s="4"/>
      <c r="D422" s="4"/>
      <c r="E422" s="5"/>
      <c r="F422" s="4"/>
      <c r="G422" s="6">
        <f>IF(AND(A422="",B422=""),"",IF(COUNTIFS($A$2:$A$2001,A422,$B$2:$B$2001,B422)&gt;1,"DUPLICADO","OK"))</f>
      </c>
      <c r="H422" s="6">
        <f>IF(COUNTA(A422:F422)=0,"",IF(AND(A422&lt;&gt;"",B422&lt;&gt;"",E422&lt;&gt;""),"OK","ERRO: faltam "&amp;IF(A422="","Conta; ","")&amp;IF(B422="","Oportunidade; ","")&amp;IF(E422="","Novo gerente; ","")))</f>
      </c>
      <c r="I422" s="6">
        <f>IF(COUNTA(A422:F422)=0,"",IF(AND(G422="OK",H422="OK"),"OK","REVISAR"))</f>
      </c>
    </row>
    <row r="423">
      <c r="A423" s="5"/>
      <c r="B423" s="5"/>
      <c r="C423" s="4"/>
      <c r="D423" s="4"/>
      <c r="E423" s="5"/>
      <c r="F423" s="4"/>
      <c r="G423" s="6">
        <f>IF(AND(A423="",B423=""),"",IF(COUNTIFS($A$2:$A$2001,A423,$B$2:$B$2001,B423)&gt;1,"DUPLICADO","OK"))</f>
      </c>
      <c r="H423" s="6">
        <f>IF(COUNTA(A423:F423)=0,"",IF(AND(A423&lt;&gt;"",B423&lt;&gt;"",E423&lt;&gt;""),"OK","ERRO: faltam "&amp;IF(A423="","Conta; ","")&amp;IF(B423="","Oportunidade; ","")&amp;IF(E423="","Novo gerente; ","")))</f>
      </c>
      <c r="I423" s="6">
        <f>IF(COUNTA(A423:F423)=0,"",IF(AND(G423="OK",H423="OK"),"OK","REVISAR"))</f>
      </c>
    </row>
    <row r="424">
      <c r="A424" s="5"/>
      <c r="B424" s="5"/>
      <c r="C424" s="4"/>
      <c r="D424" s="4"/>
      <c r="E424" s="5"/>
      <c r="F424" s="4"/>
      <c r="G424" s="6">
        <f>IF(AND(A424="",B424=""),"",IF(COUNTIFS($A$2:$A$2001,A424,$B$2:$B$2001,B424)&gt;1,"DUPLICADO","OK"))</f>
      </c>
      <c r="H424" s="6">
        <f>IF(COUNTA(A424:F424)=0,"",IF(AND(A424&lt;&gt;"",B424&lt;&gt;"",E424&lt;&gt;""),"OK","ERRO: faltam "&amp;IF(A424="","Conta; ","")&amp;IF(B424="","Oportunidade; ","")&amp;IF(E424="","Novo gerente; ","")))</f>
      </c>
      <c r="I424" s="6">
        <f>IF(COUNTA(A424:F424)=0,"",IF(AND(G424="OK",H424="OK"),"OK","REVISAR"))</f>
      </c>
    </row>
    <row r="425">
      <c r="A425" s="5"/>
      <c r="B425" s="5"/>
      <c r="C425" s="4"/>
      <c r="D425" s="4"/>
      <c r="E425" s="5"/>
      <c r="F425" s="4"/>
      <c r="G425" s="6">
        <f>IF(AND(A425="",B425=""),"",IF(COUNTIFS($A$2:$A$2001,A425,$B$2:$B$2001,B425)&gt;1,"DUPLICADO","OK"))</f>
      </c>
      <c r="H425" s="6">
        <f>IF(COUNTA(A425:F425)=0,"",IF(AND(A425&lt;&gt;"",B425&lt;&gt;"",E425&lt;&gt;""),"OK","ERRO: faltam "&amp;IF(A425="","Conta; ","")&amp;IF(B425="","Oportunidade; ","")&amp;IF(E425="","Novo gerente; ","")))</f>
      </c>
      <c r="I425" s="6">
        <f>IF(COUNTA(A425:F425)=0,"",IF(AND(G425="OK",H425="OK"),"OK","REVISAR"))</f>
      </c>
    </row>
    <row r="426">
      <c r="A426" s="5"/>
      <c r="B426" s="5"/>
      <c r="C426" s="4"/>
      <c r="D426" s="4"/>
      <c r="E426" s="5"/>
      <c r="F426" s="4"/>
      <c r="G426" s="6">
        <f>IF(AND(A426="",B426=""),"",IF(COUNTIFS($A$2:$A$2001,A426,$B$2:$B$2001,B426)&gt;1,"DUPLICADO","OK"))</f>
      </c>
      <c r="H426" s="6">
        <f>IF(COUNTA(A426:F426)=0,"",IF(AND(A426&lt;&gt;"",B426&lt;&gt;"",E426&lt;&gt;""),"OK","ERRO: faltam "&amp;IF(A426="","Conta; ","")&amp;IF(B426="","Oportunidade; ","")&amp;IF(E426="","Novo gerente; ","")))</f>
      </c>
      <c r="I426" s="6">
        <f>IF(COUNTA(A426:F426)=0,"",IF(AND(G426="OK",H426="OK"),"OK","REVISAR"))</f>
      </c>
    </row>
    <row r="427">
      <c r="A427" s="5"/>
      <c r="B427" s="5"/>
      <c r="C427" s="4"/>
      <c r="D427" s="4"/>
      <c r="E427" s="5"/>
      <c r="F427" s="4"/>
      <c r="G427" s="6">
        <f>IF(AND(A427="",B427=""),"",IF(COUNTIFS($A$2:$A$2001,A427,$B$2:$B$2001,B427)&gt;1,"DUPLICADO","OK"))</f>
      </c>
      <c r="H427" s="6">
        <f>IF(COUNTA(A427:F427)=0,"",IF(AND(A427&lt;&gt;"",B427&lt;&gt;"",E427&lt;&gt;""),"OK","ERRO: faltam "&amp;IF(A427="","Conta; ","")&amp;IF(B427="","Oportunidade; ","")&amp;IF(E427="","Novo gerente; ","")))</f>
      </c>
      <c r="I427" s="6">
        <f>IF(COUNTA(A427:F427)=0,"",IF(AND(G427="OK",H427="OK"),"OK","REVISAR"))</f>
      </c>
    </row>
    <row r="428">
      <c r="A428" s="5"/>
      <c r="B428" s="5"/>
      <c r="C428" s="4"/>
      <c r="D428" s="4"/>
      <c r="E428" s="5"/>
      <c r="F428" s="4"/>
      <c r="G428" s="6">
        <f>IF(AND(A428="",B428=""),"",IF(COUNTIFS($A$2:$A$2001,A428,$B$2:$B$2001,B428)&gt;1,"DUPLICADO","OK"))</f>
      </c>
      <c r="H428" s="6">
        <f>IF(COUNTA(A428:F428)=0,"",IF(AND(A428&lt;&gt;"",B428&lt;&gt;"",E428&lt;&gt;""),"OK","ERRO: faltam "&amp;IF(A428="","Conta; ","")&amp;IF(B428="","Oportunidade; ","")&amp;IF(E428="","Novo gerente; ","")))</f>
      </c>
      <c r="I428" s="6">
        <f>IF(COUNTA(A428:F428)=0,"",IF(AND(G428="OK",H428="OK"),"OK","REVISAR"))</f>
      </c>
    </row>
    <row r="429">
      <c r="A429" s="5"/>
      <c r="B429" s="5"/>
      <c r="C429" s="4"/>
      <c r="D429" s="4"/>
      <c r="E429" s="5"/>
      <c r="F429" s="4"/>
      <c r="G429" s="6">
        <f>IF(AND(A429="",B429=""),"",IF(COUNTIFS($A$2:$A$2001,A429,$B$2:$B$2001,B429)&gt;1,"DUPLICADO","OK"))</f>
      </c>
      <c r="H429" s="6">
        <f>IF(COUNTA(A429:F429)=0,"",IF(AND(A429&lt;&gt;"",B429&lt;&gt;"",E429&lt;&gt;""),"OK","ERRO: faltam "&amp;IF(A429="","Conta; ","")&amp;IF(B429="","Oportunidade; ","")&amp;IF(E429="","Novo gerente; ","")))</f>
      </c>
      <c r="I429" s="6">
        <f>IF(COUNTA(A429:F429)=0,"",IF(AND(G429="OK",H429="OK"),"OK","REVISAR"))</f>
      </c>
    </row>
    <row r="430">
      <c r="A430" s="5"/>
      <c r="B430" s="5"/>
      <c r="C430" s="4"/>
      <c r="D430" s="4"/>
      <c r="E430" s="5"/>
      <c r="F430" s="4"/>
      <c r="G430" s="6">
        <f>IF(AND(A430="",B430=""),"",IF(COUNTIFS($A$2:$A$2001,A430,$B$2:$B$2001,B430)&gt;1,"DUPLICADO","OK"))</f>
      </c>
      <c r="H430" s="6">
        <f>IF(COUNTA(A430:F430)=0,"",IF(AND(A430&lt;&gt;"",B430&lt;&gt;"",E430&lt;&gt;""),"OK","ERRO: faltam "&amp;IF(A430="","Conta; ","")&amp;IF(B430="","Oportunidade; ","")&amp;IF(E430="","Novo gerente; ","")))</f>
      </c>
      <c r="I430" s="6">
        <f>IF(COUNTA(A430:F430)=0,"",IF(AND(G430="OK",H430="OK"),"OK","REVISAR"))</f>
      </c>
    </row>
    <row r="431">
      <c r="A431" s="5"/>
      <c r="B431" s="5"/>
      <c r="C431" s="4"/>
      <c r="D431" s="4"/>
      <c r="E431" s="5"/>
      <c r="F431" s="4"/>
      <c r="G431" s="6">
        <f>IF(AND(A431="",B431=""),"",IF(COUNTIFS($A$2:$A$2001,A431,$B$2:$B$2001,B431)&gt;1,"DUPLICADO","OK"))</f>
      </c>
      <c r="H431" s="6">
        <f>IF(COUNTA(A431:F431)=0,"",IF(AND(A431&lt;&gt;"",B431&lt;&gt;"",E431&lt;&gt;""),"OK","ERRO: faltam "&amp;IF(A431="","Conta; ","")&amp;IF(B431="","Oportunidade; ","")&amp;IF(E431="","Novo gerente; ","")))</f>
      </c>
      <c r="I431" s="6">
        <f>IF(COUNTA(A431:F431)=0,"",IF(AND(G431="OK",H431="OK"),"OK","REVISAR"))</f>
      </c>
    </row>
    <row r="432">
      <c r="A432" s="5"/>
      <c r="B432" s="5"/>
      <c r="C432" s="4"/>
      <c r="D432" s="4"/>
      <c r="E432" s="5"/>
      <c r="F432" s="4"/>
      <c r="G432" s="6">
        <f>IF(AND(A432="",B432=""),"",IF(COUNTIFS($A$2:$A$2001,A432,$B$2:$B$2001,B432)&gt;1,"DUPLICADO","OK"))</f>
      </c>
      <c r="H432" s="6">
        <f>IF(COUNTA(A432:F432)=0,"",IF(AND(A432&lt;&gt;"",B432&lt;&gt;"",E432&lt;&gt;""),"OK","ERRO: faltam "&amp;IF(A432="","Conta; ","")&amp;IF(B432="","Oportunidade; ","")&amp;IF(E432="","Novo gerente; ","")))</f>
      </c>
      <c r="I432" s="6">
        <f>IF(COUNTA(A432:F432)=0,"",IF(AND(G432="OK",H432="OK"),"OK","REVISAR"))</f>
      </c>
    </row>
    <row r="433">
      <c r="A433" s="5"/>
      <c r="B433" s="5"/>
      <c r="C433" s="4"/>
      <c r="D433" s="4"/>
      <c r="E433" s="5"/>
      <c r="F433" s="4"/>
      <c r="G433" s="6">
        <f>IF(AND(A433="",B433=""),"",IF(COUNTIFS($A$2:$A$2001,A433,$B$2:$B$2001,B433)&gt;1,"DUPLICADO","OK"))</f>
      </c>
      <c r="H433" s="6">
        <f>IF(COUNTA(A433:F433)=0,"",IF(AND(A433&lt;&gt;"",B433&lt;&gt;"",E433&lt;&gt;""),"OK","ERRO: faltam "&amp;IF(A433="","Conta; ","")&amp;IF(B433="","Oportunidade; ","")&amp;IF(E433="","Novo gerente; ","")))</f>
      </c>
      <c r="I433" s="6">
        <f>IF(COUNTA(A433:F433)=0,"",IF(AND(G433="OK",H433="OK"),"OK","REVISAR"))</f>
      </c>
    </row>
    <row r="434">
      <c r="A434" s="5"/>
      <c r="B434" s="5"/>
      <c r="C434" s="4"/>
      <c r="D434" s="4"/>
      <c r="E434" s="5"/>
      <c r="F434" s="4"/>
      <c r="G434" s="6">
        <f>IF(AND(A434="",B434=""),"",IF(COUNTIFS($A$2:$A$2001,A434,$B$2:$B$2001,B434)&gt;1,"DUPLICADO","OK"))</f>
      </c>
      <c r="H434" s="6">
        <f>IF(COUNTA(A434:F434)=0,"",IF(AND(A434&lt;&gt;"",B434&lt;&gt;"",E434&lt;&gt;""),"OK","ERRO: faltam "&amp;IF(A434="","Conta; ","")&amp;IF(B434="","Oportunidade; ","")&amp;IF(E434="","Novo gerente; ","")))</f>
      </c>
      <c r="I434" s="6">
        <f>IF(COUNTA(A434:F434)=0,"",IF(AND(G434="OK",H434="OK"),"OK","REVISAR"))</f>
      </c>
    </row>
    <row r="435">
      <c r="A435" s="5"/>
      <c r="B435" s="5"/>
      <c r="C435" s="4"/>
      <c r="D435" s="4"/>
      <c r="E435" s="5"/>
      <c r="F435" s="4"/>
      <c r="G435" s="6">
        <f>IF(AND(A435="",B435=""),"",IF(COUNTIFS($A$2:$A$2001,A435,$B$2:$B$2001,B435)&gt;1,"DUPLICADO","OK"))</f>
      </c>
      <c r="H435" s="6">
        <f>IF(COUNTA(A435:F435)=0,"",IF(AND(A435&lt;&gt;"",B435&lt;&gt;"",E435&lt;&gt;""),"OK","ERRO: faltam "&amp;IF(A435="","Conta; ","")&amp;IF(B435="","Oportunidade; ","")&amp;IF(E435="","Novo gerente; ","")))</f>
      </c>
      <c r="I435" s="6">
        <f>IF(COUNTA(A435:F435)=0,"",IF(AND(G435="OK",H435="OK"),"OK","REVISAR"))</f>
      </c>
    </row>
    <row r="436">
      <c r="A436" s="5"/>
      <c r="B436" s="5"/>
      <c r="C436" s="4"/>
      <c r="D436" s="4"/>
      <c r="E436" s="5"/>
      <c r="F436" s="4"/>
      <c r="G436" s="6">
        <f>IF(AND(A436="",B436=""),"",IF(COUNTIFS($A$2:$A$2001,A436,$B$2:$B$2001,B436)&gt;1,"DUPLICADO","OK"))</f>
      </c>
      <c r="H436" s="6">
        <f>IF(COUNTA(A436:F436)=0,"",IF(AND(A436&lt;&gt;"",B436&lt;&gt;"",E436&lt;&gt;""),"OK","ERRO: faltam "&amp;IF(A436="","Conta; ","")&amp;IF(B436="","Oportunidade; ","")&amp;IF(E436="","Novo gerente; ","")))</f>
      </c>
      <c r="I436" s="6">
        <f>IF(COUNTA(A436:F436)=0,"",IF(AND(G436="OK",H436="OK"),"OK","REVISAR"))</f>
      </c>
    </row>
    <row r="437">
      <c r="A437" s="5"/>
      <c r="B437" s="5"/>
      <c r="C437" s="4"/>
      <c r="D437" s="4"/>
      <c r="E437" s="5"/>
      <c r="F437" s="4"/>
      <c r="G437" s="6">
        <f>IF(AND(A437="",B437=""),"",IF(COUNTIFS($A$2:$A$2001,A437,$B$2:$B$2001,B437)&gt;1,"DUPLICADO","OK"))</f>
      </c>
      <c r="H437" s="6">
        <f>IF(COUNTA(A437:F437)=0,"",IF(AND(A437&lt;&gt;"",B437&lt;&gt;"",E437&lt;&gt;""),"OK","ERRO: faltam "&amp;IF(A437="","Conta; ","")&amp;IF(B437="","Oportunidade; ","")&amp;IF(E437="","Novo gerente; ","")))</f>
      </c>
      <c r="I437" s="6">
        <f>IF(COUNTA(A437:F437)=0,"",IF(AND(G437="OK",H437="OK"),"OK","REVISAR"))</f>
      </c>
    </row>
    <row r="438">
      <c r="A438" s="5"/>
      <c r="B438" s="5"/>
      <c r="C438" s="4"/>
      <c r="D438" s="4"/>
      <c r="E438" s="5"/>
      <c r="F438" s="4"/>
      <c r="G438" s="6">
        <f>IF(AND(A438="",B438=""),"",IF(COUNTIFS($A$2:$A$2001,A438,$B$2:$B$2001,B438)&gt;1,"DUPLICADO","OK"))</f>
      </c>
      <c r="H438" s="6">
        <f>IF(COUNTA(A438:F438)=0,"",IF(AND(A438&lt;&gt;"",B438&lt;&gt;"",E438&lt;&gt;""),"OK","ERRO: faltam "&amp;IF(A438="","Conta; ","")&amp;IF(B438="","Oportunidade; ","")&amp;IF(E438="","Novo gerente; ","")))</f>
      </c>
      <c r="I438" s="6">
        <f>IF(COUNTA(A438:F438)=0,"",IF(AND(G438="OK",H438="OK"),"OK","REVISAR"))</f>
      </c>
    </row>
    <row r="439">
      <c r="A439" s="5"/>
      <c r="B439" s="5"/>
      <c r="C439" s="4"/>
      <c r="D439" s="4"/>
      <c r="E439" s="5"/>
      <c r="F439" s="4"/>
      <c r="G439" s="6">
        <f>IF(AND(A439="",B439=""),"",IF(COUNTIFS($A$2:$A$2001,A439,$B$2:$B$2001,B439)&gt;1,"DUPLICADO","OK"))</f>
      </c>
      <c r="H439" s="6">
        <f>IF(COUNTA(A439:F439)=0,"",IF(AND(A439&lt;&gt;"",B439&lt;&gt;"",E439&lt;&gt;""),"OK","ERRO: faltam "&amp;IF(A439="","Conta; ","")&amp;IF(B439="","Oportunidade; ","")&amp;IF(E439="","Novo gerente; ","")))</f>
      </c>
      <c r="I439" s="6">
        <f>IF(COUNTA(A439:F439)=0,"",IF(AND(G439="OK",H439="OK"),"OK","REVISAR"))</f>
      </c>
    </row>
    <row r="440">
      <c r="A440" s="5"/>
      <c r="B440" s="5"/>
      <c r="C440" s="4"/>
      <c r="D440" s="4"/>
      <c r="E440" s="5"/>
      <c r="F440" s="4"/>
      <c r="G440" s="6">
        <f>IF(AND(A440="",B440=""),"",IF(COUNTIFS($A$2:$A$2001,A440,$B$2:$B$2001,B440)&gt;1,"DUPLICADO","OK"))</f>
      </c>
      <c r="H440" s="6">
        <f>IF(COUNTA(A440:F440)=0,"",IF(AND(A440&lt;&gt;"",B440&lt;&gt;"",E440&lt;&gt;""),"OK","ERRO: faltam "&amp;IF(A440="","Conta; ","")&amp;IF(B440="","Oportunidade; ","")&amp;IF(E440="","Novo gerente; ","")))</f>
      </c>
      <c r="I440" s="6">
        <f>IF(COUNTA(A440:F440)=0,"",IF(AND(G440="OK",H440="OK"),"OK","REVISAR"))</f>
      </c>
    </row>
    <row r="441">
      <c r="A441" s="5"/>
      <c r="B441" s="5"/>
      <c r="C441" s="4"/>
      <c r="D441" s="4"/>
      <c r="E441" s="5"/>
      <c r="F441" s="4"/>
      <c r="G441" s="6">
        <f>IF(AND(A441="",B441=""),"",IF(COUNTIFS($A$2:$A$2001,A441,$B$2:$B$2001,B441)&gt;1,"DUPLICADO","OK"))</f>
      </c>
      <c r="H441" s="6">
        <f>IF(COUNTA(A441:F441)=0,"",IF(AND(A441&lt;&gt;"",B441&lt;&gt;"",E441&lt;&gt;""),"OK","ERRO: faltam "&amp;IF(A441="","Conta; ","")&amp;IF(B441="","Oportunidade; ","")&amp;IF(E441="","Novo gerente; ","")))</f>
      </c>
      <c r="I441" s="6">
        <f>IF(COUNTA(A441:F441)=0,"",IF(AND(G441="OK",H441="OK"),"OK","REVISAR"))</f>
      </c>
    </row>
    <row r="442">
      <c r="A442" s="5"/>
      <c r="B442" s="5"/>
      <c r="C442" s="4"/>
      <c r="D442" s="4"/>
      <c r="E442" s="5"/>
      <c r="F442" s="4"/>
      <c r="G442" s="6">
        <f>IF(AND(A442="",B442=""),"",IF(COUNTIFS($A$2:$A$2001,A442,$B$2:$B$2001,B442)&gt;1,"DUPLICADO","OK"))</f>
      </c>
      <c r="H442" s="6">
        <f>IF(COUNTA(A442:F442)=0,"",IF(AND(A442&lt;&gt;"",B442&lt;&gt;"",E442&lt;&gt;""),"OK","ERRO: faltam "&amp;IF(A442="","Conta; ","")&amp;IF(B442="","Oportunidade; ","")&amp;IF(E442="","Novo gerente; ","")))</f>
      </c>
      <c r="I442" s="6">
        <f>IF(COUNTA(A442:F442)=0,"",IF(AND(G442="OK",H442="OK"),"OK","REVISAR"))</f>
      </c>
    </row>
    <row r="443">
      <c r="A443" s="5"/>
      <c r="B443" s="5"/>
      <c r="C443" s="4"/>
      <c r="D443" s="4"/>
      <c r="E443" s="5"/>
      <c r="F443" s="4"/>
      <c r="G443" s="6">
        <f>IF(AND(A443="",B443=""),"",IF(COUNTIFS($A$2:$A$2001,A443,$B$2:$B$2001,B443)&gt;1,"DUPLICADO","OK"))</f>
      </c>
      <c r="H443" s="6">
        <f>IF(COUNTA(A443:F443)=0,"",IF(AND(A443&lt;&gt;"",B443&lt;&gt;"",E443&lt;&gt;""),"OK","ERRO: faltam "&amp;IF(A443="","Conta; ","")&amp;IF(B443="","Oportunidade; ","")&amp;IF(E443="","Novo gerente; ","")))</f>
      </c>
      <c r="I443" s="6">
        <f>IF(COUNTA(A443:F443)=0,"",IF(AND(G443="OK",H443="OK"),"OK","REVISAR"))</f>
      </c>
    </row>
    <row r="444">
      <c r="A444" s="5"/>
      <c r="B444" s="5"/>
      <c r="C444" s="4"/>
      <c r="D444" s="4"/>
      <c r="E444" s="5"/>
      <c r="F444" s="4"/>
      <c r="G444" s="6">
        <f>IF(AND(A444="",B444=""),"",IF(COUNTIFS($A$2:$A$2001,A444,$B$2:$B$2001,B444)&gt;1,"DUPLICADO","OK"))</f>
      </c>
      <c r="H444" s="6">
        <f>IF(COUNTA(A444:F444)=0,"",IF(AND(A444&lt;&gt;"",B444&lt;&gt;"",E444&lt;&gt;""),"OK","ERRO: faltam "&amp;IF(A444="","Conta; ","")&amp;IF(B444="","Oportunidade; ","")&amp;IF(E444="","Novo gerente; ","")))</f>
      </c>
      <c r="I444" s="6">
        <f>IF(COUNTA(A444:F444)=0,"",IF(AND(G444="OK",H444="OK"),"OK","REVISAR"))</f>
      </c>
    </row>
    <row r="445">
      <c r="A445" s="5"/>
      <c r="B445" s="5"/>
      <c r="C445" s="4"/>
      <c r="D445" s="4"/>
      <c r="E445" s="5"/>
      <c r="F445" s="4"/>
      <c r="G445" s="6">
        <f>IF(AND(A445="",B445=""),"",IF(COUNTIFS($A$2:$A$2001,A445,$B$2:$B$2001,B445)&gt;1,"DUPLICADO","OK"))</f>
      </c>
      <c r="H445" s="6">
        <f>IF(COUNTA(A445:F445)=0,"",IF(AND(A445&lt;&gt;"",B445&lt;&gt;"",E445&lt;&gt;""),"OK","ERRO: faltam "&amp;IF(A445="","Conta; ","")&amp;IF(B445="","Oportunidade; ","")&amp;IF(E445="","Novo gerente; ","")))</f>
      </c>
      <c r="I445" s="6">
        <f>IF(COUNTA(A445:F445)=0,"",IF(AND(G445="OK",H445="OK"),"OK","REVISAR"))</f>
      </c>
    </row>
    <row r="446">
      <c r="A446" s="5"/>
      <c r="B446" s="5"/>
      <c r="C446" s="4"/>
      <c r="D446" s="4"/>
      <c r="E446" s="5"/>
      <c r="F446" s="4"/>
      <c r="G446" s="6">
        <f>IF(AND(A446="",B446=""),"",IF(COUNTIFS($A$2:$A$2001,A446,$B$2:$B$2001,B446)&gt;1,"DUPLICADO","OK"))</f>
      </c>
      <c r="H446" s="6">
        <f>IF(COUNTA(A446:F446)=0,"",IF(AND(A446&lt;&gt;"",B446&lt;&gt;"",E446&lt;&gt;""),"OK","ERRO: faltam "&amp;IF(A446="","Conta; ","")&amp;IF(B446="","Oportunidade; ","")&amp;IF(E446="","Novo gerente; ","")))</f>
      </c>
      <c r="I446" s="6">
        <f>IF(COUNTA(A446:F446)=0,"",IF(AND(G446="OK",H446="OK"),"OK","REVISAR"))</f>
      </c>
    </row>
    <row r="447">
      <c r="A447" s="5"/>
      <c r="B447" s="5"/>
      <c r="C447" s="4"/>
      <c r="D447" s="4"/>
      <c r="E447" s="5"/>
      <c r="F447" s="4"/>
      <c r="G447" s="6">
        <f>IF(AND(A447="",B447=""),"",IF(COUNTIFS($A$2:$A$2001,A447,$B$2:$B$2001,B447)&gt;1,"DUPLICADO","OK"))</f>
      </c>
      <c r="H447" s="6">
        <f>IF(COUNTA(A447:F447)=0,"",IF(AND(A447&lt;&gt;"",B447&lt;&gt;"",E447&lt;&gt;""),"OK","ERRO: faltam "&amp;IF(A447="","Conta; ","")&amp;IF(B447="","Oportunidade; ","")&amp;IF(E447="","Novo gerente; ","")))</f>
      </c>
      <c r="I447" s="6">
        <f>IF(COUNTA(A447:F447)=0,"",IF(AND(G447="OK",H447="OK"),"OK","REVISAR"))</f>
      </c>
    </row>
    <row r="448">
      <c r="A448" s="5"/>
      <c r="B448" s="5"/>
      <c r="C448" s="4"/>
      <c r="D448" s="4"/>
      <c r="E448" s="5"/>
      <c r="F448" s="4"/>
      <c r="G448" s="6">
        <f>IF(AND(A448="",B448=""),"",IF(COUNTIFS($A$2:$A$2001,A448,$B$2:$B$2001,B448)&gt;1,"DUPLICADO","OK"))</f>
      </c>
      <c r="H448" s="6">
        <f>IF(COUNTA(A448:F448)=0,"",IF(AND(A448&lt;&gt;"",B448&lt;&gt;"",E448&lt;&gt;""),"OK","ERRO: faltam "&amp;IF(A448="","Conta; ","")&amp;IF(B448="","Oportunidade; ","")&amp;IF(E448="","Novo gerente; ","")))</f>
      </c>
      <c r="I448" s="6">
        <f>IF(COUNTA(A448:F448)=0,"",IF(AND(G448="OK",H448="OK"),"OK","REVISAR"))</f>
      </c>
    </row>
    <row r="449">
      <c r="A449" s="5"/>
      <c r="B449" s="5"/>
      <c r="C449" s="4"/>
      <c r="D449" s="4"/>
      <c r="E449" s="5"/>
      <c r="F449" s="4"/>
      <c r="G449" s="6">
        <f>IF(AND(A449="",B449=""),"",IF(COUNTIFS($A$2:$A$2001,A449,$B$2:$B$2001,B449)&gt;1,"DUPLICADO","OK"))</f>
      </c>
      <c r="H449" s="6">
        <f>IF(COUNTA(A449:F449)=0,"",IF(AND(A449&lt;&gt;"",B449&lt;&gt;"",E449&lt;&gt;""),"OK","ERRO: faltam "&amp;IF(A449="","Conta; ","")&amp;IF(B449="","Oportunidade; ","")&amp;IF(E449="","Novo gerente; ","")))</f>
      </c>
      <c r="I449" s="6">
        <f>IF(COUNTA(A449:F449)=0,"",IF(AND(G449="OK",H449="OK"),"OK","REVISAR"))</f>
      </c>
    </row>
    <row r="450">
      <c r="A450" s="5"/>
      <c r="B450" s="5"/>
      <c r="C450" s="4"/>
      <c r="D450" s="4"/>
      <c r="E450" s="5"/>
      <c r="F450" s="4"/>
      <c r="G450" s="6">
        <f>IF(AND(A450="",B450=""),"",IF(COUNTIFS($A$2:$A$2001,A450,$B$2:$B$2001,B450)&gt;1,"DUPLICADO","OK"))</f>
      </c>
      <c r="H450" s="6">
        <f>IF(COUNTA(A450:F450)=0,"",IF(AND(A450&lt;&gt;"",B450&lt;&gt;"",E450&lt;&gt;""),"OK","ERRO: faltam "&amp;IF(A450="","Conta; ","")&amp;IF(B450="","Oportunidade; ","")&amp;IF(E450="","Novo gerente; ","")))</f>
      </c>
      <c r="I450" s="6">
        <f>IF(COUNTA(A450:F450)=0,"",IF(AND(G450="OK",H450="OK"),"OK","REVISAR"))</f>
      </c>
    </row>
    <row r="451">
      <c r="A451" s="5"/>
      <c r="B451" s="5"/>
      <c r="C451" s="4"/>
      <c r="D451" s="4"/>
      <c r="E451" s="5"/>
      <c r="F451" s="4"/>
      <c r="G451" s="6">
        <f>IF(AND(A451="",B451=""),"",IF(COUNTIFS($A$2:$A$2001,A451,$B$2:$B$2001,B451)&gt;1,"DUPLICADO","OK"))</f>
      </c>
      <c r="H451" s="6">
        <f>IF(COUNTA(A451:F451)=0,"",IF(AND(A451&lt;&gt;"",B451&lt;&gt;"",E451&lt;&gt;""),"OK","ERRO: faltam "&amp;IF(A451="","Conta; ","")&amp;IF(B451="","Oportunidade; ","")&amp;IF(E451="","Novo gerente; ","")))</f>
      </c>
      <c r="I451" s="6">
        <f>IF(COUNTA(A451:F451)=0,"",IF(AND(G451="OK",H451="OK"),"OK","REVISAR"))</f>
      </c>
    </row>
    <row r="452">
      <c r="A452" s="5"/>
      <c r="B452" s="5"/>
      <c r="C452" s="4"/>
      <c r="D452" s="4"/>
      <c r="E452" s="5"/>
      <c r="F452" s="4"/>
      <c r="G452" s="6">
        <f>IF(AND(A452="",B452=""),"",IF(COUNTIFS($A$2:$A$2001,A452,$B$2:$B$2001,B452)&gt;1,"DUPLICADO","OK"))</f>
      </c>
      <c r="H452" s="6">
        <f>IF(COUNTA(A452:F452)=0,"",IF(AND(A452&lt;&gt;"",B452&lt;&gt;"",E452&lt;&gt;""),"OK","ERRO: faltam "&amp;IF(A452="","Conta; ","")&amp;IF(B452="","Oportunidade; ","")&amp;IF(E452="","Novo gerente; ","")))</f>
      </c>
      <c r="I452" s="6">
        <f>IF(COUNTA(A452:F452)=0,"",IF(AND(G452="OK",H452="OK"),"OK","REVISAR"))</f>
      </c>
    </row>
    <row r="453">
      <c r="A453" s="5"/>
      <c r="B453" s="5"/>
      <c r="C453" s="4"/>
      <c r="D453" s="4"/>
      <c r="E453" s="5"/>
      <c r="F453" s="4"/>
      <c r="G453" s="6">
        <f>IF(AND(A453="",B453=""),"",IF(COUNTIFS($A$2:$A$2001,A453,$B$2:$B$2001,B453)&gt;1,"DUPLICADO","OK"))</f>
      </c>
      <c r="H453" s="6">
        <f>IF(COUNTA(A453:F453)=0,"",IF(AND(A453&lt;&gt;"",B453&lt;&gt;"",E453&lt;&gt;""),"OK","ERRO: faltam "&amp;IF(A453="","Conta; ","")&amp;IF(B453="","Oportunidade; ","")&amp;IF(E453="","Novo gerente; ","")))</f>
      </c>
      <c r="I453" s="6">
        <f>IF(COUNTA(A453:F453)=0,"",IF(AND(G453="OK",H453="OK"),"OK","REVISAR"))</f>
      </c>
    </row>
    <row r="454">
      <c r="A454" s="5"/>
      <c r="B454" s="5"/>
      <c r="C454" s="4"/>
      <c r="D454" s="4"/>
      <c r="E454" s="5"/>
      <c r="F454" s="4"/>
      <c r="G454" s="6">
        <f>IF(AND(A454="",B454=""),"",IF(COUNTIFS($A$2:$A$2001,A454,$B$2:$B$2001,B454)&gt;1,"DUPLICADO","OK"))</f>
      </c>
      <c r="H454" s="6">
        <f>IF(COUNTA(A454:F454)=0,"",IF(AND(A454&lt;&gt;"",B454&lt;&gt;"",E454&lt;&gt;""),"OK","ERRO: faltam "&amp;IF(A454="","Conta; ","")&amp;IF(B454="","Oportunidade; ","")&amp;IF(E454="","Novo gerente; ","")))</f>
      </c>
      <c r="I454" s="6">
        <f>IF(COUNTA(A454:F454)=0,"",IF(AND(G454="OK",H454="OK"),"OK","REVISAR"))</f>
      </c>
    </row>
    <row r="455">
      <c r="A455" s="5"/>
      <c r="B455" s="5"/>
      <c r="C455" s="4"/>
      <c r="D455" s="4"/>
      <c r="E455" s="5"/>
      <c r="F455" s="4"/>
      <c r="G455" s="6">
        <f>IF(AND(A455="",B455=""),"",IF(COUNTIFS($A$2:$A$2001,A455,$B$2:$B$2001,B455)&gt;1,"DUPLICADO","OK"))</f>
      </c>
      <c r="H455" s="6">
        <f>IF(COUNTA(A455:F455)=0,"",IF(AND(A455&lt;&gt;"",B455&lt;&gt;"",E455&lt;&gt;""),"OK","ERRO: faltam "&amp;IF(A455="","Conta; ","")&amp;IF(B455="","Oportunidade; ","")&amp;IF(E455="","Novo gerente; ","")))</f>
      </c>
      <c r="I455" s="6">
        <f>IF(COUNTA(A455:F455)=0,"",IF(AND(G455="OK",H455="OK"),"OK","REVISAR"))</f>
      </c>
    </row>
    <row r="456">
      <c r="A456" s="5"/>
      <c r="B456" s="5"/>
      <c r="C456" s="4"/>
      <c r="D456" s="4"/>
      <c r="E456" s="5"/>
      <c r="F456" s="4"/>
      <c r="G456" s="6">
        <f>IF(AND(A456="",B456=""),"",IF(COUNTIFS($A$2:$A$2001,A456,$B$2:$B$2001,B456)&gt;1,"DUPLICADO","OK"))</f>
      </c>
      <c r="H456" s="6">
        <f>IF(COUNTA(A456:F456)=0,"",IF(AND(A456&lt;&gt;"",B456&lt;&gt;"",E456&lt;&gt;""),"OK","ERRO: faltam "&amp;IF(A456="","Conta; ","")&amp;IF(B456="","Oportunidade; ","")&amp;IF(E456="","Novo gerente; ","")))</f>
      </c>
      <c r="I456" s="6">
        <f>IF(COUNTA(A456:F456)=0,"",IF(AND(G456="OK",H456="OK"),"OK","REVISAR"))</f>
      </c>
    </row>
    <row r="457">
      <c r="A457" s="5"/>
      <c r="B457" s="5"/>
      <c r="C457" s="4"/>
      <c r="D457" s="4"/>
      <c r="E457" s="5"/>
      <c r="F457" s="4"/>
      <c r="G457" s="6">
        <f>IF(AND(A457="",B457=""),"",IF(COUNTIFS($A$2:$A$2001,A457,$B$2:$B$2001,B457)&gt;1,"DUPLICADO","OK"))</f>
      </c>
      <c r="H457" s="6">
        <f>IF(COUNTA(A457:F457)=0,"",IF(AND(A457&lt;&gt;"",B457&lt;&gt;"",E457&lt;&gt;""),"OK","ERRO: faltam "&amp;IF(A457="","Conta; ","")&amp;IF(B457="","Oportunidade; ","")&amp;IF(E457="","Novo gerente; ","")))</f>
      </c>
      <c r="I457" s="6">
        <f>IF(COUNTA(A457:F457)=0,"",IF(AND(G457="OK",H457="OK"),"OK","REVISAR"))</f>
      </c>
    </row>
    <row r="458">
      <c r="A458" s="5"/>
      <c r="B458" s="5"/>
      <c r="C458" s="4"/>
      <c r="D458" s="4"/>
      <c r="E458" s="5"/>
      <c r="F458" s="4"/>
      <c r="G458" s="6">
        <f>IF(AND(A458="",B458=""),"",IF(COUNTIFS($A$2:$A$2001,A458,$B$2:$B$2001,B458)&gt;1,"DUPLICADO","OK"))</f>
      </c>
      <c r="H458" s="6">
        <f>IF(COUNTA(A458:F458)=0,"",IF(AND(A458&lt;&gt;"",B458&lt;&gt;"",E458&lt;&gt;""),"OK","ERRO: faltam "&amp;IF(A458="","Conta; ","")&amp;IF(B458="","Oportunidade; ","")&amp;IF(E458="","Novo gerente; ","")))</f>
      </c>
      <c r="I458" s="6">
        <f>IF(COUNTA(A458:F458)=0,"",IF(AND(G458="OK",H458="OK"),"OK","REVISAR"))</f>
      </c>
    </row>
    <row r="459">
      <c r="A459" s="5"/>
      <c r="B459" s="5"/>
      <c r="C459" s="4"/>
      <c r="D459" s="4"/>
      <c r="E459" s="5"/>
      <c r="F459" s="4"/>
      <c r="G459" s="6">
        <f>IF(AND(A459="",B459=""),"",IF(COUNTIFS($A$2:$A$2001,A459,$B$2:$B$2001,B459)&gt;1,"DUPLICADO","OK"))</f>
      </c>
      <c r="H459" s="6">
        <f>IF(COUNTA(A459:F459)=0,"",IF(AND(A459&lt;&gt;"",B459&lt;&gt;"",E459&lt;&gt;""),"OK","ERRO: faltam "&amp;IF(A459="","Conta; ","")&amp;IF(B459="","Oportunidade; ","")&amp;IF(E459="","Novo gerente; ","")))</f>
      </c>
      <c r="I459" s="6">
        <f>IF(COUNTA(A459:F459)=0,"",IF(AND(G459="OK",H459="OK"),"OK","REVISAR"))</f>
      </c>
    </row>
    <row r="460">
      <c r="A460" s="5"/>
      <c r="B460" s="5"/>
      <c r="C460" s="4"/>
      <c r="D460" s="4"/>
      <c r="E460" s="5"/>
      <c r="F460" s="4"/>
      <c r="G460" s="6">
        <f>IF(AND(A460="",B460=""),"",IF(COUNTIFS($A$2:$A$2001,A460,$B$2:$B$2001,B460)&gt;1,"DUPLICADO","OK"))</f>
      </c>
      <c r="H460" s="6">
        <f>IF(COUNTA(A460:F460)=0,"",IF(AND(A460&lt;&gt;"",B460&lt;&gt;"",E460&lt;&gt;""),"OK","ERRO: faltam "&amp;IF(A460="","Conta; ","")&amp;IF(B460="","Oportunidade; ","")&amp;IF(E460="","Novo gerente; ","")))</f>
      </c>
      <c r="I460" s="6">
        <f>IF(COUNTA(A460:F460)=0,"",IF(AND(G460="OK",H460="OK"),"OK","REVISAR"))</f>
      </c>
    </row>
    <row r="461">
      <c r="A461" s="5"/>
      <c r="B461" s="5"/>
      <c r="C461" s="4"/>
      <c r="D461" s="4"/>
      <c r="E461" s="5"/>
      <c r="F461" s="4"/>
      <c r="G461" s="6">
        <f>IF(AND(A461="",B461=""),"",IF(COUNTIFS($A$2:$A$2001,A461,$B$2:$B$2001,B461)&gt;1,"DUPLICADO","OK"))</f>
      </c>
      <c r="H461" s="6">
        <f>IF(COUNTA(A461:F461)=0,"",IF(AND(A461&lt;&gt;"",B461&lt;&gt;"",E461&lt;&gt;""),"OK","ERRO: faltam "&amp;IF(A461="","Conta; ","")&amp;IF(B461="","Oportunidade; ","")&amp;IF(E461="","Novo gerente; ","")))</f>
      </c>
      <c r="I461" s="6">
        <f>IF(COUNTA(A461:F461)=0,"",IF(AND(G461="OK",H461="OK"),"OK","REVISAR"))</f>
      </c>
    </row>
    <row r="462">
      <c r="A462" s="5"/>
      <c r="B462" s="5"/>
      <c r="C462" s="4"/>
      <c r="D462" s="4"/>
      <c r="E462" s="5"/>
      <c r="F462" s="4"/>
      <c r="G462" s="6">
        <f>IF(AND(A462="",B462=""),"",IF(COUNTIFS($A$2:$A$2001,A462,$B$2:$B$2001,B462)&gt;1,"DUPLICADO","OK"))</f>
      </c>
      <c r="H462" s="6">
        <f>IF(COUNTA(A462:F462)=0,"",IF(AND(A462&lt;&gt;"",B462&lt;&gt;"",E462&lt;&gt;""),"OK","ERRO: faltam "&amp;IF(A462="","Conta; ","")&amp;IF(B462="","Oportunidade; ","")&amp;IF(E462="","Novo gerente; ","")))</f>
      </c>
      <c r="I462" s="6">
        <f>IF(COUNTA(A462:F462)=0,"",IF(AND(G462="OK",H462="OK"),"OK","REVISAR"))</f>
      </c>
    </row>
    <row r="463">
      <c r="A463" s="5"/>
      <c r="B463" s="5"/>
      <c r="C463" s="4"/>
      <c r="D463" s="4"/>
      <c r="E463" s="5"/>
      <c r="F463" s="4"/>
      <c r="G463" s="6">
        <f>IF(AND(A463="",B463=""),"",IF(COUNTIFS($A$2:$A$2001,A463,$B$2:$B$2001,B463)&gt;1,"DUPLICADO","OK"))</f>
      </c>
      <c r="H463" s="6">
        <f>IF(COUNTA(A463:F463)=0,"",IF(AND(A463&lt;&gt;"",B463&lt;&gt;"",E463&lt;&gt;""),"OK","ERRO: faltam "&amp;IF(A463="","Conta; ","")&amp;IF(B463="","Oportunidade; ","")&amp;IF(E463="","Novo gerente; ","")))</f>
      </c>
      <c r="I463" s="6">
        <f>IF(COUNTA(A463:F463)=0,"",IF(AND(G463="OK",H463="OK"),"OK","REVISAR"))</f>
      </c>
    </row>
    <row r="464">
      <c r="A464" s="5"/>
      <c r="B464" s="5"/>
      <c r="C464" s="4"/>
      <c r="D464" s="4"/>
      <c r="E464" s="5"/>
      <c r="F464" s="4"/>
      <c r="G464" s="6">
        <f>IF(AND(A464="",B464=""),"",IF(COUNTIFS($A$2:$A$2001,A464,$B$2:$B$2001,B464)&gt;1,"DUPLICADO","OK"))</f>
      </c>
      <c r="H464" s="6">
        <f>IF(COUNTA(A464:F464)=0,"",IF(AND(A464&lt;&gt;"",B464&lt;&gt;"",E464&lt;&gt;""),"OK","ERRO: faltam "&amp;IF(A464="","Conta; ","")&amp;IF(B464="","Oportunidade; ","")&amp;IF(E464="","Novo gerente; ","")))</f>
      </c>
      <c r="I464" s="6">
        <f>IF(COUNTA(A464:F464)=0,"",IF(AND(G464="OK",H464="OK"),"OK","REVISAR"))</f>
      </c>
    </row>
    <row r="465">
      <c r="A465" s="5"/>
      <c r="B465" s="5"/>
      <c r="C465" s="4"/>
      <c r="D465" s="4"/>
      <c r="E465" s="5"/>
      <c r="F465" s="4"/>
      <c r="G465" s="6">
        <f>IF(AND(A465="",B465=""),"",IF(COUNTIFS($A$2:$A$2001,A465,$B$2:$B$2001,B465)&gt;1,"DUPLICADO","OK"))</f>
      </c>
      <c r="H465" s="6">
        <f>IF(COUNTA(A465:F465)=0,"",IF(AND(A465&lt;&gt;"",B465&lt;&gt;"",E465&lt;&gt;""),"OK","ERRO: faltam "&amp;IF(A465="","Conta; ","")&amp;IF(B465="","Oportunidade; ","")&amp;IF(E465="","Novo gerente; ","")))</f>
      </c>
      <c r="I465" s="6">
        <f>IF(COUNTA(A465:F465)=0,"",IF(AND(G465="OK",H465="OK"),"OK","REVISAR"))</f>
      </c>
    </row>
    <row r="466">
      <c r="A466" s="5"/>
      <c r="B466" s="5"/>
      <c r="C466" s="4"/>
      <c r="D466" s="4"/>
      <c r="E466" s="5"/>
      <c r="F466" s="4"/>
      <c r="G466" s="6">
        <f>IF(AND(A466="",B466=""),"",IF(COUNTIFS($A$2:$A$2001,A466,$B$2:$B$2001,B466)&gt;1,"DUPLICADO","OK"))</f>
      </c>
      <c r="H466" s="6">
        <f>IF(COUNTA(A466:F466)=0,"",IF(AND(A466&lt;&gt;"",B466&lt;&gt;"",E466&lt;&gt;""),"OK","ERRO: faltam "&amp;IF(A466="","Conta; ","")&amp;IF(B466="","Oportunidade; ","")&amp;IF(E466="","Novo gerente; ","")))</f>
      </c>
      <c r="I466" s="6">
        <f>IF(COUNTA(A466:F466)=0,"",IF(AND(G466="OK",H466="OK"),"OK","REVISAR"))</f>
      </c>
    </row>
    <row r="467">
      <c r="A467" s="5"/>
      <c r="B467" s="5"/>
      <c r="C467" s="4"/>
      <c r="D467" s="4"/>
      <c r="E467" s="5"/>
      <c r="F467" s="4"/>
      <c r="G467" s="6">
        <f>IF(AND(A467="",B467=""),"",IF(COUNTIFS($A$2:$A$2001,A467,$B$2:$B$2001,B467)&gt;1,"DUPLICADO","OK"))</f>
      </c>
      <c r="H467" s="6">
        <f>IF(COUNTA(A467:F467)=0,"",IF(AND(A467&lt;&gt;"",B467&lt;&gt;"",E467&lt;&gt;""),"OK","ERRO: faltam "&amp;IF(A467="","Conta; ","")&amp;IF(B467="","Oportunidade; ","")&amp;IF(E467="","Novo gerente; ","")))</f>
      </c>
      <c r="I467" s="6">
        <f>IF(COUNTA(A467:F467)=0,"",IF(AND(G467="OK",H467="OK"),"OK","REVISAR"))</f>
      </c>
    </row>
    <row r="468">
      <c r="A468" s="5"/>
      <c r="B468" s="5"/>
      <c r="C468" s="4"/>
      <c r="D468" s="4"/>
      <c r="E468" s="5"/>
      <c r="F468" s="4"/>
      <c r="G468" s="6">
        <f>IF(AND(A468="",B468=""),"",IF(COUNTIFS($A$2:$A$2001,A468,$B$2:$B$2001,B468)&gt;1,"DUPLICADO","OK"))</f>
      </c>
      <c r="H468" s="6">
        <f>IF(COUNTA(A468:F468)=0,"",IF(AND(A468&lt;&gt;"",B468&lt;&gt;"",E468&lt;&gt;""),"OK","ERRO: faltam "&amp;IF(A468="","Conta; ","")&amp;IF(B468="","Oportunidade; ","")&amp;IF(E468="","Novo gerente; ","")))</f>
      </c>
      <c r="I468" s="6">
        <f>IF(COUNTA(A468:F468)=0,"",IF(AND(G468="OK",H468="OK"),"OK","REVISAR"))</f>
      </c>
    </row>
    <row r="469">
      <c r="A469" s="5"/>
      <c r="B469" s="5"/>
      <c r="C469" s="4"/>
      <c r="D469" s="4"/>
      <c r="E469" s="5"/>
      <c r="F469" s="4"/>
      <c r="G469" s="6">
        <f>IF(AND(A469="",B469=""),"",IF(COUNTIFS($A$2:$A$2001,A469,$B$2:$B$2001,B469)&gt;1,"DUPLICADO","OK"))</f>
      </c>
      <c r="H469" s="6">
        <f>IF(COUNTA(A469:F469)=0,"",IF(AND(A469&lt;&gt;"",B469&lt;&gt;"",E469&lt;&gt;""),"OK","ERRO: faltam "&amp;IF(A469="","Conta; ","")&amp;IF(B469="","Oportunidade; ","")&amp;IF(E469="","Novo gerente; ","")))</f>
      </c>
      <c r="I469" s="6">
        <f>IF(COUNTA(A469:F469)=0,"",IF(AND(G469="OK",H469="OK"),"OK","REVISAR"))</f>
      </c>
    </row>
    <row r="470">
      <c r="A470" s="5"/>
      <c r="B470" s="5"/>
      <c r="C470" s="4"/>
      <c r="D470" s="4"/>
      <c r="E470" s="5"/>
      <c r="F470" s="4"/>
      <c r="G470" s="6">
        <f>IF(AND(A470="",B470=""),"",IF(COUNTIFS($A$2:$A$2001,A470,$B$2:$B$2001,B470)&gt;1,"DUPLICADO","OK"))</f>
      </c>
      <c r="H470" s="6">
        <f>IF(COUNTA(A470:F470)=0,"",IF(AND(A470&lt;&gt;"",B470&lt;&gt;"",E470&lt;&gt;""),"OK","ERRO: faltam "&amp;IF(A470="","Conta; ","")&amp;IF(B470="","Oportunidade; ","")&amp;IF(E470="","Novo gerente; ","")))</f>
      </c>
      <c r="I470" s="6">
        <f>IF(COUNTA(A470:F470)=0,"",IF(AND(G470="OK",H470="OK"),"OK","REVISAR"))</f>
      </c>
    </row>
    <row r="471">
      <c r="A471" s="5"/>
      <c r="B471" s="5"/>
      <c r="C471" s="4"/>
      <c r="D471" s="4"/>
      <c r="E471" s="5"/>
      <c r="F471" s="4"/>
      <c r="G471" s="6">
        <f>IF(AND(A471="",B471=""),"",IF(COUNTIFS($A$2:$A$2001,A471,$B$2:$B$2001,B471)&gt;1,"DUPLICADO","OK"))</f>
      </c>
      <c r="H471" s="6">
        <f>IF(COUNTA(A471:F471)=0,"",IF(AND(A471&lt;&gt;"",B471&lt;&gt;"",E471&lt;&gt;""),"OK","ERRO: faltam "&amp;IF(A471="","Conta; ","")&amp;IF(B471="","Oportunidade; ","")&amp;IF(E471="","Novo gerente; ","")))</f>
      </c>
      <c r="I471" s="6">
        <f>IF(COUNTA(A471:F471)=0,"",IF(AND(G471="OK",H471="OK"),"OK","REVISAR"))</f>
      </c>
    </row>
    <row r="472">
      <c r="A472" s="5"/>
      <c r="B472" s="5"/>
      <c r="C472" s="4"/>
      <c r="D472" s="4"/>
      <c r="E472" s="5"/>
      <c r="F472" s="4"/>
      <c r="G472" s="6">
        <f>IF(AND(A472="",B472=""),"",IF(COUNTIFS($A$2:$A$2001,A472,$B$2:$B$2001,B472)&gt;1,"DUPLICADO","OK"))</f>
      </c>
      <c r="H472" s="6">
        <f>IF(COUNTA(A472:F472)=0,"",IF(AND(A472&lt;&gt;"",B472&lt;&gt;"",E472&lt;&gt;""),"OK","ERRO: faltam "&amp;IF(A472="","Conta; ","")&amp;IF(B472="","Oportunidade; ","")&amp;IF(E472="","Novo gerente; ","")))</f>
      </c>
      <c r="I472" s="6">
        <f>IF(COUNTA(A472:F472)=0,"",IF(AND(G472="OK",H472="OK"),"OK","REVISAR"))</f>
      </c>
    </row>
    <row r="473">
      <c r="A473" s="5"/>
      <c r="B473" s="5"/>
      <c r="C473" s="4"/>
      <c r="D473" s="4"/>
      <c r="E473" s="5"/>
      <c r="F473" s="4"/>
      <c r="G473" s="6">
        <f>IF(AND(A473="",B473=""),"",IF(COUNTIFS($A$2:$A$2001,A473,$B$2:$B$2001,B473)&gt;1,"DUPLICADO","OK"))</f>
      </c>
      <c r="H473" s="6">
        <f>IF(COUNTA(A473:F473)=0,"",IF(AND(A473&lt;&gt;"",B473&lt;&gt;"",E473&lt;&gt;""),"OK","ERRO: faltam "&amp;IF(A473="","Conta; ","")&amp;IF(B473="","Oportunidade; ","")&amp;IF(E473="","Novo gerente; ","")))</f>
      </c>
      <c r="I473" s="6">
        <f>IF(COUNTA(A473:F473)=0,"",IF(AND(G473="OK",H473="OK"),"OK","REVISAR"))</f>
      </c>
    </row>
    <row r="474">
      <c r="A474" s="5"/>
      <c r="B474" s="5"/>
      <c r="C474" s="4"/>
      <c r="D474" s="4"/>
      <c r="E474" s="5"/>
      <c r="F474" s="4"/>
      <c r="G474" s="6">
        <f>IF(AND(A474="",B474=""),"",IF(COUNTIFS($A$2:$A$2001,A474,$B$2:$B$2001,B474)&gt;1,"DUPLICADO","OK"))</f>
      </c>
      <c r="H474" s="6">
        <f>IF(COUNTA(A474:F474)=0,"",IF(AND(A474&lt;&gt;"",B474&lt;&gt;"",E474&lt;&gt;""),"OK","ERRO: faltam "&amp;IF(A474="","Conta; ","")&amp;IF(B474="","Oportunidade; ","")&amp;IF(E474="","Novo gerente; ","")))</f>
      </c>
      <c r="I474" s="6">
        <f>IF(COUNTA(A474:F474)=0,"",IF(AND(G474="OK",H474="OK"),"OK","REVISAR"))</f>
      </c>
    </row>
    <row r="475">
      <c r="A475" s="5"/>
      <c r="B475" s="5"/>
      <c r="C475" s="4"/>
      <c r="D475" s="4"/>
      <c r="E475" s="5"/>
      <c r="F475" s="4"/>
      <c r="G475" s="6">
        <f>IF(AND(A475="",B475=""),"",IF(COUNTIFS($A$2:$A$2001,A475,$B$2:$B$2001,B475)&gt;1,"DUPLICADO","OK"))</f>
      </c>
      <c r="H475" s="6">
        <f>IF(COUNTA(A475:F475)=0,"",IF(AND(A475&lt;&gt;"",B475&lt;&gt;"",E475&lt;&gt;""),"OK","ERRO: faltam "&amp;IF(A475="","Conta; ","")&amp;IF(B475="","Oportunidade; ","")&amp;IF(E475="","Novo gerente; ","")))</f>
      </c>
      <c r="I475" s="6">
        <f>IF(COUNTA(A475:F475)=0,"",IF(AND(G475="OK",H475="OK"),"OK","REVISAR"))</f>
      </c>
    </row>
    <row r="476">
      <c r="A476" s="5"/>
      <c r="B476" s="5"/>
      <c r="C476" s="4"/>
      <c r="D476" s="4"/>
      <c r="E476" s="5"/>
      <c r="F476" s="4"/>
      <c r="G476" s="6">
        <f>IF(AND(A476="",B476=""),"",IF(COUNTIFS($A$2:$A$2001,A476,$B$2:$B$2001,B476)&gt;1,"DUPLICADO","OK"))</f>
      </c>
      <c r="H476" s="6">
        <f>IF(COUNTA(A476:F476)=0,"",IF(AND(A476&lt;&gt;"",B476&lt;&gt;"",E476&lt;&gt;""),"OK","ERRO: faltam "&amp;IF(A476="","Conta; ","")&amp;IF(B476="","Oportunidade; ","")&amp;IF(E476="","Novo gerente; ","")))</f>
      </c>
      <c r="I476" s="6">
        <f>IF(COUNTA(A476:F476)=0,"",IF(AND(G476="OK",H476="OK"),"OK","REVISAR"))</f>
      </c>
    </row>
    <row r="477">
      <c r="A477" s="5"/>
      <c r="B477" s="5"/>
      <c r="C477" s="4"/>
      <c r="D477" s="4"/>
      <c r="E477" s="5"/>
      <c r="F477" s="4"/>
      <c r="G477" s="6">
        <f>IF(AND(A477="",B477=""),"",IF(COUNTIFS($A$2:$A$2001,A477,$B$2:$B$2001,B477)&gt;1,"DUPLICADO","OK"))</f>
      </c>
      <c r="H477" s="6">
        <f>IF(COUNTA(A477:F477)=0,"",IF(AND(A477&lt;&gt;"",B477&lt;&gt;"",E477&lt;&gt;""),"OK","ERRO: faltam "&amp;IF(A477="","Conta; ","")&amp;IF(B477="","Oportunidade; ","")&amp;IF(E477="","Novo gerente; ","")))</f>
      </c>
      <c r="I477" s="6">
        <f>IF(COUNTA(A477:F477)=0,"",IF(AND(G477="OK",H477="OK"),"OK","REVISAR"))</f>
      </c>
    </row>
    <row r="478">
      <c r="A478" s="5"/>
      <c r="B478" s="5"/>
      <c r="C478" s="4"/>
      <c r="D478" s="4"/>
      <c r="E478" s="5"/>
      <c r="F478" s="4"/>
      <c r="G478" s="6">
        <f>IF(AND(A478="",B478=""),"",IF(COUNTIFS($A$2:$A$2001,A478,$B$2:$B$2001,B478)&gt;1,"DUPLICADO","OK"))</f>
      </c>
      <c r="H478" s="6">
        <f>IF(COUNTA(A478:F478)=0,"",IF(AND(A478&lt;&gt;"",B478&lt;&gt;"",E478&lt;&gt;""),"OK","ERRO: faltam "&amp;IF(A478="","Conta; ","")&amp;IF(B478="","Oportunidade; ","")&amp;IF(E478="","Novo gerente; ","")))</f>
      </c>
      <c r="I478" s="6">
        <f>IF(COUNTA(A478:F478)=0,"",IF(AND(G478="OK",H478="OK"),"OK","REVISAR"))</f>
      </c>
    </row>
    <row r="479">
      <c r="A479" s="5"/>
      <c r="B479" s="5"/>
      <c r="C479" s="4"/>
      <c r="D479" s="4"/>
      <c r="E479" s="5"/>
      <c r="F479" s="4"/>
      <c r="G479" s="6">
        <f>IF(AND(A479="",B479=""),"",IF(COUNTIFS($A$2:$A$2001,A479,$B$2:$B$2001,B479)&gt;1,"DUPLICADO","OK"))</f>
      </c>
      <c r="H479" s="6">
        <f>IF(COUNTA(A479:F479)=0,"",IF(AND(A479&lt;&gt;"",B479&lt;&gt;"",E479&lt;&gt;""),"OK","ERRO: faltam "&amp;IF(A479="","Conta; ","")&amp;IF(B479="","Oportunidade; ","")&amp;IF(E479="","Novo gerente; ","")))</f>
      </c>
      <c r="I479" s="6">
        <f>IF(COUNTA(A479:F479)=0,"",IF(AND(G479="OK",H479="OK"),"OK","REVISAR"))</f>
      </c>
    </row>
    <row r="480">
      <c r="A480" s="5"/>
      <c r="B480" s="5"/>
      <c r="C480" s="4"/>
      <c r="D480" s="4"/>
      <c r="E480" s="5"/>
      <c r="F480" s="4"/>
      <c r="G480" s="6">
        <f>IF(AND(A480="",B480=""),"",IF(COUNTIFS($A$2:$A$2001,A480,$B$2:$B$2001,B480)&gt;1,"DUPLICADO","OK"))</f>
      </c>
      <c r="H480" s="6">
        <f>IF(COUNTA(A480:F480)=0,"",IF(AND(A480&lt;&gt;"",B480&lt;&gt;"",E480&lt;&gt;""),"OK","ERRO: faltam "&amp;IF(A480="","Conta; ","")&amp;IF(B480="","Oportunidade; ","")&amp;IF(E480="","Novo gerente; ","")))</f>
      </c>
      <c r="I480" s="6">
        <f>IF(COUNTA(A480:F480)=0,"",IF(AND(G480="OK",H480="OK"),"OK","REVISAR"))</f>
      </c>
    </row>
    <row r="481">
      <c r="A481" s="5"/>
      <c r="B481" s="5"/>
      <c r="C481" s="4"/>
      <c r="D481" s="4"/>
      <c r="E481" s="5"/>
      <c r="F481" s="4"/>
      <c r="G481" s="6">
        <f>IF(AND(A481="",B481=""),"",IF(COUNTIFS($A$2:$A$2001,A481,$B$2:$B$2001,B481)&gt;1,"DUPLICADO","OK"))</f>
      </c>
      <c r="H481" s="6">
        <f>IF(COUNTA(A481:F481)=0,"",IF(AND(A481&lt;&gt;"",B481&lt;&gt;"",E481&lt;&gt;""),"OK","ERRO: faltam "&amp;IF(A481="","Conta; ","")&amp;IF(B481="","Oportunidade; ","")&amp;IF(E481="","Novo gerente; ","")))</f>
      </c>
      <c r="I481" s="6">
        <f>IF(COUNTA(A481:F481)=0,"",IF(AND(G481="OK",H481="OK"),"OK","REVISAR"))</f>
      </c>
    </row>
    <row r="482">
      <c r="A482" s="5"/>
      <c r="B482" s="5"/>
      <c r="C482" s="4"/>
      <c r="D482" s="4"/>
      <c r="E482" s="5"/>
      <c r="F482" s="4"/>
      <c r="G482" s="6">
        <f>IF(AND(A482="",B482=""),"",IF(COUNTIFS($A$2:$A$2001,A482,$B$2:$B$2001,B482)&gt;1,"DUPLICADO","OK"))</f>
      </c>
      <c r="H482" s="6">
        <f>IF(COUNTA(A482:F482)=0,"",IF(AND(A482&lt;&gt;"",B482&lt;&gt;"",E482&lt;&gt;""),"OK","ERRO: faltam "&amp;IF(A482="","Conta; ","")&amp;IF(B482="","Oportunidade; ","")&amp;IF(E482="","Novo gerente; ","")))</f>
      </c>
      <c r="I482" s="6">
        <f>IF(COUNTA(A482:F482)=0,"",IF(AND(G482="OK",H482="OK"),"OK","REVISAR"))</f>
      </c>
    </row>
    <row r="483">
      <c r="A483" s="5"/>
      <c r="B483" s="5"/>
      <c r="C483" s="4"/>
      <c r="D483" s="4"/>
      <c r="E483" s="5"/>
      <c r="F483" s="4"/>
      <c r="G483" s="6">
        <f>IF(AND(A483="",B483=""),"",IF(COUNTIFS($A$2:$A$2001,A483,$B$2:$B$2001,B483)&gt;1,"DUPLICADO","OK"))</f>
      </c>
      <c r="H483" s="6">
        <f>IF(COUNTA(A483:F483)=0,"",IF(AND(A483&lt;&gt;"",B483&lt;&gt;"",E483&lt;&gt;""),"OK","ERRO: faltam "&amp;IF(A483="","Conta; ","")&amp;IF(B483="","Oportunidade; ","")&amp;IF(E483="","Novo gerente; ","")))</f>
      </c>
      <c r="I483" s="6">
        <f>IF(COUNTA(A483:F483)=0,"",IF(AND(G483="OK",H483="OK"),"OK","REVISAR"))</f>
      </c>
    </row>
    <row r="484">
      <c r="A484" s="5"/>
      <c r="B484" s="5"/>
      <c r="C484" s="4"/>
      <c r="D484" s="4"/>
      <c r="E484" s="5"/>
      <c r="F484" s="4"/>
      <c r="G484" s="6">
        <f>IF(AND(A484="",B484=""),"",IF(COUNTIFS($A$2:$A$2001,A484,$B$2:$B$2001,B484)&gt;1,"DUPLICADO","OK"))</f>
      </c>
      <c r="H484" s="6">
        <f>IF(COUNTA(A484:F484)=0,"",IF(AND(A484&lt;&gt;"",B484&lt;&gt;"",E484&lt;&gt;""),"OK","ERRO: faltam "&amp;IF(A484="","Conta; ","")&amp;IF(B484="","Oportunidade; ","")&amp;IF(E484="","Novo gerente; ","")))</f>
      </c>
      <c r="I484" s="6">
        <f>IF(COUNTA(A484:F484)=0,"",IF(AND(G484="OK",H484="OK"),"OK","REVISAR"))</f>
      </c>
    </row>
    <row r="485">
      <c r="A485" s="5"/>
      <c r="B485" s="5"/>
      <c r="C485" s="4"/>
      <c r="D485" s="4"/>
      <c r="E485" s="5"/>
      <c r="F485" s="4"/>
      <c r="G485" s="6">
        <f>IF(AND(A485="",B485=""),"",IF(COUNTIFS($A$2:$A$2001,A485,$B$2:$B$2001,B485)&gt;1,"DUPLICADO","OK"))</f>
      </c>
      <c r="H485" s="6">
        <f>IF(COUNTA(A485:F485)=0,"",IF(AND(A485&lt;&gt;"",B485&lt;&gt;"",E485&lt;&gt;""),"OK","ERRO: faltam "&amp;IF(A485="","Conta; ","")&amp;IF(B485="","Oportunidade; ","")&amp;IF(E485="","Novo gerente; ","")))</f>
      </c>
      <c r="I485" s="6">
        <f>IF(COUNTA(A485:F485)=0,"",IF(AND(G485="OK",H485="OK"),"OK","REVISAR"))</f>
      </c>
    </row>
    <row r="486">
      <c r="A486" s="5"/>
      <c r="B486" s="5"/>
      <c r="C486" s="4"/>
      <c r="D486" s="4"/>
      <c r="E486" s="5"/>
      <c r="F486" s="4"/>
      <c r="G486" s="6">
        <f>IF(AND(A486="",B486=""),"",IF(COUNTIFS($A$2:$A$2001,A486,$B$2:$B$2001,B486)&gt;1,"DUPLICADO","OK"))</f>
      </c>
      <c r="H486" s="6">
        <f>IF(COUNTA(A486:F486)=0,"",IF(AND(A486&lt;&gt;"",B486&lt;&gt;"",E486&lt;&gt;""),"OK","ERRO: faltam "&amp;IF(A486="","Conta; ","")&amp;IF(B486="","Oportunidade; ","")&amp;IF(E486="","Novo gerente; ","")))</f>
      </c>
      <c r="I486" s="6">
        <f>IF(COUNTA(A486:F486)=0,"",IF(AND(G486="OK",H486="OK"),"OK","REVISAR"))</f>
      </c>
    </row>
    <row r="487">
      <c r="A487" s="5"/>
      <c r="B487" s="5"/>
      <c r="C487" s="4"/>
      <c r="D487" s="4"/>
      <c r="E487" s="5"/>
      <c r="F487" s="4"/>
      <c r="G487" s="6">
        <f>IF(AND(A487="",B487=""),"",IF(COUNTIFS($A$2:$A$2001,A487,$B$2:$B$2001,B487)&gt;1,"DUPLICADO","OK"))</f>
      </c>
      <c r="H487" s="6">
        <f>IF(COUNTA(A487:F487)=0,"",IF(AND(A487&lt;&gt;"",B487&lt;&gt;"",E487&lt;&gt;""),"OK","ERRO: faltam "&amp;IF(A487="","Conta; ","")&amp;IF(B487="","Oportunidade; ","")&amp;IF(E487="","Novo gerente; ","")))</f>
      </c>
      <c r="I487" s="6">
        <f>IF(COUNTA(A487:F487)=0,"",IF(AND(G487="OK",H487="OK"),"OK","REVISAR"))</f>
      </c>
    </row>
    <row r="488">
      <c r="A488" s="5"/>
      <c r="B488" s="5"/>
      <c r="C488" s="4"/>
      <c r="D488" s="4"/>
      <c r="E488" s="5"/>
      <c r="F488" s="4"/>
      <c r="G488" s="6">
        <f>IF(AND(A488="",B488=""),"",IF(COUNTIFS($A$2:$A$2001,A488,$B$2:$B$2001,B488)&gt;1,"DUPLICADO","OK"))</f>
      </c>
      <c r="H488" s="6">
        <f>IF(COUNTA(A488:F488)=0,"",IF(AND(A488&lt;&gt;"",B488&lt;&gt;"",E488&lt;&gt;""),"OK","ERRO: faltam "&amp;IF(A488="","Conta; ","")&amp;IF(B488="","Oportunidade; ","")&amp;IF(E488="","Novo gerente; ","")))</f>
      </c>
      <c r="I488" s="6">
        <f>IF(COUNTA(A488:F488)=0,"",IF(AND(G488="OK",H488="OK"),"OK","REVISAR"))</f>
      </c>
    </row>
    <row r="489">
      <c r="A489" s="5"/>
      <c r="B489" s="5"/>
      <c r="C489" s="4"/>
      <c r="D489" s="4"/>
      <c r="E489" s="5"/>
      <c r="F489" s="4"/>
      <c r="G489" s="6">
        <f>IF(AND(A489="",B489=""),"",IF(COUNTIFS($A$2:$A$2001,A489,$B$2:$B$2001,B489)&gt;1,"DUPLICADO","OK"))</f>
      </c>
      <c r="H489" s="6">
        <f>IF(COUNTA(A489:F489)=0,"",IF(AND(A489&lt;&gt;"",B489&lt;&gt;"",E489&lt;&gt;""),"OK","ERRO: faltam "&amp;IF(A489="","Conta; ","")&amp;IF(B489="","Oportunidade; ","")&amp;IF(E489="","Novo gerente; ","")))</f>
      </c>
      <c r="I489" s="6">
        <f>IF(COUNTA(A489:F489)=0,"",IF(AND(G489="OK",H489="OK"),"OK","REVISAR"))</f>
      </c>
    </row>
    <row r="490">
      <c r="A490" s="5"/>
      <c r="B490" s="5"/>
      <c r="C490" s="4"/>
      <c r="D490" s="4"/>
      <c r="E490" s="5"/>
      <c r="F490" s="4"/>
      <c r="G490" s="6">
        <f>IF(AND(A490="",B490=""),"",IF(COUNTIFS($A$2:$A$2001,A490,$B$2:$B$2001,B490)&gt;1,"DUPLICADO","OK"))</f>
      </c>
      <c r="H490" s="6">
        <f>IF(COUNTA(A490:F490)=0,"",IF(AND(A490&lt;&gt;"",B490&lt;&gt;"",E490&lt;&gt;""),"OK","ERRO: faltam "&amp;IF(A490="","Conta; ","")&amp;IF(B490="","Oportunidade; ","")&amp;IF(E490="","Novo gerente; ","")))</f>
      </c>
      <c r="I490" s="6">
        <f>IF(COUNTA(A490:F490)=0,"",IF(AND(G490="OK",H490="OK"),"OK","REVISAR"))</f>
      </c>
    </row>
    <row r="491">
      <c r="A491" s="5"/>
      <c r="B491" s="5"/>
      <c r="C491" s="4"/>
      <c r="D491" s="4"/>
      <c r="E491" s="5"/>
      <c r="F491" s="4"/>
      <c r="G491" s="6">
        <f>IF(AND(A491="",B491=""),"",IF(COUNTIFS($A$2:$A$2001,A491,$B$2:$B$2001,B491)&gt;1,"DUPLICADO","OK"))</f>
      </c>
      <c r="H491" s="6">
        <f>IF(COUNTA(A491:F491)=0,"",IF(AND(A491&lt;&gt;"",B491&lt;&gt;"",E491&lt;&gt;""),"OK","ERRO: faltam "&amp;IF(A491="","Conta; ","")&amp;IF(B491="","Oportunidade; ","")&amp;IF(E491="","Novo gerente; ","")))</f>
      </c>
      <c r="I491" s="6">
        <f>IF(COUNTA(A491:F491)=0,"",IF(AND(G491="OK",H491="OK"),"OK","REVISAR"))</f>
      </c>
    </row>
    <row r="492">
      <c r="A492" s="5"/>
      <c r="B492" s="5"/>
      <c r="C492" s="4"/>
      <c r="D492" s="4"/>
      <c r="E492" s="5"/>
      <c r="F492" s="4"/>
      <c r="G492" s="6">
        <f>IF(AND(A492="",B492=""),"",IF(COUNTIFS($A$2:$A$2001,A492,$B$2:$B$2001,B492)&gt;1,"DUPLICADO","OK"))</f>
      </c>
      <c r="H492" s="6">
        <f>IF(COUNTA(A492:F492)=0,"",IF(AND(A492&lt;&gt;"",B492&lt;&gt;"",E492&lt;&gt;""),"OK","ERRO: faltam "&amp;IF(A492="","Conta; ","")&amp;IF(B492="","Oportunidade; ","")&amp;IF(E492="","Novo gerente; ","")))</f>
      </c>
      <c r="I492" s="6">
        <f>IF(COUNTA(A492:F492)=0,"",IF(AND(G492="OK",H492="OK"),"OK","REVISAR"))</f>
      </c>
    </row>
    <row r="493">
      <c r="A493" s="5"/>
      <c r="B493" s="5"/>
      <c r="C493" s="4"/>
      <c r="D493" s="4"/>
      <c r="E493" s="5"/>
      <c r="F493" s="4"/>
      <c r="G493" s="6">
        <f>IF(AND(A493="",B493=""),"",IF(COUNTIFS($A$2:$A$2001,A493,$B$2:$B$2001,B493)&gt;1,"DUPLICADO","OK"))</f>
      </c>
      <c r="H493" s="6">
        <f>IF(COUNTA(A493:F493)=0,"",IF(AND(A493&lt;&gt;"",B493&lt;&gt;"",E493&lt;&gt;""),"OK","ERRO: faltam "&amp;IF(A493="","Conta; ","")&amp;IF(B493="","Oportunidade; ","")&amp;IF(E493="","Novo gerente; ","")))</f>
      </c>
      <c r="I493" s="6">
        <f>IF(COUNTA(A493:F493)=0,"",IF(AND(G493="OK",H493="OK"),"OK","REVISAR"))</f>
      </c>
    </row>
    <row r="494">
      <c r="A494" s="5"/>
      <c r="B494" s="5"/>
      <c r="C494" s="4"/>
      <c r="D494" s="4"/>
      <c r="E494" s="5"/>
      <c r="F494" s="4"/>
      <c r="G494" s="6">
        <f>IF(AND(A494="",B494=""),"",IF(COUNTIFS($A$2:$A$2001,A494,$B$2:$B$2001,B494)&gt;1,"DUPLICADO","OK"))</f>
      </c>
      <c r="H494" s="6">
        <f>IF(COUNTA(A494:F494)=0,"",IF(AND(A494&lt;&gt;"",B494&lt;&gt;"",E494&lt;&gt;""),"OK","ERRO: faltam "&amp;IF(A494="","Conta; ","")&amp;IF(B494="","Oportunidade; ","")&amp;IF(E494="","Novo gerente; ","")))</f>
      </c>
      <c r="I494" s="6">
        <f>IF(COUNTA(A494:F494)=0,"",IF(AND(G494="OK",H494="OK"),"OK","REVISAR"))</f>
      </c>
    </row>
    <row r="495">
      <c r="A495" s="5"/>
      <c r="B495" s="5"/>
      <c r="C495" s="4"/>
      <c r="D495" s="4"/>
      <c r="E495" s="5"/>
      <c r="F495" s="4"/>
      <c r="G495" s="6">
        <f>IF(AND(A495="",B495=""),"",IF(COUNTIFS($A$2:$A$2001,A495,$B$2:$B$2001,B495)&gt;1,"DUPLICADO","OK"))</f>
      </c>
      <c r="H495" s="6">
        <f>IF(COUNTA(A495:F495)=0,"",IF(AND(A495&lt;&gt;"",B495&lt;&gt;"",E495&lt;&gt;""),"OK","ERRO: faltam "&amp;IF(A495="","Conta; ","")&amp;IF(B495="","Oportunidade; ","")&amp;IF(E495="","Novo gerente; ","")))</f>
      </c>
      <c r="I495" s="6">
        <f>IF(COUNTA(A495:F495)=0,"",IF(AND(G495="OK",H495="OK"),"OK","REVISAR"))</f>
      </c>
    </row>
    <row r="496">
      <c r="A496" s="5"/>
      <c r="B496" s="5"/>
      <c r="C496" s="4"/>
      <c r="D496" s="4"/>
      <c r="E496" s="5"/>
      <c r="F496" s="4"/>
      <c r="G496" s="6">
        <f>IF(AND(A496="",B496=""),"",IF(COUNTIFS($A$2:$A$2001,A496,$B$2:$B$2001,B496)&gt;1,"DUPLICADO","OK"))</f>
      </c>
      <c r="H496" s="6">
        <f>IF(COUNTA(A496:F496)=0,"",IF(AND(A496&lt;&gt;"",B496&lt;&gt;"",E496&lt;&gt;""),"OK","ERRO: faltam "&amp;IF(A496="","Conta; ","")&amp;IF(B496="","Oportunidade; ","")&amp;IF(E496="","Novo gerente; ","")))</f>
      </c>
      <c r="I496" s="6">
        <f>IF(COUNTA(A496:F496)=0,"",IF(AND(G496="OK",H496="OK"),"OK","REVISAR"))</f>
      </c>
    </row>
    <row r="497">
      <c r="A497" s="5"/>
      <c r="B497" s="5"/>
      <c r="C497" s="4"/>
      <c r="D497" s="4"/>
      <c r="E497" s="5"/>
      <c r="F497" s="4"/>
      <c r="G497" s="6">
        <f>IF(AND(A497="",B497=""),"",IF(COUNTIFS($A$2:$A$2001,A497,$B$2:$B$2001,B497)&gt;1,"DUPLICADO","OK"))</f>
      </c>
      <c r="H497" s="6">
        <f>IF(COUNTA(A497:F497)=0,"",IF(AND(A497&lt;&gt;"",B497&lt;&gt;"",E497&lt;&gt;""),"OK","ERRO: faltam "&amp;IF(A497="","Conta; ","")&amp;IF(B497="","Oportunidade; ","")&amp;IF(E497="","Novo gerente; ","")))</f>
      </c>
      <c r="I497" s="6">
        <f>IF(COUNTA(A497:F497)=0,"",IF(AND(G497="OK",H497="OK"),"OK","REVISAR"))</f>
      </c>
    </row>
    <row r="498">
      <c r="A498" s="5"/>
      <c r="B498" s="5"/>
      <c r="C498" s="4"/>
      <c r="D498" s="4"/>
      <c r="E498" s="5"/>
      <c r="F498" s="4"/>
      <c r="G498" s="6">
        <f>IF(AND(A498="",B498=""),"",IF(COUNTIFS($A$2:$A$2001,A498,$B$2:$B$2001,B498)&gt;1,"DUPLICADO","OK"))</f>
      </c>
      <c r="H498" s="6">
        <f>IF(COUNTA(A498:F498)=0,"",IF(AND(A498&lt;&gt;"",B498&lt;&gt;"",E498&lt;&gt;""),"OK","ERRO: faltam "&amp;IF(A498="","Conta; ","")&amp;IF(B498="","Oportunidade; ","")&amp;IF(E498="","Novo gerente; ","")))</f>
      </c>
      <c r="I498" s="6">
        <f>IF(COUNTA(A498:F498)=0,"",IF(AND(G498="OK",H498="OK"),"OK","REVISAR"))</f>
      </c>
    </row>
    <row r="499">
      <c r="A499" s="5"/>
      <c r="B499" s="5"/>
      <c r="C499" s="4"/>
      <c r="D499" s="4"/>
      <c r="E499" s="5"/>
      <c r="F499" s="4"/>
      <c r="G499" s="6">
        <f>IF(AND(A499="",B499=""),"",IF(COUNTIFS($A$2:$A$2001,A499,$B$2:$B$2001,B499)&gt;1,"DUPLICADO","OK"))</f>
      </c>
      <c r="H499" s="6">
        <f>IF(COUNTA(A499:F499)=0,"",IF(AND(A499&lt;&gt;"",B499&lt;&gt;"",E499&lt;&gt;""),"OK","ERRO: faltam "&amp;IF(A499="","Conta; ","")&amp;IF(B499="","Oportunidade; ","")&amp;IF(E499="","Novo gerente; ","")))</f>
      </c>
      <c r="I499" s="6">
        <f>IF(COUNTA(A499:F499)=0,"",IF(AND(G499="OK",H499="OK"),"OK","REVISAR"))</f>
      </c>
    </row>
    <row r="500">
      <c r="A500" s="5"/>
      <c r="B500" s="5"/>
      <c r="C500" s="4"/>
      <c r="D500" s="4"/>
      <c r="E500" s="5"/>
      <c r="F500" s="4"/>
      <c r="G500" s="6">
        <f>IF(AND(A500="",B500=""),"",IF(COUNTIFS($A$2:$A$2001,A500,$B$2:$B$2001,B500)&gt;1,"DUPLICADO","OK"))</f>
      </c>
      <c r="H500" s="6">
        <f>IF(COUNTA(A500:F500)=0,"",IF(AND(A500&lt;&gt;"",B500&lt;&gt;"",E500&lt;&gt;""),"OK","ERRO: faltam "&amp;IF(A500="","Conta; ","")&amp;IF(B500="","Oportunidade; ","")&amp;IF(E500="","Novo gerente; ","")))</f>
      </c>
      <c r="I500" s="6">
        <f>IF(COUNTA(A500:F500)=0,"",IF(AND(G500="OK",H500="OK"),"OK","REVISAR"))</f>
      </c>
    </row>
    <row r="501">
      <c r="A501" s="5"/>
      <c r="B501" s="5"/>
      <c r="C501" s="4"/>
      <c r="D501" s="4"/>
      <c r="E501" s="5"/>
      <c r="F501" s="4"/>
      <c r="G501" s="6">
        <f>IF(AND(A501="",B501=""),"",IF(COUNTIFS($A$2:$A$2001,A501,$B$2:$B$2001,B501)&gt;1,"DUPLICADO","OK"))</f>
      </c>
      <c r="H501" s="6">
        <f>IF(COUNTA(A501:F501)=0,"",IF(AND(A501&lt;&gt;"",B501&lt;&gt;"",E501&lt;&gt;""),"OK","ERRO: faltam "&amp;IF(A501="","Conta; ","")&amp;IF(B501="","Oportunidade; ","")&amp;IF(E501="","Novo gerente; ","")))</f>
      </c>
      <c r="I501" s="6">
        <f>IF(COUNTA(A501:F501)=0,"",IF(AND(G501="OK",H501="OK"),"OK","REVISAR"))</f>
      </c>
    </row>
    <row r="502">
      <c r="A502" s="5"/>
      <c r="B502" s="5"/>
      <c r="C502" s="4"/>
      <c r="D502" s="4"/>
      <c r="E502" s="5"/>
      <c r="F502" s="4"/>
      <c r="G502" s="6">
        <f>IF(AND(A502="",B502=""),"",IF(COUNTIFS($A$2:$A$2001,A502,$B$2:$B$2001,B502)&gt;1,"DUPLICADO","OK"))</f>
      </c>
      <c r="H502" s="6">
        <f>IF(COUNTA(A502:F502)=0,"",IF(AND(A502&lt;&gt;"",B502&lt;&gt;"",E502&lt;&gt;""),"OK","ERRO: faltam "&amp;IF(A502="","Conta; ","")&amp;IF(B502="","Oportunidade; ","")&amp;IF(E502="","Novo gerente; ","")))</f>
      </c>
      <c r="I502" s="6">
        <f>IF(COUNTA(A502:F502)=0,"",IF(AND(G502="OK",H502="OK"),"OK","REVISAR"))</f>
      </c>
    </row>
    <row r="503">
      <c r="A503" s="5"/>
      <c r="B503" s="5"/>
      <c r="C503" s="4"/>
      <c r="D503" s="4"/>
      <c r="E503" s="5"/>
      <c r="F503" s="4"/>
      <c r="G503" s="6">
        <f>IF(AND(A503="",B503=""),"",IF(COUNTIFS($A$2:$A$2001,A503,$B$2:$B$2001,B503)&gt;1,"DUPLICADO","OK"))</f>
      </c>
      <c r="H503" s="6">
        <f>IF(COUNTA(A503:F503)=0,"",IF(AND(A503&lt;&gt;"",B503&lt;&gt;"",E503&lt;&gt;""),"OK","ERRO: faltam "&amp;IF(A503="","Conta; ","")&amp;IF(B503="","Oportunidade; ","")&amp;IF(E503="","Novo gerente; ","")))</f>
      </c>
      <c r="I503" s="6">
        <f>IF(COUNTA(A503:F503)=0,"",IF(AND(G503="OK",H503="OK"),"OK","REVISAR"))</f>
      </c>
    </row>
    <row r="504">
      <c r="A504" s="5"/>
      <c r="B504" s="5"/>
      <c r="C504" s="4"/>
      <c r="D504" s="4"/>
      <c r="E504" s="5"/>
      <c r="F504" s="4"/>
      <c r="G504" s="6">
        <f>IF(AND(A504="",B504=""),"",IF(COUNTIFS($A$2:$A$2001,A504,$B$2:$B$2001,B504)&gt;1,"DUPLICADO","OK"))</f>
      </c>
      <c r="H504" s="6">
        <f>IF(COUNTA(A504:F504)=0,"",IF(AND(A504&lt;&gt;"",B504&lt;&gt;"",E504&lt;&gt;""),"OK","ERRO: faltam "&amp;IF(A504="","Conta; ","")&amp;IF(B504="","Oportunidade; ","")&amp;IF(E504="","Novo gerente; ","")))</f>
      </c>
      <c r="I504" s="6">
        <f>IF(COUNTA(A504:F504)=0,"",IF(AND(G504="OK",H504="OK"),"OK","REVISAR"))</f>
      </c>
    </row>
    <row r="505">
      <c r="A505" s="5"/>
      <c r="B505" s="5"/>
      <c r="C505" s="4"/>
      <c r="D505" s="4"/>
      <c r="E505" s="5"/>
      <c r="F505" s="4"/>
      <c r="G505" s="6">
        <f>IF(AND(A505="",B505=""),"",IF(COUNTIFS($A$2:$A$2001,A505,$B$2:$B$2001,B505)&gt;1,"DUPLICADO","OK"))</f>
      </c>
      <c r="H505" s="6">
        <f>IF(COUNTA(A505:F505)=0,"",IF(AND(A505&lt;&gt;"",B505&lt;&gt;"",E505&lt;&gt;""),"OK","ERRO: faltam "&amp;IF(A505="","Conta; ","")&amp;IF(B505="","Oportunidade; ","")&amp;IF(E505="","Novo gerente; ","")))</f>
      </c>
      <c r="I505" s="6">
        <f>IF(COUNTA(A505:F505)=0,"",IF(AND(G505="OK",H505="OK"),"OK","REVISAR"))</f>
      </c>
    </row>
    <row r="506">
      <c r="A506" s="5"/>
      <c r="B506" s="5"/>
      <c r="C506" s="4"/>
      <c r="D506" s="4"/>
      <c r="E506" s="5"/>
      <c r="F506" s="4"/>
      <c r="G506" s="6">
        <f>IF(AND(A506="",B506=""),"",IF(COUNTIFS($A$2:$A$2001,A506,$B$2:$B$2001,B506)&gt;1,"DUPLICADO","OK"))</f>
      </c>
      <c r="H506" s="6">
        <f>IF(COUNTA(A506:F506)=0,"",IF(AND(A506&lt;&gt;"",B506&lt;&gt;"",E506&lt;&gt;""),"OK","ERRO: faltam "&amp;IF(A506="","Conta; ","")&amp;IF(B506="","Oportunidade; ","")&amp;IF(E506="","Novo gerente; ","")))</f>
      </c>
      <c r="I506" s="6">
        <f>IF(COUNTA(A506:F506)=0,"",IF(AND(G506="OK",H506="OK"),"OK","REVISAR"))</f>
      </c>
    </row>
    <row r="507">
      <c r="A507" s="5"/>
      <c r="B507" s="5"/>
      <c r="C507" s="4"/>
      <c r="D507" s="4"/>
      <c r="E507" s="5"/>
      <c r="F507" s="4"/>
      <c r="G507" s="6">
        <f>IF(AND(A507="",B507=""),"",IF(COUNTIFS($A$2:$A$2001,A507,$B$2:$B$2001,B507)&gt;1,"DUPLICADO","OK"))</f>
      </c>
      <c r="H507" s="6">
        <f>IF(COUNTA(A507:F507)=0,"",IF(AND(A507&lt;&gt;"",B507&lt;&gt;"",E507&lt;&gt;""),"OK","ERRO: faltam "&amp;IF(A507="","Conta; ","")&amp;IF(B507="","Oportunidade; ","")&amp;IF(E507="","Novo gerente; ","")))</f>
      </c>
      <c r="I507" s="6">
        <f>IF(COUNTA(A507:F507)=0,"",IF(AND(G507="OK",H507="OK"),"OK","REVISAR"))</f>
      </c>
    </row>
    <row r="508">
      <c r="A508" s="5"/>
      <c r="B508" s="5"/>
      <c r="C508" s="4"/>
      <c r="D508" s="4"/>
      <c r="E508" s="5"/>
      <c r="F508" s="4"/>
      <c r="G508" s="6">
        <f>IF(AND(A508="",B508=""),"",IF(COUNTIFS($A$2:$A$2001,A508,$B$2:$B$2001,B508)&gt;1,"DUPLICADO","OK"))</f>
      </c>
      <c r="H508" s="6">
        <f>IF(COUNTA(A508:F508)=0,"",IF(AND(A508&lt;&gt;"",B508&lt;&gt;"",E508&lt;&gt;""),"OK","ERRO: faltam "&amp;IF(A508="","Conta; ","")&amp;IF(B508="","Oportunidade; ","")&amp;IF(E508="","Novo gerente; ","")))</f>
      </c>
      <c r="I508" s="6">
        <f>IF(COUNTA(A508:F508)=0,"",IF(AND(G508="OK",H508="OK"),"OK","REVISAR"))</f>
      </c>
    </row>
    <row r="509">
      <c r="A509" s="5"/>
      <c r="B509" s="5"/>
      <c r="C509" s="4"/>
      <c r="D509" s="4"/>
      <c r="E509" s="5"/>
      <c r="F509" s="4"/>
      <c r="G509" s="6">
        <f>IF(AND(A509="",B509=""),"",IF(COUNTIFS($A$2:$A$2001,A509,$B$2:$B$2001,B509)&gt;1,"DUPLICADO","OK"))</f>
      </c>
      <c r="H509" s="6">
        <f>IF(COUNTA(A509:F509)=0,"",IF(AND(A509&lt;&gt;"",B509&lt;&gt;"",E509&lt;&gt;""),"OK","ERRO: faltam "&amp;IF(A509="","Conta; ","")&amp;IF(B509="","Oportunidade; ","")&amp;IF(E509="","Novo gerente; ","")))</f>
      </c>
      <c r="I509" s="6">
        <f>IF(COUNTA(A509:F509)=0,"",IF(AND(G509="OK",H509="OK"),"OK","REVISAR"))</f>
      </c>
    </row>
    <row r="510">
      <c r="A510" s="5"/>
      <c r="B510" s="5"/>
      <c r="C510" s="4"/>
      <c r="D510" s="4"/>
      <c r="E510" s="5"/>
      <c r="F510" s="4"/>
      <c r="G510" s="6">
        <f>IF(AND(A510="",B510=""),"",IF(COUNTIFS($A$2:$A$2001,A510,$B$2:$B$2001,B510)&gt;1,"DUPLICADO","OK"))</f>
      </c>
      <c r="H510" s="6">
        <f>IF(COUNTA(A510:F510)=0,"",IF(AND(A510&lt;&gt;"",B510&lt;&gt;"",E510&lt;&gt;""),"OK","ERRO: faltam "&amp;IF(A510="","Conta; ","")&amp;IF(B510="","Oportunidade; ","")&amp;IF(E510="","Novo gerente; ","")))</f>
      </c>
      <c r="I510" s="6">
        <f>IF(COUNTA(A510:F510)=0,"",IF(AND(G510="OK",H510="OK"),"OK","REVISAR"))</f>
      </c>
    </row>
    <row r="511">
      <c r="A511" s="5"/>
      <c r="B511" s="5"/>
      <c r="C511" s="4"/>
      <c r="D511" s="4"/>
      <c r="E511" s="5"/>
      <c r="F511" s="4"/>
      <c r="G511" s="6">
        <f>IF(AND(A511="",B511=""),"",IF(COUNTIFS($A$2:$A$2001,A511,$B$2:$B$2001,B511)&gt;1,"DUPLICADO","OK"))</f>
      </c>
      <c r="H511" s="6">
        <f>IF(COUNTA(A511:F511)=0,"",IF(AND(A511&lt;&gt;"",B511&lt;&gt;"",E511&lt;&gt;""),"OK","ERRO: faltam "&amp;IF(A511="","Conta; ","")&amp;IF(B511="","Oportunidade; ","")&amp;IF(E511="","Novo gerente; ","")))</f>
      </c>
      <c r="I511" s="6">
        <f>IF(COUNTA(A511:F511)=0,"",IF(AND(G511="OK",H511="OK"),"OK","REVISAR"))</f>
      </c>
    </row>
    <row r="512">
      <c r="A512" s="5"/>
      <c r="B512" s="5"/>
      <c r="C512" s="4"/>
      <c r="D512" s="4"/>
      <c r="E512" s="5"/>
      <c r="F512" s="4"/>
      <c r="G512" s="6">
        <f>IF(AND(A512="",B512=""),"",IF(COUNTIFS($A$2:$A$2001,A512,$B$2:$B$2001,B512)&gt;1,"DUPLICADO","OK"))</f>
      </c>
      <c r="H512" s="6">
        <f>IF(COUNTA(A512:F512)=0,"",IF(AND(A512&lt;&gt;"",B512&lt;&gt;"",E512&lt;&gt;""),"OK","ERRO: faltam "&amp;IF(A512="","Conta; ","")&amp;IF(B512="","Oportunidade; ","")&amp;IF(E512="","Novo gerente; ","")))</f>
      </c>
      <c r="I512" s="6">
        <f>IF(COUNTA(A512:F512)=0,"",IF(AND(G512="OK",H512="OK"),"OK","REVISAR"))</f>
      </c>
    </row>
    <row r="513">
      <c r="A513" s="5"/>
      <c r="B513" s="5"/>
      <c r="C513" s="4"/>
      <c r="D513" s="4"/>
      <c r="E513" s="5"/>
      <c r="F513" s="4"/>
      <c r="G513" s="6">
        <f>IF(AND(A513="",B513=""),"",IF(COUNTIFS($A$2:$A$2001,A513,$B$2:$B$2001,B513)&gt;1,"DUPLICADO","OK"))</f>
      </c>
      <c r="H513" s="6">
        <f>IF(COUNTA(A513:F513)=0,"",IF(AND(A513&lt;&gt;"",B513&lt;&gt;"",E513&lt;&gt;""),"OK","ERRO: faltam "&amp;IF(A513="","Conta; ","")&amp;IF(B513="","Oportunidade; ","")&amp;IF(E513="","Novo gerente; ","")))</f>
      </c>
      <c r="I513" s="6">
        <f>IF(COUNTA(A513:F513)=0,"",IF(AND(G513="OK",H513="OK"),"OK","REVISAR"))</f>
      </c>
    </row>
    <row r="514">
      <c r="A514" s="5"/>
      <c r="B514" s="5"/>
      <c r="C514" s="4"/>
      <c r="D514" s="4"/>
      <c r="E514" s="5"/>
      <c r="F514" s="4"/>
      <c r="G514" s="6">
        <f>IF(AND(A514="",B514=""),"",IF(COUNTIFS($A$2:$A$2001,A514,$B$2:$B$2001,B514)&gt;1,"DUPLICADO","OK"))</f>
      </c>
      <c r="H514" s="6">
        <f>IF(COUNTA(A514:F514)=0,"",IF(AND(A514&lt;&gt;"",B514&lt;&gt;"",E514&lt;&gt;""),"OK","ERRO: faltam "&amp;IF(A514="","Conta; ","")&amp;IF(B514="","Oportunidade; ","")&amp;IF(E514="","Novo gerente; ","")))</f>
      </c>
      <c r="I514" s="6">
        <f>IF(COUNTA(A514:F514)=0,"",IF(AND(G514="OK",H514="OK"),"OK","REVISAR"))</f>
      </c>
    </row>
    <row r="515">
      <c r="A515" s="5"/>
      <c r="B515" s="5"/>
      <c r="C515" s="4"/>
      <c r="D515" s="4"/>
      <c r="E515" s="5"/>
      <c r="F515" s="4"/>
      <c r="G515" s="6">
        <f>IF(AND(A515="",B515=""),"",IF(COUNTIFS($A$2:$A$2001,A515,$B$2:$B$2001,B515)&gt;1,"DUPLICADO","OK"))</f>
      </c>
      <c r="H515" s="6">
        <f>IF(COUNTA(A515:F515)=0,"",IF(AND(A515&lt;&gt;"",B515&lt;&gt;"",E515&lt;&gt;""),"OK","ERRO: faltam "&amp;IF(A515="","Conta; ","")&amp;IF(B515="","Oportunidade; ","")&amp;IF(E515="","Novo gerente; ","")))</f>
      </c>
      <c r="I515" s="6">
        <f>IF(COUNTA(A515:F515)=0,"",IF(AND(G515="OK",H515="OK"),"OK","REVISAR"))</f>
      </c>
    </row>
    <row r="516">
      <c r="A516" s="5"/>
      <c r="B516" s="5"/>
      <c r="C516" s="4"/>
      <c r="D516" s="4"/>
      <c r="E516" s="5"/>
      <c r="F516" s="4"/>
      <c r="G516" s="6">
        <f>IF(AND(A516="",B516=""),"",IF(COUNTIFS($A$2:$A$2001,A516,$B$2:$B$2001,B516)&gt;1,"DUPLICADO","OK"))</f>
      </c>
      <c r="H516" s="6">
        <f>IF(COUNTA(A516:F516)=0,"",IF(AND(A516&lt;&gt;"",B516&lt;&gt;"",E516&lt;&gt;""),"OK","ERRO: faltam "&amp;IF(A516="","Conta; ","")&amp;IF(B516="","Oportunidade; ","")&amp;IF(E516="","Novo gerente; ","")))</f>
      </c>
      <c r="I516" s="6">
        <f>IF(COUNTA(A516:F516)=0,"",IF(AND(G516="OK",H516="OK"),"OK","REVISAR"))</f>
      </c>
    </row>
    <row r="517">
      <c r="A517" s="5"/>
      <c r="B517" s="5"/>
      <c r="C517" s="4"/>
      <c r="D517" s="4"/>
      <c r="E517" s="5"/>
      <c r="F517" s="4"/>
      <c r="G517" s="6">
        <f>IF(AND(A517="",B517=""),"",IF(COUNTIFS($A$2:$A$2001,A517,$B$2:$B$2001,B517)&gt;1,"DUPLICADO","OK"))</f>
      </c>
      <c r="H517" s="6">
        <f>IF(COUNTA(A517:F517)=0,"",IF(AND(A517&lt;&gt;"",B517&lt;&gt;"",E517&lt;&gt;""),"OK","ERRO: faltam "&amp;IF(A517="","Conta; ","")&amp;IF(B517="","Oportunidade; ","")&amp;IF(E517="","Novo gerente; ","")))</f>
      </c>
      <c r="I517" s="6">
        <f>IF(COUNTA(A517:F517)=0,"",IF(AND(G517="OK",H517="OK"),"OK","REVISAR"))</f>
      </c>
    </row>
    <row r="518">
      <c r="A518" s="5"/>
      <c r="B518" s="5"/>
      <c r="C518" s="4"/>
      <c r="D518" s="4"/>
      <c r="E518" s="5"/>
      <c r="F518" s="4"/>
      <c r="G518" s="6">
        <f>IF(AND(A518="",B518=""),"",IF(COUNTIFS($A$2:$A$2001,A518,$B$2:$B$2001,B518)&gt;1,"DUPLICADO","OK"))</f>
      </c>
      <c r="H518" s="6">
        <f>IF(COUNTA(A518:F518)=0,"",IF(AND(A518&lt;&gt;"",B518&lt;&gt;"",E518&lt;&gt;""),"OK","ERRO: faltam "&amp;IF(A518="","Conta; ","")&amp;IF(B518="","Oportunidade; ","")&amp;IF(E518="","Novo gerente; ","")))</f>
      </c>
      <c r="I518" s="6">
        <f>IF(COUNTA(A518:F518)=0,"",IF(AND(G518="OK",H518="OK"),"OK","REVISAR"))</f>
      </c>
    </row>
    <row r="519">
      <c r="A519" s="5"/>
      <c r="B519" s="5"/>
      <c r="C519" s="4"/>
      <c r="D519" s="4"/>
      <c r="E519" s="5"/>
      <c r="F519" s="4"/>
      <c r="G519" s="6">
        <f>IF(AND(A519="",B519=""),"",IF(COUNTIFS($A$2:$A$2001,A519,$B$2:$B$2001,B519)&gt;1,"DUPLICADO","OK"))</f>
      </c>
      <c r="H519" s="6">
        <f>IF(COUNTA(A519:F519)=0,"",IF(AND(A519&lt;&gt;"",B519&lt;&gt;"",E519&lt;&gt;""),"OK","ERRO: faltam "&amp;IF(A519="","Conta; ","")&amp;IF(B519="","Oportunidade; ","")&amp;IF(E519="","Novo gerente; ","")))</f>
      </c>
      <c r="I519" s="6">
        <f>IF(COUNTA(A519:F519)=0,"",IF(AND(G519="OK",H519="OK"),"OK","REVISAR"))</f>
      </c>
    </row>
    <row r="520">
      <c r="A520" s="5"/>
      <c r="B520" s="5"/>
      <c r="C520" s="4"/>
      <c r="D520" s="4"/>
      <c r="E520" s="5"/>
      <c r="F520" s="4"/>
      <c r="G520" s="6">
        <f>IF(AND(A520="",B520=""),"",IF(COUNTIFS($A$2:$A$2001,A520,$B$2:$B$2001,B520)&gt;1,"DUPLICADO","OK"))</f>
      </c>
      <c r="H520" s="6">
        <f>IF(COUNTA(A520:F520)=0,"",IF(AND(A520&lt;&gt;"",B520&lt;&gt;"",E520&lt;&gt;""),"OK","ERRO: faltam "&amp;IF(A520="","Conta; ","")&amp;IF(B520="","Oportunidade; ","")&amp;IF(E520="","Novo gerente; ","")))</f>
      </c>
      <c r="I520" s="6">
        <f>IF(COUNTA(A520:F520)=0,"",IF(AND(G520="OK",H520="OK"),"OK","REVISAR"))</f>
      </c>
    </row>
    <row r="521">
      <c r="A521" s="5"/>
      <c r="B521" s="5"/>
      <c r="C521" s="4"/>
      <c r="D521" s="4"/>
      <c r="E521" s="5"/>
      <c r="F521" s="4"/>
      <c r="G521" s="6">
        <f>IF(AND(A521="",B521=""),"",IF(COUNTIFS($A$2:$A$2001,A521,$B$2:$B$2001,B521)&gt;1,"DUPLICADO","OK"))</f>
      </c>
      <c r="H521" s="6">
        <f>IF(COUNTA(A521:F521)=0,"",IF(AND(A521&lt;&gt;"",B521&lt;&gt;"",E521&lt;&gt;""),"OK","ERRO: faltam "&amp;IF(A521="","Conta; ","")&amp;IF(B521="","Oportunidade; ","")&amp;IF(E521="","Novo gerente; ","")))</f>
      </c>
      <c r="I521" s="6">
        <f>IF(COUNTA(A521:F521)=0,"",IF(AND(G521="OK",H521="OK"),"OK","REVISAR"))</f>
      </c>
    </row>
    <row r="522">
      <c r="A522" s="5"/>
      <c r="B522" s="5"/>
      <c r="C522" s="4"/>
      <c r="D522" s="4"/>
      <c r="E522" s="5"/>
      <c r="F522" s="4"/>
      <c r="G522" s="6">
        <f>IF(AND(A522="",B522=""),"",IF(COUNTIFS($A$2:$A$2001,A522,$B$2:$B$2001,B522)&gt;1,"DUPLICADO","OK"))</f>
      </c>
      <c r="H522" s="6">
        <f>IF(COUNTA(A522:F522)=0,"",IF(AND(A522&lt;&gt;"",B522&lt;&gt;"",E522&lt;&gt;""),"OK","ERRO: faltam "&amp;IF(A522="","Conta; ","")&amp;IF(B522="","Oportunidade; ","")&amp;IF(E522="","Novo gerente; ","")))</f>
      </c>
      <c r="I522" s="6">
        <f>IF(COUNTA(A522:F522)=0,"",IF(AND(G522="OK",H522="OK"),"OK","REVISAR"))</f>
      </c>
    </row>
    <row r="523">
      <c r="A523" s="5"/>
      <c r="B523" s="5"/>
      <c r="C523" s="4"/>
      <c r="D523" s="4"/>
      <c r="E523" s="5"/>
      <c r="F523" s="4"/>
      <c r="G523" s="6">
        <f>IF(AND(A523="",B523=""),"",IF(COUNTIFS($A$2:$A$2001,A523,$B$2:$B$2001,B523)&gt;1,"DUPLICADO","OK"))</f>
      </c>
      <c r="H523" s="6">
        <f>IF(COUNTA(A523:F523)=0,"",IF(AND(A523&lt;&gt;"",B523&lt;&gt;"",E523&lt;&gt;""),"OK","ERRO: faltam "&amp;IF(A523="","Conta; ","")&amp;IF(B523="","Oportunidade; ","")&amp;IF(E523="","Novo gerente; ","")))</f>
      </c>
      <c r="I523" s="6">
        <f>IF(COUNTA(A523:F523)=0,"",IF(AND(G523="OK",H523="OK"),"OK","REVISAR"))</f>
      </c>
    </row>
    <row r="524">
      <c r="A524" s="5"/>
      <c r="B524" s="5"/>
      <c r="C524" s="4"/>
      <c r="D524" s="4"/>
      <c r="E524" s="5"/>
      <c r="F524" s="4"/>
      <c r="G524" s="6">
        <f>IF(AND(A524="",B524=""),"",IF(COUNTIFS($A$2:$A$2001,A524,$B$2:$B$2001,B524)&gt;1,"DUPLICADO","OK"))</f>
      </c>
      <c r="H524" s="6">
        <f>IF(COUNTA(A524:F524)=0,"",IF(AND(A524&lt;&gt;"",B524&lt;&gt;"",E524&lt;&gt;""),"OK","ERRO: faltam "&amp;IF(A524="","Conta; ","")&amp;IF(B524="","Oportunidade; ","")&amp;IF(E524="","Novo gerente; ","")))</f>
      </c>
      <c r="I524" s="6">
        <f>IF(COUNTA(A524:F524)=0,"",IF(AND(G524="OK",H524="OK"),"OK","REVISAR"))</f>
      </c>
    </row>
    <row r="525">
      <c r="A525" s="5"/>
      <c r="B525" s="5"/>
      <c r="C525" s="4"/>
      <c r="D525" s="4"/>
      <c r="E525" s="5"/>
      <c r="F525" s="4"/>
      <c r="G525" s="6">
        <f>IF(AND(A525="",B525=""),"",IF(COUNTIFS($A$2:$A$2001,A525,$B$2:$B$2001,B525)&gt;1,"DUPLICADO","OK"))</f>
      </c>
      <c r="H525" s="6">
        <f>IF(COUNTA(A525:F525)=0,"",IF(AND(A525&lt;&gt;"",B525&lt;&gt;"",E525&lt;&gt;""),"OK","ERRO: faltam "&amp;IF(A525="","Conta; ","")&amp;IF(B525="","Oportunidade; ","")&amp;IF(E525="","Novo gerente; ","")))</f>
      </c>
      <c r="I525" s="6">
        <f>IF(COUNTA(A525:F525)=0,"",IF(AND(G525="OK",H525="OK"),"OK","REVISAR"))</f>
      </c>
    </row>
    <row r="526">
      <c r="A526" s="5"/>
      <c r="B526" s="5"/>
      <c r="C526" s="4"/>
      <c r="D526" s="4"/>
      <c r="E526" s="5"/>
      <c r="F526" s="4"/>
      <c r="G526" s="6">
        <f>IF(AND(A526="",B526=""),"",IF(COUNTIFS($A$2:$A$2001,A526,$B$2:$B$2001,B526)&gt;1,"DUPLICADO","OK"))</f>
      </c>
      <c r="H526" s="6">
        <f>IF(COUNTA(A526:F526)=0,"",IF(AND(A526&lt;&gt;"",B526&lt;&gt;"",E526&lt;&gt;""),"OK","ERRO: faltam "&amp;IF(A526="","Conta; ","")&amp;IF(B526="","Oportunidade; ","")&amp;IF(E526="","Novo gerente; ","")))</f>
      </c>
      <c r="I526" s="6">
        <f>IF(COUNTA(A526:F526)=0,"",IF(AND(G526="OK",H526="OK"),"OK","REVISAR"))</f>
      </c>
    </row>
    <row r="527">
      <c r="A527" s="5"/>
      <c r="B527" s="5"/>
      <c r="C527" s="4"/>
      <c r="D527" s="4"/>
      <c r="E527" s="5"/>
      <c r="F527" s="4"/>
      <c r="G527" s="6">
        <f>IF(AND(A527="",B527=""),"",IF(COUNTIFS($A$2:$A$2001,A527,$B$2:$B$2001,B527)&gt;1,"DUPLICADO","OK"))</f>
      </c>
      <c r="H527" s="6">
        <f>IF(COUNTA(A527:F527)=0,"",IF(AND(A527&lt;&gt;"",B527&lt;&gt;"",E527&lt;&gt;""),"OK","ERRO: faltam "&amp;IF(A527="","Conta; ","")&amp;IF(B527="","Oportunidade; ","")&amp;IF(E527="","Novo gerente; ","")))</f>
      </c>
      <c r="I527" s="6">
        <f>IF(COUNTA(A527:F527)=0,"",IF(AND(G527="OK",H527="OK"),"OK","REVISAR"))</f>
      </c>
    </row>
    <row r="528">
      <c r="A528" s="5"/>
      <c r="B528" s="5"/>
      <c r="C528" s="4"/>
      <c r="D528" s="4"/>
      <c r="E528" s="5"/>
      <c r="F528" s="4"/>
      <c r="G528" s="6">
        <f>IF(AND(A528="",B528=""),"",IF(COUNTIFS($A$2:$A$2001,A528,$B$2:$B$2001,B528)&gt;1,"DUPLICADO","OK"))</f>
      </c>
      <c r="H528" s="6">
        <f>IF(COUNTA(A528:F528)=0,"",IF(AND(A528&lt;&gt;"",B528&lt;&gt;"",E528&lt;&gt;""),"OK","ERRO: faltam "&amp;IF(A528="","Conta; ","")&amp;IF(B528="","Oportunidade; ","")&amp;IF(E528="","Novo gerente; ","")))</f>
      </c>
      <c r="I528" s="6">
        <f>IF(COUNTA(A528:F528)=0,"",IF(AND(G528="OK",H528="OK"),"OK","REVISAR"))</f>
      </c>
    </row>
    <row r="529">
      <c r="A529" s="5"/>
      <c r="B529" s="5"/>
      <c r="C529" s="4"/>
      <c r="D529" s="4"/>
      <c r="E529" s="5"/>
      <c r="F529" s="4"/>
      <c r="G529" s="6">
        <f>IF(AND(A529="",B529=""),"",IF(COUNTIFS($A$2:$A$2001,A529,$B$2:$B$2001,B529)&gt;1,"DUPLICADO","OK"))</f>
      </c>
      <c r="H529" s="6">
        <f>IF(COUNTA(A529:F529)=0,"",IF(AND(A529&lt;&gt;"",B529&lt;&gt;"",E529&lt;&gt;""),"OK","ERRO: faltam "&amp;IF(A529="","Conta; ","")&amp;IF(B529="","Oportunidade; ","")&amp;IF(E529="","Novo gerente; ","")))</f>
      </c>
      <c r="I529" s="6">
        <f>IF(COUNTA(A529:F529)=0,"",IF(AND(G529="OK",H529="OK"),"OK","REVISAR"))</f>
      </c>
    </row>
    <row r="530">
      <c r="A530" s="5"/>
      <c r="B530" s="5"/>
      <c r="C530" s="4"/>
      <c r="D530" s="4"/>
      <c r="E530" s="5"/>
      <c r="F530" s="4"/>
      <c r="G530" s="6">
        <f>IF(AND(A530="",B530=""),"",IF(COUNTIFS($A$2:$A$2001,A530,$B$2:$B$2001,B530)&gt;1,"DUPLICADO","OK"))</f>
      </c>
      <c r="H530" s="6">
        <f>IF(COUNTA(A530:F530)=0,"",IF(AND(A530&lt;&gt;"",B530&lt;&gt;"",E530&lt;&gt;""),"OK","ERRO: faltam "&amp;IF(A530="","Conta; ","")&amp;IF(B530="","Oportunidade; ","")&amp;IF(E530="","Novo gerente; ","")))</f>
      </c>
      <c r="I530" s="6">
        <f>IF(COUNTA(A530:F530)=0,"",IF(AND(G530="OK",H530="OK"),"OK","REVISAR"))</f>
      </c>
    </row>
    <row r="531">
      <c r="A531" s="5"/>
      <c r="B531" s="5"/>
      <c r="C531" s="4"/>
      <c r="D531" s="4"/>
      <c r="E531" s="5"/>
      <c r="F531" s="4"/>
      <c r="G531" s="6">
        <f>IF(AND(A531="",B531=""),"",IF(COUNTIFS($A$2:$A$2001,A531,$B$2:$B$2001,B531)&gt;1,"DUPLICADO","OK"))</f>
      </c>
      <c r="H531" s="6">
        <f>IF(COUNTA(A531:F531)=0,"",IF(AND(A531&lt;&gt;"",B531&lt;&gt;"",E531&lt;&gt;""),"OK","ERRO: faltam "&amp;IF(A531="","Conta; ","")&amp;IF(B531="","Oportunidade; ","")&amp;IF(E531="","Novo gerente; ","")))</f>
      </c>
      <c r="I531" s="6">
        <f>IF(COUNTA(A531:F531)=0,"",IF(AND(G531="OK",H531="OK"),"OK","REVISAR"))</f>
      </c>
    </row>
    <row r="532">
      <c r="A532" s="5"/>
      <c r="B532" s="5"/>
      <c r="C532" s="4"/>
      <c r="D532" s="4"/>
      <c r="E532" s="5"/>
      <c r="F532" s="4"/>
      <c r="G532" s="6">
        <f>IF(AND(A532="",B532=""),"",IF(COUNTIFS($A$2:$A$2001,A532,$B$2:$B$2001,B532)&gt;1,"DUPLICADO","OK"))</f>
      </c>
      <c r="H532" s="6">
        <f>IF(COUNTA(A532:F532)=0,"",IF(AND(A532&lt;&gt;"",B532&lt;&gt;"",E532&lt;&gt;""),"OK","ERRO: faltam "&amp;IF(A532="","Conta; ","")&amp;IF(B532="","Oportunidade; ","")&amp;IF(E532="","Novo gerente; ","")))</f>
      </c>
      <c r="I532" s="6">
        <f>IF(COUNTA(A532:F532)=0,"",IF(AND(G532="OK",H532="OK"),"OK","REVISAR"))</f>
      </c>
    </row>
    <row r="533">
      <c r="A533" s="5"/>
      <c r="B533" s="5"/>
      <c r="C533" s="4"/>
      <c r="D533" s="4"/>
      <c r="E533" s="5"/>
      <c r="F533" s="4"/>
      <c r="G533" s="6">
        <f>IF(AND(A533="",B533=""),"",IF(COUNTIFS($A$2:$A$2001,A533,$B$2:$B$2001,B533)&gt;1,"DUPLICADO","OK"))</f>
      </c>
      <c r="H533" s="6">
        <f>IF(COUNTA(A533:F533)=0,"",IF(AND(A533&lt;&gt;"",B533&lt;&gt;"",E533&lt;&gt;""),"OK","ERRO: faltam "&amp;IF(A533="","Conta; ","")&amp;IF(B533="","Oportunidade; ","")&amp;IF(E533="","Novo gerente; ","")))</f>
      </c>
      <c r="I533" s="6">
        <f>IF(COUNTA(A533:F533)=0,"",IF(AND(G533="OK",H533="OK"),"OK","REVISAR"))</f>
      </c>
    </row>
    <row r="534">
      <c r="A534" s="5"/>
      <c r="B534" s="5"/>
      <c r="C534" s="4"/>
      <c r="D534" s="4"/>
      <c r="E534" s="5"/>
      <c r="F534" s="4"/>
      <c r="G534" s="6">
        <f>IF(AND(A534="",B534=""),"",IF(COUNTIFS($A$2:$A$2001,A534,$B$2:$B$2001,B534)&gt;1,"DUPLICADO","OK"))</f>
      </c>
      <c r="H534" s="6">
        <f>IF(COUNTA(A534:F534)=0,"",IF(AND(A534&lt;&gt;"",B534&lt;&gt;"",E534&lt;&gt;""),"OK","ERRO: faltam "&amp;IF(A534="","Conta; ","")&amp;IF(B534="","Oportunidade; ","")&amp;IF(E534="","Novo gerente; ","")))</f>
      </c>
      <c r="I534" s="6">
        <f>IF(COUNTA(A534:F534)=0,"",IF(AND(G534="OK",H534="OK"),"OK","REVISAR"))</f>
      </c>
    </row>
    <row r="535">
      <c r="A535" s="5"/>
      <c r="B535" s="5"/>
      <c r="C535" s="4"/>
      <c r="D535" s="4"/>
      <c r="E535" s="5"/>
      <c r="F535" s="4"/>
      <c r="G535" s="6">
        <f>IF(AND(A535="",B535=""),"",IF(COUNTIFS($A$2:$A$2001,A535,$B$2:$B$2001,B535)&gt;1,"DUPLICADO","OK"))</f>
      </c>
      <c r="H535" s="6">
        <f>IF(COUNTA(A535:F535)=0,"",IF(AND(A535&lt;&gt;"",B535&lt;&gt;"",E535&lt;&gt;""),"OK","ERRO: faltam "&amp;IF(A535="","Conta; ","")&amp;IF(B535="","Oportunidade; ","")&amp;IF(E535="","Novo gerente; ","")))</f>
      </c>
      <c r="I535" s="6">
        <f>IF(COUNTA(A535:F535)=0,"",IF(AND(G535="OK",H535="OK"),"OK","REVISAR"))</f>
      </c>
    </row>
    <row r="536">
      <c r="A536" s="5"/>
      <c r="B536" s="5"/>
      <c r="C536" s="4"/>
      <c r="D536" s="4"/>
      <c r="E536" s="5"/>
      <c r="F536" s="4"/>
      <c r="G536" s="6">
        <f>IF(AND(A536="",B536=""),"",IF(COUNTIFS($A$2:$A$2001,A536,$B$2:$B$2001,B536)&gt;1,"DUPLICADO","OK"))</f>
      </c>
      <c r="H536" s="6">
        <f>IF(COUNTA(A536:F536)=0,"",IF(AND(A536&lt;&gt;"",B536&lt;&gt;"",E536&lt;&gt;""),"OK","ERRO: faltam "&amp;IF(A536="","Conta; ","")&amp;IF(B536="","Oportunidade; ","")&amp;IF(E536="","Novo gerente; ","")))</f>
      </c>
      <c r="I536" s="6">
        <f>IF(COUNTA(A536:F536)=0,"",IF(AND(G536="OK",H536="OK"),"OK","REVISAR"))</f>
      </c>
    </row>
    <row r="537">
      <c r="A537" s="5"/>
      <c r="B537" s="5"/>
      <c r="C537" s="4"/>
      <c r="D537" s="4"/>
      <c r="E537" s="5"/>
      <c r="F537" s="4"/>
      <c r="G537" s="6">
        <f>IF(AND(A537="",B537=""),"",IF(COUNTIFS($A$2:$A$2001,A537,$B$2:$B$2001,B537)&gt;1,"DUPLICADO","OK"))</f>
      </c>
      <c r="H537" s="6">
        <f>IF(COUNTA(A537:F537)=0,"",IF(AND(A537&lt;&gt;"",B537&lt;&gt;"",E537&lt;&gt;""),"OK","ERRO: faltam "&amp;IF(A537="","Conta; ","")&amp;IF(B537="","Oportunidade; ","")&amp;IF(E537="","Novo gerente; ","")))</f>
      </c>
      <c r="I537" s="6">
        <f>IF(COUNTA(A537:F537)=0,"",IF(AND(G537="OK",H537="OK"),"OK","REVISAR"))</f>
      </c>
    </row>
    <row r="538">
      <c r="A538" s="5"/>
      <c r="B538" s="5"/>
      <c r="C538" s="4"/>
      <c r="D538" s="4"/>
      <c r="E538" s="5"/>
      <c r="F538" s="4"/>
      <c r="G538" s="6">
        <f>IF(AND(A538="",B538=""),"",IF(COUNTIFS($A$2:$A$2001,A538,$B$2:$B$2001,B538)&gt;1,"DUPLICADO","OK"))</f>
      </c>
      <c r="H538" s="6">
        <f>IF(COUNTA(A538:F538)=0,"",IF(AND(A538&lt;&gt;"",B538&lt;&gt;"",E538&lt;&gt;""),"OK","ERRO: faltam "&amp;IF(A538="","Conta; ","")&amp;IF(B538="","Oportunidade; ","")&amp;IF(E538="","Novo gerente; ","")))</f>
      </c>
      <c r="I538" s="6">
        <f>IF(COUNTA(A538:F538)=0,"",IF(AND(G538="OK",H538="OK"),"OK","REVISAR"))</f>
      </c>
    </row>
    <row r="539">
      <c r="A539" s="5"/>
      <c r="B539" s="5"/>
      <c r="C539" s="4"/>
      <c r="D539" s="4"/>
      <c r="E539" s="5"/>
      <c r="F539" s="4"/>
      <c r="G539" s="6">
        <f>IF(AND(A539="",B539=""),"",IF(COUNTIFS($A$2:$A$2001,A539,$B$2:$B$2001,B539)&gt;1,"DUPLICADO","OK"))</f>
      </c>
      <c r="H539" s="6">
        <f>IF(COUNTA(A539:F539)=0,"",IF(AND(A539&lt;&gt;"",B539&lt;&gt;"",E539&lt;&gt;""),"OK","ERRO: faltam "&amp;IF(A539="","Conta; ","")&amp;IF(B539="","Oportunidade; ","")&amp;IF(E539="","Novo gerente; ","")))</f>
      </c>
      <c r="I539" s="6">
        <f>IF(COUNTA(A539:F539)=0,"",IF(AND(G539="OK",H539="OK"),"OK","REVISAR"))</f>
      </c>
    </row>
    <row r="540">
      <c r="A540" s="5"/>
      <c r="B540" s="5"/>
      <c r="C540" s="4"/>
      <c r="D540" s="4"/>
      <c r="E540" s="5"/>
      <c r="F540" s="4"/>
      <c r="G540" s="6">
        <f>IF(AND(A540="",B540=""),"",IF(COUNTIFS($A$2:$A$2001,A540,$B$2:$B$2001,B540)&gt;1,"DUPLICADO","OK"))</f>
      </c>
      <c r="H540" s="6">
        <f>IF(COUNTA(A540:F540)=0,"",IF(AND(A540&lt;&gt;"",B540&lt;&gt;"",E540&lt;&gt;""),"OK","ERRO: faltam "&amp;IF(A540="","Conta; ","")&amp;IF(B540="","Oportunidade; ","")&amp;IF(E540="","Novo gerente; ","")))</f>
      </c>
      <c r="I540" s="6">
        <f>IF(COUNTA(A540:F540)=0,"",IF(AND(G540="OK",H540="OK"),"OK","REVISAR"))</f>
      </c>
    </row>
    <row r="541">
      <c r="A541" s="5"/>
      <c r="B541" s="5"/>
      <c r="C541" s="4"/>
      <c r="D541" s="4"/>
      <c r="E541" s="5"/>
      <c r="F541" s="4"/>
      <c r="G541" s="6">
        <f>IF(AND(A541="",B541=""),"",IF(COUNTIFS($A$2:$A$2001,A541,$B$2:$B$2001,B541)&gt;1,"DUPLICADO","OK"))</f>
      </c>
      <c r="H541" s="6">
        <f>IF(COUNTA(A541:F541)=0,"",IF(AND(A541&lt;&gt;"",B541&lt;&gt;"",E541&lt;&gt;""),"OK","ERRO: faltam "&amp;IF(A541="","Conta; ","")&amp;IF(B541="","Oportunidade; ","")&amp;IF(E541="","Novo gerente; ","")))</f>
      </c>
      <c r="I541" s="6">
        <f>IF(COUNTA(A541:F541)=0,"",IF(AND(G541="OK",H541="OK"),"OK","REVISAR"))</f>
      </c>
    </row>
    <row r="542">
      <c r="A542" s="5"/>
      <c r="B542" s="5"/>
      <c r="C542" s="4"/>
      <c r="D542" s="4"/>
      <c r="E542" s="5"/>
      <c r="F542" s="4"/>
      <c r="G542" s="6">
        <f>IF(AND(A542="",B542=""),"",IF(COUNTIFS($A$2:$A$2001,A542,$B$2:$B$2001,B542)&gt;1,"DUPLICADO","OK"))</f>
      </c>
      <c r="H542" s="6">
        <f>IF(COUNTA(A542:F542)=0,"",IF(AND(A542&lt;&gt;"",B542&lt;&gt;"",E542&lt;&gt;""),"OK","ERRO: faltam "&amp;IF(A542="","Conta; ","")&amp;IF(B542="","Oportunidade; ","")&amp;IF(E542="","Novo gerente; ","")))</f>
      </c>
      <c r="I542" s="6">
        <f>IF(COUNTA(A542:F542)=0,"",IF(AND(G542="OK",H542="OK"),"OK","REVISAR"))</f>
      </c>
    </row>
    <row r="543">
      <c r="A543" s="5"/>
      <c r="B543" s="5"/>
      <c r="C543" s="4"/>
      <c r="D543" s="4"/>
      <c r="E543" s="5"/>
      <c r="F543" s="4"/>
      <c r="G543" s="6">
        <f>IF(AND(A543="",B543=""),"",IF(COUNTIFS($A$2:$A$2001,A543,$B$2:$B$2001,B543)&gt;1,"DUPLICADO","OK"))</f>
      </c>
      <c r="H543" s="6">
        <f>IF(COUNTA(A543:F543)=0,"",IF(AND(A543&lt;&gt;"",B543&lt;&gt;"",E543&lt;&gt;""),"OK","ERRO: faltam "&amp;IF(A543="","Conta; ","")&amp;IF(B543="","Oportunidade; ","")&amp;IF(E543="","Novo gerente; ","")))</f>
      </c>
      <c r="I543" s="6">
        <f>IF(COUNTA(A543:F543)=0,"",IF(AND(G543="OK",H543="OK"),"OK","REVISAR"))</f>
      </c>
    </row>
    <row r="544">
      <c r="A544" s="5"/>
      <c r="B544" s="5"/>
      <c r="C544" s="4"/>
      <c r="D544" s="4"/>
      <c r="E544" s="5"/>
      <c r="F544" s="4"/>
      <c r="G544" s="6">
        <f>IF(AND(A544="",B544=""),"",IF(COUNTIFS($A$2:$A$2001,A544,$B$2:$B$2001,B544)&gt;1,"DUPLICADO","OK"))</f>
      </c>
      <c r="H544" s="6">
        <f>IF(COUNTA(A544:F544)=0,"",IF(AND(A544&lt;&gt;"",B544&lt;&gt;"",E544&lt;&gt;""),"OK","ERRO: faltam "&amp;IF(A544="","Conta; ","")&amp;IF(B544="","Oportunidade; ","")&amp;IF(E544="","Novo gerente; ","")))</f>
      </c>
      <c r="I544" s="6">
        <f>IF(COUNTA(A544:F544)=0,"",IF(AND(G544="OK",H544="OK"),"OK","REVISAR"))</f>
      </c>
    </row>
    <row r="545">
      <c r="A545" s="5"/>
      <c r="B545" s="5"/>
      <c r="C545" s="4"/>
      <c r="D545" s="4"/>
      <c r="E545" s="5"/>
      <c r="F545" s="4"/>
      <c r="G545" s="6">
        <f>IF(AND(A545="",B545=""),"",IF(COUNTIFS($A$2:$A$2001,A545,$B$2:$B$2001,B545)&gt;1,"DUPLICADO","OK"))</f>
      </c>
      <c r="H545" s="6">
        <f>IF(COUNTA(A545:F545)=0,"",IF(AND(A545&lt;&gt;"",B545&lt;&gt;"",E545&lt;&gt;""),"OK","ERRO: faltam "&amp;IF(A545="","Conta; ","")&amp;IF(B545="","Oportunidade; ","")&amp;IF(E545="","Novo gerente; ","")))</f>
      </c>
      <c r="I545" s="6">
        <f>IF(COUNTA(A545:F545)=0,"",IF(AND(G545="OK",H545="OK"),"OK","REVISAR"))</f>
      </c>
    </row>
    <row r="546">
      <c r="A546" s="5"/>
      <c r="B546" s="5"/>
      <c r="C546" s="4"/>
      <c r="D546" s="4"/>
      <c r="E546" s="5"/>
      <c r="F546" s="4"/>
      <c r="G546" s="6">
        <f>IF(AND(A546="",B546=""),"",IF(COUNTIFS($A$2:$A$2001,A546,$B$2:$B$2001,B546)&gt;1,"DUPLICADO","OK"))</f>
      </c>
      <c r="H546" s="6">
        <f>IF(COUNTA(A546:F546)=0,"",IF(AND(A546&lt;&gt;"",B546&lt;&gt;"",E546&lt;&gt;""),"OK","ERRO: faltam "&amp;IF(A546="","Conta; ","")&amp;IF(B546="","Oportunidade; ","")&amp;IF(E546="","Novo gerente; ","")))</f>
      </c>
      <c r="I546" s="6">
        <f>IF(COUNTA(A546:F546)=0,"",IF(AND(G546="OK",H546="OK"),"OK","REVISAR"))</f>
      </c>
    </row>
    <row r="547">
      <c r="A547" s="5"/>
      <c r="B547" s="5"/>
      <c r="C547" s="4"/>
      <c r="D547" s="4"/>
      <c r="E547" s="5"/>
      <c r="F547" s="4"/>
      <c r="G547" s="6">
        <f>IF(AND(A547="",B547=""),"",IF(COUNTIFS($A$2:$A$2001,A547,$B$2:$B$2001,B547)&gt;1,"DUPLICADO","OK"))</f>
      </c>
      <c r="H547" s="6">
        <f>IF(COUNTA(A547:F547)=0,"",IF(AND(A547&lt;&gt;"",B547&lt;&gt;"",E547&lt;&gt;""),"OK","ERRO: faltam "&amp;IF(A547="","Conta; ","")&amp;IF(B547="","Oportunidade; ","")&amp;IF(E547="","Novo gerente; ","")))</f>
      </c>
      <c r="I547" s="6">
        <f>IF(COUNTA(A547:F547)=0,"",IF(AND(G547="OK",H547="OK"),"OK","REVISAR"))</f>
      </c>
    </row>
    <row r="548">
      <c r="A548" s="5"/>
      <c r="B548" s="5"/>
      <c r="C548" s="4"/>
      <c r="D548" s="4"/>
      <c r="E548" s="5"/>
      <c r="F548" s="4"/>
      <c r="G548" s="6">
        <f>IF(AND(A548="",B548=""),"",IF(COUNTIFS($A$2:$A$2001,A548,$B$2:$B$2001,B548)&gt;1,"DUPLICADO","OK"))</f>
      </c>
      <c r="H548" s="6">
        <f>IF(COUNTA(A548:F548)=0,"",IF(AND(A548&lt;&gt;"",B548&lt;&gt;"",E548&lt;&gt;""),"OK","ERRO: faltam "&amp;IF(A548="","Conta; ","")&amp;IF(B548="","Oportunidade; ","")&amp;IF(E548="","Novo gerente; ","")))</f>
      </c>
      <c r="I548" s="6">
        <f>IF(COUNTA(A548:F548)=0,"",IF(AND(G548="OK",H548="OK"),"OK","REVISAR"))</f>
      </c>
    </row>
    <row r="549">
      <c r="A549" s="5"/>
      <c r="B549" s="5"/>
      <c r="C549" s="4"/>
      <c r="D549" s="4"/>
      <c r="E549" s="5"/>
      <c r="F549" s="4"/>
      <c r="G549" s="6">
        <f>IF(AND(A549="",B549=""),"",IF(COUNTIFS($A$2:$A$2001,A549,$B$2:$B$2001,B549)&gt;1,"DUPLICADO","OK"))</f>
      </c>
      <c r="H549" s="6">
        <f>IF(COUNTA(A549:F549)=0,"",IF(AND(A549&lt;&gt;"",B549&lt;&gt;"",E549&lt;&gt;""),"OK","ERRO: faltam "&amp;IF(A549="","Conta; ","")&amp;IF(B549="","Oportunidade; ","")&amp;IF(E549="","Novo gerente; ","")))</f>
      </c>
      <c r="I549" s="6">
        <f>IF(COUNTA(A549:F549)=0,"",IF(AND(G549="OK",H549="OK"),"OK","REVISAR"))</f>
      </c>
    </row>
    <row r="550">
      <c r="A550" s="5"/>
      <c r="B550" s="5"/>
      <c r="C550" s="4"/>
      <c r="D550" s="4"/>
      <c r="E550" s="5"/>
      <c r="F550" s="4"/>
      <c r="G550" s="6">
        <f>IF(AND(A550="",B550=""),"",IF(COUNTIFS($A$2:$A$2001,A550,$B$2:$B$2001,B550)&gt;1,"DUPLICADO","OK"))</f>
      </c>
      <c r="H550" s="6">
        <f>IF(COUNTA(A550:F550)=0,"",IF(AND(A550&lt;&gt;"",B550&lt;&gt;"",E550&lt;&gt;""),"OK","ERRO: faltam "&amp;IF(A550="","Conta; ","")&amp;IF(B550="","Oportunidade; ","")&amp;IF(E550="","Novo gerente; ","")))</f>
      </c>
      <c r="I550" s="6">
        <f>IF(COUNTA(A550:F550)=0,"",IF(AND(G550="OK",H550="OK"),"OK","REVISAR"))</f>
      </c>
    </row>
    <row r="551">
      <c r="A551" s="5"/>
      <c r="B551" s="5"/>
      <c r="C551" s="4"/>
      <c r="D551" s="4"/>
      <c r="E551" s="5"/>
      <c r="F551" s="4"/>
      <c r="G551" s="6">
        <f>IF(AND(A551="",B551=""),"",IF(COUNTIFS($A$2:$A$2001,A551,$B$2:$B$2001,B551)&gt;1,"DUPLICADO","OK"))</f>
      </c>
      <c r="H551" s="6">
        <f>IF(COUNTA(A551:F551)=0,"",IF(AND(A551&lt;&gt;"",B551&lt;&gt;"",E551&lt;&gt;""),"OK","ERRO: faltam "&amp;IF(A551="","Conta; ","")&amp;IF(B551="","Oportunidade; ","")&amp;IF(E551="","Novo gerente; ","")))</f>
      </c>
      <c r="I551" s="6">
        <f>IF(COUNTA(A551:F551)=0,"",IF(AND(G551="OK",H551="OK"),"OK","REVISAR"))</f>
      </c>
    </row>
    <row r="552">
      <c r="A552" s="5"/>
      <c r="B552" s="5"/>
      <c r="C552" s="4"/>
      <c r="D552" s="4"/>
      <c r="E552" s="5"/>
      <c r="F552" s="4"/>
      <c r="G552" s="6">
        <f>IF(AND(A552="",B552=""),"",IF(COUNTIFS($A$2:$A$2001,A552,$B$2:$B$2001,B552)&gt;1,"DUPLICADO","OK"))</f>
      </c>
      <c r="H552" s="6">
        <f>IF(COUNTA(A552:F552)=0,"",IF(AND(A552&lt;&gt;"",B552&lt;&gt;"",E552&lt;&gt;""),"OK","ERRO: faltam "&amp;IF(A552="","Conta; ","")&amp;IF(B552="","Oportunidade; ","")&amp;IF(E552="","Novo gerente; ","")))</f>
      </c>
      <c r="I552" s="6">
        <f>IF(COUNTA(A552:F552)=0,"",IF(AND(G552="OK",H552="OK"),"OK","REVISAR"))</f>
      </c>
    </row>
    <row r="553">
      <c r="A553" s="5"/>
      <c r="B553" s="5"/>
      <c r="C553" s="4"/>
      <c r="D553" s="4"/>
      <c r="E553" s="5"/>
      <c r="F553" s="4"/>
      <c r="G553" s="6">
        <f>IF(AND(A553="",B553=""),"",IF(COUNTIFS($A$2:$A$2001,A553,$B$2:$B$2001,B553)&gt;1,"DUPLICADO","OK"))</f>
      </c>
      <c r="H553" s="6">
        <f>IF(COUNTA(A553:F553)=0,"",IF(AND(A553&lt;&gt;"",B553&lt;&gt;"",E553&lt;&gt;""),"OK","ERRO: faltam "&amp;IF(A553="","Conta; ","")&amp;IF(B553="","Oportunidade; ","")&amp;IF(E553="","Novo gerente; ","")))</f>
      </c>
      <c r="I553" s="6">
        <f>IF(COUNTA(A553:F553)=0,"",IF(AND(G553="OK",H553="OK"),"OK","REVISAR"))</f>
      </c>
    </row>
    <row r="554">
      <c r="A554" s="5"/>
      <c r="B554" s="5"/>
      <c r="C554" s="4"/>
      <c r="D554" s="4"/>
      <c r="E554" s="5"/>
      <c r="F554" s="4"/>
      <c r="G554" s="6">
        <f>IF(AND(A554="",B554=""),"",IF(COUNTIFS($A$2:$A$2001,A554,$B$2:$B$2001,B554)&gt;1,"DUPLICADO","OK"))</f>
      </c>
      <c r="H554" s="6">
        <f>IF(COUNTA(A554:F554)=0,"",IF(AND(A554&lt;&gt;"",B554&lt;&gt;"",E554&lt;&gt;""),"OK","ERRO: faltam "&amp;IF(A554="","Conta; ","")&amp;IF(B554="","Oportunidade; ","")&amp;IF(E554="","Novo gerente; ","")))</f>
      </c>
      <c r="I554" s="6">
        <f>IF(COUNTA(A554:F554)=0,"",IF(AND(G554="OK",H554="OK"),"OK","REVISAR"))</f>
      </c>
    </row>
    <row r="555">
      <c r="A555" s="5"/>
      <c r="B555" s="5"/>
      <c r="C555" s="4"/>
      <c r="D555" s="4"/>
      <c r="E555" s="5"/>
      <c r="F555" s="4"/>
      <c r="G555" s="6">
        <f>IF(AND(A555="",B555=""),"",IF(COUNTIFS($A$2:$A$2001,A555,$B$2:$B$2001,B555)&gt;1,"DUPLICADO","OK"))</f>
      </c>
      <c r="H555" s="6">
        <f>IF(COUNTA(A555:F555)=0,"",IF(AND(A555&lt;&gt;"",B555&lt;&gt;"",E555&lt;&gt;""),"OK","ERRO: faltam "&amp;IF(A555="","Conta; ","")&amp;IF(B555="","Oportunidade; ","")&amp;IF(E555="","Novo gerente; ","")))</f>
      </c>
      <c r="I555" s="6">
        <f>IF(COUNTA(A555:F555)=0,"",IF(AND(G555="OK",H555="OK"),"OK","REVISAR"))</f>
      </c>
    </row>
    <row r="556">
      <c r="A556" s="5"/>
      <c r="B556" s="5"/>
      <c r="C556" s="4"/>
      <c r="D556" s="4"/>
      <c r="E556" s="5"/>
      <c r="F556" s="4"/>
      <c r="G556" s="6">
        <f>IF(AND(A556="",B556=""),"",IF(COUNTIFS($A$2:$A$2001,A556,$B$2:$B$2001,B556)&gt;1,"DUPLICADO","OK"))</f>
      </c>
      <c r="H556" s="6">
        <f>IF(COUNTA(A556:F556)=0,"",IF(AND(A556&lt;&gt;"",B556&lt;&gt;"",E556&lt;&gt;""),"OK","ERRO: faltam "&amp;IF(A556="","Conta; ","")&amp;IF(B556="","Oportunidade; ","")&amp;IF(E556="","Novo gerente; ","")))</f>
      </c>
      <c r="I556" s="6">
        <f>IF(COUNTA(A556:F556)=0,"",IF(AND(G556="OK",H556="OK"),"OK","REVISAR"))</f>
      </c>
    </row>
    <row r="557">
      <c r="A557" s="5"/>
      <c r="B557" s="5"/>
      <c r="C557" s="4"/>
      <c r="D557" s="4"/>
      <c r="E557" s="5"/>
      <c r="F557" s="4"/>
      <c r="G557" s="6">
        <f>IF(AND(A557="",B557=""),"",IF(COUNTIFS($A$2:$A$2001,A557,$B$2:$B$2001,B557)&gt;1,"DUPLICADO","OK"))</f>
      </c>
      <c r="H557" s="6">
        <f>IF(COUNTA(A557:F557)=0,"",IF(AND(A557&lt;&gt;"",B557&lt;&gt;"",E557&lt;&gt;""),"OK","ERRO: faltam "&amp;IF(A557="","Conta; ","")&amp;IF(B557="","Oportunidade; ","")&amp;IF(E557="","Novo gerente; ","")))</f>
      </c>
      <c r="I557" s="6">
        <f>IF(COUNTA(A557:F557)=0,"",IF(AND(G557="OK",H557="OK"),"OK","REVISAR"))</f>
      </c>
    </row>
    <row r="558">
      <c r="A558" s="5"/>
      <c r="B558" s="5"/>
      <c r="C558" s="4"/>
      <c r="D558" s="4"/>
      <c r="E558" s="5"/>
      <c r="F558" s="4"/>
      <c r="G558" s="6">
        <f>IF(AND(A558="",B558=""),"",IF(COUNTIFS($A$2:$A$2001,A558,$B$2:$B$2001,B558)&gt;1,"DUPLICADO","OK"))</f>
      </c>
      <c r="H558" s="6">
        <f>IF(COUNTA(A558:F558)=0,"",IF(AND(A558&lt;&gt;"",B558&lt;&gt;"",E558&lt;&gt;""),"OK","ERRO: faltam "&amp;IF(A558="","Conta; ","")&amp;IF(B558="","Oportunidade; ","")&amp;IF(E558="","Novo gerente; ","")))</f>
      </c>
      <c r="I558" s="6">
        <f>IF(COUNTA(A558:F558)=0,"",IF(AND(G558="OK",H558="OK"),"OK","REVISAR"))</f>
      </c>
    </row>
    <row r="559">
      <c r="A559" s="5"/>
      <c r="B559" s="5"/>
      <c r="C559" s="4"/>
      <c r="D559" s="4"/>
      <c r="E559" s="5"/>
      <c r="F559" s="4"/>
      <c r="G559" s="6">
        <f>IF(AND(A559="",B559=""),"",IF(COUNTIFS($A$2:$A$2001,A559,$B$2:$B$2001,B559)&gt;1,"DUPLICADO","OK"))</f>
      </c>
      <c r="H559" s="6">
        <f>IF(COUNTA(A559:F559)=0,"",IF(AND(A559&lt;&gt;"",B559&lt;&gt;"",E559&lt;&gt;""),"OK","ERRO: faltam "&amp;IF(A559="","Conta; ","")&amp;IF(B559="","Oportunidade; ","")&amp;IF(E559="","Novo gerente; ","")))</f>
      </c>
      <c r="I559" s="6">
        <f>IF(COUNTA(A559:F559)=0,"",IF(AND(G559="OK",H559="OK"),"OK","REVISAR"))</f>
      </c>
    </row>
    <row r="560">
      <c r="A560" s="5"/>
      <c r="B560" s="5"/>
      <c r="C560" s="4"/>
      <c r="D560" s="4"/>
      <c r="E560" s="5"/>
      <c r="F560" s="4"/>
      <c r="G560" s="6">
        <f>IF(AND(A560="",B560=""),"",IF(COUNTIFS($A$2:$A$2001,A560,$B$2:$B$2001,B560)&gt;1,"DUPLICADO","OK"))</f>
      </c>
      <c r="H560" s="6">
        <f>IF(COUNTA(A560:F560)=0,"",IF(AND(A560&lt;&gt;"",B560&lt;&gt;"",E560&lt;&gt;""),"OK","ERRO: faltam "&amp;IF(A560="","Conta; ","")&amp;IF(B560="","Oportunidade; ","")&amp;IF(E560="","Novo gerente; ","")))</f>
      </c>
      <c r="I560" s="6">
        <f>IF(COUNTA(A560:F560)=0,"",IF(AND(G560="OK",H560="OK"),"OK","REVISAR"))</f>
      </c>
    </row>
    <row r="561">
      <c r="A561" s="5"/>
      <c r="B561" s="5"/>
      <c r="C561" s="4"/>
      <c r="D561" s="4"/>
      <c r="E561" s="5"/>
      <c r="F561" s="4"/>
      <c r="G561" s="6">
        <f>IF(AND(A561="",B561=""),"",IF(COUNTIFS($A$2:$A$2001,A561,$B$2:$B$2001,B561)&gt;1,"DUPLICADO","OK"))</f>
      </c>
      <c r="H561" s="6">
        <f>IF(COUNTA(A561:F561)=0,"",IF(AND(A561&lt;&gt;"",B561&lt;&gt;"",E561&lt;&gt;""),"OK","ERRO: faltam "&amp;IF(A561="","Conta; ","")&amp;IF(B561="","Oportunidade; ","")&amp;IF(E561="","Novo gerente; ","")))</f>
      </c>
      <c r="I561" s="6">
        <f>IF(COUNTA(A561:F561)=0,"",IF(AND(G561="OK",H561="OK"),"OK","REVISAR"))</f>
      </c>
    </row>
    <row r="562">
      <c r="A562" s="5"/>
      <c r="B562" s="5"/>
      <c r="C562" s="4"/>
      <c r="D562" s="4"/>
      <c r="E562" s="5"/>
      <c r="F562" s="4"/>
      <c r="G562" s="6">
        <f>IF(AND(A562="",B562=""),"",IF(COUNTIFS($A$2:$A$2001,A562,$B$2:$B$2001,B562)&gt;1,"DUPLICADO","OK"))</f>
      </c>
      <c r="H562" s="6">
        <f>IF(COUNTA(A562:F562)=0,"",IF(AND(A562&lt;&gt;"",B562&lt;&gt;"",E562&lt;&gt;""),"OK","ERRO: faltam "&amp;IF(A562="","Conta; ","")&amp;IF(B562="","Oportunidade; ","")&amp;IF(E562="","Novo gerente; ","")))</f>
      </c>
      <c r="I562" s="6">
        <f>IF(COUNTA(A562:F562)=0,"",IF(AND(G562="OK",H562="OK"),"OK","REVISAR"))</f>
      </c>
    </row>
    <row r="563">
      <c r="A563" s="5"/>
      <c r="B563" s="5"/>
      <c r="C563" s="4"/>
      <c r="D563" s="4"/>
      <c r="E563" s="5"/>
      <c r="F563" s="4"/>
      <c r="G563" s="6">
        <f>IF(AND(A563="",B563=""),"",IF(COUNTIFS($A$2:$A$2001,A563,$B$2:$B$2001,B563)&gt;1,"DUPLICADO","OK"))</f>
      </c>
      <c r="H563" s="6">
        <f>IF(COUNTA(A563:F563)=0,"",IF(AND(A563&lt;&gt;"",B563&lt;&gt;"",E563&lt;&gt;""),"OK","ERRO: faltam "&amp;IF(A563="","Conta; ","")&amp;IF(B563="","Oportunidade; ","")&amp;IF(E563="","Novo gerente; ","")))</f>
      </c>
      <c r="I563" s="6">
        <f>IF(COUNTA(A563:F563)=0,"",IF(AND(G563="OK",H563="OK"),"OK","REVISAR"))</f>
      </c>
    </row>
    <row r="564">
      <c r="A564" s="5"/>
      <c r="B564" s="5"/>
      <c r="C564" s="4"/>
      <c r="D564" s="4"/>
      <c r="E564" s="5"/>
      <c r="F564" s="4"/>
      <c r="G564" s="6">
        <f>IF(AND(A564="",B564=""),"",IF(COUNTIFS($A$2:$A$2001,A564,$B$2:$B$2001,B564)&gt;1,"DUPLICADO","OK"))</f>
      </c>
      <c r="H564" s="6">
        <f>IF(COUNTA(A564:F564)=0,"",IF(AND(A564&lt;&gt;"",B564&lt;&gt;"",E564&lt;&gt;""),"OK","ERRO: faltam "&amp;IF(A564="","Conta; ","")&amp;IF(B564="","Oportunidade; ","")&amp;IF(E564="","Novo gerente; ","")))</f>
      </c>
      <c r="I564" s="6">
        <f>IF(COUNTA(A564:F564)=0,"",IF(AND(G564="OK",H564="OK"),"OK","REVISAR"))</f>
      </c>
    </row>
    <row r="565">
      <c r="A565" s="5"/>
      <c r="B565" s="5"/>
      <c r="C565" s="4"/>
      <c r="D565" s="4"/>
      <c r="E565" s="5"/>
      <c r="F565" s="4"/>
      <c r="G565" s="6">
        <f>IF(AND(A565="",B565=""),"",IF(COUNTIFS($A$2:$A$2001,A565,$B$2:$B$2001,B565)&gt;1,"DUPLICADO","OK"))</f>
      </c>
      <c r="H565" s="6">
        <f>IF(COUNTA(A565:F565)=0,"",IF(AND(A565&lt;&gt;"",B565&lt;&gt;"",E565&lt;&gt;""),"OK","ERRO: faltam "&amp;IF(A565="","Conta; ","")&amp;IF(B565="","Oportunidade; ","")&amp;IF(E565="","Novo gerente; ","")))</f>
      </c>
      <c r="I565" s="6">
        <f>IF(COUNTA(A565:F565)=0,"",IF(AND(G565="OK",H565="OK"),"OK","REVISAR"))</f>
      </c>
    </row>
    <row r="566">
      <c r="A566" s="5"/>
      <c r="B566" s="5"/>
      <c r="C566" s="4"/>
      <c r="D566" s="4"/>
      <c r="E566" s="5"/>
      <c r="F566" s="4"/>
      <c r="G566" s="6">
        <f>IF(AND(A566="",B566=""),"",IF(COUNTIFS($A$2:$A$2001,A566,$B$2:$B$2001,B566)&gt;1,"DUPLICADO","OK"))</f>
      </c>
      <c r="H566" s="6">
        <f>IF(COUNTA(A566:F566)=0,"",IF(AND(A566&lt;&gt;"",B566&lt;&gt;"",E566&lt;&gt;""),"OK","ERRO: faltam "&amp;IF(A566="","Conta; ","")&amp;IF(B566="","Oportunidade; ","")&amp;IF(E566="","Novo gerente; ","")))</f>
      </c>
      <c r="I566" s="6">
        <f>IF(COUNTA(A566:F566)=0,"",IF(AND(G566="OK",H566="OK"),"OK","REVISAR"))</f>
      </c>
    </row>
    <row r="567">
      <c r="A567" s="5"/>
      <c r="B567" s="5"/>
      <c r="C567" s="4"/>
      <c r="D567" s="4"/>
      <c r="E567" s="5"/>
      <c r="F567" s="4"/>
      <c r="G567" s="6">
        <f>IF(AND(A567="",B567=""),"",IF(COUNTIFS($A$2:$A$2001,A567,$B$2:$B$2001,B567)&gt;1,"DUPLICADO","OK"))</f>
      </c>
      <c r="H567" s="6">
        <f>IF(COUNTA(A567:F567)=0,"",IF(AND(A567&lt;&gt;"",B567&lt;&gt;"",E567&lt;&gt;""),"OK","ERRO: faltam "&amp;IF(A567="","Conta; ","")&amp;IF(B567="","Oportunidade; ","")&amp;IF(E567="","Novo gerente; ","")))</f>
      </c>
      <c r="I567" s="6">
        <f>IF(COUNTA(A567:F567)=0,"",IF(AND(G567="OK",H567="OK"),"OK","REVISAR"))</f>
      </c>
    </row>
    <row r="568">
      <c r="A568" s="5"/>
      <c r="B568" s="5"/>
      <c r="C568" s="4"/>
      <c r="D568" s="4"/>
      <c r="E568" s="5"/>
      <c r="F568" s="4"/>
      <c r="G568" s="6">
        <f>IF(AND(A568="",B568=""),"",IF(COUNTIFS($A$2:$A$2001,A568,$B$2:$B$2001,B568)&gt;1,"DUPLICADO","OK"))</f>
      </c>
      <c r="H568" s="6">
        <f>IF(COUNTA(A568:F568)=0,"",IF(AND(A568&lt;&gt;"",B568&lt;&gt;"",E568&lt;&gt;""),"OK","ERRO: faltam "&amp;IF(A568="","Conta; ","")&amp;IF(B568="","Oportunidade; ","")&amp;IF(E568="","Novo gerente; ","")))</f>
      </c>
      <c r="I568" s="6">
        <f>IF(COUNTA(A568:F568)=0,"",IF(AND(G568="OK",H568="OK"),"OK","REVISAR"))</f>
      </c>
    </row>
    <row r="569">
      <c r="A569" s="5"/>
      <c r="B569" s="5"/>
      <c r="C569" s="4"/>
      <c r="D569" s="4"/>
      <c r="E569" s="5"/>
      <c r="F569" s="4"/>
      <c r="G569" s="6">
        <f>IF(AND(A569="",B569=""),"",IF(COUNTIFS($A$2:$A$2001,A569,$B$2:$B$2001,B569)&gt;1,"DUPLICADO","OK"))</f>
      </c>
      <c r="H569" s="6">
        <f>IF(COUNTA(A569:F569)=0,"",IF(AND(A569&lt;&gt;"",B569&lt;&gt;"",E569&lt;&gt;""),"OK","ERRO: faltam "&amp;IF(A569="","Conta; ","")&amp;IF(B569="","Oportunidade; ","")&amp;IF(E569="","Novo gerente; ","")))</f>
      </c>
      <c r="I569" s="6">
        <f>IF(COUNTA(A569:F569)=0,"",IF(AND(G569="OK",H569="OK"),"OK","REVISAR"))</f>
      </c>
    </row>
    <row r="570">
      <c r="A570" s="5"/>
      <c r="B570" s="5"/>
      <c r="C570" s="4"/>
      <c r="D570" s="4"/>
      <c r="E570" s="5"/>
      <c r="F570" s="4"/>
      <c r="G570" s="6">
        <f>IF(AND(A570="",B570=""),"",IF(COUNTIFS($A$2:$A$2001,A570,$B$2:$B$2001,B570)&gt;1,"DUPLICADO","OK"))</f>
      </c>
      <c r="H570" s="6">
        <f>IF(COUNTA(A570:F570)=0,"",IF(AND(A570&lt;&gt;"",B570&lt;&gt;"",E570&lt;&gt;""),"OK","ERRO: faltam "&amp;IF(A570="","Conta; ","")&amp;IF(B570="","Oportunidade; ","")&amp;IF(E570="","Novo gerente; ","")))</f>
      </c>
      <c r="I570" s="6">
        <f>IF(COUNTA(A570:F570)=0,"",IF(AND(G570="OK",H570="OK"),"OK","REVISAR"))</f>
      </c>
    </row>
    <row r="571">
      <c r="A571" s="5"/>
      <c r="B571" s="5"/>
      <c r="C571" s="4"/>
      <c r="D571" s="4"/>
      <c r="E571" s="5"/>
      <c r="F571" s="4"/>
      <c r="G571" s="6">
        <f>IF(AND(A571="",B571=""),"",IF(COUNTIFS($A$2:$A$2001,A571,$B$2:$B$2001,B571)&gt;1,"DUPLICADO","OK"))</f>
      </c>
      <c r="H571" s="6">
        <f>IF(COUNTA(A571:F571)=0,"",IF(AND(A571&lt;&gt;"",B571&lt;&gt;"",E571&lt;&gt;""),"OK","ERRO: faltam "&amp;IF(A571="","Conta; ","")&amp;IF(B571="","Oportunidade; ","")&amp;IF(E571="","Novo gerente; ","")))</f>
      </c>
      <c r="I571" s="6">
        <f>IF(COUNTA(A571:F571)=0,"",IF(AND(G571="OK",H571="OK"),"OK","REVISAR"))</f>
      </c>
    </row>
    <row r="572">
      <c r="A572" s="5"/>
      <c r="B572" s="5"/>
      <c r="C572" s="4"/>
      <c r="D572" s="4"/>
      <c r="E572" s="5"/>
      <c r="F572" s="4"/>
      <c r="G572" s="6">
        <f>IF(AND(A572="",B572=""),"",IF(COUNTIFS($A$2:$A$2001,A572,$B$2:$B$2001,B572)&gt;1,"DUPLICADO","OK"))</f>
      </c>
      <c r="H572" s="6">
        <f>IF(COUNTA(A572:F572)=0,"",IF(AND(A572&lt;&gt;"",B572&lt;&gt;"",E572&lt;&gt;""),"OK","ERRO: faltam "&amp;IF(A572="","Conta; ","")&amp;IF(B572="","Oportunidade; ","")&amp;IF(E572="","Novo gerente; ","")))</f>
      </c>
      <c r="I572" s="6">
        <f>IF(COUNTA(A572:F572)=0,"",IF(AND(G572="OK",H572="OK"),"OK","REVISAR"))</f>
      </c>
    </row>
    <row r="573">
      <c r="A573" s="5"/>
      <c r="B573" s="5"/>
      <c r="C573" s="4"/>
      <c r="D573" s="4"/>
      <c r="E573" s="5"/>
      <c r="F573" s="4"/>
      <c r="G573" s="6">
        <f>IF(AND(A573="",B573=""),"",IF(COUNTIFS($A$2:$A$2001,A573,$B$2:$B$2001,B573)&gt;1,"DUPLICADO","OK"))</f>
      </c>
      <c r="H573" s="6">
        <f>IF(COUNTA(A573:F573)=0,"",IF(AND(A573&lt;&gt;"",B573&lt;&gt;"",E573&lt;&gt;""),"OK","ERRO: faltam "&amp;IF(A573="","Conta; ","")&amp;IF(B573="","Oportunidade; ","")&amp;IF(E573="","Novo gerente; ","")))</f>
      </c>
      <c r="I573" s="6">
        <f>IF(COUNTA(A573:F573)=0,"",IF(AND(G573="OK",H573="OK"),"OK","REVISAR"))</f>
      </c>
    </row>
    <row r="574">
      <c r="A574" s="5"/>
      <c r="B574" s="5"/>
      <c r="C574" s="4"/>
      <c r="D574" s="4"/>
      <c r="E574" s="5"/>
      <c r="F574" s="4"/>
      <c r="G574" s="6">
        <f>IF(AND(A574="",B574=""),"",IF(COUNTIFS($A$2:$A$2001,A574,$B$2:$B$2001,B574)&gt;1,"DUPLICADO","OK"))</f>
      </c>
      <c r="H574" s="6">
        <f>IF(COUNTA(A574:F574)=0,"",IF(AND(A574&lt;&gt;"",B574&lt;&gt;"",E574&lt;&gt;""),"OK","ERRO: faltam "&amp;IF(A574="","Conta; ","")&amp;IF(B574="","Oportunidade; ","")&amp;IF(E574="","Novo gerente; ","")))</f>
      </c>
      <c r="I574" s="6">
        <f>IF(COUNTA(A574:F574)=0,"",IF(AND(G574="OK",H574="OK"),"OK","REVISAR"))</f>
      </c>
    </row>
    <row r="575">
      <c r="A575" s="5"/>
      <c r="B575" s="5"/>
      <c r="C575" s="4"/>
      <c r="D575" s="4"/>
      <c r="E575" s="5"/>
      <c r="F575" s="4"/>
      <c r="G575" s="6">
        <f>IF(AND(A575="",B575=""),"",IF(COUNTIFS($A$2:$A$2001,A575,$B$2:$B$2001,B575)&gt;1,"DUPLICADO","OK"))</f>
      </c>
      <c r="H575" s="6">
        <f>IF(COUNTA(A575:F575)=0,"",IF(AND(A575&lt;&gt;"",B575&lt;&gt;"",E575&lt;&gt;""),"OK","ERRO: faltam "&amp;IF(A575="","Conta; ","")&amp;IF(B575="","Oportunidade; ","")&amp;IF(E575="","Novo gerente; ","")))</f>
      </c>
      <c r="I575" s="6">
        <f>IF(COUNTA(A575:F575)=0,"",IF(AND(G575="OK",H575="OK"),"OK","REVISAR"))</f>
      </c>
    </row>
    <row r="576">
      <c r="A576" s="5"/>
      <c r="B576" s="5"/>
      <c r="C576" s="4"/>
      <c r="D576" s="4"/>
      <c r="E576" s="5"/>
      <c r="F576" s="4"/>
      <c r="G576" s="6">
        <f>IF(AND(A576="",B576=""),"",IF(COUNTIFS($A$2:$A$2001,A576,$B$2:$B$2001,B576)&gt;1,"DUPLICADO","OK"))</f>
      </c>
      <c r="H576" s="6">
        <f>IF(COUNTA(A576:F576)=0,"",IF(AND(A576&lt;&gt;"",B576&lt;&gt;"",E576&lt;&gt;""),"OK","ERRO: faltam "&amp;IF(A576="","Conta; ","")&amp;IF(B576="","Oportunidade; ","")&amp;IF(E576="","Novo gerente; ","")))</f>
      </c>
      <c r="I576" s="6">
        <f>IF(COUNTA(A576:F576)=0,"",IF(AND(G576="OK",H576="OK"),"OK","REVISAR"))</f>
      </c>
    </row>
    <row r="577">
      <c r="A577" s="5"/>
      <c r="B577" s="5"/>
      <c r="C577" s="4"/>
      <c r="D577" s="4"/>
      <c r="E577" s="5"/>
      <c r="F577" s="4"/>
      <c r="G577" s="6">
        <f>IF(AND(A577="",B577=""),"",IF(COUNTIFS($A$2:$A$2001,A577,$B$2:$B$2001,B577)&gt;1,"DUPLICADO","OK"))</f>
      </c>
      <c r="H577" s="6">
        <f>IF(COUNTA(A577:F577)=0,"",IF(AND(A577&lt;&gt;"",B577&lt;&gt;"",E577&lt;&gt;""),"OK","ERRO: faltam "&amp;IF(A577="","Conta; ","")&amp;IF(B577="","Oportunidade; ","")&amp;IF(E577="","Novo gerente; ","")))</f>
      </c>
      <c r="I577" s="6">
        <f>IF(COUNTA(A577:F577)=0,"",IF(AND(G577="OK",H577="OK"),"OK","REVISAR"))</f>
      </c>
    </row>
    <row r="578">
      <c r="A578" s="5"/>
      <c r="B578" s="5"/>
      <c r="C578" s="4"/>
      <c r="D578" s="4"/>
      <c r="E578" s="5"/>
      <c r="F578" s="4"/>
      <c r="G578" s="6">
        <f>IF(AND(A578="",B578=""),"",IF(COUNTIFS($A$2:$A$2001,A578,$B$2:$B$2001,B578)&gt;1,"DUPLICADO","OK"))</f>
      </c>
      <c r="H578" s="6">
        <f>IF(COUNTA(A578:F578)=0,"",IF(AND(A578&lt;&gt;"",B578&lt;&gt;"",E578&lt;&gt;""),"OK","ERRO: faltam "&amp;IF(A578="","Conta; ","")&amp;IF(B578="","Oportunidade; ","")&amp;IF(E578="","Novo gerente; ","")))</f>
      </c>
      <c r="I578" s="6">
        <f>IF(COUNTA(A578:F578)=0,"",IF(AND(G578="OK",H578="OK"),"OK","REVISAR"))</f>
      </c>
    </row>
    <row r="579">
      <c r="A579" s="5"/>
      <c r="B579" s="5"/>
      <c r="C579" s="4"/>
      <c r="D579" s="4"/>
      <c r="E579" s="5"/>
      <c r="F579" s="4"/>
      <c r="G579" s="6">
        <f>IF(AND(A579="",B579=""),"",IF(COUNTIFS($A$2:$A$2001,A579,$B$2:$B$2001,B579)&gt;1,"DUPLICADO","OK"))</f>
      </c>
      <c r="H579" s="6">
        <f>IF(COUNTA(A579:F579)=0,"",IF(AND(A579&lt;&gt;"",B579&lt;&gt;"",E579&lt;&gt;""),"OK","ERRO: faltam "&amp;IF(A579="","Conta; ","")&amp;IF(B579="","Oportunidade; ","")&amp;IF(E579="","Novo gerente; ","")))</f>
      </c>
      <c r="I579" s="6">
        <f>IF(COUNTA(A579:F579)=0,"",IF(AND(G579="OK",H579="OK"),"OK","REVISAR"))</f>
      </c>
    </row>
    <row r="580">
      <c r="A580" s="5"/>
      <c r="B580" s="5"/>
      <c r="C580" s="4"/>
      <c r="D580" s="4"/>
      <c r="E580" s="5"/>
      <c r="F580" s="4"/>
      <c r="G580" s="6">
        <f>IF(AND(A580="",B580=""),"",IF(COUNTIFS($A$2:$A$2001,A580,$B$2:$B$2001,B580)&gt;1,"DUPLICADO","OK"))</f>
      </c>
      <c r="H580" s="6">
        <f>IF(COUNTA(A580:F580)=0,"",IF(AND(A580&lt;&gt;"",B580&lt;&gt;"",E580&lt;&gt;""),"OK","ERRO: faltam "&amp;IF(A580="","Conta; ","")&amp;IF(B580="","Oportunidade; ","")&amp;IF(E580="","Novo gerente; ","")))</f>
      </c>
      <c r="I580" s="6">
        <f>IF(COUNTA(A580:F580)=0,"",IF(AND(G580="OK",H580="OK"),"OK","REVISAR"))</f>
      </c>
    </row>
    <row r="581">
      <c r="A581" s="5"/>
      <c r="B581" s="5"/>
      <c r="C581" s="4"/>
      <c r="D581" s="4"/>
      <c r="E581" s="5"/>
      <c r="F581" s="4"/>
      <c r="G581" s="6">
        <f>IF(AND(A581="",B581=""),"",IF(COUNTIFS($A$2:$A$2001,A581,$B$2:$B$2001,B581)&gt;1,"DUPLICADO","OK"))</f>
      </c>
      <c r="H581" s="6">
        <f>IF(COUNTA(A581:F581)=0,"",IF(AND(A581&lt;&gt;"",B581&lt;&gt;"",E581&lt;&gt;""),"OK","ERRO: faltam "&amp;IF(A581="","Conta; ","")&amp;IF(B581="","Oportunidade; ","")&amp;IF(E581="","Novo gerente; ","")))</f>
      </c>
      <c r="I581" s="6">
        <f>IF(COUNTA(A581:F581)=0,"",IF(AND(G581="OK",H581="OK"),"OK","REVISAR"))</f>
      </c>
    </row>
    <row r="582">
      <c r="A582" s="5"/>
      <c r="B582" s="5"/>
      <c r="C582" s="4"/>
      <c r="D582" s="4"/>
      <c r="E582" s="5"/>
      <c r="F582" s="4"/>
      <c r="G582" s="6">
        <f>IF(AND(A582="",B582=""),"",IF(COUNTIFS($A$2:$A$2001,A582,$B$2:$B$2001,B582)&gt;1,"DUPLICADO","OK"))</f>
      </c>
      <c r="H582" s="6">
        <f>IF(COUNTA(A582:F582)=0,"",IF(AND(A582&lt;&gt;"",B582&lt;&gt;"",E582&lt;&gt;""),"OK","ERRO: faltam "&amp;IF(A582="","Conta; ","")&amp;IF(B582="","Oportunidade; ","")&amp;IF(E582="","Novo gerente; ","")))</f>
      </c>
      <c r="I582" s="6">
        <f>IF(COUNTA(A582:F582)=0,"",IF(AND(G582="OK",H582="OK"),"OK","REVISAR"))</f>
      </c>
    </row>
    <row r="583">
      <c r="A583" s="5"/>
      <c r="B583" s="5"/>
      <c r="C583" s="4"/>
      <c r="D583" s="4"/>
      <c r="E583" s="5"/>
      <c r="F583" s="4"/>
      <c r="G583" s="6">
        <f>IF(AND(A583="",B583=""),"",IF(COUNTIFS($A$2:$A$2001,A583,$B$2:$B$2001,B583)&gt;1,"DUPLICADO","OK"))</f>
      </c>
      <c r="H583" s="6">
        <f>IF(COUNTA(A583:F583)=0,"",IF(AND(A583&lt;&gt;"",B583&lt;&gt;"",E583&lt;&gt;""),"OK","ERRO: faltam "&amp;IF(A583="","Conta; ","")&amp;IF(B583="","Oportunidade; ","")&amp;IF(E583="","Novo gerente; ","")))</f>
      </c>
      <c r="I583" s="6">
        <f>IF(COUNTA(A583:F583)=0,"",IF(AND(G583="OK",H583="OK"),"OK","REVISAR"))</f>
      </c>
    </row>
    <row r="584">
      <c r="A584" s="5"/>
      <c r="B584" s="5"/>
      <c r="C584" s="4"/>
      <c r="D584" s="4"/>
      <c r="E584" s="5"/>
      <c r="F584" s="4"/>
      <c r="G584" s="6">
        <f>IF(AND(A584="",B584=""),"",IF(COUNTIFS($A$2:$A$2001,A584,$B$2:$B$2001,B584)&gt;1,"DUPLICADO","OK"))</f>
      </c>
      <c r="H584" s="6">
        <f>IF(COUNTA(A584:F584)=0,"",IF(AND(A584&lt;&gt;"",B584&lt;&gt;"",E584&lt;&gt;""),"OK","ERRO: faltam "&amp;IF(A584="","Conta; ","")&amp;IF(B584="","Oportunidade; ","")&amp;IF(E584="","Novo gerente; ","")))</f>
      </c>
      <c r="I584" s="6">
        <f>IF(COUNTA(A584:F584)=0,"",IF(AND(G584="OK",H584="OK"),"OK","REVISAR"))</f>
      </c>
    </row>
    <row r="585">
      <c r="A585" s="5"/>
      <c r="B585" s="5"/>
      <c r="C585" s="4"/>
      <c r="D585" s="4"/>
      <c r="E585" s="5"/>
      <c r="F585" s="4"/>
      <c r="G585" s="6">
        <f>IF(AND(A585="",B585=""),"",IF(COUNTIFS($A$2:$A$2001,A585,$B$2:$B$2001,B585)&gt;1,"DUPLICADO","OK"))</f>
      </c>
      <c r="H585" s="6">
        <f>IF(COUNTA(A585:F585)=0,"",IF(AND(A585&lt;&gt;"",B585&lt;&gt;"",E585&lt;&gt;""),"OK","ERRO: faltam "&amp;IF(A585="","Conta; ","")&amp;IF(B585="","Oportunidade; ","")&amp;IF(E585="","Novo gerente; ","")))</f>
      </c>
      <c r="I585" s="6">
        <f>IF(COUNTA(A585:F585)=0,"",IF(AND(G585="OK",H585="OK"),"OK","REVISAR"))</f>
      </c>
    </row>
    <row r="586">
      <c r="A586" s="5"/>
      <c r="B586" s="5"/>
      <c r="C586" s="4"/>
      <c r="D586" s="4"/>
      <c r="E586" s="5"/>
      <c r="F586" s="4"/>
      <c r="G586" s="6">
        <f>IF(AND(A586="",B586=""),"",IF(COUNTIFS($A$2:$A$2001,A586,$B$2:$B$2001,B586)&gt;1,"DUPLICADO","OK"))</f>
      </c>
      <c r="H586" s="6">
        <f>IF(COUNTA(A586:F586)=0,"",IF(AND(A586&lt;&gt;"",B586&lt;&gt;"",E586&lt;&gt;""),"OK","ERRO: faltam "&amp;IF(A586="","Conta; ","")&amp;IF(B586="","Oportunidade; ","")&amp;IF(E586="","Novo gerente; ","")))</f>
      </c>
      <c r="I586" s="6">
        <f>IF(COUNTA(A586:F586)=0,"",IF(AND(G586="OK",H586="OK"),"OK","REVISAR"))</f>
      </c>
    </row>
    <row r="587">
      <c r="A587" s="5"/>
      <c r="B587" s="5"/>
      <c r="C587" s="4"/>
      <c r="D587" s="4"/>
      <c r="E587" s="5"/>
      <c r="F587" s="4"/>
      <c r="G587" s="6">
        <f>IF(AND(A587="",B587=""),"",IF(COUNTIFS($A$2:$A$2001,A587,$B$2:$B$2001,B587)&gt;1,"DUPLICADO","OK"))</f>
      </c>
      <c r="H587" s="6">
        <f>IF(COUNTA(A587:F587)=0,"",IF(AND(A587&lt;&gt;"",B587&lt;&gt;"",E587&lt;&gt;""),"OK","ERRO: faltam "&amp;IF(A587="","Conta; ","")&amp;IF(B587="","Oportunidade; ","")&amp;IF(E587="","Novo gerente; ","")))</f>
      </c>
      <c r="I587" s="6">
        <f>IF(COUNTA(A587:F587)=0,"",IF(AND(G587="OK",H587="OK"),"OK","REVISAR"))</f>
      </c>
    </row>
    <row r="588">
      <c r="A588" s="5"/>
      <c r="B588" s="5"/>
      <c r="C588" s="4"/>
      <c r="D588" s="4"/>
      <c r="E588" s="5"/>
      <c r="F588" s="4"/>
      <c r="G588" s="6">
        <f>IF(AND(A588="",B588=""),"",IF(COUNTIFS($A$2:$A$2001,A588,$B$2:$B$2001,B588)&gt;1,"DUPLICADO","OK"))</f>
      </c>
      <c r="H588" s="6">
        <f>IF(COUNTA(A588:F588)=0,"",IF(AND(A588&lt;&gt;"",B588&lt;&gt;"",E588&lt;&gt;""),"OK","ERRO: faltam "&amp;IF(A588="","Conta; ","")&amp;IF(B588="","Oportunidade; ","")&amp;IF(E588="","Novo gerente; ","")))</f>
      </c>
      <c r="I588" s="6">
        <f>IF(COUNTA(A588:F588)=0,"",IF(AND(G588="OK",H588="OK"),"OK","REVISAR"))</f>
      </c>
    </row>
    <row r="589">
      <c r="A589" s="5"/>
      <c r="B589" s="5"/>
      <c r="C589" s="4"/>
      <c r="D589" s="4"/>
      <c r="E589" s="5"/>
      <c r="F589" s="4"/>
      <c r="G589" s="6">
        <f>IF(AND(A589="",B589=""),"",IF(COUNTIFS($A$2:$A$2001,A589,$B$2:$B$2001,B589)&gt;1,"DUPLICADO","OK"))</f>
      </c>
      <c r="H589" s="6">
        <f>IF(COUNTA(A589:F589)=0,"",IF(AND(A589&lt;&gt;"",B589&lt;&gt;"",E589&lt;&gt;""),"OK","ERRO: faltam "&amp;IF(A589="","Conta; ","")&amp;IF(B589="","Oportunidade; ","")&amp;IF(E589="","Novo gerente; ","")))</f>
      </c>
      <c r="I589" s="6">
        <f>IF(COUNTA(A589:F589)=0,"",IF(AND(G589="OK",H589="OK"),"OK","REVISAR"))</f>
      </c>
    </row>
    <row r="590">
      <c r="A590" s="5"/>
      <c r="B590" s="5"/>
      <c r="C590" s="4"/>
      <c r="D590" s="4"/>
      <c r="E590" s="5"/>
      <c r="F590" s="4"/>
      <c r="G590" s="6">
        <f>IF(AND(A590="",B590=""),"",IF(COUNTIFS($A$2:$A$2001,A590,$B$2:$B$2001,B590)&gt;1,"DUPLICADO","OK"))</f>
      </c>
      <c r="H590" s="6">
        <f>IF(COUNTA(A590:F590)=0,"",IF(AND(A590&lt;&gt;"",B590&lt;&gt;"",E590&lt;&gt;""),"OK","ERRO: faltam "&amp;IF(A590="","Conta; ","")&amp;IF(B590="","Oportunidade; ","")&amp;IF(E590="","Novo gerente; ","")))</f>
      </c>
      <c r="I590" s="6">
        <f>IF(COUNTA(A590:F590)=0,"",IF(AND(G590="OK",H590="OK"),"OK","REVISAR"))</f>
      </c>
    </row>
    <row r="591">
      <c r="A591" s="5"/>
      <c r="B591" s="5"/>
      <c r="C591" s="4"/>
      <c r="D591" s="4"/>
      <c r="E591" s="5"/>
      <c r="F591" s="4"/>
      <c r="G591" s="6">
        <f>IF(AND(A591="",B591=""),"",IF(COUNTIFS($A$2:$A$2001,A591,$B$2:$B$2001,B591)&gt;1,"DUPLICADO","OK"))</f>
      </c>
      <c r="H591" s="6">
        <f>IF(COUNTA(A591:F591)=0,"",IF(AND(A591&lt;&gt;"",B591&lt;&gt;"",E591&lt;&gt;""),"OK","ERRO: faltam "&amp;IF(A591="","Conta; ","")&amp;IF(B591="","Oportunidade; ","")&amp;IF(E591="","Novo gerente; ","")))</f>
      </c>
      <c r="I591" s="6">
        <f>IF(COUNTA(A591:F591)=0,"",IF(AND(G591="OK",H591="OK"),"OK","REVISAR"))</f>
      </c>
    </row>
    <row r="592">
      <c r="A592" s="5"/>
      <c r="B592" s="5"/>
      <c r="C592" s="4"/>
      <c r="D592" s="4"/>
      <c r="E592" s="5"/>
      <c r="F592" s="4"/>
      <c r="G592" s="6">
        <f>IF(AND(A592="",B592=""),"",IF(COUNTIFS($A$2:$A$2001,A592,$B$2:$B$2001,B592)&gt;1,"DUPLICADO","OK"))</f>
      </c>
      <c r="H592" s="6">
        <f>IF(COUNTA(A592:F592)=0,"",IF(AND(A592&lt;&gt;"",B592&lt;&gt;"",E592&lt;&gt;""),"OK","ERRO: faltam "&amp;IF(A592="","Conta; ","")&amp;IF(B592="","Oportunidade; ","")&amp;IF(E592="","Novo gerente; ","")))</f>
      </c>
      <c r="I592" s="6">
        <f>IF(COUNTA(A592:F592)=0,"",IF(AND(G592="OK",H592="OK"),"OK","REVISAR"))</f>
      </c>
    </row>
    <row r="593">
      <c r="A593" s="5"/>
      <c r="B593" s="5"/>
      <c r="C593" s="4"/>
      <c r="D593" s="4"/>
      <c r="E593" s="5"/>
      <c r="F593" s="4"/>
      <c r="G593" s="6">
        <f>IF(AND(A593="",B593=""),"",IF(COUNTIFS($A$2:$A$2001,A593,$B$2:$B$2001,B593)&gt;1,"DUPLICADO","OK"))</f>
      </c>
      <c r="H593" s="6">
        <f>IF(COUNTA(A593:F593)=0,"",IF(AND(A593&lt;&gt;"",B593&lt;&gt;"",E593&lt;&gt;""),"OK","ERRO: faltam "&amp;IF(A593="","Conta; ","")&amp;IF(B593="","Oportunidade; ","")&amp;IF(E593="","Novo gerente; ","")))</f>
      </c>
      <c r="I593" s="6">
        <f>IF(COUNTA(A593:F593)=0,"",IF(AND(G593="OK",H593="OK"),"OK","REVISAR"))</f>
      </c>
    </row>
    <row r="594">
      <c r="A594" s="5"/>
      <c r="B594" s="5"/>
      <c r="C594" s="4"/>
      <c r="D594" s="4"/>
      <c r="E594" s="5"/>
      <c r="F594" s="4"/>
      <c r="G594" s="6">
        <f>IF(AND(A594="",B594=""),"",IF(COUNTIFS($A$2:$A$2001,A594,$B$2:$B$2001,B594)&gt;1,"DUPLICADO","OK"))</f>
      </c>
      <c r="H594" s="6">
        <f>IF(COUNTA(A594:F594)=0,"",IF(AND(A594&lt;&gt;"",B594&lt;&gt;"",E594&lt;&gt;""),"OK","ERRO: faltam "&amp;IF(A594="","Conta; ","")&amp;IF(B594="","Oportunidade; ","")&amp;IF(E594="","Novo gerente; ","")))</f>
      </c>
      <c r="I594" s="6">
        <f>IF(COUNTA(A594:F594)=0,"",IF(AND(G594="OK",H594="OK"),"OK","REVISAR"))</f>
      </c>
    </row>
    <row r="595">
      <c r="A595" s="5"/>
      <c r="B595" s="5"/>
      <c r="C595" s="4"/>
      <c r="D595" s="4"/>
      <c r="E595" s="5"/>
      <c r="F595" s="4"/>
      <c r="G595" s="6">
        <f>IF(AND(A595="",B595=""),"",IF(COUNTIFS($A$2:$A$2001,A595,$B$2:$B$2001,B595)&gt;1,"DUPLICADO","OK"))</f>
      </c>
      <c r="H595" s="6">
        <f>IF(COUNTA(A595:F595)=0,"",IF(AND(A595&lt;&gt;"",B595&lt;&gt;"",E595&lt;&gt;""),"OK","ERRO: faltam "&amp;IF(A595="","Conta; ","")&amp;IF(B595="","Oportunidade; ","")&amp;IF(E595="","Novo gerente; ","")))</f>
      </c>
      <c r="I595" s="6">
        <f>IF(COUNTA(A595:F595)=0,"",IF(AND(G595="OK",H595="OK"),"OK","REVISAR"))</f>
      </c>
    </row>
    <row r="596">
      <c r="A596" s="5"/>
      <c r="B596" s="5"/>
      <c r="C596" s="4"/>
      <c r="D596" s="4"/>
      <c r="E596" s="5"/>
      <c r="F596" s="4"/>
      <c r="G596" s="6">
        <f>IF(AND(A596="",B596=""),"",IF(COUNTIFS($A$2:$A$2001,A596,$B$2:$B$2001,B596)&gt;1,"DUPLICADO","OK"))</f>
      </c>
      <c r="H596" s="6">
        <f>IF(COUNTA(A596:F596)=0,"",IF(AND(A596&lt;&gt;"",B596&lt;&gt;"",E596&lt;&gt;""),"OK","ERRO: faltam "&amp;IF(A596="","Conta; ","")&amp;IF(B596="","Oportunidade; ","")&amp;IF(E596="","Novo gerente; ","")))</f>
      </c>
      <c r="I596" s="6">
        <f>IF(COUNTA(A596:F596)=0,"",IF(AND(G596="OK",H596="OK"),"OK","REVISAR"))</f>
      </c>
    </row>
    <row r="597">
      <c r="A597" s="5"/>
      <c r="B597" s="5"/>
      <c r="C597" s="4"/>
      <c r="D597" s="4"/>
      <c r="E597" s="5"/>
      <c r="F597" s="4"/>
      <c r="G597" s="6">
        <f>IF(AND(A597="",B597=""),"",IF(COUNTIFS($A$2:$A$2001,A597,$B$2:$B$2001,B597)&gt;1,"DUPLICADO","OK"))</f>
      </c>
      <c r="H597" s="6">
        <f>IF(COUNTA(A597:F597)=0,"",IF(AND(A597&lt;&gt;"",B597&lt;&gt;"",E597&lt;&gt;""),"OK","ERRO: faltam "&amp;IF(A597="","Conta; ","")&amp;IF(B597="","Oportunidade; ","")&amp;IF(E597="","Novo gerente; ","")))</f>
      </c>
      <c r="I597" s="6">
        <f>IF(COUNTA(A597:F597)=0,"",IF(AND(G597="OK",H597="OK"),"OK","REVISAR"))</f>
      </c>
    </row>
    <row r="598">
      <c r="A598" s="5"/>
      <c r="B598" s="5"/>
      <c r="C598" s="4"/>
      <c r="D598" s="4"/>
      <c r="E598" s="5"/>
      <c r="F598" s="4"/>
      <c r="G598" s="6">
        <f>IF(AND(A598="",B598=""),"",IF(COUNTIFS($A$2:$A$2001,A598,$B$2:$B$2001,B598)&gt;1,"DUPLICADO","OK"))</f>
      </c>
      <c r="H598" s="6">
        <f>IF(COUNTA(A598:F598)=0,"",IF(AND(A598&lt;&gt;"",B598&lt;&gt;"",E598&lt;&gt;""),"OK","ERRO: faltam "&amp;IF(A598="","Conta; ","")&amp;IF(B598="","Oportunidade; ","")&amp;IF(E598="","Novo gerente; ","")))</f>
      </c>
      <c r="I598" s="6">
        <f>IF(COUNTA(A598:F598)=0,"",IF(AND(G598="OK",H598="OK"),"OK","REVISAR"))</f>
      </c>
    </row>
    <row r="599">
      <c r="A599" s="5"/>
      <c r="B599" s="5"/>
      <c r="C599" s="4"/>
      <c r="D599" s="4"/>
      <c r="E599" s="5"/>
      <c r="F599" s="4"/>
      <c r="G599" s="6">
        <f>IF(AND(A599="",B599=""),"",IF(COUNTIFS($A$2:$A$2001,A599,$B$2:$B$2001,B599)&gt;1,"DUPLICADO","OK"))</f>
      </c>
      <c r="H599" s="6">
        <f>IF(COUNTA(A599:F599)=0,"",IF(AND(A599&lt;&gt;"",B599&lt;&gt;"",E599&lt;&gt;""),"OK","ERRO: faltam "&amp;IF(A599="","Conta; ","")&amp;IF(B599="","Oportunidade; ","")&amp;IF(E599="","Novo gerente; ","")))</f>
      </c>
      <c r="I599" s="6">
        <f>IF(COUNTA(A599:F599)=0,"",IF(AND(G599="OK",H599="OK"),"OK","REVISAR"))</f>
      </c>
    </row>
    <row r="600">
      <c r="A600" s="5"/>
      <c r="B600" s="5"/>
      <c r="C600" s="4"/>
      <c r="D600" s="4"/>
      <c r="E600" s="5"/>
      <c r="F600" s="4"/>
      <c r="G600" s="6">
        <f>IF(AND(A600="",B600=""),"",IF(COUNTIFS($A$2:$A$2001,A600,$B$2:$B$2001,B600)&gt;1,"DUPLICADO","OK"))</f>
      </c>
      <c r="H600" s="6">
        <f>IF(COUNTA(A600:F600)=0,"",IF(AND(A600&lt;&gt;"",B600&lt;&gt;"",E600&lt;&gt;""),"OK","ERRO: faltam "&amp;IF(A600="","Conta; ","")&amp;IF(B600="","Oportunidade; ","")&amp;IF(E600="","Novo gerente; ","")))</f>
      </c>
      <c r="I600" s="6">
        <f>IF(COUNTA(A600:F600)=0,"",IF(AND(G600="OK",H600="OK"),"OK","REVISAR"))</f>
      </c>
    </row>
    <row r="601">
      <c r="A601" s="5"/>
      <c r="B601" s="5"/>
      <c r="C601" s="4"/>
      <c r="D601" s="4"/>
      <c r="E601" s="5"/>
      <c r="F601" s="4"/>
      <c r="G601" s="6">
        <f>IF(AND(A601="",B601=""),"",IF(COUNTIFS($A$2:$A$2001,A601,$B$2:$B$2001,B601)&gt;1,"DUPLICADO","OK"))</f>
      </c>
      <c r="H601" s="6">
        <f>IF(COUNTA(A601:F601)=0,"",IF(AND(A601&lt;&gt;"",B601&lt;&gt;"",E601&lt;&gt;""),"OK","ERRO: faltam "&amp;IF(A601="","Conta; ","")&amp;IF(B601="","Oportunidade; ","")&amp;IF(E601="","Novo gerente; ","")))</f>
      </c>
      <c r="I601" s="6">
        <f>IF(COUNTA(A601:F601)=0,"",IF(AND(G601="OK",H601="OK"),"OK","REVISAR"))</f>
      </c>
    </row>
    <row r="602">
      <c r="A602" s="5"/>
      <c r="B602" s="5"/>
      <c r="C602" s="4"/>
      <c r="D602" s="4"/>
      <c r="E602" s="5"/>
      <c r="F602" s="4"/>
      <c r="G602" s="6">
        <f>IF(AND(A602="",B602=""),"",IF(COUNTIFS($A$2:$A$2001,A602,$B$2:$B$2001,B602)&gt;1,"DUPLICADO","OK"))</f>
      </c>
      <c r="H602" s="6">
        <f>IF(COUNTA(A602:F602)=0,"",IF(AND(A602&lt;&gt;"",B602&lt;&gt;"",E602&lt;&gt;""),"OK","ERRO: faltam "&amp;IF(A602="","Conta; ","")&amp;IF(B602="","Oportunidade; ","")&amp;IF(E602="","Novo gerente; ","")))</f>
      </c>
      <c r="I602" s="6">
        <f>IF(COUNTA(A602:F602)=0,"",IF(AND(G602="OK",H602="OK"),"OK","REVISAR"))</f>
      </c>
    </row>
    <row r="603">
      <c r="A603" s="5"/>
      <c r="B603" s="5"/>
      <c r="C603" s="4"/>
      <c r="D603" s="4"/>
      <c r="E603" s="5"/>
      <c r="F603" s="4"/>
      <c r="G603" s="6">
        <f>IF(AND(A603="",B603=""),"",IF(COUNTIFS($A$2:$A$2001,A603,$B$2:$B$2001,B603)&gt;1,"DUPLICADO","OK"))</f>
      </c>
      <c r="H603" s="6">
        <f>IF(COUNTA(A603:F603)=0,"",IF(AND(A603&lt;&gt;"",B603&lt;&gt;"",E603&lt;&gt;""),"OK","ERRO: faltam "&amp;IF(A603="","Conta; ","")&amp;IF(B603="","Oportunidade; ","")&amp;IF(E603="","Novo gerente; ","")))</f>
      </c>
      <c r="I603" s="6">
        <f>IF(COUNTA(A603:F603)=0,"",IF(AND(G603="OK",H603="OK"),"OK","REVISAR"))</f>
      </c>
    </row>
    <row r="604">
      <c r="A604" s="5"/>
      <c r="B604" s="5"/>
      <c r="C604" s="4"/>
      <c r="D604" s="4"/>
      <c r="E604" s="5"/>
      <c r="F604" s="4"/>
      <c r="G604" s="6">
        <f>IF(AND(A604="",B604=""),"",IF(COUNTIFS($A$2:$A$2001,A604,$B$2:$B$2001,B604)&gt;1,"DUPLICADO","OK"))</f>
      </c>
      <c r="H604" s="6">
        <f>IF(COUNTA(A604:F604)=0,"",IF(AND(A604&lt;&gt;"",B604&lt;&gt;"",E604&lt;&gt;""),"OK","ERRO: faltam "&amp;IF(A604="","Conta; ","")&amp;IF(B604="","Oportunidade; ","")&amp;IF(E604="","Novo gerente; ","")))</f>
      </c>
      <c r="I604" s="6">
        <f>IF(COUNTA(A604:F604)=0,"",IF(AND(G604="OK",H604="OK"),"OK","REVISAR"))</f>
      </c>
    </row>
    <row r="605">
      <c r="A605" s="5"/>
      <c r="B605" s="5"/>
      <c r="C605" s="4"/>
      <c r="D605" s="4"/>
      <c r="E605" s="5"/>
      <c r="F605" s="4"/>
      <c r="G605" s="6">
        <f>IF(AND(A605="",B605=""),"",IF(COUNTIFS($A$2:$A$2001,A605,$B$2:$B$2001,B605)&gt;1,"DUPLICADO","OK"))</f>
      </c>
      <c r="H605" s="6">
        <f>IF(COUNTA(A605:F605)=0,"",IF(AND(A605&lt;&gt;"",B605&lt;&gt;"",E605&lt;&gt;""),"OK","ERRO: faltam "&amp;IF(A605="","Conta; ","")&amp;IF(B605="","Oportunidade; ","")&amp;IF(E605="","Novo gerente; ","")))</f>
      </c>
      <c r="I605" s="6">
        <f>IF(COUNTA(A605:F605)=0,"",IF(AND(G605="OK",H605="OK"),"OK","REVISAR"))</f>
      </c>
    </row>
    <row r="606">
      <c r="A606" s="5"/>
      <c r="B606" s="5"/>
      <c r="C606" s="4"/>
      <c r="D606" s="4"/>
      <c r="E606" s="5"/>
      <c r="F606" s="4"/>
      <c r="G606" s="6">
        <f>IF(AND(A606="",B606=""),"",IF(COUNTIFS($A$2:$A$2001,A606,$B$2:$B$2001,B606)&gt;1,"DUPLICADO","OK"))</f>
      </c>
      <c r="H606" s="6">
        <f>IF(COUNTA(A606:F606)=0,"",IF(AND(A606&lt;&gt;"",B606&lt;&gt;"",E606&lt;&gt;""),"OK","ERRO: faltam "&amp;IF(A606="","Conta; ","")&amp;IF(B606="","Oportunidade; ","")&amp;IF(E606="","Novo gerente; ","")))</f>
      </c>
      <c r="I606" s="6">
        <f>IF(COUNTA(A606:F606)=0,"",IF(AND(G606="OK",H606="OK"),"OK","REVISAR"))</f>
      </c>
    </row>
    <row r="607">
      <c r="A607" s="5"/>
      <c r="B607" s="5"/>
      <c r="C607" s="4"/>
      <c r="D607" s="4"/>
      <c r="E607" s="5"/>
      <c r="F607" s="4"/>
      <c r="G607" s="6">
        <f>IF(AND(A607="",B607=""),"",IF(COUNTIFS($A$2:$A$2001,A607,$B$2:$B$2001,B607)&gt;1,"DUPLICADO","OK"))</f>
      </c>
      <c r="H607" s="6">
        <f>IF(COUNTA(A607:F607)=0,"",IF(AND(A607&lt;&gt;"",B607&lt;&gt;"",E607&lt;&gt;""),"OK","ERRO: faltam "&amp;IF(A607="","Conta; ","")&amp;IF(B607="","Oportunidade; ","")&amp;IF(E607="","Novo gerente; ","")))</f>
      </c>
      <c r="I607" s="6">
        <f>IF(COUNTA(A607:F607)=0,"",IF(AND(G607="OK",H607="OK"),"OK","REVISAR"))</f>
      </c>
    </row>
    <row r="608">
      <c r="A608" s="5"/>
      <c r="B608" s="5"/>
      <c r="C608" s="4"/>
      <c r="D608" s="4"/>
      <c r="E608" s="5"/>
      <c r="F608" s="4"/>
      <c r="G608" s="6">
        <f>IF(AND(A608="",B608=""),"",IF(COUNTIFS($A$2:$A$2001,A608,$B$2:$B$2001,B608)&gt;1,"DUPLICADO","OK"))</f>
      </c>
      <c r="H608" s="6">
        <f>IF(COUNTA(A608:F608)=0,"",IF(AND(A608&lt;&gt;"",B608&lt;&gt;"",E608&lt;&gt;""),"OK","ERRO: faltam "&amp;IF(A608="","Conta; ","")&amp;IF(B608="","Oportunidade; ","")&amp;IF(E608="","Novo gerente; ","")))</f>
      </c>
      <c r="I608" s="6">
        <f>IF(COUNTA(A608:F608)=0,"",IF(AND(G608="OK",H608="OK"),"OK","REVISAR"))</f>
      </c>
    </row>
    <row r="609">
      <c r="A609" s="5"/>
      <c r="B609" s="5"/>
      <c r="C609" s="4"/>
      <c r="D609" s="4"/>
      <c r="E609" s="5"/>
      <c r="F609" s="4"/>
      <c r="G609" s="6">
        <f>IF(AND(A609="",B609=""),"",IF(COUNTIFS($A$2:$A$2001,A609,$B$2:$B$2001,B609)&gt;1,"DUPLICADO","OK"))</f>
      </c>
      <c r="H609" s="6">
        <f>IF(COUNTA(A609:F609)=0,"",IF(AND(A609&lt;&gt;"",B609&lt;&gt;"",E609&lt;&gt;""),"OK","ERRO: faltam "&amp;IF(A609="","Conta; ","")&amp;IF(B609="","Oportunidade; ","")&amp;IF(E609="","Novo gerente; ","")))</f>
      </c>
      <c r="I609" s="6">
        <f>IF(COUNTA(A609:F609)=0,"",IF(AND(G609="OK",H609="OK"),"OK","REVISAR"))</f>
      </c>
    </row>
    <row r="610">
      <c r="A610" s="5"/>
      <c r="B610" s="5"/>
      <c r="C610" s="4"/>
      <c r="D610" s="4"/>
      <c r="E610" s="5"/>
      <c r="F610" s="4"/>
      <c r="G610" s="6">
        <f>IF(AND(A610="",B610=""),"",IF(COUNTIFS($A$2:$A$2001,A610,$B$2:$B$2001,B610)&gt;1,"DUPLICADO","OK"))</f>
      </c>
      <c r="H610" s="6">
        <f>IF(COUNTA(A610:F610)=0,"",IF(AND(A610&lt;&gt;"",B610&lt;&gt;"",E610&lt;&gt;""),"OK","ERRO: faltam "&amp;IF(A610="","Conta; ","")&amp;IF(B610="","Oportunidade; ","")&amp;IF(E610="","Novo gerente; ","")))</f>
      </c>
      <c r="I610" s="6">
        <f>IF(COUNTA(A610:F610)=0,"",IF(AND(G610="OK",H610="OK"),"OK","REVISAR"))</f>
      </c>
    </row>
    <row r="611">
      <c r="A611" s="5"/>
      <c r="B611" s="5"/>
      <c r="C611" s="4"/>
      <c r="D611" s="4"/>
      <c r="E611" s="5"/>
      <c r="F611" s="4"/>
      <c r="G611" s="6">
        <f>IF(AND(A611="",B611=""),"",IF(COUNTIFS($A$2:$A$2001,A611,$B$2:$B$2001,B611)&gt;1,"DUPLICADO","OK"))</f>
      </c>
      <c r="H611" s="6">
        <f>IF(COUNTA(A611:F611)=0,"",IF(AND(A611&lt;&gt;"",B611&lt;&gt;"",E611&lt;&gt;""),"OK","ERRO: faltam "&amp;IF(A611="","Conta; ","")&amp;IF(B611="","Oportunidade; ","")&amp;IF(E611="","Novo gerente; ","")))</f>
      </c>
      <c r="I611" s="6">
        <f>IF(COUNTA(A611:F611)=0,"",IF(AND(G611="OK",H611="OK"),"OK","REVISAR"))</f>
      </c>
    </row>
    <row r="612">
      <c r="A612" s="5"/>
      <c r="B612" s="5"/>
      <c r="C612" s="4"/>
      <c r="D612" s="4"/>
      <c r="E612" s="5"/>
      <c r="F612" s="4"/>
      <c r="G612" s="6">
        <f>IF(AND(A612="",B612=""),"",IF(COUNTIFS($A$2:$A$2001,A612,$B$2:$B$2001,B612)&gt;1,"DUPLICADO","OK"))</f>
      </c>
      <c r="H612" s="6">
        <f>IF(COUNTA(A612:F612)=0,"",IF(AND(A612&lt;&gt;"",B612&lt;&gt;"",E612&lt;&gt;""),"OK","ERRO: faltam "&amp;IF(A612="","Conta; ","")&amp;IF(B612="","Oportunidade; ","")&amp;IF(E612="","Novo gerente; ","")))</f>
      </c>
      <c r="I612" s="6">
        <f>IF(COUNTA(A612:F612)=0,"",IF(AND(G612="OK",H612="OK"),"OK","REVISAR"))</f>
      </c>
    </row>
    <row r="613">
      <c r="A613" s="5"/>
      <c r="B613" s="5"/>
      <c r="C613" s="4"/>
      <c r="D613" s="4"/>
      <c r="E613" s="5"/>
      <c r="F613" s="4"/>
      <c r="G613" s="6">
        <f>IF(AND(A613="",B613=""),"",IF(COUNTIFS($A$2:$A$2001,A613,$B$2:$B$2001,B613)&gt;1,"DUPLICADO","OK"))</f>
      </c>
      <c r="H613" s="6">
        <f>IF(COUNTA(A613:F613)=0,"",IF(AND(A613&lt;&gt;"",B613&lt;&gt;"",E613&lt;&gt;""),"OK","ERRO: faltam "&amp;IF(A613="","Conta; ","")&amp;IF(B613="","Oportunidade; ","")&amp;IF(E613="","Novo gerente; ","")))</f>
      </c>
      <c r="I613" s="6">
        <f>IF(COUNTA(A613:F613)=0,"",IF(AND(G613="OK",H613="OK"),"OK","REVISAR"))</f>
      </c>
    </row>
    <row r="614">
      <c r="A614" s="5"/>
      <c r="B614" s="5"/>
      <c r="C614" s="4"/>
      <c r="D614" s="4"/>
      <c r="E614" s="5"/>
      <c r="F614" s="4"/>
      <c r="G614" s="6">
        <f>IF(AND(A614="",B614=""),"",IF(COUNTIFS($A$2:$A$2001,A614,$B$2:$B$2001,B614)&gt;1,"DUPLICADO","OK"))</f>
      </c>
      <c r="H614" s="6">
        <f>IF(COUNTA(A614:F614)=0,"",IF(AND(A614&lt;&gt;"",B614&lt;&gt;"",E614&lt;&gt;""),"OK","ERRO: faltam "&amp;IF(A614="","Conta; ","")&amp;IF(B614="","Oportunidade; ","")&amp;IF(E614="","Novo gerente; ","")))</f>
      </c>
      <c r="I614" s="6">
        <f>IF(COUNTA(A614:F614)=0,"",IF(AND(G614="OK",H614="OK"),"OK","REVISAR"))</f>
      </c>
    </row>
    <row r="615">
      <c r="A615" s="5"/>
      <c r="B615" s="5"/>
      <c r="C615" s="4"/>
      <c r="D615" s="4"/>
      <c r="E615" s="5"/>
      <c r="F615" s="4"/>
      <c r="G615" s="6">
        <f>IF(AND(A615="",B615=""),"",IF(COUNTIFS($A$2:$A$2001,A615,$B$2:$B$2001,B615)&gt;1,"DUPLICADO","OK"))</f>
      </c>
      <c r="H615" s="6">
        <f>IF(COUNTA(A615:F615)=0,"",IF(AND(A615&lt;&gt;"",B615&lt;&gt;"",E615&lt;&gt;""),"OK","ERRO: faltam "&amp;IF(A615="","Conta; ","")&amp;IF(B615="","Oportunidade; ","")&amp;IF(E615="","Novo gerente; ","")))</f>
      </c>
      <c r="I615" s="6">
        <f>IF(COUNTA(A615:F615)=0,"",IF(AND(G615="OK",H615="OK"),"OK","REVISAR"))</f>
      </c>
    </row>
    <row r="616">
      <c r="A616" s="5"/>
      <c r="B616" s="5"/>
      <c r="C616" s="4"/>
      <c r="D616" s="4"/>
      <c r="E616" s="5"/>
      <c r="F616" s="4"/>
      <c r="G616" s="6">
        <f>IF(AND(A616="",B616=""),"",IF(COUNTIFS($A$2:$A$2001,A616,$B$2:$B$2001,B616)&gt;1,"DUPLICADO","OK"))</f>
      </c>
      <c r="H616" s="6">
        <f>IF(COUNTA(A616:F616)=0,"",IF(AND(A616&lt;&gt;"",B616&lt;&gt;"",E616&lt;&gt;""),"OK","ERRO: faltam "&amp;IF(A616="","Conta; ","")&amp;IF(B616="","Oportunidade; ","")&amp;IF(E616="","Novo gerente; ","")))</f>
      </c>
      <c r="I616" s="6">
        <f>IF(COUNTA(A616:F616)=0,"",IF(AND(G616="OK",H616="OK"),"OK","REVISAR"))</f>
      </c>
    </row>
    <row r="617">
      <c r="A617" s="5"/>
      <c r="B617" s="5"/>
      <c r="C617" s="4"/>
      <c r="D617" s="4"/>
      <c r="E617" s="5"/>
      <c r="F617" s="4"/>
      <c r="G617" s="6">
        <f>IF(AND(A617="",B617=""),"",IF(COUNTIFS($A$2:$A$2001,A617,$B$2:$B$2001,B617)&gt;1,"DUPLICADO","OK"))</f>
      </c>
      <c r="H617" s="6">
        <f>IF(COUNTA(A617:F617)=0,"",IF(AND(A617&lt;&gt;"",B617&lt;&gt;"",E617&lt;&gt;""),"OK","ERRO: faltam "&amp;IF(A617="","Conta; ","")&amp;IF(B617="","Oportunidade; ","")&amp;IF(E617="","Novo gerente; ","")))</f>
      </c>
      <c r="I617" s="6">
        <f>IF(COUNTA(A617:F617)=0,"",IF(AND(G617="OK",H617="OK"),"OK","REVISAR"))</f>
      </c>
    </row>
    <row r="618">
      <c r="A618" s="5"/>
      <c r="B618" s="5"/>
      <c r="C618" s="4"/>
      <c r="D618" s="4"/>
      <c r="E618" s="5"/>
      <c r="F618" s="4"/>
      <c r="G618" s="6">
        <f>IF(AND(A618="",B618=""),"",IF(COUNTIFS($A$2:$A$2001,A618,$B$2:$B$2001,B618)&gt;1,"DUPLICADO","OK"))</f>
      </c>
      <c r="H618" s="6">
        <f>IF(COUNTA(A618:F618)=0,"",IF(AND(A618&lt;&gt;"",B618&lt;&gt;"",E618&lt;&gt;""),"OK","ERRO: faltam "&amp;IF(A618="","Conta; ","")&amp;IF(B618="","Oportunidade; ","")&amp;IF(E618="","Novo gerente; ","")))</f>
      </c>
      <c r="I618" s="6">
        <f>IF(COUNTA(A618:F618)=0,"",IF(AND(G618="OK",H618="OK"),"OK","REVISAR"))</f>
      </c>
    </row>
    <row r="619">
      <c r="A619" s="5"/>
      <c r="B619" s="5"/>
      <c r="C619" s="4"/>
      <c r="D619" s="4"/>
      <c r="E619" s="5"/>
      <c r="F619" s="4"/>
      <c r="G619" s="6">
        <f>IF(AND(A619="",B619=""),"",IF(COUNTIFS($A$2:$A$2001,A619,$B$2:$B$2001,B619)&gt;1,"DUPLICADO","OK"))</f>
      </c>
      <c r="H619" s="6">
        <f>IF(COUNTA(A619:F619)=0,"",IF(AND(A619&lt;&gt;"",B619&lt;&gt;"",E619&lt;&gt;""),"OK","ERRO: faltam "&amp;IF(A619="","Conta; ","")&amp;IF(B619="","Oportunidade; ","")&amp;IF(E619="","Novo gerente; ","")))</f>
      </c>
      <c r="I619" s="6">
        <f>IF(COUNTA(A619:F619)=0,"",IF(AND(G619="OK",H619="OK"),"OK","REVISAR"))</f>
      </c>
    </row>
    <row r="620">
      <c r="A620" s="5"/>
      <c r="B620" s="5"/>
      <c r="C620" s="4"/>
      <c r="D620" s="4"/>
      <c r="E620" s="5"/>
      <c r="F620" s="4"/>
      <c r="G620" s="6">
        <f>IF(AND(A620="",B620=""),"",IF(COUNTIFS($A$2:$A$2001,A620,$B$2:$B$2001,B620)&gt;1,"DUPLICADO","OK"))</f>
      </c>
      <c r="H620" s="6">
        <f>IF(COUNTA(A620:F620)=0,"",IF(AND(A620&lt;&gt;"",B620&lt;&gt;"",E620&lt;&gt;""),"OK","ERRO: faltam "&amp;IF(A620="","Conta; ","")&amp;IF(B620="","Oportunidade; ","")&amp;IF(E620="","Novo gerente; ","")))</f>
      </c>
      <c r="I620" s="6">
        <f>IF(COUNTA(A620:F620)=0,"",IF(AND(G620="OK",H620="OK"),"OK","REVISAR"))</f>
      </c>
    </row>
    <row r="621">
      <c r="A621" s="5"/>
      <c r="B621" s="5"/>
      <c r="C621" s="4"/>
      <c r="D621" s="4"/>
      <c r="E621" s="5"/>
      <c r="F621" s="4"/>
      <c r="G621" s="6">
        <f>IF(AND(A621="",B621=""),"",IF(COUNTIFS($A$2:$A$2001,A621,$B$2:$B$2001,B621)&gt;1,"DUPLICADO","OK"))</f>
      </c>
      <c r="H621" s="6">
        <f>IF(COUNTA(A621:F621)=0,"",IF(AND(A621&lt;&gt;"",B621&lt;&gt;"",E621&lt;&gt;""),"OK","ERRO: faltam "&amp;IF(A621="","Conta; ","")&amp;IF(B621="","Oportunidade; ","")&amp;IF(E621="","Novo gerente; ","")))</f>
      </c>
      <c r="I621" s="6">
        <f>IF(COUNTA(A621:F621)=0,"",IF(AND(G621="OK",H621="OK"),"OK","REVISAR"))</f>
      </c>
    </row>
    <row r="622">
      <c r="A622" s="5"/>
      <c r="B622" s="5"/>
      <c r="C622" s="4"/>
      <c r="D622" s="4"/>
      <c r="E622" s="5"/>
      <c r="F622" s="4"/>
      <c r="G622" s="6">
        <f>IF(AND(A622="",B622=""),"",IF(COUNTIFS($A$2:$A$2001,A622,$B$2:$B$2001,B622)&gt;1,"DUPLICADO","OK"))</f>
      </c>
      <c r="H622" s="6">
        <f>IF(COUNTA(A622:F622)=0,"",IF(AND(A622&lt;&gt;"",B622&lt;&gt;"",E622&lt;&gt;""),"OK","ERRO: faltam "&amp;IF(A622="","Conta; ","")&amp;IF(B622="","Oportunidade; ","")&amp;IF(E622="","Novo gerente; ","")))</f>
      </c>
      <c r="I622" s="6">
        <f>IF(COUNTA(A622:F622)=0,"",IF(AND(G622="OK",H622="OK"),"OK","REVISAR"))</f>
      </c>
    </row>
    <row r="623">
      <c r="A623" s="5"/>
      <c r="B623" s="5"/>
      <c r="C623" s="4"/>
      <c r="D623" s="4"/>
      <c r="E623" s="5"/>
      <c r="F623" s="4"/>
      <c r="G623" s="6">
        <f>IF(AND(A623="",B623=""),"",IF(COUNTIFS($A$2:$A$2001,A623,$B$2:$B$2001,B623)&gt;1,"DUPLICADO","OK"))</f>
      </c>
      <c r="H623" s="6">
        <f>IF(COUNTA(A623:F623)=0,"",IF(AND(A623&lt;&gt;"",B623&lt;&gt;"",E623&lt;&gt;""),"OK","ERRO: faltam "&amp;IF(A623="","Conta; ","")&amp;IF(B623="","Oportunidade; ","")&amp;IF(E623="","Novo gerente; ","")))</f>
      </c>
      <c r="I623" s="6">
        <f>IF(COUNTA(A623:F623)=0,"",IF(AND(G623="OK",H623="OK"),"OK","REVISAR"))</f>
      </c>
    </row>
    <row r="624">
      <c r="A624" s="5"/>
      <c r="B624" s="5"/>
      <c r="C624" s="4"/>
      <c r="D624" s="4"/>
      <c r="E624" s="5"/>
      <c r="F624" s="4"/>
      <c r="G624" s="6">
        <f>IF(AND(A624="",B624=""),"",IF(COUNTIFS($A$2:$A$2001,A624,$B$2:$B$2001,B624)&gt;1,"DUPLICADO","OK"))</f>
      </c>
      <c r="H624" s="6">
        <f>IF(COUNTA(A624:F624)=0,"",IF(AND(A624&lt;&gt;"",B624&lt;&gt;"",E624&lt;&gt;""),"OK","ERRO: faltam "&amp;IF(A624="","Conta; ","")&amp;IF(B624="","Oportunidade; ","")&amp;IF(E624="","Novo gerente; ","")))</f>
      </c>
      <c r="I624" s="6">
        <f>IF(COUNTA(A624:F624)=0,"",IF(AND(G624="OK",H624="OK"),"OK","REVISAR"))</f>
      </c>
    </row>
    <row r="625">
      <c r="A625" s="5"/>
      <c r="B625" s="5"/>
      <c r="C625" s="4"/>
      <c r="D625" s="4"/>
      <c r="E625" s="5"/>
      <c r="F625" s="4"/>
      <c r="G625" s="6">
        <f>IF(AND(A625="",B625=""),"",IF(COUNTIFS($A$2:$A$2001,A625,$B$2:$B$2001,B625)&gt;1,"DUPLICADO","OK"))</f>
      </c>
      <c r="H625" s="6">
        <f>IF(COUNTA(A625:F625)=0,"",IF(AND(A625&lt;&gt;"",B625&lt;&gt;"",E625&lt;&gt;""),"OK","ERRO: faltam "&amp;IF(A625="","Conta; ","")&amp;IF(B625="","Oportunidade; ","")&amp;IF(E625="","Novo gerente; ","")))</f>
      </c>
      <c r="I625" s="6">
        <f>IF(COUNTA(A625:F625)=0,"",IF(AND(G625="OK",H625="OK"),"OK","REVISAR"))</f>
      </c>
    </row>
    <row r="626">
      <c r="A626" s="5"/>
      <c r="B626" s="5"/>
      <c r="C626" s="4"/>
      <c r="D626" s="4"/>
      <c r="E626" s="5"/>
      <c r="F626" s="4"/>
      <c r="G626" s="6">
        <f>IF(AND(A626="",B626=""),"",IF(COUNTIFS($A$2:$A$2001,A626,$B$2:$B$2001,B626)&gt;1,"DUPLICADO","OK"))</f>
      </c>
      <c r="H626" s="6">
        <f>IF(COUNTA(A626:F626)=0,"",IF(AND(A626&lt;&gt;"",B626&lt;&gt;"",E626&lt;&gt;""),"OK","ERRO: faltam "&amp;IF(A626="","Conta; ","")&amp;IF(B626="","Oportunidade; ","")&amp;IF(E626="","Novo gerente; ","")))</f>
      </c>
      <c r="I626" s="6">
        <f>IF(COUNTA(A626:F626)=0,"",IF(AND(G626="OK",H626="OK"),"OK","REVISAR"))</f>
      </c>
    </row>
    <row r="627">
      <c r="A627" s="5"/>
      <c r="B627" s="5"/>
      <c r="C627" s="4"/>
      <c r="D627" s="4"/>
      <c r="E627" s="5"/>
      <c r="F627" s="4"/>
      <c r="G627" s="6">
        <f>IF(AND(A627="",B627=""),"",IF(COUNTIFS($A$2:$A$2001,A627,$B$2:$B$2001,B627)&gt;1,"DUPLICADO","OK"))</f>
      </c>
      <c r="H627" s="6">
        <f>IF(COUNTA(A627:F627)=0,"",IF(AND(A627&lt;&gt;"",B627&lt;&gt;"",E627&lt;&gt;""),"OK","ERRO: faltam "&amp;IF(A627="","Conta; ","")&amp;IF(B627="","Oportunidade; ","")&amp;IF(E627="","Novo gerente; ","")))</f>
      </c>
      <c r="I627" s="6">
        <f>IF(COUNTA(A627:F627)=0,"",IF(AND(G627="OK",H627="OK"),"OK","REVISAR"))</f>
      </c>
    </row>
    <row r="628">
      <c r="A628" s="5"/>
      <c r="B628" s="5"/>
      <c r="C628" s="4"/>
      <c r="D628" s="4"/>
      <c r="E628" s="5"/>
      <c r="F628" s="4"/>
      <c r="G628" s="6">
        <f>IF(AND(A628="",B628=""),"",IF(COUNTIFS($A$2:$A$2001,A628,$B$2:$B$2001,B628)&gt;1,"DUPLICADO","OK"))</f>
      </c>
      <c r="H628" s="6">
        <f>IF(COUNTA(A628:F628)=0,"",IF(AND(A628&lt;&gt;"",B628&lt;&gt;"",E628&lt;&gt;""),"OK","ERRO: faltam "&amp;IF(A628="","Conta; ","")&amp;IF(B628="","Oportunidade; ","")&amp;IF(E628="","Novo gerente; ","")))</f>
      </c>
      <c r="I628" s="6">
        <f>IF(COUNTA(A628:F628)=0,"",IF(AND(G628="OK",H628="OK"),"OK","REVISAR"))</f>
      </c>
    </row>
    <row r="629">
      <c r="A629" s="5"/>
      <c r="B629" s="5"/>
      <c r="C629" s="4"/>
      <c r="D629" s="4"/>
      <c r="E629" s="5"/>
      <c r="F629" s="4"/>
      <c r="G629" s="6">
        <f>IF(AND(A629="",B629=""),"",IF(COUNTIFS($A$2:$A$2001,A629,$B$2:$B$2001,B629)&gt;1,"DUPLICADO","OK"))</f>
      </c>
      <c r="H629" s="6">
        <f>IF(COUNTA(A629:F629)=0,"",IF(AND(A629&lt;&gt;"",B629&lt;&gt;"",E629&lt;&gt;""),"OK","ERRO: faltam "&amp;IF(A629="","Conta; ","")&amp;IF(B629="","Oportunidade; ","")&amp;IF(E629="","Novo gerente; ","")))</f>
      </c>
      <c r="I629" s="6">
        <f>IF(COUNTA(A629:F629)=0,"",IF(AND(G629="OK",H629="OK"),"OK","REVISAR"))</f>
      </c>
    </row>
    <row r="630">
      <c r="A630" s="5"/>
      <c r="B630" s="5"/>
      <c r="C630" s="4"/>
      <c r="D630" s="4"/>
      <c r="E630" s="5"/>
      <c r="F630" s="4"/>
      <c r="G630" s="6">
        <f>IF(AND(A630="",B630=""),"",IF(COUNTIFS($A$2:$A$2001,A630,$B$2:$B$2001,B630)&gt;1,"DUPLICADO","OK"))</f>
      </c>
      <c r="H630" s="6">
        <f>IF(COUNTA(A630:F630)=0,"",IF(AND(A630&lt;&gt;"",B630&lt;&gt;"",E630&lt;&gt;""),"OK","ERRO: faltam "&amp;IF(A630="","Conta; ","")&amp;IF(B630="","Oportunidade; ","")&amp;IF(E630="","Novo gerente; ","")))</f>
      </c>
      <c r="I630" s="6">
        <f>IF(COUNTA(A630:F630)=0,"",IF(AND(G630="OK",H630="OK"),"OK","REVISAR"))</f>
      </c>
    </row>
    <row r="631">
      <c r="A631" s="5"/>
      <c r="B631" s="5"/>
      <c r="C631" s="4"/>
      <c r="D631" s="4"/>
      <c r="E631" s="5"/>
      <c r="F631" s="4"/>
      <c r="G631" s="6">
        <f>IF(AND(A631="",B631=""),"",IF(COUNTIFS($A$2:$A$2001,A631,$B$2:$B$2001,B631)&gt;1,"DUPLICADO","OK"))</f>
      </c>
      <c r="H631" s="6">
        <f>IF(COUNTA(A631:F631)=0,"",IF(AND(A631&lt;&gt;"",B631&lt;&gt;"",E631&lt;&gt;""),"OK","ERRO: faltam "&amp;IF(A631="","Conta; ","")&amp;IF(B631="","Oportunidade; ","")&amp;IF(E631="","Novo gerente; ","")))</f>
      </c>
      <c r="I631" s="6">
        <f>IF(COUNTA(A631:F631)=0,"",IF(AND(G631="OK",H631="OK"),"OK","REVISAR"))</f>
      </c>
    </row>
    <row r="632">
      <c r="A632" s="5"/>
      <c r="B632" s="5"/>
      <c r="C632" s="4"/>
      <c r="D632" s="4"/>
      <c r="E632" s="5"/>
      <c r="F632" s="4"/>
      <c r="G632" s="6">
        <f>IF(AND(A632="",B632=""),"",IF(COUNTIFS($A$2:$A$2001,A632,$B$2:$B$2001,B632)&gt;1,"DUPLICADO","OK"))</f>
      </c>
      <c r="H632" s="6">
        <f>IF(COUNTA(A632:F632)=0,"",IF(AND(A632&lt;&gt;"",B632&lt;&gt;"",E632&lt;&gt;""),"OK","ERRO: faltam "&amp;IF(A632="","Conta; ","")&amp;IF(B632="","Oportunidade; ","")&amp;IF(E632="","Novo gerente; ","")))</f>
      </c>
      <c r="I632" s="6">
        <f>IF(COUNTA(A632:F632)=0,"",IF(AND(G632="OK",H632="OK"),"OK","REVISAR"))</f>
      </c>
    </row>
    <row r="633">
      <c r="A633" s="5"/>
      <c r="B633" s="5"/>
      <c r="C633" s="4"/>
      <c r="D633" s="4"/>
      <c r="E633" s="5"/>
      <c r="F633" s="4"/>
      <c r="G633" s="6">
        <f>IF(AND(A633="",B633=""),"",IF(COUNTIFS($A$2:$A$2001,A633,$B$2:$B$2001,B633)&gt;1,"DUPLICADO","OK"))</f>
      </c>
      <c r="H633" s="6">
        <f>IF(COUNTA(A633:F633)=0,"",IF(AND(A633&lt;&gt;"",B633&lt;&gt;"",E633&lt;&gt;""),"OK","ERRO: faltam "&amp;IF(A633="","Conta; ","")&amp;IF(B633="","Oportunidade; ","")&amp;IF(E633="","Novo gerente; ","")))</f>
      </c>
      <c r="I633" s="6">
        <f>IF(COUNTA(A633:F633)=0,"",IF(AND(G633="OK",H633="OK"),"OK","REVISAR"))</f>
      </c>
    </row>
    <row r="634">
      <c r="A634" s="5"/>
      <c r="B634" s="5"/>
      <c r="C634" s="4"/>
      <c r="D634" s="4"/>
      <c r="E634" s="5"/>
      <c r="F634" s="4"/>
      <c r="G634" s="6">
        <f>IF(AND(A634="",B634=""),"",IF(COUNTIFS($A$2:$A$2001,A634,$B$2:$B$2001,B634)&gt;1,"DUPLICADO","OK"))</f>
      </c>
      <c r="H634" s="6">
        <f>IF(COUNTA(A634:F634)=0,"",IF(AND(A634&lt;&gt;"",B634&lt;&gt;"",E634&lt;&gt;""),"OK","ERRO: faltam "&amp;IF(A634="","Conta; ","")&amp;IF(B634="","Oportunidade; ","")&amp;IF(E634="","Novo gerente; ","")))</f>
      </c>
      <c r="I634" s="6">
        <f>IF(COUNTA(A634:F634)=0,"",IF(AND(G634="OK",H634="OK"),"OK","REVISAR"))</f>
      </c>
    </row>
    <row r="635">
      <c r="A635" s="5"/>
      <c r="B635" s="5"/>
      <c r="C635" s="4"/>
      <c r="D635" s="4"/>
      <c r="E635" s="5"/>
      <c r="F635" s="4"/>
      <c r="G635" s="6">
        <f>IF(AND(A635="",B635=""),"",IF(COUNTIFS($A$2:$A$2001,A635,$B$2:$B$2001,B635)&gt;1,"DUPLICADO","OK"))</f>
      </c>
      <c r="H635" s="6">
        <f>IF(COUNTA(A635:F635)=0,"",IF(AND(A635&lt;&gt;"",B635&lt;&gt;"",E635&lt;&gt;""),"OK","ERRO: faltam "&amp;IF(A635="","Conta; ","")&amp;IF(B635="","Oportunidade; ","")&amp;IF(E635="","Novo gerente; ","")))</f>
      </c>
      <c r="I635" s="6">
        <f>IF(COUNTA(A635:F635)=0,"",IF(AND(G635="OK",H635="OK"),"OK","REVISAR"))</f>
      </c>
    </row>
    <row r="636">
      <c r="A636" s="5"/>
      <c r="B636" s="5"/>
      <c r="C636" s="4"/>
      <c r="D636" s="4"/>
      <c r="E636" s="5"/>
      <c r="F636" s="4"/>
      <c r="G636" s="6">
        <f>IF(AND(A636="",B636=""),"",IF(COUNTIFS($A$2:$A$2001,A636,$B$2:$B$2001,B636)&gt;1,"DUPLICADO","OK"))</f>
      </c>
      <c r="H636" s="6">
        <f>IF(COUNTA(A636:F636)=0,"",IF(AND(A636&lt;&gt;"",B636&lt;&gt;"",E636&lt;&gt;""),"OK","ERRO: faltam "&amp;IF(A636="","Conta; ","")&amp;IF(B636="","Oportunidade; ","")&amp;IF(E636="","Novo gerente; ","")))</f>
      </c>
      <c r="I636" s="6">
        <f>IF(COUNTA(A636:F636)=0,"",IF(AND(G636="OK",H636="OK"),"OK","REVISAR"))</f>
      </c>
    </row>
    <row r="637">
      <c r="A637" s="5"/>
      <c r="B637" s="5"/>
      <c r="C637" s="4"/>
      <c r="D637" s="4"/>
      <c r="E637" s="5"/>
      <c r="F637" s="4"/>
      <c r="G637" s="6">
        <f>IF(AND(A637="",B637=""),"",IF(COUNTIFS($A$2:$A$2001,A637,$B$2:$B$2001,B637)&gt;1,"DUPLICADO","OK"))</f>
      </c>
      <c r="H637" s="6">
        <f>IF(COUNTA(A637:F637)=0,"",IF(AND(A637&lt;&gt;"",B637&lt;&gt;"",E637&lt;&gt;""),"OK","ERRO: faltam "&amp;IF(A637="","Conta; ","")&amp;IF(B637="","Oportunidade; ","")&amp;IF(E637="","Novo gerente; ","")))</f>
      </c>
      <c r="I637" s="6">
        <f>IF(COUNTA(A637:F637)=0,"",IF(AND(G637="OK",H637="OK"),"OK","REVISAR"))</f>
      </c>
    </row>
    <row r="638">
      <c r="A638" s="5"/>
      <c r="B638" s="5"/>
      <c r="C638" s="4"/>
      <c r="D638" s="4"/>
      <c r="E638" s="5"/>
      <c r="F638" s="4"/>
      <c r="G638" s="6">
        <f>IF(AND(A638="",B638=""),"",IF(COUNTIFS($A$2:$A$2001,A638,$B$2:$B$2001,B638)&gt;1,"DUPLICADO","OK"))</f>
      </c>
      <c r="H638" s="6">
        <f>IF(COUNTA(A638:F638)=0,"",IF(AND(A638&lt;&gt;"",B638&lt;&gt;"",E638&lt;&gt;""),"OK","ERRO: faltam "&amp;IF(A638="","Conta; ","")&amp;IF(B638="","Oportunidade; ","")&amp;IF(E638="","Novo gerente; ","")))</f>
      </c>
      <c r="I638" s="6">
        <f>IF(COUNTA(A638:F638)=0,"",IF(AND(G638="OK",H638="OK"),"OK","REVISAR"))</f>
      </c>
    </row>
    <row r="639">
      <c r="A639" s="5"/>
      <c r="B639" s="5"/>
      <c r="C639" s="4"/>
      <c r="D639" s="4"/>
      <c r="E639" s="5"/>
      <c r="F639" s="4"/>
      <c r="G639" s="6">
        <f>IF(AND(A639="",B639=""),"",IF(COUNTIFS($A$2:$A$2001,A639,$B$2:$B$2001,B639)&gt;1,"DUPLICADO","OK"))</f>
      </c>
      <c r="H639" s="6">
        <f>IF(COUNTA(A639:F639)=0,"",IF(AND(A639&lt;&gt;"",B639&lt;&gt;"",E639&lt;&gt;""),"OK","ERRO: faltam "&amp;IF(A639="","Conta; ","")&amp;IF(B639="","Oportunidade; ","")&amp;IF(E639="","Novo gerente; ","")))</f>
      </c>
      <c r="I639" s="6">
        <f>IF(COUNTA(A639:F639)=0,"",IF(AND(G639="OK",H639="OK"),"OK","REVISAR"))</f>
      </c>
    </row>
    <row r="640">
      <c r="A640" s="5"/>
      <c r="B640" s="5"/>
      <c r="C640" s="4"/>
      <c r="D640" s="4"/>
      <c r="E640" s="5"/>
      <c r="F640" s="4"/>
      <c r="G640" s="6">
        <f>IF(AND(A640="",B640=""),"",IF(COUNTIFS($A$2:$A$2001,A640,$B$2:$B$2001,B640)&gt;1,"DUPLICADO","OK"))</f>
      </c>
      <c r="H640" s="6">
        <f>IF(COUNTA(A640:F640)=0,"",IF(AND(A640&lt;&gt;"",B640&lt;&gt;"",E640&lt;&gt;""),"OK","ERRO: faltam "&amp;IF(A640="","Conta; ","")&amp;IF(B640="","Oportunidade; ","")&amp;IF(E640="","Novo gerente; ","")))</f>
      </c>
      <c r="I640" s="6">
        <f>IF(COUNTA(A640:F640)=0,"",IF(AND(G640="OK",H640="OK"),"OK","REVISAR"))</f>
      </c>
    </row>
    <row r="641">
      <c r="A641" s="5"/>
      <c r="B641" s="5"/>
      <c r="C641" s="4"/>
      <c r="D641" s="4"/>
      <c r="E641" s="5"/>
      <c r="F641" s="4"/>
      <c r="G641" s="6">
        <f>IF(AND(A641="",B641=""),"",IF(COUNTIFS($A$2:$A$2001,A641,$B$2:$B$2001,B641)&gt;1,"DUPLICADO","OK"))</f>
      </c>
      <c r="H641" s="6">
        <f>IF(COUNTA(A641:F641)=0,"",IF(AND(A641&lt;&gt;"",B641&lt;&gt;"",E641&lt;&gt;""),"OK","ERRO: faltam "&amp;IF(A641="","Conta; ","")&amp;IF(B641="","Oportunidade; ","")&amp;IF(E641="","Novo gerente; ","")))</f>
      </c>
      <c r="I641" s="6">
        <f>IF(COUNTA(A641:F641)=0,"",IF(AND(G641="OK",H641="OK"),"OK","REVISAR"))</f>
      </c>
    </row>
    <row r="642">
      <c r="A642" s="5"/>
      <c r="B642" s="5"/>
      <c r="C642" s="4"/>
      <c r="D642" s="4"/>
      <c r="E642" s="5"/>
      <c r="F642" s="4"/>
      <c r="G642" s="6">
        <f>IF(AND(A642="",B642=""),"",IF(COUNTIFS($A$2:$A$2001,A642,$B$2:$B$2001,B642)&gt;1,"DUPLICADO","OK"))</f>
      </c>
      <c r="H642" s="6">
        <f>IF(COUNTA(A642:F642)=0,"",IF(AND(A642&lt;&gt;"",B642&lt;&gt;"",E642&lt;&gt;""),"OK","ERRO: faltam "&amp;IF(A642="","Conta; ","")&amp;IF(B642="","Oportunidade; ","")&amp;IF(E642="","Novo gerente; ","")))</f>
      </c>
      <c r="I642" s="6">
        <f>IF(COUNTA(A642:F642)=0,"",IF(AND(G642="OK",H642="OK"),"OK","REVISAR"))</f>
      </c>
    </row>
    <row r="643">
      <c r="A643" s="5"/>
      <c r="B643" s="5"/>
      <c r="C643" s="4"/>
      <c r="D643" s="4"/>
      <c r="E643" s="5"/>
      <c r="F643" s="4"/>
      <c r="G643" s="6">
        <f>IF(AND(A643="",B643=""),"",IF(COUNTIFS($A$2:$A$2001,A643,$B$2:$B$2001,B643)&gt;1,"DUPLICADO","OK"))</f>
      </c>
      <c r="H643" s="6">
        <f>IF(COUNTA(A643:F643)=0,"",IF(AND(A643&lt;&gt;"",B643&lt;&gt;"",E643&lt;&gt;""),"OK","ERRO: faltam "&amp;IF(A643="","Conta; ","")&amp;IF(B643="","Oportunidade; ","")&amp;IF(E643="","Novo gerente; ","")))</f>
      </c>
      <c r="I643" s="6">
        <f>IF(COUNTA(A643:F643)=0,"",IF(AND(G643="OK",H643="OK"),"OK","REVISAR"))</f>
      </c>
    </row>
    <row r="644">
      <c r="A644" s="5"/>
      <c r="B644" s="5"/>
      <c r="C644" s="4"/>
      <c r="D644" s="4"/>
      <c r="E644" s="5"/>
      <c r="F644" s="4"/>
      <c r="G644" s="6">
        <f>IF(AND(A644="",B644=""),"",IF(COUNTIFS($A$2:$A$2001,A644,$B$2:$B$2001,B644)&gt;1,"DUPLICADO","OK"))</f>
      </c>
      <c r="H644" s="6">
        <f>IF(COUNTA(A644:F644)=0,"",IF(AND(A644&lt;&gt;"",B644&lt;&gt;"",E644&lt;&gt;""),"OK","ERRO: faltam "&amp;IF(A644="","Conta; ","")&amp;IF(B644="","Oportunidade; ","")&amp;IF(E644="","Novo gerente; ","")))</f>
      </c>
      <c r="I644" s="6">
        <f>IF(COUNTA(A644:F644)=0,"",IF(AND(G644="OK",H644="OK"),"OK","REVISAR"))</f>
      </c>
    </row>
    <row r="645">
      <c r="A645" s="5"/>
      <c r="B645" s="5"/>
      <c r="C645" s="4"/>
      <c r="D645" s="4"/>
      <c r="E645" s="5"/>
      <c r="F645" s="4"/>
      <c r="G645" s="6">
        <f>IF(AND(A645="",B645=""),"",IF(COUNTIFS($A$2:$A$2001,A645,$B$2:$B$2001,B645)&gt;1,"DUPLICADO","OK"))</f>
      </c>
      <c r="H645" s="6">
        <f>IF(COUNTA(A645:F645)=0,"",IF(AND(A645&lt;&gt;"",B645&lt;&gt;"",E645&lt;&gt;""),"OK","ERRO: faltam "&amp;IF(A645="","Conta; ","")&amp;IF(B645="","Oportunidade; ","")&amp;IF(E645="","Novo gerente; ","")))</f>
      </c>
      <c r="I645" s="6">
        <f>IF(COUNTA(A645:F645)=0,"",IF(AND(G645="OK",H645="OK"),"OK","REVISAR"))</f>
      </c>
    </row>
    <row r="646">
      <c r="A646" s="5"/>
      <c r="B646" s="5"/>
      <c r="C646" s="4"/>
      <c r="D646" s="4"/>
      <c r="E646" s="5"/>
      <c r="F646" s="4"/>
      <c r="G646" s="6">
        <f>IF(AND(A646="",B646=""),"",IF(COUNTIFS($A$2:$A$2001,A646,$B$2:$B$2001,B646)&gt;1,"DUPLICADO","OK"))</f>
      </c>
      <c r="H646" s="6">
        <f>IF(COUNTA(A646:F646)=0,"",IF(AND(A646&lt;&gt;"",B646&lt;&gt;"",E646&lt;&gt;""),"OK","ERRO: faltam "&amp;IF(A646="","Conta; ","")&amp;IF(B646="","Oportunidade; ","")&amp;IF(E646="","Novo gerente; ","")))</f>
      </c>
      <c r="I646" s="6">
        <f>IF(COUNTA(A646:F646)=0,"",IF(AND(G646="OK",H646="OK"),"OK","REVISAR"))</f>
      </c>
    </row>
    <row r="647">
      <c r="A647" s="5"/>
      <c r="B647" s="5"/>
      <c r="C647" s="4"/>
      <c r="D647" s="4"/>
      <c r="E647" s="5"/>
      <c r="F647" s="4"/>
      <c r="G647" s="6">
        <f>IF(AND(A647="",B647=""),"",IF(COUNTIFS($A$2:$A$2001,A647,$B$2:$B$2001,B647)&gt;1,"DUPLICADO","OK"))</f>
      </c>
      <c r="H647" s="6">
        <f>IF(COUNTA(A647:F647)=0,"",IF(AND(A647&lt;&gt;"",B647&lt;&gt;"",E647&lt;&gt;""),"OK","ERRO: faltam "&amp;IF(A647="","Conta; ","")&amp;IF(B647="","Oportunidade; ","")&amp;IF(E647="","Novo gerente; ","")))</f>
      </c>
      <c r="I647" s="6">
        <f>IF(COUNTA(A647:F647)=0,"",IF(AND(G647="OK",H647="OK"),"OK","REVISAR"))</f>
      </c>
    </row>
    <row r="648">
      <c r="A648" s="5"/>
      <c r="B648" s="5"/>
      <c r="C648" s="4"/>
      <c r="D648" s="4"/>
      <c r="E648" s="5"/>
      <c r="F648" s="4"/>
      <c r="G648" s="6">
        <f>IF(AND(A648="",B648=""),"",IF(COUNTIFS($A$2:$A$2001,A648,$B$2:$B$2001,B648)&gt;1,"DUPLICADO","OK"))</f>
      </c>
      <c r="H648" s="6">
        <f>IF(COUNTA(A648:F648)=0,"",IF(AND(A648&lt;&gt;"",B648&lt;&gt;"",E648&lt;&gt;""),"OK","ERRO: faltam "&amp;IF(A648="","Conta; ","")&amp;IF(B648="","Oportunidade; ","")&amp;IF(E648="","Novo gerente; ","")))</f>
      </c>
      <c r="I648" s="6">
        <f>IF(COUNTA(A648:F648)=0,"",IF(AND(G648="OK",H648="OK"),"OK","REVISAR"))</f>
      </c>
    </row>
    <row r="649">
      <c r="A649" s="5"/>
      <c r="B649" s="5"/>
      <c r="C649" s="4"/>
      <c r="D649" s="4"/>
      <c r="E649" s="5"/>
      <c r="F649" s="4"/>
      <c r="G649" s="6">
        <f>IF(AND(A649="",B649=""),"",IF(COUNTIFS($A$2:$A$2001,A649,$B$2:$B$2001,B649)&gt;1,"DUPLICADO","OK"))</f>
      </c>
      <c r="H649" s="6">
        <f>IF(COUNTA(A649:F649)=0,"",IF(AND(A649&lt;&gt;"",B649&lt;&gt;"",E649&lt;&gt;""),"OK","ERRO: faltam "&amp;IF(A649="","Conta; ","")&amp;IF(B649="","Oportunidade; ","")&amp;IF(E649="","Novo gerente; ","")))</f>
      </c>
      <c r="I649" s="6">
        <f>IF(COUNTA(A649:F649)=0,"",IF(AND(G649="OK",H649="OK"),"OK","REVISAR"))</f>
      </c>
    </row>
    <row r="650">
      <c r="A650" s="5"/>
      <c r="B650" s="5"/>
      <c r="C650" s="4"/>
      <c r="D650" s="4"/>
      <c r="E650" s="5"/>
      <c r="F650" s="4"/>
      <c r="G650" s="6">
        <f>IF(AND(A650="",B650=""),"",IF(COUNTIFS($A$2:$A$2001,A650,$B$2:$B$2001,B650)&gt;1,"DUPLICADO","OK"))</f>
      </c>
      <c r="H650" s="6">
        <f>IF(COUNTA(A650:F650)=0,"",IF(AND(A650&lt;&gt;"",B650&lt;&gt;"",E650&lt;&gt;""),"OK","ERRO: faltam "&amp;IF(A650="","Conta; ","")&amp;IF(B650="","Oportunidade; ","")&amp;IF(E650="","Novo gerente; ","")))</f>
      </c>
      <c r="I650" s="6">
        <f>IF(COUNTA(A650:F650)=0,"",IF(AND(G650="OK",H650="OK"),"OK","REVISAR"))</f>
      </c>
    </row>
    <row r="651">
      <c r="A651" s="5"/>
      <c r="B651" s="5"/>
      <c r="C651" s="4"/>
      <c r="D651" s="4"/>
      <c r="E651" s="5"/>
      <c r="F651" s="4"/>
      <c r="G651" s="6">
        <f>IF(AND(A651="",B651=""),"",IF(COUNTIFS($A$2:$A$2001,A651,$B$2:$B$2001,B651)&gt;1,"DUPLICADO","OK"))</f>
      </c>
      <c r="H651" s="6">
        <f>IF(COUNTA(A651:F651)=0,"",IF(AND(A651&lt;&gt;"",B651&lt;&gt;"",E651&lt;&gt;""),"OK","ERRO: faltam "&amp;IF(A651="","Conta; ","")&amp;IF(B651="","Oportunidade; ","")&amp;IF(E651="","Novo gerente; ","")))</f>
      </c>
      <c r="I651" s="6">
        <f>IF(COUNTA(A651:F651)=0,"",IF(AND(G651="OK",H651="OK"),"OK","REVISAR"))</f>
      </c>
    </row>
    <row r="652">
      <c r="A652" s="5"/>
      <c r="B652" s="5"/>
      <c r="C652" s="4"/>
      <c r="D652" s="4"/>
      <c r="E652" s="5"/>
      <c r="F652" s="4"/>
      <c r="G652" s="6">
        <f>IF(AND(A652="",B652=""),"",IF(COUNTIFS($A$2:$A$2001,A652,$B$2:$B$2001,B652)&gt;1,"DUPLICADO","OK"))</f>
      </c>
      <c r="H652" s="6">
        <f>IF(COUNTA(A652:F652)=0,"",IF(AND(A652&lt;&gt;"",B652&lt;&gt;"",E652&lt;&gt;""),"OK","ERRO: faltam "&amp;IF(A652="","Conta; ","")&amp;IF(B652="","Oportunidade; ","")&amp;IF(E652="","Novo gerente; ","")))</f>
      </c>
      <c r="I652" s="6">
        <f>IF(COUNTA(A652:F652)=0,"",IF(AND(G652="OK",H652="OK"),"OK","REVISAR"))</f>
      </c>
    </row>
    <row r="653">
      <c r="A653" s="5"/>
      <c r="B653" s="5"/>
      <c r="C653" s="4"/>
      <c r="D653" s="4"/>
      <c r="E653" s="5"/>
      <c r="F653" s="4"/>
      <c r="G653" s="6">
        <f>IF(AND(A653="",B653=""),"",IF(COUNTIFS($A$2:$A$2001,A653,$B$2:$B$2001,B653)&gt;1,"DUPLICADO","OK"))</f>
      </c>
      <c r="H653" s="6">
        <f>IF(COUNTA(A653:F653)=0,"",IF(AND(A653&lt;&gt;"",B653&lt;&gt;"",E653&lt;&gt;""),"OK","ERRO: faltam "&amp;IF(A653="","Conta; ","")&amp;IF(B653="","Oportunidade; ","")&amp;IF(E653="","Novo gerente; ","")))</f>
      </c>
      <c r="I653" s="6">
        <f>IF(COUNTA(A653:F653)=0,"",IF(AND(G653="OK",H653="OK"),"OK","REVISAR"))</f>
      </c>
    </row>
    <row r="654">
      <c r="A654" s="5"/>
      <c r="B654" s="5"/>
      <c r="C654" s="4"/>
      <c r="D654" s="4"/>
      <c r="E654" s="5"/>
      <c r="F654" s="4"/>
      <c r="G654" s="6">
        <f>IF(AND(A654="",B654=""),"",IF(COUNTIFS($A$2:$A$2001,A654,$B$2:$B$2001,B654)&gt;1,"DUPLICADO","OK"))</f>
      </c>
      <c r="H654" s="6">
        <f>IF(COUNTA(A654:F654)=0,"",IF(AND(A654&lt;&gt;"",B654&lt;&gt;"",E654&lt;&gt;""),"OK","ERRO: faltam "&amp;IF(A654="","Conta; ","")&amp;IF(B654="","Oportunidade; ","")&amp;IF(E654="","Novo gerente; ","")))</f>
      </c>
      <c r="I654" s="6">
        <f>IF(COUNTA(A654:F654)=0,"",IF(AND(G654="OK",H654="OK"),"OK","REVISAR"))</f>
      </c>
    </row>
    <row r="655">
      <c r="A655" s="5"/>
      <c r="B655" s="5"/>
      <c r="C655" s="4"/>
      <c r="D655" s="4"/>
      <c r="E655" s="5"/>
      <c r="F655" s="4"/>
      <c r="G655" s="6">
        <f>IF(AND(A655="",B655=""),"",IF(COUNTIFS($A$2:$A$2001,A655,$B$2:$B$2001,B655)&gt;1,"DUPLICADO","OK"))</f>
      </c>
      <c r="H655" s="6">
        <f>IF(COUNTA(A655:F655)=0,"",IF(AND(A655&lt;&gt;"",B655&lt;&gt;"",E655&lt;&gt;""),"OK","ERRO: faltam "&amp;IF(A655="","Conta; ","")&amp;IF(B655="","Oportunidade; ","")&amp;IF(E655="","Novo gerente; ","")))</f>
      </c>
      <c r="I655" s="6">
        <f>IF(COUNTA(A655:F655)=0,"",IF(AND(G655="OK",H655="OK"),"OK","REVISAR"))</f>
      </c>
    </row>
    <row r="656">
      <c r="A656" s="5"/>
      <c r="B656" s="5"/>
      <c r="C656" s="4"/>
      <c r="D656" s="4"/>
      <c r="E656" s="5"/>
      <c r="F656" s="4"/>
      <c r="G656" s="6">
        <f>IF(AND(A656="",B656=""),"",IF(COUNTIFS($A$2:$A$2001,A656,$B$2:$B$2001,B656)&gt;1,"DUPLICADO","OK"))</f>
      </c>
      <c r="H656" s="6">
        <f>IF(COUNTA(A656:F656)=0,"",IF(AND(A656&lt;&gt;"",B656&lt;&gt;"",E656&lt;&gt;""),"OK","ERRO: faltam "&amp;IF(A656="","Conta; ","")&amp;IF(B656="","Oportunidade; ","")&amp;IF(E656="","Novo gerente; ","")))</f>
      </c>
      <c r="I656" s="6">
        <f>IF(COUNTA(A656:F656)=0,"",IF(AND(G656="OK",H656="OK"),"OK","REVISAR"))</f>
      </c>
    </row>
    <row r="657">
      <c r="A657" s="5"/>
      <c r="B657" s="5"/>
      <c r="C657" s="4"/>
      <c r="D657" s="4"/>
      <c r="E657" s="5"/>
      <c r="F657" s="4"/>
      <c r="G657" s="6">
        <f>IF(AND(A657="",B657=""),"",IF(COUNTIFS($A$2:$A$2001,A657,$B$2:$B$2001,B657)&gt;1,"DUPLICADO","OK"))</f>
      </c>
      <c r="H657" s="6">
        <f>IF(COUNTA(A657:F657)=0,"",IF(AND(A657&lt;&gt;"",B657&lt;&gt;"",E657&lt;&gt;""),"OK","ERRO: faltam "&amp;IF(A657="","Conta; ","")&amp;IF(B657="","Oportunidade; ","")&amp;IF(E657="","Novo gerente; ","")))</f>
      </c>
      <c r="I657" s="6">
        <f>IF(COUNTA(A657:F657)=0,"",IF(AND(G657="OK",H657="OK"),"OK","REVISAR"))</f>
      </c>
    </row>
    <row r="658">
      <c r="A658" s="5"/>
      <c r="B658" s="5"/>
      <c r="C658" s="4"/>
      <c r="D658" s="4"/>
      <c r="E658" s="5"/>
      <c r="F658" s="4"/>
      <c r="G658" s="6">
        <f>IF(AND(A658="",B658=""),"",IF(COUNTIFS($A$2:$A$2001,A658,$B$2:$B$2001,B658)&gt;1,"DUPLICADO","OK"))</f>
      </c>
      <c r="H658" s="6">
        <f>IF(COUNTA(A658:F658)=0,"",IF(AND(A658&lt;&gt;"",B658&lt;&gt;"",E658&lt;&gt;""),"OK","ERRO: faltam "&amp;IF(A658="","Conta; ","")&amp;IF(B658="","Oportunidade; ","")&amp;IF(E658="","Novo gerente; ","")))</f>
      </c>
      <c r="I658" s="6">
        <f>IF(COUNTA(A658:F658)=0,"",IF(AND(G658="OK",H658="OK"),"OK","REVISAR"))</f>
      </c>
    </row>
    <row r="659">
      <c r="A659" s="5"/>
      <c r="B659" s="5"/>
      <c r="C659" s="4"/>
      <c r="D659" s="4"/>
      <c r="E659" s="5"/>
      <c r="F659" s="4"/>
      <c r="G659" s="6">
        <f>IF(AND(A659="",B659=""),"",IF(COUNTIFS($A$2:$A$2001,A659,$B$2:$B$2001,B659)&gt;1,"DUPLICADO","OK"))</f>
      </c>
      <c r="H659" s="6">
        <f>IF(COUNTA(A659:F659)=0,"",IF(AND(A659&lt;&gt;"",B659&lt;&gt;"",E659&lt;&gt;""),"OK","ERRO: faltam "&amp;IF(A659="","Conta; ","")&amp;IF(B659="","Oportunidade; ","")&amp;IF(E659="","Novo gerente; ","")))</f>
      </c>
      <c r="I659" s="6">
        <f>IF(COUNTA(A659:F659)=0,"",IF(AND(G659="OK",H659="OK"),"OK","REVISAR"))</f>
      </c>
    </row>
    <row r="660">
      <c r="A660" s="5"/>
      <c r="B660" s="5"/>
      <c r="C660" s="4"/>
      <c r="D660" s="4"/>
      <c r="E660" s="5"/>
      <c r="F660" s="4"/>
      <c r="G660" s="6">
        <f>IF(AND(A660="",B660=""),"",IF(COUNTIFS($A$2:$A$2001,A660,$B$2:$B$2001,B660)&gt;1,"DUPLICADO","OK"))</f>
      </c>
      <c r="H660" s="6">
        <f>IF(COUNTA(A660:F660)=0,"",IF(AND(A660&lt;&gt;"",B660&lt;&gt;"",E660&lt;&gt;""),"OK","ERRO: faltam "&amp;IF(A660="","Conta; ","")&amp;IF(B660="","Oportunidade; ","")&amp;IF(E660="","Novo gerente; ","")))</f>
      </c>
      <c r="I660" s="6">
        <f>IF(COUNTA(A660:F660)=0,"",IF(AND(G660="OK",H660="OK"),"OK","REVISAR"))</f>
      </c>
    </row>
    <row r="661">
      <c r="A661" s="5"/>
      <c r="B661" s="5"/>
      <c r="C661" s="4"/>
      <c r="D661" s="4"/>
      <c r="E661" s="5"/>
      <c r="F661" s="4"/>
      <c r="G661" s="6">
        <f>IF(AND(A661="",B661=""),"",IF(COUNTIFS($A$2:$A$2001,A661,$B$2:$B$2001,B661)&gt;1,"DUPLICADO","OK"))</f>
      </c>
      <c r="H661" s="6">
        <f>IF(COUNTA(A661:F661)=0,"",IF(AND(A661&lt;&gt;"",B661&lt;&gt;"",E661&lt;&gt;""),"OK","ERRO: faltam "&amp;IF(A661="","Conta; ","")&amp;IF(B661="","Oportunidade; ","")&amp;IF(E661="","Novo gerente; ","")))</f>
      </c>
      <c r="I661" s="6">
        <f>IF(COUNTA(A661:F661)=0,"",IF(AND(G661="OK",H661="OK"),"OK","REVISAR"))</f>
      </c>
    </row>
    <row r="662">
      <c r="A662" s="5"/>
      <c r="B662" s="5"/>
      <c r="C662" s="4"/>
      <c r="D662" s="4"/>
      <c r="E662" s="5"/>
      <c r="F662" s="4"/>
      <c r="G662" s="6">
        <f>IF(AND(A662="",B662=""),"",IF(COUNTIFS($A$2:$A$2001,A662,$B$2:$B$2001,B662)&gt;1,"DUPLICADO","OK"))</f>
      </c>
      <c r="H662" s="6">
        <f>IF(COUNTA(A662:F662)=0,"",IF(AND(A662&lt;&gt;"",B662&lt;&gt;"",E662&lt;&gt;""),"OK","ERRO: faltam "&amp;IF(A662="","Conta; ","")&amp;IF(B662="","Oportunidade; ","")&amp;IF(E662="","Novo gerente; ","")))</f>
      </c>
      <c r="I662" s="6">
        <f>IF(COUNTA(A662:F662)=0,"",IF(AND(G662="OK",H662="OK"),"OK","REVISAR"))</f>
      </c>
    </row>
    <row r="663">
      <c r="A663" s="5"/>
      <c r="B663" s="5"/>
      <c r="C663" s="4"/>
      <c r="D663" s="4"/>
      <c r="E663" s="5"/>
      <c r="F663" s="4"/>
      <c r="G663" s="6">
        <f>IF(AND(A663="",B663=""),"",IF(COUNTIFS($A$2:$A$2001,A663,$B$2:$B$2001,B663)&gt;1,"DUPLICADO","OK"))</f>
      </c>
      <c r="H663" s="6">
        <f>IF(COUNTA(A663:F663)=0,"",IF(AND(A663&lt;&gt;"",B663&lt;&gt;"",E663&lt;&gt;""),"OK","ERRO: faltam "&amp;IF(A663="","Conta; ","")&amp;IF(B663="","Oportunidade; ","")&amp;IF(E663="","Novo gerente; ","")))</f>
      </c>
      <c r="I663" s="6">
        <f>IF(COUNTA(A663:F663)=0,"",IF(AND(G663="OK",H663="OK"),"OK","REVISAR"))</f>
      </c>
    </row>
    <row r="664">
      <c r="A664" s="5"/>
      <c r="B664" s="5"/>
      <c r="C664" s="4"/>
      <c r="D664" s="4"/>
      <c r="E664" s="5"/>
      <c r="F664" s="4"/>
      <c r="G664" s="6">
        <f>IF(AND(A664="",B664=""),"",IF(COUNTIFS($A$2:$A$2001,A664,$B$2:$B$2001,B664)&gt;1,"DUPLICADO","OK"))</f>
      </c>
      <c r="H664" s="6">
        <f>IF(COUNTA(A664:F664)=0,"",IF(AND(A664&lt;&gt;"",B664&lt;&gt;"",E664&lt;&gt;""),"OK","ERRO: faltam "&amp;IF(A664="","Conta; ","")&amp;IF(B664="","Oportunidade; ","")&amp;IF(E664="","Novo gerente; ","")))</f>
      </c>
      <c r="I664" s="6">
        <f>IF(COUNTA(A664:F664)=0,"",IF(AND(G664="OK",H664="OK"),"OK","REVISAR"))</f>
      </c>
    </row>
    <row r="665">
      <c r="A665" s="5"/>
      <c r="B665" s="5"/>
      <c r="C665" s="4"/>
      <c r="D665" s="4"/>
      <c r="E665" s="5"/>
      <c r="F665" s="4"/>
      <c r="G665" s="6">
        <f>IF(AND(A665="",B665=""),"",IF(COUNTIFS($A$2:$A$2001,A665,$B$2:$B$2001,B665)&gt;1,"DUPLICADO","OK"))</f>
      </c>
      <c r="H665" s="6">
        <f>IF(COUNTA(A665:F665)=0,"",IF(AND(A665&lt;&gt;"",B665&lt;&gt;"",E665&lt;&gt;""),"OK","ERRO: faltam "&amp;IF(A665="","Conta; ","")&amp;IF(B665="","Oportunidade; ","")&amp;IF(E665="","Novo gerente; ","")))</f>
      </c>
      <c r="I665" s="6">
        <f>IF(COUNTA(A665:F665)=0,"",IF(AND(G665="OK",H665="OK"),"OK","REVISAR"))</f>
      </c>
    </row>
    <row r="666">
      <c r="A666" s="5"/>
      <c r="B666" s="5"/>
      <c r="C666" s="4"/>
      <c r="D666" s="4"/>
      <c r="E666" s="5"/>
      <c r="F666" s="4"/>
      <c r="G666" s="6">
        <f>IF(AND(A666="",B666=""),"",IF(COUNTIFS($A$2:$A$2001,A666,$B$2:$B$2001,B666)&gt;1,"DUPLICADO","OK"))</f>
      </c>
      <c r="H666" s="6">
        <f>IF(COUNTA(A666:F666)=0,"",IF(AND(A666&lt;&gt;"",B666&lt;&gt;"",E666&lt;&gt;""),"OK","ERRO: faltam "&amp;IF(A666="","Conta; ","")&amp;IF(B666="","Oportunidade; ","")&amp;IF(E666="","Novo gerente; ","")))</f>
      </c>
      <c r="I666" s="6">
        <f>IF(COUNTA(A666:F666)=0,"",IF(AND(G666="OK",H666="OK"),"OK","REVISAR"))</f>
      </c>
    </row>
    <row r="667">
      <c r="A667" s="5"/>
      <c r="B667" s="5"/>
      <c r="C667" s="4"/>
      <c r="D667" s="4"/>
      <c r="E667" s="5"/>
      <c r="F667" s="4"/>
      <c r="G667" s="6">
        <f>IF(AND(A667="",B667=""),"",IF(COUNTIFS($A$2:$A$2001,A667,$B$2:$B$2001,B667)&gt;1,"DUPLICADO","OK"))</f>
      </c>
      <c r="H667" s="6">
        <f>IF(COUNTA(A667:F667)=0,"",IF(AND(A667&lt;&gt;"",B667&lt;&gt;"",E667&lt;&gt;""),"OK","ERRO: faltam "&amp;IF(A667="","Conta; ","")&amp;IF(B667="","Oportunidade; ","")&amp;IF(E667="","Novo gerente; ","")))</f>
      </c>
      <c r="I667" s="6">
        <f>IF(COUNTA(A667:F667)=0,"",IF(AND(G667="OK",H667="OK"),"OK","REVISAR"))</f>
      </c>
    </row>
    <row r="668">
      <c r="A668" s="5"/>
      <c r="B668" s="5"/>
      <c r="C668" s="4"/>
      <c r="D668" s="4"/>
      <c r="E668" s="5"/>
      <c r="F668" s="4"/>
      <c r="G668" s="6">
        <f>IF(AND(A668="",B668=""),"",IF(COUNTIFS($A$2:$A$2001,A668,$B$2:$B$2001,B668)&gt;1,"DUPLICADO","OK"))</f>
      </c>
      <c r="H668" s="6">
        <f>IF(COUNTA(A668:F668)=0,"",IF(AND(A668&lt;&gt;"",B668&lt;&gt;"",E668&lt;&gt;""),"OK","ERRO: faltam "&amp;IF(A668="","Conta; ","")&amp;IF(B668="","Oportunidade; ","")&amp;IF(E668="","Novo gerente; ","")))</f>
      </c>
      <c r="I668" s="6">
        <f>IF(COUNTA(A668:F668)=0,"",IF(AND(G668="OK",H668="OK"),"OK","REVISAR"))</f>
      </c>
    </row>
    <row r="669">
      <c r="A669" s="5"/>
      <c r="B669" s="5"/>
      <c r="C669" s="4"/>
      <c r="D669" s="4"/>
      <c r="E669" s="5"/>
      <c r="F669" s="4"/>
      <c r="G669" s="6">
        <f>IF(AND(A669="",B669=""),"",IF(COUNTIFS($A$2:$A$2001,A669,$B$2:$B$2001,B669)&gt;1,"DUPLICADO","OK"))</f>
      </c>
      <c r="H669" s="6">
        <f>IF(COUNTA(A669:F669)=0,"",IF(AND(A669&lt;&gt;"",B669&lt;&gt;"",E669&lt;&gt;""),"OK","ERRO: faltam "&amp;IF(A669="","Conta; ","")&amp;IF(B669="","Oportunidade; ","")&amp;IF(E669="","Novo gerente; ","")))</f>
      </c>
      <c r="I669" s="6">
        <f>IF(COUNTA(A669:F669)=0,"",IF(AND(G669="OK",H669="OK"),"OK","REVISAR"))</f>
      </c>
    </row>
    <row r="670">
      <c r="A670" s="5"/>
      <c r="B670" s="5"/>
      <c r="C670" s="4"/>
      <c r="D670" s="4"/>
      <c r="E670" s="5"/>
      <c r="F670" s="4"/>
      <c r="G670" s="6">
        <f>IF(AND(A670="",B670=""),"",IF(COUNTIFS($A$2:$A$2001,A670,$B$2:$B$2001,B670)&gt;1,"DUPLICADO","OK"))</f>
      </c>
      <c r="H670" s="6">
        <f>IF(COUNTA(A670:F670)=0,"",IF(AND(A670&lt;&gt;"",B670&lt;&gt;"",E670&lt;&gt;""),"OK","ERRO: faltam "&amp;IF(A670="","Conta; ","")&amp;IF(B670="","Oportunidade; ","")&amp;IF(E670="","Novo gerente; ","")))</f>
      </c>
      <c r="I670" s="6">
        <f>IF(COUNTA(A670:F670)=0,"",IF(AND(G670="OK",H670="OK"),"OK","REVISAR"))</f>
      </c>
    </row>
    <row r="671">
      <c r="A671" s="5"/>
      <c r="B671" s="5"/>
      <c r="C671" s="4"/>
      <c r="D671" s="4"/>
      <c r="E671" s="5"/>
      <c r="F671" s="4"/>
      <c r="G671" s="6">
        <f>IF(AND(A671="",B671=""),"",IF(COUNTIFS($A$2:$A$2001,A671,$B$2:$B$2001,B671)&gt;1,"DUPLICADO","OK"))</f>
      </c>
      <c r="H671" s="6">
        <f>IF(COUNTA(A671:F671)=0,"",IF(AND(A671&lt;&gt;"",B671&lt;&gt;"",E671&lt;&gt;""),"OK","ERRO: faltam "&amp;IF(A671="","Conta; ","")&amp;IF(B671="","Oportunidade; ","")&amp;IF(E671="","Novo gerente; ","")))</f>
      </c>
      <c r="I671" s="6">
        <f>IF(COUNTA(A671:F671)=0,"",IF(AND(G671="OK",H671="OK"),"OK","REVISAR"))</f>
      </c>
    </row>
    <row r="672">
      <c r="A672" s="5"/>
      <c r="B672" s="5"/>
      <c r="C672" s="4"/>
      <c r="D672" s="4"/>
      <c r="E672" s="5"/>
      <c r="F672" s="4"/>
      <c r="G672" s="6">
        <f>IF(AND(A672="",B672=""),"",IF(COUNTIFS($A$2:$A$2001,A672,$B$2:$B$2001,B672)&gt;1,"DUPLICADO","OK"))</f>
      </c>
      <c r="H672" s="6">
        <f>IF(COUNTA(A672:F672)=0,"",IF(AND(A672&lt;&gt;"",B672&lt;&gt;"",E672&lt;&gt;""),"OK","ERRO: faltam "&amp;IF(A672="","Conta; ","")&amp;IF(B672="","Oportunidade; ","")&amp;IF(E672="","Novo gerente; ","")))</f>
      </c>
      <c r="I672" s="6">
        <f>IF(COUNTA(A672:F672)=0,"",IF(AND(G672="OK",H672="OK"),"OK","REVISAR"))</f>
      </c>
    </row>
    <row r="673">
      <c r="A673" s="5"/>
      <c r="B673" s="5"/>
      <c r="C673" s="4"/>
      <c r="D673" s="4"/>
      <c r="E673" s="5"/>
      <c r="F673" s="4"/>
      <c r="G673" s="6">
        <f>IF(AND(A673="",B673=""),"",IF(COUNTIFS($A$2:$A$2001,A673,$B$2:$B$2001,B673)&gt;1,"DUPLICADO","OK"))</f>
      </c>
      <c r="H673" s="6">
        <f>IF(COUNTA(A673:F673)=0,"",IF(AND(A673&lt;&gt;"",B673&lt;&gt;"",E673&lt;&gt;""),"OK","ERRO: faltam "&amp;IF(A673="","Conta; ","")&amp;IF(B673="","Oportunidade; ","")&amp;IF(E673="","Novo gerente; ","")))</f>
      </c>
      <c r="I673" s="6">
        <f>IF(COUNTA(A673:F673)=0,"",IF(AND(G673="OK",H673="OK"),"OK","REVISAR"))</f>
      </c>
    </row>
    <row r="674">
      <c r="A674" s="5"/>
      <c r="B674" s="5"/>
      <c r="C674" s="4"/>
      <c r="D674" s="4"/>
      <c r="E674" s="5"/>
      <c r="F674" s="4"/>
      <c r="G674" s="6">
        <f>IF(AND(A674="",B674=""),"",IF(COUNTIFS($A$2:$A$2001,A674,$B$2:$B$2001,B674)&gt;1,"DUPLICADO","OK"))</f>
      </c>
      <c r="H674" s="6">
        <f>IF(COUNTA(A674:F674)=0,"",IF(AND(A674&lt;&gt;"",B674&lt;&gt;"",E674&lt;&gt;""),"OK","ERRO: faltam "&amp;IF(A674="","Conta; ","")&amp;IF(B674="","Oportunidade; ","")&amp;IF(E674="","Novo gerente; ","")))</f>
      </c>
      <c r="I674" s="6">
        <f>IF(COUNTA(A674:F674)=0,"",IF(AND(G674="OK",H674="OK"),"OK","REVISAR"))</f>
      </c>
    </row>
    <row r="675">
      <c r="A675" s="5"/>
      <c r="B675" s="5"/>
      <c r="C675" s="4"/>
      <c r="D675" s="4"/>
      <c r="E675" s="5"/>
      <c r="F675" s="4"/>
      <c r="G675" s="6">
        <f>IF(AND(A675="",B675=""),"",IF(COUNTIFS($A$2:$A$2001,A675,$B$2:$B$2001,B675)&gt;1,"DUPLICADO","OK"))</f>
      </c>
      <c r="H675" s="6">
        <f>IF(COUNTA(A675:F675)=0,"",IF(AND(A675&lt;&gt;"",B675&lt;&gt;"",E675&lt;&gt;""),"OK","ERRO: faltam "&amp;IF(A675="","Conta; ","")&amp;IF(B675="","Oportunidade; ","")&amp;IF(E675="","Novo gerente; ","")))</f>
      </c>
      <c r="I675" s="6">
        <f>IF(COUNTA(A675:F675)=0,"",IF(AND(G675="OK",H675="OK"),"OK","REVISAR"))</f>
      </c>
    </row>
    <row r="676">
      <c r="A676" s="5"/>
      <c r="B676" s="5"/>
      <c r="C676" s="4"/>
      <c r="D676" s="4"/>
      <c r="E676" s="5"/>
      <c r="F676" s="4"/>
      <c r="G676" s="6">
        <f>IF(AND(A676="",B676=""),"",IF(COUNTIFS($A$2:$A$2001,A676,$B$2:$B$2001,B676)&gt;1,"DUPLICADO","OK"))</f>
      </c>
      <c r="H676" s="6">
        <f>IF(COUNTA(A676:F676)=0,"",IF(AND(A676&lt;&gt;"",B676&lt;&gt;"",E676&lt;&gt;""),"OK","ERRO: faltam "&amp;IF(A676="","Conta; ","")&amp;IF(B676="","Oportunidade; ","")&amp;IF(E676="","Novo gerente; ","")))</f>
      </c>
      <c r="I676" s="6">
        <f>IF(COUNTA(A676:F676)=0,"",IF(AND(G676="OK",H676="OK"),"OK","REVISAR"))</f>
      </c>
    </row>
    <row r="677">
      <c r="A677" s="5"/>
      <c r="B677" s="5"/>
      <c r="C677" s="4"/>
      <c r="D677" s="4"/>
      <c r="E677" s="5"/>
      <c r="F677" s="4"/>
      <c r="G677" s="6">
        <f>IF(AND(A677="",B677=""),"",IF(COUNTIFS($A$2:$A$2001,A677,$B$2:$B$2001,B677)&gt;1,"DUPLICADO","OK"))</f>
      </c>
      <c r="H677" s="6">
        <f>IF(COUNTA(A677:F677)=0,"",IF(AND(A677&lt;&gt;"",B677&lt;&gt;"",E677&lt;&gt;""),"OK","ERRO: faltam "&amp;IF(A677="","Conta; ","")&amp;IF(B677="","Oportunidade; ","")&amp;IF(E677="","Novo gerente; ","")))</f>
      </c>
      <c r="I677" s="6">
        <f>IF(COUNTA(A677:F677)=0,"",IF(AND(G677="OK",H677="OK"),"OK","REVISAR"))</f>
      </c>
    </row>
    <row r="678">
      <c r="A678" s="5"/>
      <c r="B678" s="5"/>
      <c r="C678" s="4"/>
      <c r="D678" s="4"/>
      <c r="E678" s="5"/>
      <c r="F678" s="4"/>
      <c r="G678" s="6">
        <f>IF(AND(A678="",B678=""),"",IF(COUNTIFS($A$2:$A$2001,A678,$B$2:$B$2001,B678)&gt;1,"DUPLICADO","OK"))</f>
      </c>
      <c r="H678" s="6">
        <f>IF(COUNTA(A678:F678)=0,"",IF(AND(A678&lt;&gt;"",B678&lt;&gt;"",E678&lt;&gt;""),"OK","ERRO: faltam "&amp;IF(A678="","Conta; ","")&amp;IF(B678="","Oportunidade; ","")&amp;IF(E678="","Novo gerente; ","")))</f>
      </c>
      <c r="I678" s="6">
        <f>IF(COUNTA(A678:F678)=0,"",IF(AND(G678="OK",H678="OK"),"OK","REVISAR"))</f>
      </c>
    </row>
    <row r="679">
      <c r="A679" s="5"/>
      <c r="B679" s="5"/>
      <c r="C679" s="4"/>
      <c r="D679" s="4"/>
      <c r="E679" s="5"/>
      <c r="F679" s="4"/>
      <c r="G679" s="6">
        <f>IF(AND(A679="",B679=""),"",IF(COUNTIFS($A$2:$A$2001,A679,$B$2:$B$2001,B679)&gt;1,"DUPLICADO","OK"))</f>
      </c>
      <c r="H679" s="6">
        <f>IF(COUNTA(A679:F679)=0,"",IF(AND(A679&lt;&gt;"",B679&lt;&gt;"",E679&lt;&gt;""),"OK","ERRO: faltam "&amp;IF(A679="","Conta; ","")&amp;IF(B679="","Oportunidade; ","")&amp;IF(E679="","Novo gerente; ","")))</f>
      </c>
      <c r="I679" s="6">
        <f>IF(COUNTA(A679:F679)=0,"",IF(AND(G679="OK",H679="OK"),"OK","REVISAR"))</f>
      </c>
    </row>
    <row r="680">
      <c r="A680" s="5"/>
      <c r="B680" s="5"/>
      <c r="C680" s="4"/>
      <c r="D680" s="4"/>
      <c r="E680" s="5"/>
      <c r="F680" s="4"/>
      <c r="G680" s="6">
        <f>IF(AND(A680="",B680=""),"",IF(COUNTIFS($A$2:$A$2001,A680,$B$2:$B$2001,B680)&gt;1,"DUPLICADO","OK"))</f>
      </c>
      <c r="H680" s="6">
        <f>IF(COUNTA(A680:F680)=0,"",IF(AND(A680&lt;&gt;"",B680&lt;&gt;"",E680&lt;&gt;""),"OK","ERRO: faltam "&amp;IF(A680="","Conta; ","")&amp;IF(B680="","Oportunidade; ","")&amp;IF(E680="","Novo gerente; ","")))</f>
      </c>
      <c r="I680" s="6">
        <f>IF(COUNTA(A680:F680)=0,"",IF(AND(G680="OK",H680="OK"),"OK","REVISAR"))</f>
      </c>
    </row>
    <row r="681">
      <c r="A681" s="5"/>
      <c r="B681" s="5"/>
      <c r="C681" s="4"/>
      <c r="D681" s="4"/>
      <c r="E681" s="5"/>
      <c r="F681" s="4"/>
      <c r="G681" s="6">
        <f>IF(AND(A681="",B681=""),"",IF(COUNTIFS($A$2:$A$2001,A681,$B$2:$B$2001,B681)&gt;1,"DUPLICADO","OK"))</f>
      </c>
      <c r="H681" s="6">
        <f>IF(COUNTA(A681:F681)=0,"",IF(AND(A681&lt;&gt;"",B681&lt;&gt;"",E681&lt;&gt;""),"OK","ERRO: faltam "&amp;IF(A681="","Conta; ","")&amp;IF(B681="","Oportunidade; ","")&amp;IF(E681="","Novo gerente; ","")))</f>
      </c>
      <c r="I681" s="6">
        <f>IF(COUNTA(A681:F681)=0,"",IF(AND(G681="OK",H681="OK"),"OK","REVISAR"))</f>
      </c>
    </row>
    <row r="682">
      <c r="A682" s="5"/>
      <c r="B682" s="5"/>
      <c r="C682" s="4"/>
      <c r="D682" s="4"/>
      <c r="E682" s="5"/>
      <c r="F682" s="4"/>
      <c r="G682" s="6">
        <f>IF(AND(A682="",B682=""),"",IF(COUNTIFS($A$2:$A$2001,A682,$B$2:$B$2001,B682)&gt;1,"DUPLICADO","OK"))</f>
      </c>
      <c r="H682" s="6">
        <f>IF(COUNTA(A682:F682)=0,"",IF(AND(A682&lt;&gt;"",B682&lt;&gt;"",E682&lt;&gt;""),"OK","ERRO: faltam "&amp;IF(A682="","Conta; ","")&amp;IF(B682="","Oportunidade; ","")&amp;IF(E682="","Novo gerente; ","")))</f>
      </c>
      <c r="I682" s="6">
        <f>IF(COUNTA(A682:F682)=0,"",IF(AND(G682="OK",H682="OK"),"OK","REVISAR"))</f>
      </c>
    </row>
    <row r="683">
      <c r="A683" s="5"/>
      <c r="B683" s="5"/>
      <c r="C683" s="4"/>
      <c r="D683" s="4"/>
      <c r="E683" s="5"/>
      <c r="F683" s="4"/>
      <c r="G683" s="6">
        <f>IF(AND(A683="",B683=""),"",IF(COUNTIFS($A$2:$A$2001,A683,$B$2:$B$2001,B683)&gt;1,"DUPLICADO","OK"))</f>
      </c>
      <c r="H683" s="6">
        <f>IF(COUNTA(A683:F683)=0,"",IF(AND(A683&lt;&gt;"",B683&lt;&gt;"",E683&lt;&gt;""),"OK","ERRO: faltam "&amp;IF(A683="","Conta; ","")&amp;IF(B683="","Oportunidade; ","")&amp;IF(E683="","Novo gerente; ","")))</f>
      </c>
      <c r="I683" s="6">
        <f>IF(COUNTA(A683:F683)=0,"",IF(AND(G683="OK",H683="OK"),"OK","REVISAR"))</f>
      </c>
    </row>
    <row r="684">
      <c r="A684" s="5"/>
      <c r="B684" s="5"/>
      <c r="C684" s="4"/>
      <c r="D684" s="4"/>
      <c r="E684" s="5"/>
      <c r="F684" s="4"/>
      <c r="G684" s="6">
        <f>IF(AND(A684="",B684=""),"",IF(COUNTIFS($A$2:$A$2001,A684,$B$2:$B$2001,B684)&gt;1,"DUPLICADO","OK"))</f>
      </c>
      <c r="H684" s="6">
        <f>IF(COUNTA(A684:F684)=0,"",IF(AND(A684&lt;&gt;"",B684&lt;&gt;"",E684&lt;&gt;""),"OK","ERRO: faltam "&amp;IF(A684="","Conta; ","")&amp;IF(B684="","Oportunidade; ","")&amp;IF(E684="","Novo gerente; ","")))</f>
      </c>
      <c r="I684" s="6">
        <f>IF(COUNTA(A684:F684)=0,"",IF(AND(G684="OK",H684="OK"),"OK","REVISAR"))</f>
      </c>
    </row>
    <row r="685">
      <c r="A685" s="5"/>
      <c r="B685" s="5"/>
      <c r="C685" s="4"/>
      <c r="D685" s="4"/>
      <c r="E685" s="5"/>
      <c r="F685" s="4"/>
      <c r="G685" s="6">
        <f>IF(AND(A685="",B685=""),"",IF(COUNTIFS($A$2:$A$2001,A685,$B$2:$B$2001,B685)&gt;1,"DUPLICADO","OK"))</f>
      </c>
      <c r="H685" s="6">
        <f>IF(COUNTA(A685:F685)=0,"",IF(AND(A685&lt;&gt;"",B685&lt;&gt;"",E685&lt;&gt;""),"OK","ERRO: faltam "&amp;IF(A685="","Conta; ","")&amp;IF(B685="","Oportunidade; ","")&amp;IF(E685="","Novo gerente; ","")))</f>
      </c>
      <c r="I685" s="6">
        <f>IF(COUNTA(A685:F685)=0,"",IF(AND(G685="OK",H685="OK"),"OK","REVISAR"))</f>
      </c>
    </row>
    <row r="686">
      <c r="A686" s="5"/>
      <c r="B686" s="5"/>
      <c r="C686" s="4"/>
      <c r="D686" s="4"/>
      <c r="E686" s="5"/>
      <c r="F686" s="4"/>
      <c r="G686" s="6">
        <f>IF(AND(A686="",B686=""),"",IF(COUNTIFS($A$2:$A$2001,A686,$B$2:$B$2001,B686)&gt;1,"DUPLICADO","OK"))</f>
      </c>
      <c r="H686" s="6">
        <f>IF(COUNTA(A686:F686)=0,"",IF(AND(A686&lt;&gt;"",B686&lt;&gt;"",E686&lt;&gt;""),"OK","ERRO: faltam "&amp;IF(A686="","Conta; ","")&amp;IF(B686="","Oportunidade; ","")&amp;IF(E686="","Novo gerente; ","")))</f>
      </c>
      <c r="I686" s="6">
        <f>IF(COUNTA(A686:F686)=0,"",IF(AND(G686="OK",H686="OK"),"OK","REVISAR"))</f>
      </c>
    </row>
    <row r="687">
      <c r="A687" s="5"/>
      <c r="B687" s="5"/>
      <c r="C687" s="4"/>
      <c r="D687" s="4"/>
      <c r="E687" s="5"/>
      <c r="F687" s="4"/>
      <c r="G687" s="6">
        <f>IF(AND(A687="",B687=""),"",IF(COUNTIFS($A$2:$A$2001,A687,$B$2:$B$2001,B687)&gt;1,"DUPLICADO","OK"))</f>
      </c>
      <c r="H687" s="6">
        <f>IF(COUNTA(A687:F687)=0,"",IF(AND(A687&lt;&gt;"",B687&lt;&gt;"",E687&lt;&gt;""),"OK","ERRO: faltam "&amp;IF(A687="","Conta; ","")&amp;IF(B687="","Oportunidade; ","")&amp;IF(E687="","Novo gerente; ","")))</f>
      </c>
      <c r="I687" s="6">
        <f>IF(COUNTA(A687:F687)=0,"",IF(AND(G687="OK",H687="OK"),"OK","REVISAR"))</f>
      </c>
    </row>
    <row r="688">
      <c r="A688" s="5"/>
      <c r="B688" s="5"/>
      <c r="C688" s="4"/>
      <c r="D688" s="4"/>
      <c r="E688" s="5"/>
      <c r="F688" s="4"/>
      <c r="G688" s="6">
        <f>IF(AND(A688="",B688=""),"",IF(COUNTIFS($A$2:$A$2001,A688,$B$2:$B$2001,B688)&gt;1,"DUPLICADO","OK"))</f>
      </c>
      <c r="H688" s="6">
        <f>IF(COUNTA(A688:F688)=0,"",IF(AND(A688&lt;&gt;"",B688&lt;&gt;"",E688&lt;&gt;""),"OK","ERRO: faltam "&amp;IF(A688="","Conta; ","")&amp;IF(B688="","Oportunidade; ","")&amp;IF(E688="","Novo gerente; ","")))</f>
      </c>
      <c r="I688" s="6">
        <f>IF(COUNTA(A688:F688)=0,"",IF(AND(G688="OK",H688="OK"),"OK","REVISAR"))</f>
      </c>
    </row>
    <row r="689">
      <c r="A689" s="5"/>
      <c r="B689" s="5"/>
      <c r="C689" s="4"/>
      <c r="D689" s="4"/>
      <c r="E689" s="5"/>
      <c r="F689" s="4"/>
      <c r="G689" s="6">
        <f>IF(AND(A689="",B689=""),"",IF(COUNTIFS($A$2:$A$2001,A689,$B$2:$B$2001,B689)&gt;1,"DUPLICADO","OK"))</f>
      </c>
      <c r="H689" s="6">
        <f>IF(COUNTA(A689:F689)=0,"",IF(AND(A689&lt;&gt;"",B689&lt;&gt;"",E689&lt;&gt;""),"OK","ERRO: faltam "&amp;IF(A689="","Conta; ","")&amp;IF(B689="","Oportunidade; ","")&amp;IF(E689="","Novo gerente; ","")))</f>
      </c>
      <c r="I689" s="6">
        <f>IF(COUNTA(A689:F689)=0,"",IF(AND(G689="OK",H689="OK"),"OK","REVISAR"))</f>
      </c>
    </row>
    <row r="690">
      <c r="A690" s="5"/>
      <c r="B690" s="5"/>
      <c r="C690" s="4"/>
      <c r="D690" s="4"/>
      <c r="E690" s="5"/>
      <c r="F690" s="4"/>
      <c r="G690" s="6">
        <f>IF(AND(A690="",B690=""),"",IF(COUNTIFS($A$2:$A$2001,A690,$B$2:$B$2001,B690)&gt;1,"DUPLICADO","OK"))</f>
      </c>
      <c r="H690" s="6">
        <f>IF(COUNTA(A690:F690)=0,"",IF(AND(A690&lt;&gt;"",B690&lt;&gt;"",E690&lt;&gt;""),"OK","ERRO: faltam "&amp;IF(A690="","Conta; ","")&amp;IF(B690="","Oportunidade; ","")&amp;IF(E690="","Novo gerente; ","")))</f>
      </c>
      <c r="I690" s="6">
        <f>IF(COUNTA(A690:F690)=0,"",IF(AND(G690="OK",H690="OK"),"OK","REVISAR"))</f>
      </c>
    </row>
    <row r="691">
      <c r="A691" s="5"/>
      <c r="B691" s="5"/>
      <c r="C691" s="4"/>
      <c r="D691" s="4"/>
      <c r="E691" s="5"/>
      <c r="F691" s="4"/>
      <c r="G691" s="6">
        <f>IF(AND(A691="",B691=""),"",IF(COUNTIFS($A$2:$A$2001,A691,$B$2:$B$2001,B691)&gt;1,"DUPLICADO","OK"))</f>
      </c>
      <c r="H691" s="6">
        <f>IF(COUNTA(A691:F691)=0,"",IF(AND(A691&lt;&gt;"",B691&lt;&gt;"",E691&lt;&gt;""),"OK","ERRO: faltam "&amp;IF(A691="","Conta; ","")&amp;IF(B691="","Oportunidade; ","")&amp;IF(E691="","Novo gerente; ","")))</f>
      </c>
      <c r="I691" s="6">
        <f>IF(COUNTA(A691:F691)=0,"",IF(AND(G691="OK",H691="OK"),"OK","REVISAR"))</f>
      </c>
    </row>
    <row r="692">
      <c r="A692" s="5"/>
      <c r="B692" s="5"/>
      <c r="C692" s="4"/>
      <c r="D692" s="4"/>
      <c r="E692" s="5"/>
      <c r="F692" s="4"/>
      <c r="G692" s="6">
        <f>IF(AND(A692="",B692=""),"",IF(COUNTIFS($A$2:$A$2001,A692,$B$2:$B$2001,B692)&gt;1,"DUPLICADO","OK"))</f>
      </c>
      <c r="H692" s="6">
        <f>IF(COUNTA(A692:F692)=0,"",IF(AND(A692&lt;&gt;"",B692&lt;&gt;"",E692&lt;&gt;""),"OK","ERRO: faltam "&amp;IF(A692="","Conta; ","")&amp;IF(B692="","Oportunidade; ","")&amp;IF(E692="","Novo gerente; ","")))</f>
      </c>
      <c r="I692" s="6">
        <f>IF(COUNTA(A692:F692)=0,"",IF(AND(G692="OK",H692="OK"),"OK","REVISAR"))</f>
      </c>
    </row>
    <row r="693">
      <c r="A693" s="5"/>
      <c r="B693" s="5"/>
      <c r="C693" s="4"/>
      <c r="D693" s="4"/>
      <c r="E693" s="5"/>
      <c r="F693" s="4"/>
      <c r="G693" s="6">
        <f>IF(AND(A693="",B693=""),"",IF(COUNTIFS($A$2:$A$2001,A693,$B$2:$B$2001,B693)&gt;1,"DUPLICADO","OK"))</f>
      </c>
      <c r="H693" s="6">
        <f>IF(COUNTA(A693:F693)=0,"",IF(AND(A693&lt;&gt;"",B693&lt;&gt;"",E693&lt;&gt;""),"OK","ERRO: faltam "&amp;IF(A693="","Conta; ","")&amp;IF(B693="","Oportunidade; ","")&amp;IF(E693="","Novo gerente; ","")))</f>
      </c>
      <c r="I693" s="6">
        <f>IF(COUNTA(A693:F693)=0,"",IF(AND(G693="OK",H693="OK"),"OK","REVISAR"))</f>
      </c>
    </row>
    <row r="694">
      <c r="A694" s="5"/>
      <c r="B694" s="5"/>
      <c r="C694" s="4"/>
      <c r="D694" s="4"/>
      <c r="E694" s="5"/>
      <c r="F694" s="4"/>
      <c r="G694" s="6">
        <f>IF(AND(A694="",B694=""),"",IF(COUNTIFS($A$2:$A$2001,A694,$B$2:$B$2001,B694)&gt;1,"DUPLICADO","OK"))</f>
      </c>
      <c r="H694" s="6">
        <f>IF(COUNTA(A694:F694)=0,"",IF(AND(A694&lt;&gt;"",B694&lt;&gt;"",E694&lt;&gt;""),"OK","ERRO: faltam "&amp;IF(A694="","Conta; ","")&amp;IF(B694="","Oportunidade; ","")&amp;IF(E694="","Novo gerente; ","")))</f>
      </c>
      <c r="I694" s="6">
        <f>IF(COUNTA(A694:F694)=0,"",IF(AND(G694="OK",H694="OK"),"OK","REVISAR"))</f>
      </c>
    </row>
    <row r="695">
      <c r="A695" s="5"/>
      <c r="B695" s="5"/>
      <c r="C695" s="4"/>
      <c r="D695" s="4"/>
      <c r="E695" s="5"/>
      <c r="F695" s="4"/>
      <c r="G695" s="6">
        <f>IF(AND(A695="",B695=""),"",IF(COUNTIFS($A$2:$A$2001,A695,$B$2:$B$2001,B695)&gt;1,"DUPLICADO","OK"))</f>
      </c>
      <c r="H695" s="6">
        <f>IF(COUNTA(A695:F695)=0,"",IF(AND(A695&lt;&gt;"",B695&lt;&gt;"",E695&lt;&gt;""),"OK","ERRO: faltam "&amp;IF(A695="","Conta; ","")&amp;IF(B695="","Oportunidade; ","")&amp;IF(E695="","Novo gerente; ","")))</f>
      </c>
      <c r="I695" s="6">
        <f>IF(COUNTA(A695:F695)=0,"",IF(AND(G695="OK",H695="OK"),"OK","REVISAR"))</f>
      </c>
    </row>
    <row r="696">
      <c r="A696" s="5"/>
      <c r="B696" s="5"/>
      <c r="C696" s="4"/>
      <c r="D696" s="4"/>
      <c r="E696" s="5"/>
      <c r="F696" s="4"/>
      <c r="G696" s="6">
        <f>IF(AND(A696="",B696=""),"",IF(COUNTIFS($A$2:$A$2001,A696,$B$2:$B$2001,B696)&gt;1,"DUPLICADO","OK"))</f>
      </c>
      <c r="H696" s="6">
        <f>IF(COUNTA(A696:F696)=0,"",IF(AND(A696&lt;&gt;"",B696&lt;&gt;"",E696&lt;&gt;""),"OK","ERRO: faltam "&amp;IF(A696="","Conta; ","")&amp;IF(B696="","Oportunidade; ","")&amp;IF(E696="","Novo gerente; ","")))</f>
      </c>
      <c r="I696" s="6">
        <f>IF(COUNTA(A696:F696)=0,"",IF(AND(G696="OK",H696="OK"),"OK","REVISAR"))</f>
      </c>
    </row>
    <row r="697">
      <c r="A697" s="5"/>
      <c r="B697" s="5"/>
      <c r="C697" s="4"/>
      <c r="D697" s="4"/>
      <c r="E697" s="5"/>
      <c r="F697" s="4"/>
      <c r="G697" s="6">
        <f>IF(AND(A697="",B697=""),"",IF(COUNTIFS($A$2:$A$2001,A697,$B$2:$B$2001,B697)&gt;1,"DUPLICADO","OK"))</f>
      </c>
      <c r="H697" s="6">
        <f>IF(COUNTA(A697:F697)=0,"",IF(AND(A697&lt;&gt;"",B697&lt;&gt;"",E697&lt;&gt;""),"OK","ERRO: faltam "&amp;IF(A697="","Conta; ","")&amp;IF(B697="","Oportunidade; ","")&amp;IF(E697="","Novo gerente; ","")))</f>
      </c>
      <c r="I697" s="6">
        <f>IF(COUNTA(A697:F697)=0,"",IF(AND(G697="OK",H697="OK"),"OK","REVISAR"))</f>
      </c>
    </row>
    <row r="698">
      <c r="A698" s="5"/>
      <c r="B698" s="5"/>
      <c r="C698" s="4"/>
      <c r="D698" s="4"/>
      <c r="E698" s="5"/>
      <c r="F698" s="4"/>
      <c r="G698" s="6">
        <f>IF(AND(A698="",B698=""),"",IF(COUNTIFS($A$2:$A$2001,A698,$B$2:$B$2001,B698)&gt;1,"DUPLICADO","OK"))</f>
      </c>
      <c r="H698" s="6">
        <f>IF(COUNTA(A698:F698)=0,"",IF(AND(A698&lt;&gt;"",B698&lt;&gt;"",E698&lt;&gt;""),"OK","ERRO: faltam "&amp;IF(A698="","Conta; ","")&amp;IF(B698="","Oportunidade; ","")&amp;IF(E698="","Novo gerente; ","")))</f>
      </c>
      <c r="I698" s="6">
        <f>IF(COUNTA(A698:F698)=0,"",IF(AND(G698="OK",H698="OK"),"OK","REVISAR"))</f>
      </c>
    </row>
    <row r="699">
      <c r="A699" s="5"/>
      <c r="B699" s="5"/>
      <c r="C699" s="4"/>
      <c r="D699" s="4"/>
      <c r="E699" s="5"/>
      <c r="F699" s="4"/>
      <c r="G699" s="6">
        <f>IF(AND(A699="",B699=""),"",IF(COUNTIFS($A$2:$A$2001,A699,$B$2:$B$2001,B699)&gt;1,"DUPLICADO","OK"))</f>
      </c>
      <c r="H699" s="6">
        <f>IF(COUNTA(A699:F699)=0,"",IF(AND(A699&lt;&gt;"",B699&lt;&gt;"",E699&lt;&gt;""),"OK","ERRO: faltam "&amp;IF(A699="","Conta; ","")&amp;IF(B699="","Oportunidade; ","")&amp;IF(E699="","Novo gerente; ","")))</f>
      </c>
      <c r="I699" s="6">
        <f>IF(COUNTA(A699:F699)=0,"",IF(AND(G699="OK",H699="OK"),"OK","REVISAR"))</f>
      </c>
    </row>
    <row r="700">
      <c r="A700" s="5"/>
      <c r="B700" s="5"/>
      <c r="C700" s="4"/>
      <c r="D700" s="4"/>
      <c r="E700" s="5"/>
      <c r="F700" s="4"/>
      <c r="G700" s="6">
        <f>IF(AND(A700="",B700=""),"",IF(COUNTIFS($A$2:$A$2001,A700,$B$2:$B$2001,B700)&gt;1,"DUPLICADO","OK"))</f>
      </c>
      <c r="H700" s="6">
        <f>IF(COUNTA(A700:F700)=0,"",IF(AND(A700&lt;&gt;"",B700&lt;&gt;"",E700&lt;&gt;""),"OK","ERRO: faltam "&amp;IF(A700="","Conta; ","")&amp;IF(B700="","Oportunidade; ","")&amp;IF(E700="","Novo gerente; ","")))</f>
      </c>
      <c r="I700" s="6">
        <f>IF(COUNTA(A700:F700)=0,"",IF(AND(G700="OK",H700="OK"),"OK","REVISAR"))</f>
      </c>
    </row>
    <row r="701">
      <c r="A701" s="5"/>
      <c r="B701" s="5"/>
      <c r="C701" s="4"/>
      <c r="D701" s="4"/>
      <c r="E701" s="5"/>
      <c r="F701" s="4"/>
      <c r="G701" s="6">
        <f>IF(AND(A701="",B701=""),"",IF(COUNTIFS($A$2:$A$2001,A701,$B$2:$B$2001,B701)&gt;1,"DUPLICADO","OK"))</f>
      </c>
      <c r="H701" s="6">
        <f>IF(COUNTA(A701:F701)=0,"",IF(AND(A701&lt;&gt;"",B701&lt;&gt;"",E701&lt;&gt;""),"OK","ERRO: faltam "&amp;IF(A701="","Conta; ","")&amp;IF(B701="","Oportunidade; ","")&amp;IF(E701="","Novo gerente; ","")))</f>
      </c>
      <c r="I701" s="6">
        <f>IF(COUNTA(A701:F701)=0,"",IF(AND(G701="OK",H701="OK"),"OK","REVISAR"))</f>
      </c>
    </row>
    <row r="702">
      <c r="A702" s="5"/>
      <c r="B702" s="5"/>
      <c r="C702" s="4"/>
      <c r="D702" s="4"/>
      <c r="E702" s="5"/>
      <c r="F702" s="4"/>
      <c r="G702" s="6">
        <f>IF(AND(A702="",B702=""),"",IF(COUNTIFS($A$2:$A$2001,A702,$B$2:$B$2001,B702)&gt;1,"DUPLICADO","OK"))</f>
      </c>
      <c r="H702" s="6">
        <f>IF(COUNTA(A702:F702)=0,"",IF(AND(A702&lt;&gt;"",B702&lt;&gt;"",E702&lt;&gt;""),"OK","ERRO: faltam "&amp;IF(A702="","Conta; ","")&amp;IF(B702="","Oportunidade; ","")&amp;IF(E702="","Novo gerente; ","")))</f>
      </c>
      <c r="I702" s="6">
        <f>IF(COUNTA(A702:F702)=0,"",IF(AND(G702="OK",H702="OK"),"OK","REVISAR"))</f>
      </c>
    </row>
    <row r="703">
      <c r="A703" s="5"/>
      <c r="B703" s="5"/>
      <c r="C703" s="4"/>
      <c r="D703" s="4"/>
      <c r="E703" s="5"/>
      <c r="F703" s="4"/>
      <c r="G703" s="6">
        <f>IF(AND(A703="",B703=""),"",IF(COUNTIFS($A$2:$A$2001,A703,$B$2:$B$2001,B703)&gt;1,"DUPLICADO","OK"))</f>
      </c>
      <c r="H703" s="6">
        <f>IF(COUNTA(A703:F703)=0,"",IF(AND(A703&lt;&gt;"",B703&lt;&gt;"",E703&lt;&gt;""),"OK","ERRO: faltam "&amp;IF(A703="","Conta; ","")&amp;IF(B703="","Oportunidade; ","")&amp;IF(E703="","Novo gerente; ","")))</f>
      </c>
      <c r="I703" s="6">
        <f>IF(COUNTA(A703:F703)=0,"",IF(AND(G703="OK",H703="OK"),"OK","REVISAR"))</f>
      </c>
    </row>
    <row r="704">
      <c r="A704" s="5"/>
      <c r="B704" s="5"/>
      <c r="C704" s="4"/>
      <c r="D704" s="4"/>
      <c r="E704" s="5"/>
      <c r="F704" s="4"/>
      <c r="G704" s="6">
        <f>IF(AND(A704="",B704=""),"",IF(COUNTIFS($A$2:$A$2001,A704,$B$2:$B$2001,B704)&gt;1,"DUPLICADO","OK"))</f>
      </c>
      <c r="H704" s="6">
        <f>IF(COUNTA(A704:F704)=0,"",IF(AND(A704&lt;&gt;"",B704&lt;&gt;"",E704&lt;&gt;""),"OK","ERRO: faltam "&amp;IF(A704="","Conta; ","")&amp;IF(B704="","Oportunidade; ","")&amp;IF(E704="","Novo gerente; ","")))</f>
      </c>
      <c r="I704" s="6">
        <f>IF(COUNTA(A704:F704)=0,"",IF(AND(G704="OK",H704="OK"),"OK","REVISAR"))</f>
      </c>
    </row>
    <row r="705">
      <c r="A705" s="5"/>
      <c r="B705" s="5"/>
      <c r="C705" s="4"/>
      <c r="D705" s="4"/>
      <c r="E705" s="5"/>
      <c r="F705" s="4"/>
      <c r="G705" s="6">
        <f>IF(AND(A705="",B705=""),"",IF(COUNTIFS($A$2:$A$2001,A705,$B$2:$B$2001,B705)&gt;1,"DUPLICADO","OK"))</f>
      </c>
      <c r="H705" s="6">
        <f>IF(COUNTA(A705:F705)=0,"",IF(AND(A705&lt;&gt;"",B705&lt;&gt;"",E705&lt;&gt;""),"OK","ERRO: faltam "&amp;IF(A705="","Conta; ","")&amp;IF(B705="","Oportunidade; ","")&amp;IF(E705="","Novo gerente; ","")))</f>
      </c>
      <c r="I705" s="6">
        <f>IF(COUNTA(A705:F705)=0,"",IF(AND(G705="OK",H705="OK"),"OK","REVISAR"))</f>
      </c>
    </row>
    <row r="706">
      <c r="A706" s="5"/>
      <c r="B706" s="5"/>
      <c r="C706" s="4"/>
      <c r="D706" s="4"/>
      <c r="E706" s="5"/>
      <c r="F706" s="4"/>
      <c r="G706" s="6">
        <f>IF(AND(A706="",B706=""),"",IF(COUNTIFS($A$2:$A$2001,A706,$B$2:$B$2001,B706)&gt;1,"DUPLICADO","OK"))</f>
      </c>
      <c r="H706" s="6">
        <f>IF(COUNTA(A706:F706)=0,"",IF(AND(A706&lt;&gt;"",B706&lt;&gt;"",E706&lt;&gt;""),"OK","ERRO: faltam "&amp;IF(A706="","Conta; ","")&amp;IF(B706="","Oportunidade; ","")&amp;IF(E706="","Novo gerente; ","")))</f>
      </c>
      <c r="I706" s="6">
        <f>IF(COUNTA(A706:F706)=0,"",IF(AND(G706="OK",H706="OK"),"OK","REVISAR"))</f>
      </c>
    </row>
    <row r="707">
      <c r="A707" s="5"/>
      <c r="B707" s="5"/>
      <c r="C707" s="4"/>
      <c r="D707" s="4"/>
      <c r="E707" s="5"/>
      <c r="F707" s="4"/>
      <c r="G707" s="6">
        <f>IF(AND(A707="",B707=""),"",IF(COUNTIFS($A$2:$A$2001,A707,$B$2:$B$2001,B707)&gt;1,"DUPLICADO","OK"))</f>
      </c>
      <c r="H707" s="6">
        <f>IF(COUNTA(A707:F707)=0,"",IF(AND(A707&lt;&gt;"",B707&lt;&gt;"",E707&lt;&gt;""),"OK","ERRO: faltam "&amp;IF(A707="","Conta; ","")&amp;IF(B707="","Oportunidade; ","")&amp;IF(E707="","Novo gerente; ","")))</f>
      </c>
      <c r="I707" s="6">
        <f>IF(COUNTA(A707:F707)=0,"",IF(AND(G707="OK",H707="OK"),"OK","REVISAR"))</f>
      </c>
    </row>
    <row r="708">
      <c r="A708" s="5"/>
      <c r="B708" s="5"/>
      <c r="C708" s="4"/>
      <c r="D708" s="4"/>
      <c r="E708" s="5"/>
      <c r="F708" s="4"/>
      <c r="G708" s="6">
        <f>IF(AND(A708="",B708=""),"",IF(COUNTIFS($A$2:$A$2001,A708,$B$2:$B$2001,B708)&gt;1,"DUPLICADO","OK"))</f>
      </c>
      <c r="H708" s="6">
        <f>IF(COUNTA(A708:F708)=0,"",IF(AND(A708&lt;&gt;"",B708&lt;&gt;"",E708&lt;&gt;""),"OK","ERRO: faltam "&amp;IF(A708="","Conta; ","")&amp;IF(B708="","Oportunidade; ","")&amp;IF(E708="","Novo gerente; ","")))</f>
      </c>
      <c r="I708" s="6">
        <f>IF(COUNTA(A708:F708)=0,"",IF(AND(G708="OK",H708="OK"),"OK","REVISAR"))</f>
      </c>
    </row>
    <row r="709">
      <c r="A709" s="5"/>
      <c r="B709" s="5"/>
      <c r="C709" s="4"/>
      <c r="D709" s="4"/>
      <c r="E709" s="5"/>
      <c r="F709" s="4"/>
      <c r="G709" s="6">
        <f>IF(AND(A709="",B709=""),"",IF(COUNTIFS($A$2:$A$2001,A709,$B$2:$B$2001,B709)&gt;1,"DUPLICADO","OK"))</f>
      </c>
      <c r="H709" s="6">
        <f>IF(COUNTA(A709:F709)=0,"",IF(AND(A709&lt;&gt;"",B709&lt;&gt;"",E709&lt;&gt;""),"OK","ERRO: faltam "&amp;IF(A709="","Conta; ","")&amp;IF(B709="","Oportunidade; ","")&amp;IF(E709="","Novo gerente; ","")))</f>
      </c>
      <c r="I709" s="6">
        <f>IF(COUNTA(A709:F709)=0,"",IF(AND(G709="OK",H709="OK"),"OK","REVISAR"))</f>
      </c>
    </row>
    <row r="710">
      <c r="A710" s="5"/>
      <c r="B710" s="5"/>
      <c r="C710" s="4"/>
      <c r="D710" s="4"/>
      <c r="E710" s="5"/>
      <c r="F710" s="4"/>
      <c r="G710" s="6">
        <f>IF(AND(A710="",B710=""),"",IF(COUNTIFS($A$2:$A$2001,A710,$B$2:$B$2001,B710)&gt;1,"DUPLICADO","OK"))</f>
      </c>
      <c r="H710" s="6">
        <f>IF(COUNTA(A710:F710)=0,"",IF(AND(A710&lt;&gt;"",B710&lt;&gt;"",E710&lt;&gt;""),"OK","ERRO: faltam "&amp;IF(A710="","Conta; ","")&amp;IF(B710="","Oportunidade; ","")&amp;IF(E710="","Novo gerente; ","")))</f>
      </c>
      <c r="I710" s="6">
        <f>IF(COUNTA(A710:F710)=0,"",IF(AND(G710="OK",H710="OK"),"OK","REVISAR"))</f>
      </c>
    </row>
    <row r="711">
      <c r="A711" s="5"/>
      <c r="B711" s="5"/>
      <c r="C711" s="4"/>
      <c r="D711" s="4"/>
      <c r="E711" s="5"/>
      <c r="F711" s="4"/>
      <c r="G711" s="6">
        <f>IF(AND(A711="",B711=""),"",IF(COUNTIFS($A$2:$A$2001,A711,$B$2:$B$2001,B711)&gt;1,"DUPLICADO","OK"))</f>
      </c>
      <c r="H711" s="6">
        <f>IF(COUNTA(A711:F711)=0,"",IF(AND(A711&lt;&gt;"",B711&lt;&gt;"",E711&lt;&gt;""),"OK","ERRO: faltam "&amp;IF(A711="","Conta; ","")&amp;IF(B711="","Oportunidade; ","")&amp;IF(E711="","Novo gerente; ","")))</f>
      </c>
      <c r="I711" s="6">
        <f>IF(COUNTA(A711:F711)=0,"",IF(AND(G711="OK",H711="OK"),"OK","REVISAR"))</f>
      </c>
    </row>
    <row r="712">
      <c r="A712" s="5"/>
      <c r="B712" s="5"/>
      <c r="C712" s="4"/>
      <c r="D712" s="4"/>
      <c r="E712" s="5"/>
      <c r="F712" s="4"/>
      <c r="G712" s="6">
        <f>IF(AND(A712="",B712=""),"",IF(COUNTIFS($A$2:$A$2001,A712,$B$2:$B$2001,B712)&gt;1,"DUPLICADO","OK"))</f>
      </c>
      <c r="H712" s="6">
        <f>IF(COUNTA(A712:F712)=0,"",IF(AND(A712&lt;&gt;"",B712&lt;&gt;"",E712&lt;&gt;""),"OK","ERRO: faltam "&amp;IF(A712="","Conta; ","")&amp;IF(B712="","Oportunidade; ","")&amp;IF(E712="","Novo gerente; ","")))</f>
      </c>
      <c r="I712" s="6">
        <f>IF(COUNTA(A712:F712)=0,"",IF(AND(G712="OK",H712="OK"),"OK","REVISAR"))</f>
      </c>
    </row>
    <row r="713">
      <c r="A713" s="5"/>
      <c r="B713" s="5"/>
      <c r="C713" s="4"/>
      <c r="D713" s="4"/>
      <c r="E713" s="5"/>
      <c r="F713" s="4"/>
      <c r="G713" s="6">
        <f>IF(AND(A713="",B713=""),"",IF(COUNTIFS($A$2:$A$2001,A713,$B$2:$B$2001,B713)&gt;1,"DUPLICADO","OK"))</f>
      </c>
      <c r="H713" s="6">
        <f>IF(COUNTA(A713:F713)=0,"",IF(AND(A713&lt;&gt;"",B713&lt;&gt;"",E713&lt;&gt;""),"OK","ERRO: faltam "&amp;IF(A713="","Conta; ","")&amp;IF(B713="","Oportunidade; ","")&amp;IF(E713="","Novo gerente; ","")))</f>
      </c>
      <c r="I713" s="6">
        <f>IF(COUNTA(A713:F713)=0,"",IF(AND(G713="OK",H713="OK"),"OK","REVISAR"))</f>
      </c>
    </row>
    <row r="714">
      <c r="A714" s="5"/>
      <c r="B714" s="5"/>
      <c r="C714" s="4"/>
      <c r="D714" s="4"/>
      <c r="E714" s="5"/>
      <c r="F714" s="4"/>
      <c r="G714" s="6">
        <f>IF(AND(A714="",B714=""),"",IF(COUNTIFS($A$2:$A$2001,A714,$B$2:$B$2001,B714)&gt;1,"DUPLICADO","OK"))</f>
      </c>
      <c r="H714" s="6">
        <f>IF(COUNTA(A714:F714)=0,"",IF(AND(A714&lt;&gt;"",B714&lt;&gt;"",E714&lt;&gt;""),"OK","ERRO: faltam "&amp;IF(A714="","Conta; ","")&amp;IF(B714="","Oportunidade; ","")&amp;IF(E714="","Novo gerente; ","")))</f>
      </c>
      <c r="I714" s="6">
        <f>IF(COUNTA(A714:F714)=0,"",IF(AND(G714="OK",H714="OK"),"OK","REVISAR"))</f>
      </c>
    </row>
    <row r="715">
      <c r="A715" s="5"/>
      <c r="B715" s="5"/>
      <c r="C715" s="4"/>
      <c r="D715" s="4"/>
      <c r="E715" s="5"/>
      <c r="F715" s="4"/>
      <c r="G715" s="6">
        <f>IF(AND(A715="",B715=""),"",IF(COUNTIFS($A$2:$A$2001,A715,$B$2:$B$2001,B715)&gt;1,"DUPLICADO","OK"))</f>
      </c>
      <c r="H715" s="6">
        <f>IF(COUNTA(A715:F715)=0,"",IF(AND(A715&lt;&gt;"",B715&lt;&gt;"",E715&lt;&gt;""),"OK","ERRO: faltam "&amp;IF(A715="","Conta; ","")&amp;IF(B715="","Oportunidade; ","")&amp;IF(E715="","Novo gerente; ","")))</f>
      </c>
      <c r="I715" s="6">
        <f>IF(COUNTA(A715:F715)=0,"",IF(AND(G715="OK",H715="OK"),"OK","REVISAR"))</f>
      </c>
    </row>
    <row r="716">
      <c r="A716" s="5"/>
      <c r="B716" s="5"/>
      <c r="C716" s="4"/>
      <c r="D716" s="4"/>
      <c r="E716" s="5"/>
      <c r="F716" s="4"/>
      <c r="G716" s="6">
        <f>IF(AND(A716="",B716=""),"",IF(COUNTIFS($A$2:$A$2001,A716,$B$2:$B$2001,B716)&gt;1,"DUPLICADO","OK"))</f>
      </c>
      <c r="H716" s="6">
        <f>IF(COUNTA(A716:F716)=0,"",IF(AND(A716&lt;&gt;"",B716&lt;&gt;"",E716&lt;&gt;""),"OK","ERRO: faltam "&amp;IF(A716="","Conta; ","")&amp;IF(B716="","Oportunidade; ","")&amp;IF(E716="","Novo gerente; ","")))</f>
      </c>
      <c r="I716" s="6">
        <f>IF(COUNTA(A716:F716)=0,"",IF(AND(G716="OK",H716="OK"),"OK","REVISAR"))</f>
      </c>
    </row>
    <row r="717">
      <c r="A717" s="5"/>
      <c r="B717" s="5"/>
      <c r="C717" s="4"/>
      <c r="D717" s="4"/>
      <c r="E717" s="5"/>
      <c r="F717" s="4"/>
      <c r="G717" s="6">
        <f>IF(AND(A717="",B717=""),"",IF(COUNTIFS($A$2:$A$2001,A717,$B$2:$B$2001,B717)&gt;1,"DUPLICADO","OK"))</f>
      </c>
      <c r="H717" s="6">
        <f>IF(COUNTA(A717:F717)=0,"",IF(AND(A717&lt;&gt;"",B717&lt;&gt;"",E717&lt;&gt;""),"OK","ERRO: faltam "&amp;IF(A717="","Conta; ","")&amp;IF(B717="","Oportunidade; ","")&amp;IF(E717="","Novo gerente; ","")))</f>
      </c>
      <c r="I717" s="6">
        <f>IF(COUNTA(A717:F717)=0,"",IF(AND(G717="OK",H717="OK"),"OK","REVISAR"))</f>
      </c>
    </row>
    <row r="718">
      <c r="A718" s="5"/>
      <c r="B718" s="5"/>
      <c r="C718" s="4"/>
      <c r="D718" s="4"/>
      <c r="E718" s="5"/>
      <c r="F718" s="4"/>
      <c r="G718" s="6">
        <f>IF(AND(A718="",B718=""),"",IF(COUNTIFS($A$2:$A$2001,A718,$B$2:$B$2001,B718)&gt;1,"DUPLICADO","OK"))</f>
      </c>
      <c r="H718" s="6">
        <f>IF(COUNTA(A718:F718)=0,"",IF(AND(A718&lt;&gt;"",B718&lt;&gt;"",E718&lt;&gt;""),"OK","ERRO: faltam "&amp;IF(A718="","Conta; ","")&amp;IF(B718="","Oportunidade; ","")&amp;IF(E718="","Novo gerente; ","")))</f>
      </c>
      <c r="I718" s="6">
        <f>IF(COUNTA(A718:F718)=0,"",IF(AND(G718="OK",H718="OK"),"OK","REVISAR"))</f>
      </c>
    </row>
    <row r="719">
      <c r="A719" s="5"/>
      <c r="B719" s="5"/>
      <c r="C719" s="4"/>
      <c r="D719" s="4"/>
      <c r="E719" s="5"/>
      <c r="F719" s="4"/>
      <c r="G719" s="6">
        <f>IF(AND(A719="",B719=""),"",IF(COUNTIFS($A$2:$A$2001,A719,$B$2:$B$2001,B719)&gt;1,"DUPLICADO","OK"))</f>
      </c>
      <c r="H719" s="6">
        <f>IF(COUNTA(A719:F719)=0,"",IF(AND(A719&lt;&gt;"",B719&lt;&gt;"",E719&lt;&gt;""),"OK","ERRO: faltam "&amp;IF(A719="","Conta; ","")&amp;IF(B719="","Oportunidade; ","")&amp;IF(E719="","Novo gerente; ","")))</f>
      </c>
      <c r="I719" s="6">
        <f>IF(COUNTA(A719:F719)=0,"",IF(AND(G719="OK",H719="OK"),"OK","REVISAR"))</f>
      </c>
    </row>
    <row r="720">
      <c r="A720" s="5"/>
      <c r="B720" s="5"/>
      <c r="C720" s="4"/>
      <c r="D720" s="4"/>
      <c r="E720" s="5"/>
      <c r="F720" s="4"/>
      <c r="G720" s="6">
        <f>IF(AND(A720="",B720=""),"",IF(COUNTIFS($A$2:$A$2001,A720,$B$2:$B$2001,B720)&gt;1,"DUPLICADO","OK"))</f>
      </c>
      <c r="H720" s="6">
        <f>IF(COUNTA(A720:F720)=0,"",IF(AND(A720&lt;&gt;"",B720&lt;&gt;"",E720&lt;&gt;""),"OK","ERRO: faltam "&amp;IF(A720="","Conta; ","")&amp;IF(B720="","Oportunidade; ","")&amp;IF(E720="","Novo gerente; ","")))</f>
      </c>
      <c r="I720" s="6">
        <f>IF(COUNTA(A720:F720)=0,"",IF(AND(G720="OK",H720="OK"),"OK","REVISAR"))</f>
      </c>
    </row>
    <row r="721">
      <c r="A721" s="5"/>
      <c r="B721" s="5"/>
      <c r="C721" s="4"/>
      <c r="D721" s="4"/>
      <c r="E721" s="5"/>
      <c r="F721" s="4"/>
      <c r="G721" s="6">
        <f>IF(AND(A721="",B721=""),"",IF(COUNTIFS($A$2:$A$2001,A721,$B$2:$B$2001,B721)&gt;1,"DUPLICADO","OK"))</f>
      </c>
      <c r="H721" s="6">
        <f>IF(COUNTA(A721:F721)=0,"",IF(AND(A721&lt;&gt;"",B721&lt;&gt;"",E721&lt;&gt;""),"OK","ERRO: faltam "&amp;IF(A721="","Conta; ","")&amp;IF(B721="","Oportunidade; ","")&amp;IF(E721="","Novo gerente; ","")))</f>
      </c>
      <c r="I721" s="6">
        <f>IF(COUNTA(A721:F721)=0,"",IF(AND(G721="OK",H721="OK"),"OK","REVISAR"))</f>
      </c>
    </row>
    <row r="722">
      <c r="A722" s="5"/>
      <c r="B722" s="5"/>
      <c r="C722" s="4"/>
      <c r="D722" s="4"/>
      <c r="E722" s="5"/>
      <c r="F722" s="4"/>
      <c r="G722" s="6">
        <f>IF(AND(A722="",B722=""),"",IF(COUNTIFS($A$2:$A$2001,A722,$B$2:$B$2001,B722)&gt;1,"DUPLICADO","OK"))</f>
      </c>
      <c r="H722" s="6">
        <f>IF(COUNTA(A722:F722)=0,"",IF(AND(A722&lt;&gt;"",B722&lt;&gt;"",E722&lt;&gt;""),"OK","ERRO: faltam "&amp;IF(A722="","Conta; ","")&amp;IF(B722="","Oportunidade; ","")&amp;IF(E722="","Novo gerente; ","")))</f>
      </c>
      <c r="I722" s="6">
        <f>IF(COUNTA(A722:F722)=0,"",IF(AND(G722="OK",H722="OK"),"OK","REVISAR"))</f>
      </c>
    </row>
    <row r="723">
      <c r="A723" s="5"/>
      <c r="B723" s="5"/>
      <c r="C723" s="4"/>
      <c r="D723" s="4"/>
      <c r="E723" s="5"/>
      <c r="F723" s="4"/>
      <c r="G723" s="6">
        <f>IF(AND(A723="",B723=""),"",IF(COUNTIFS($A$2:$A$2001,A723,$B$2:$B$2001,B723)&gt;1,"DUPLICADO","OK"))</f>
      </c>
      <c r="H723" s="6">
        <f>IF(COUNTA(A723:F723)=0,"",IF(AND(A723&lt;&gt;"",B723&lt;&gt;"",E723&lt;&gt;""),"OK","ERRO: faltam "&amp;IF(A723="","Conta; ","")&amp;IF(B723="","Oportunidade; ","")&amp;IF(E723="","Novo gerente; ","")))</f>
      </c>
      <c r="I723" s="6">
        <f>IF(COUNTA(A723:F723)=0,"",IF(AND(G723="OK",H723="OK"),"OK","REVISAR"))</f>
      </c>
    </row>
    <row r="724">
      <c r="A724" s="5"/>
      <c r="B724" s="5"/>
      <c r="C724" s="4"/>
      <c r="D724" s="4"/>
      <c r="E724" s="5"/>
      <c r="F724" s="4"/>
      <c r="G724" s="6">
        <f>IF(AND(A724="",B724=""),"",IF(COUNTIFS($A$2:$A$2001,A724,$B$2:$B$2001,B724)&gt;1,"DUPLICADO","OK"))</f>
      </c>
      <c r="H724" s="6">
        <f>IF(COUNTA(A724:F724)=0,"",IF(AND(A724&lt;&gt;"",B724&lt;&gt;"",E724&lt;&gt;""),"OK","ERRO: faltam "&amp;IF(A724="","Conta; ","")&amp;IF(B724="","Oportunidade; ","")&amp;IF(E724="","Novo gerente; ","")))</f>
      </c>
      <c r="I724" s="6">
        <f>IF(COUNTA(A724:F724)=0,"",IF(AND(G724="OK",H724="OK"),"OK","REVISAR"))</f>
      </c>
    </row>
    <row r="725">
      <c r="A725" s="5"/>
      <c r="B725" s="5"/>
      <c r="C725" s="4"/>
      <c r="D725" s="4"/>
      <c r="E725" s="5"/>
      <c r="F725" s="4"/>
      <c r="G725" s="6">
        <f>IF(AND(A725="",B725=""),"",IF(COUNTIFS($A$2:$A$2001,A725,$B$2:$B$2001,B725)&gt;1,"DUPLICADO","OK"))</f>
      </c>
      <c r="H725" s="6">
        <f>IF(COUNTA(A725:F725)=0,"",IF(AND(A725&lt;&gt;"",B725&lt;&gt;"",E725&lt;&gt;""),"OK","ERRO: faltam "&amp;IF(A725="","Conta; ","")&amp;IF(B725="","Oportunidade; ","")&amp;IF(E725="","Novo gerente; ","")))</f>
      </c>
      <c r="I725" s="6">
        <f>IF(COUNTA(A725:F725)=0,"",IF(AND(G725="OK",H725="OK"),"OK","REVISAR"))</f>
      </c>
    </row>
    <row r="726">
      <c r="A726" s="5"/>
      <c r="B726" s="5"/>
      <c r="C726" s="4"/>
      <c r="D726" s="4"/>
      <c r="E726" s="5"/>
      <c r="F726" s="4"/>
      <c r="G726" s="6">
        <f>IF(AND(A726="",B726=""),"",IF(COUNTIFS($A$2:$A$2001,A726,$B$2:$B$2001,B726)&gt;1,"DUPLICADO","OK"))</f>
      </c>
      <c r="H726" s="6">
        <f>IF(COUNTA(A726:F726)=0,"",IF(AND(A726&lt;&gt;"",B726&lt;&gt;"",E726&lt;&gt;""),"OK","ERRO: faltam "&amp;IF(A726="","Conta; ","")&amp;IF(B726="","Oportunidade; ","")&amp;IF(E726="","Novo gerente; ","")))</f>
      </c>
      <c r="I726" s="6">
        <f>IF(COUNTA(A726:F726)=0,"",IF(AND(G726="OK",H726="OK"),"OK","REVISAR"))</f>
      </c>
    </row>
    <row r="727">
      <c r="A727" s="5"/>
      <c r="B727" s="5"/>
      <c r="C727" s="4"/>
      <c r="D727" s="4"/>
      <c r="E727" s="5"/>
      <c r="F727" s="4"/>
      <c r="G727" s="6">
        <f>IF(AND(A727="",B727=""),"",IF(COUNTIFS($A$2:$A$2001,A727,$B$2:$B$2001,B727)&gt;1,"DUPLICADO","OK"))</f>
      </c>
      <c r="H727" s="6">
        <f>IF(COUNTA(A727:F727)=0,"",IF(AND(A727&lt;&gt;"",B727&lt;&gt;"",E727&lt;&gt;""),"OK","ERRO: faltam "&amp;IF(A727="","Conta; ","")&amp;IF(B727="","Oportunidade; ","")&amp;IF(E727="","Novo gerente; ","")))</f>
      </c>
      <c r="I727" s="6">
        <f>IF(COUNTA(A727:F727)=0,"",IF(AND(G727="OK",H727="OK"),"OK","REVISAR"))</f>
      </c>
    </row>
    <row r="728">
      <c r="A728" s="5"/>
      <c r="B728" s="5"/>
      <c r="C728" s="4"/>
      <c r="D728" s="4"/>
      <c r="E728" s="5"/>
      <c r="F728" s="4"/>
      <c r="G728" s="6">
        <f>IF(AND(A728="",B728=""),"",IF(COUNTIFS($A$2:$A$2001,A728,$B$2:$B$2001,B728)&gt;1,"DUPLICADO","OK"))</f>
      </c>
      <c r="H728" s="6">
        <f>IF(COUNTA(A728:F728)=0,"",IF(AND(A728&lt;&gt;"",B728&lt;&gt;"",E728&lt;&gt;""),"OK","ERRO: faltam "&amp;IF(A728="","Conta; ","")&amp;IF(B728="","Oportunidade; ","")&amp;IF(E728="","Novo gerente; ","")))</f>
      </c>
      <c r="I728" s="6">
        <f>IF(COUNTA(A728:F728)=0,"",IF(AND(G728="OK",H728="OK"),"OK","REVISAR"))</f>
      </c>
    </row>
    <row r="729">
      <c r="A729" s="5"/>
      <c r="B729" s="5"/>
      <c r="C729" s="4"/>
      <c r="D729" s="4"/>
      <c r="E729" s="5"/>
      <c r="F729" s="4"/>
      <c r="G729" s="6">
        <f>IF(AND(A729="",B729=""),"",IF(COUNTIFS($A$2:$A$2001,A729,$B$2:$B$2001,B729)&gt;1,"DUPLICADO","OK"))</f>
      </c>
      <c r="H729" s="6">
        <f>IF(COUNTA(A729:F729)=0,"",IF(AND(A729&lt;&gt;"",B729&lt;&gt;"",E729&lt;&gt;""),"OK","ERRO: faltam "&amp;IF(A729="","Conta; ","")&amp;IF(B729="","Oportunidade; ","")&amp;IF(E729="","Novo gerente; ","")))</f>
      </c>
      <c r="I729" s="6">
        <f>IF(COUNTA(A729:F729)=0,"",IF(AND(G729="OK",H729="OK"),"OK","REVISAR"))</f>
      </c>
    </row>
    <row r="730">
      <c r="A730" s="5"/>
      <c r="B730" s="5"/>
      <c r="C730" s="4"/>
      <c r="D730" s="4"/>
      <c r="E730" s="5"/>
      <c r="F730" s="4"/>
      <c r="G730" s="6">
        <f>IF(AND(A730="",B730=""),"",IF(COUNTIFS($A$2:$A$2001,A730,$B$2:$B$2001,B730)&gt;1,"DUPLICADO","OK"))</f>
      </c>
      <c r="H730" s="6">
        <f>IF(COUNTA(A730:F730)=0,"",IF(AND(A730&lt;&gt;"",B730&lt;&gt;"",E730&lt;&gt;""),"OK","ERRO: faltam "&amp;IF(A730="","Conta; ","")&amp;IF(B730="","Oportunidade; ","")&amp;IF(E730="","Novo gerente; ","")))</f>
      </c>
      <c r="I730" s="6">
        <f>IF(COUNTA(A730:F730)=0,"",IF(AND(G730="OK",H730="OK"),"OK","REVISAR"))</f>
      </c>
    </row>
    <row r="731">
      <c r="A731" s="5"/>
      <c r="B731" s="5"/>
      <c r="C731" s="4"/>
      <c r="D731" s="4"/>
      <c r="E731" s="5"/>
      <c r="F731" s="4"/>
      <c r="G731" s="6">
        <f>IF(AND(A731="",B731=""),"",IF(COUNTIFS($A$2:$A$2001,A731,$B$2:$B$2001,B731)&gt;1,"DUPLICADO","OK"))</f>
      </c>
      <c r="H731" s="6">
        <f>IF(COUNTA(A731:F731)=0,"",IF(AND(A731&lt;&gt;"",B731&lt;&gt;"",E731&lt;&gt;""),"OK","ERRO: faltam "&amp;IF(A731="","Conta; ","")&amp;IF(B731="","Oportunidade; ","")&amp;IF(E731="","Novo gerente; ","")))</f>
      </c>
      <c r="I731" s="6">
        <f>IF(COUNTA(A731:F731)=0,"",IF(AND(G731="OK",H731="OK"),"OK","REVISAR"))</f>
      </c>
    </row>
    <row r="732">
      <c r="A732" s="5"/>
      <c r="B732" s="5"/>
      <c r="C732" s="4"/>
      <c r="D732" s="4"/>
      <c r="E732" s="5"/>
      <c r="F732" s="4"/>
      <c r="G732" s="6">
        <f>IF(AND(A732="",B732=""),"",IF(COUNTIFS($A$2:$A$2001,A732,$B$2:$B$2001,B732)&gt;1,"DUPLICADO","OK"))</f>
      </c>
      <c r="H732" s="6">
        <f>IF(COUNTA(A732:F732)=0,"",IF(AND(A732&lt;&gt;"",B732&lt;&gt;"",E732&lt;&gt;""),"OK","ERRO: faltam "&amp;IF(A732="","Conta; ","")&amp;IF(B732="","Oportunidade; ","")&amp;IF(E732="","Novo gerente; ","")))</f>
      </c>
      <c r="I732" s="6">
        <f>IF(COUNTA(A732:F732)=0,"",IF(AND(G732="OK",H732="OK"),"OK","REVISAR"))</f>
      </c>
    </row>
    <row r="733">
      <c r="A733" s="5"/>
      <c r="B733" s="5"/>
      <c r="C733" s="4"/>
      <c r="D733" s="4"/>
      <c r="E733" s="5"/>
      <c r="F733" s="4"/>
      <c r="G733" s="6">
        <f>IF(AND(A733="",B733=""),"",IF(COUNTIFS($A$2:$A$2001,A733,$B$2:$B$2001,B733)&gt;1,"DUPLICADO","OK"))</f>
      </c>
      <c r="H733" s="6">
        <f>IF(COUNTA(A733:F733)=0,"",IF(AND(A733&lt;&gt;"",B733&lt;&gt;"",E733&lt;&gt;""),"OK","ERRO: faltam "&amp;IF(A733="","Conta; ","")&amp;IF(B733="","Oportunidade; ","")&amp;IF(E733="","Novo gerente; ","")))</f>
      </c>
      <c r="I733" s="6">
        <f>IF(COUNTA(A733:F733)=0,"",IF(AND(G733="OK",H733="OK"),"OK","REVISAR"))</f>
      </c>
    </row>
    <row r="734">
      <c r="A734" s="5"/>
      <c r="B734" s="5"/>
      <c r="C734" s="4"/>
      <c r="D734" s="4"/>
      <c r="E734" s="5"/>
      <c r="F734" s="4"/>
      <c r="G734" s="6">
        <f>IF(AND(A734="",B734=""),"",IF(COUNTIFS($A$2:$A$2001,A734,$B$2:$B$2001,B734)&gt;1,"DUPLICADO","OK"))</f>
      </c>
      <c r="H734" s="6">
        <f>IF(COUNTA(A734:F734)=0,"",IF(AND(A734&lt;&gt;"",B734&lt;&gt;"",E734&lt;&gt;""),"OK","ERRO: faltam "&amp;IF(A734="","Conta; ","")&amp;IF(B734="","Oportunidade; ","")&amp;IF(E734="","Novo gerente; ","")))</f>
      </c>
      <c r="I734" s="6">
        <f>IF(COUNTA(A734:F734)=0,"",IF(AND(G734="OK",H734="OK"),"OK","REVISAR"))</f>
      </c>
    </row>
    <row r="735">
      <c r="A735" s="5"/>
      <c r="B735" s="5"/>
      <c r="C735" s="4"/>
      <c r="D735" s="4"/>
      <c r="E735" s="5"/>
      <c r="F735" s="4"/>
      <c r="G735" s="6">
        <f>IF(AND(A735="",B735=""),"",IF(COUNTIFS($A$2:$A$2001,A735,$B$2:$B$2001,B735)&gt;1,"DUPLICADO","OK"))</f>
      </c>
      <c r="H735" s="6">
        <f>IF(COUNTA(A735:F735)=0,"",IF(AND(A735&lt;&gt;"",B735&lt;&gt;"",E735&lt;&gt;""),"OK","ERRO: faltam "&amp;IF(A735="","Conta; ","")&amp;IF(B735="","Oportunidade; ","")&amp;IF(E735="","Novo gerente; ","")))</f>
      </c>
      <c r="I735" s="6">
        <f>IF(COUNTA(A735:F735)=0,"",IF(AND(G735="OK",H735="OK"),"OK","REVISAR"))</f>
      </c>
    </row>
    <row r="736">
      <c r="A736" s="5"/>
      <c r="B736" s="5"/>
      <c r="C736" s="4"/>
      <c r="D736" s="4"/>
      <c r="E736" s="5"/>
      <c r="F736" s="4"/>
      <c r="G736" s="6">
        <f>IF(AND(A736="",B736=""),"",IF(COUNTIFS($A$2:$A$2001,A736,$B$2:$B$2001,B736)&gt;1,"DUPLICADO","OK"))</f>
      </c>
      <c r="H736" s="6">
        <f>IF(COUNTA(A736:F736)=0,"",IF(AND(A736&lt;&gt;"",B736&lt;&gt;"",E736&lt;&gt;""),"OK","ERRO: faltam "&amp;IF(A736="","Conta; ","")&amp;IF(B736="","Oportunidade; ","")&amp;IF(E736="","Novo gerente; ","")))</f>
      </c>
      <c r="I736" s="6">
        <f>IF(COUNTA(A736:F736)=0,"",IF(AND(G736="OK",H736="OK"),"OK","REVISAR"))</f>
      </c>
    </row>
    <row r="737">
      <c r="A737" s="5"/>
      <c r="B737" s="5"/>
      <c r="C737" s="4"/>
      <c r="D737" s="4"/>
      <c r="E737" s="5"/>
      <c r="F737" s="4"/>
      <c r="G737" s="6">
        <f>IF(AND(A737="",B737=""),"",IF(COUNTIFS($A$2:$A$2001,A737,$B$2:$B$2001,B737)&gt;1,"DUPLICADO","OK"))</f>
      </c>
      <c r="H737" s="6">
        <f>IF(COUNTA(A737:F737)=0,"",IF(AND(A737&lt;&gt;"",B737&lt;&gt;"",E737&lt;&gt;""),"OK","ERRO: faltam "&amp;IF(A737="","Conta; ","")&amp;IF(B737="","Oportunidade; ","")&amp;IF(E737="","Novo gerente; ","")))</f>
      </c>
      <c r="I737" s="6">
        <f>IF(COUNTA(A737:F737)=0,"",IF(AND(G737="OK",H737="OK"),"OK","REVISAR"))</f>
      </c>
    </row>
    <row r="738">
      <c r="A738" s="5"/>
      <c r="B738" s="5"/>
      <c r="C738" s="4"/>
      <c r="D738" s="4"/>
      <c r="E738" s="5"/>
      <c r="F738" s="4"/>
      <c r="G738" s="6">
        <f>IF(AND(A738="",B738=""),"",IF(COUNTIFS($A$2:$A$2001,A738,$B$2:$B$2001,B738)&gt;1,"DUPLICADO","OK"))</f>
      </c>
      <c r="H738" s="6">
        <f>IF(COUNTA(A738:F738)=0,"",IF(AND(A738&lt;&gt;"",B738&lt;&gt;"",E738&lt;&gt;""),"OK","ERRO: faltam "&amp;IF(A738="","Conta; ","")&amp;IF(B738="","Oportunidade; ","")&amp;IF(E738="","Novo gerente; ","")))</f>
      </c>
      <c r="I738" s="6">
        <f>IF(COUNTA(A738:F738)=0,"",IF(AND(G738="OK",H738="OK"),"OK","REVISAR"))</f>
      </c>
    </row>
    <row r="739">
      <c r="A739" s="5"/>
      <c r="B739" s="5"/>
      <c r="C739" s="4"/>
      <c r="D739" s="4"/>
      <c r="E739" s="5"/>
      <c r="F739" s="4"/>
      <c r="G739" s="6">
        <f>IF(AND(A739="",B739=""),"",IF(COUNTIFS($A$2:$A$2001,A739,$B$2:$B$2001,B739)&gt;1,"DUPLICADO","OK"))</f>
      </c>
      <c r="H739" s="6">
        <f>IF(COUNTA(A739:F739)=0,"",IF(AND(A739&lt;&gt;"",B739&lt;&gt;"",E739&lt;&gt;""),"OK","ERRO: faltam "&amp;IF(A739="","Conta; ","")&amp;IF(B739="","Oportunidade; ","")&amp;IF(E739="","Novo gerente; ","")))</f>
      </c>
      <c r="I739" s="6">
        <f>IF(COUNTA(A739:F739)=0,"",IF(AND(G739="OK",H739="OK"),"OK","REVISAR"))</f>
      </c>
    </row>
    <row r="740">
      <c r="A740" s="5"/>
      <c r="B740" s="5"/>
      <c r="C740" s="4"/>
      <c r="D740" s="4"/>
      <c r="E740" s="5"/>
      <c r="F740" s="4"/>
      <c r="G740" s="6">
        <f>IF(AND(A740="",B740=""),"",IF(COUNTIFS($A$2:$A$2001,A740,$B$2:$B$2001,B740)&gt;1,"DUPLICADO","OK"))</f>
      </c>
      <c r="H740" s="6">
        <f>IF(COUNTA(A740:F740)=0,"",IF(AND(A740&lt;&gt;"",B740&lt;&gt;"",E740&lt;&gt;""),"OK","ERRO: faltam "&amp;IF(A740="","Conta; ","")&amp;IF(B740="","Oportunidade; ","")&amp;IF(E740="","Novo gerente; ","")))</f>
      </c>
      <c r="I740" s="6">
        <f>IF(COUNTA(A740:F740)=0,"",IF(AND(G740="OK",H740="OK"),"OK","REVISAR"))</f>
      </c>
    </row>
    <row r="741">
      <c r="A741" s="5"/>
      <c r="B741" s="5"/>
      <c r="C741" s="4"/>
      <c r="D741" s="4"/>
      <c r="E741" s="5"/>
      <c r="F741" s="4"/>
      <c r="G741" s="6">
        <f>IF(AND(A741="",B741=""),"",IF(COUNTIFS($A$2:$A$2001,A741,$B$2:$B$2001,B741)&gt;1,"DUPLICADO","OK"))</f>
      </c>
      <c r="H741" s="6">
        <f>IF(COUNTA(A741:F741)=0,"",IF(AND(A741&lt;&gt;"",B741&lt;&gt;"",E741&lt;&gt;""),"OK","ERRO: faltam "&amp;IF(A741="","Conta; ","")&amp;IF(B741="","Oportunidade; ","")&amp;IF(E741="","Novo gerente; ","")))</f>
      </c>
      <c r="I741" s="6">
        <f>IF(COUNTA(A741:F741)=0,"",IF(AND(G741="OK",H741="OK"),"OK","REVISAR"))</f>
      </c>
    </row>
    <row r="742">
      <c r="A742" s="5"/>
      <c r="B742" s="5"/>
      <c r="C742" s="4"/>
      <c r="D742" s="4"/>
      <c r="E742" s="5"/>
      <c r="F742" s="4"/>
      <c r="G742" s="6">
        <f>IF(AND(A742="",B742=""),"",IF(COUNTIFS($A$2:$A$2001,A742,$B$2:$B$2001,B742)&gt;1,"DUPLICADO","OK"))</f>
      </c>
      <c r="H742" s="6">
        <f>IF(COUNTA(A742:F742)=0,"",IF(AND(A742&lt;&gt;"",B742&lt;&gt;"",E742&lt;&gt;""),"OK","ERRO: faltam "&amp;IF(A742="","Conta; ","")&amp;IF(B742="","Oportunidade; ","")&amp;IF(E742="","Novo gerente; ","")))</f>
      </c>
      <c r="I742" s="6">
        <f>IF(COUNTA(A742:F742)=0,"",IF(AND(G742="OK",H742="OK"),"OK","REVISAR"))</f>
      </c>
    </row>
    <row r="743">
      <c r="A743" s="5"/>
      <c r="B743" s="5"/>
      <c r="C743" s="4"/>
      <c r="D743" s="4"/>
      <c r="E743" s="5"/>
      <c r="F743" s="4"/>
      <c r="G743" s="6">
        <f>IF(AND(A743="",B743=""),"",IF(COUNTIFS($A$2:$A$2001,A743,$B$2:$B$2001,B743)&gt;1,"DUPLICADO","OK"))</f>
      </c>
      <c r="H743" s="6">
        <f>IF(COUNTA(A743:F743)=0,"",IF(AND(A743&lt;&gt;"",B743&lt;&gt;"",E743&lt;&gt;""),"OK","ERRO: faltam "&amp;IF(A743="","Conta; ","")&amp;IF(B743="","Oportunidade; ","")&amp;IF(E743="","Novo gerente; ","")))</f>
      </c>
      <c r="I743" s="6">
        <f>IF(COUNTA(A743:F743)=0,"",IF(AND(G743="OK",H743="OK"),"OK","REVISAR"))</f>
      </c>
    </row>
    <row r="744">
      <c r="A744" s="5"/>
      <c r="B744" s="5"/>
      <c r="C744" s="4"/>
      <c r="D744" s="4"/>
      <c r="E744" s="5"/>
      <c r="F744" s="4"/>
      <c r="G744" s="6">
        <f>IF(AND(A744="",B744=""),"",IF(COUNTIFS($A$2:$A$2001,A744,$B$2:$B$2001,B744)&gt;1,"DUPLICADO","OK"))</f>
      </c>
      <c r="H744" s="6">
        <f>IF(COUNTA(A744:F744)=0,"",IF(AND(A744&lt;&gt;"",B744&lt;&gt;"",E744&lt;&gt;""),"OK","ERRO: faltam "&amp;IF(A744="","Conta; ","")&amp;IF(B744="","Oportunidade; ","")&amp;IF(E744="","Novo gerente; ","")))</f>
      </c>
      <c r="I744" s="6">
        <f>IF(COUNTA(A744:F744)=0,"",IF(AND(G744="OK",H744="OK"),"OK","REVISAR"))</f>
      </c>
    </row>
    <row r="745">
      <c r="A745" s="5"/>
      <c r="B745" s="5"/>
      <c r="C745" s="4"/>
      <c r="D745" s="4"/>
      <c r="E745" s="5"/>
      <c r="F745" s="4"/>
      <c r="G745" s="6">
        <f>IF(AND(A745="",B745=""),"",IF(COUNTIFS($A$2:$A$2001,A745,$B$2:$B$2001,B745)&gt;1,"DUPLICADO","OK"))</f>
      </c>
      <c r="H745" s="6">
        <f>IF(COUNTA(A745:F745)=0,"",IF(AND(A745&lt;&gt;"",B745&lt;&gt;"",E745&lt;&gt;""),"OK","ERRO: faltam "&amp;IF(A745="","Conta; ","")&amp;IF(B745="","Oportunidade; ","")&amp;IF(E745="","Novo gerente; ","")))</f>
      </c>
      <c r="I745" s="6">
        <f>IF(COUNTA(A745:F745)=0,"",IF(AND(G745="OK",H745="OK"),"OK","REVISAR"))</f>
      </c>
    </row>
    <row r="746">
      <c r="A746" s="5"/>
      <c r="B746" s="5"/>
      <c r="C746" s="4"/>
      <c r="D746" s="4"/>
      <c r="E746" s="5"/>
      <c r="F746" s="4"/>
      <c r="G746" s="6">
        <f>IF(AND(A746="",B746=""),"",IF(COUNTIFS($A$2:$A$2001,A746,$B$2:$B$2001,B746)&gt;1,"DUPLICADO","OK"))</f>
      </c>
      <c r="H746" s="6">
        <f>IF(COUNTA(A746:F746)=0,"",IF(AND(A746&lt;&gt;"",B746&lt;&gt;"",E746&lt;&gt;""),"OK","ERRO: faltam "&amp;IF(A746="","Conta; ","")&amp;IF(B746="","Oportunidade; ","")&amp;IF(E746="","Novo gerente; ","")))</f>
      </c>
      <c r="I746" s="6">
        <f>IF(COUNTA(A746:F746)=0,"",IF(AND(G746="OK",H746="OK"),"OK","REVISAR"))</f>
      </c>
    </row>
    <row r="747">
      <c r="A747" s="5"/>
      <c r="B747" s="5"/>
      <c r="C747" s="4"/>
      <c r="D747" s="4"/>
      <c r="E747" s="5"/>
      <c r="F747" s="4"/>
      <c r="G747" s="6">
        <f>IF(AND(A747="",B747=""),"",IF(COUNTIFS($A$2:$A$2001,A747,$B$2:$B$2001,B747)&gt;1,"DUPLICADO","OK"))</f>
      </c>
      <c r="H747" s="6">
        <f>IF(COUNTA(A747:F747)=0,"",IF(AND(A747&lt;&gt;"",B747&lt;&gt;"",E747&lt;&gt;""),"OK","ERRO: faltam "&amp;IF(A747="","Conta; ","")&amp;IF(B747="","Oportunidade; ","")&amp;IF(E747="","Novo gerente; ","")))</f>
      </c>
      <c r="I747" s="6">
        <f>IF(COUNTA(A747:F747)=0,"",IF(AND(G747="OK",H747="OK"),"OK","REVISAR"))</f>
      </c>
    </row>
    <row r="748">
      <c r="A748" s="5"/>
      <c r="B748" s="5"/>
      <c r="C748" s="4"/>
      <c r="D748" s="4"/>
      <c r="E748" s="5"/>
      <c r="F748" s="4"/>
      <c r="G748" s="6">
        <f>IF(AND(A748="",B748=""),"",IF(COUNTIFS($A$2:$A$2001,A748,$B$2:$B$2001,B748)&gt;1,"DUPLICADO","OK"))</f>
      </c>
      <c r="H748" s="6">
        <f>IF(COUNTA(A748:F748)=0,"",IF(AND(A748&lt;&gt;"",B748&lt;&gt;"",E748&lt;&gt;""),"OK","ERRO: faltam "&amp;IF(A748="","Conta; ","")&amp;IF(B748="","Oportunidade; ","")&amp;IF(E748="","Novo gerente; ","")))</f>
      </c>
      <c r="I748" s="6">
        <f>IF(COUNTA(A748:F748)=0,"",IF(AND(G748="OK",H748="OK"),"OK","REVISAR"))</f>
      </c>
    </row>
    <row r="749">
      <c r="A749" s="5"/>
      <c r="B749" s="5"/>
      <c r="C749" s="4"/>
      <c r="D749" s="4"/>
      <c r="E749" s="5"/>
      <c r="F749" s="4"/>
      <c r="G749" s="6">
        <f>IF(AND(A749="",B749=""),"",IF(COUNTIFS($A$2:$A$2001,A749,$B$2:$B$2001,B749)&gt;1,"DUPLICADO","OK"))</f>
      </c>
      <c r="H749" s="6">
        <f>IF(COUNTA(A749:F749)=0,"",IF(AND(A749&lt;&gt;"",B749&lt;&gt;"",E749&lt;&gt;""),"OK","ERRO: faltam "&amp;IF(A749="","Conta; ","")&amp;IF(B749="","Oportunidade; ","")&amp;IF(E749="","Novo gerente; ","")))</f>
      </c>
      <c r="I749" s="6">
        <f>IF(COUNTA(A749:F749)=0,"",IF(AND(G749="OK",H749="OK"),"OK","REVISAR"))</f>
      </c>
    </row>
    <row r="750">
      <c r="A750" s="5"/>
      <c r="B750" s="5"/>
      <c r="C750" s="4"/>
      <c r="D750" s="4"/>
      <c r="E750" s="5"/>
      <c r="F750" s="4"/>
      <c r="G750" s="6">
        <f>IF(AND(A750="",B750=""),"",IF(COUNTIFS($A$2:$A$2001,A750,$B$2:$B$2001,B750)&gt;1,"DUPLICADO","OK"))</f>
      </c>
      <c r="H750" s="6">
        <f>IF(COUNTA(A750:F750)=0,"",IF(AND(A750&lt;&gt;"",B750&lt;&gt;"",E750&lt;&gt;""),"OK","ERRO: faltam "&amp;IF(A750="","Conta; ","")&amp;IF(B750="","Oportunidade; ","")&amp;IF(E750="","Novo gerente; ","")))</f>
      </c>
      <c r="I750" s="6">
        <f>IF(COUNTA(A750:F750)=0,"",IF(AND(G750="OK",H750="OK"),"OK","REVISAR"))</f>
      </c>
    </row>
    <row r="751">
      <c r="A751" s="5"/>
      <c r="B751" s="5"/>
      <c r="C751" s="4"/>
      <c r="D751" s="4"/>
      <c r="E751" s="5"/>
      <c r="F751" s="4"/>
      <c r="G751" s="6">
        <f>IF(AND(A751="",B751=""),"",IF(COUNTIFS($A$2:$A$2001,A751,$B$2:$B$2001,B751)&gt;1,"DUPLICADO","OK"))</f>
      </c>
      <c r="H751" s="6">
        <f>IF(COUNTA(A751:F751)=0,"",IF(AND(A751&lt;&gt;"",B751&lt;&gt;"",E751&lt;&gt;""),"OK","ERRO: faltam "&amp;IF(A751="","Conta; ","")&amp;IF(B751="","Oportunidade; ","")&amp;IF(E751="","Novo gerente; ","")))</f>
      </c>
      <c r="I751" s="6">
        <f>IF(COUNTA(A751:F751)=0,"",IF(AND(G751="OK",H751="OK"),"OK","REVISAR"))</f>
      </c>
    </row>
    <row r="752">
      <c r="A752" s="5"/>
      <c r="B752" s="5"/>
      <c r="C752" s="4"/>
      <c r="D752" s="4"/>
      <c r="E752" s="5"/>
      <c r="F752" s="4"/>
      <c r="G752" s="6">
        <f>IF(AND(A752="",B752=""),"",IF(COUNTIFS($A$2:$A$2001,A752,$B$2:$B$2001,B752)&gt;1,"DUPLICADO","OK"))</f>
      </c>
      <c r="H752" s="6">
        <f>IF(COUNTA(A752:F752)=0,"",IF(AND(A752&lt;&gt;"",B752&lt;&gt;"",E752&lt;&gt;""),"OK","ERRO: faltam "&amp;IF(A752="","Conta; ","")&amp;IF(B752="","Oportunidade; ","")&amp;IF(E752="","Novo gerente; ","")))</f>
      </c>
      <c r="I752" s="6">
        <f>IF(COUNTA(A752:F752)=0,"",IF(AND(G752="OK",H752="OK"),"OK","REVISAR"))</f>
      </c>
    </row>
    <row r="753">
      <c r="A753" s="5"/>
      <c r="B753" s="5"/>
      <c r="C753" s="4"/>
      <c r="D753" s="4"/>
      <c r="E753" s="5"/>
      <c r="F753" s="4"/>
      <c r="G753" s="6">
        <f>IF(AND(A753="",B753=""),"",IF(COUNTIFS($A$2:$A$2001,A753,$B$2:$B$2001,B753)&gt;1,"DUPLICADO","OK"))</f>
      </c>
      <c r="H753" s="6">
        <f>IF(COUNTA(A753:F753)=0,"",IF(AND(A753&lt;&gt;"",B753&lt;&gt;"",E753&lt;&gt;""),"OK","ERRO: faltam "&amp;IF(A753="","Conta; ","")&amp;IF(B753="","Oportunidade; ","")&amp;IF(E753="","Novo gerente; ","")))</f>
      </c>
      <c r="I753" s="6">
        <f>IF(COUNTA(A753:F753)=0,"",IF(AND(G753="OK",H753="OK"),"OK","REVISAR"))</f>
      </c>
    </row>
    <row r="754">
      <c r="A754" s="5"/>
      <c r="B754" s="5"/>
      <c r="C754" s="4"/>
      <c r="D754" s="4"/>
      <c r="E754" s="5"/>
      <c r="F754" s="4"/>
      <c r="G754" s="6">
        <f>IF(AND(A754="",B754=""),"",IF(COUNTIFS($A$2:$A$2001,A754,$B$2:$B$2001,B754)&gt;1,"DUPLICADO","OK"))</f>
      </c>
      <c r="H754" s="6">
        <f>IF(COUNTA(A754:F754)=0,"",IF(AND(A754&lt;&gt;"",B754&lt;&gt;"",E754&lt;&gt;""),"OK","ERRO: faltam "&amp;IF(A754="","Conta; ","")&amp;IF(B754="","Oportunidade; ","")&amp;IF(E754="","Novo gerente; ","")))</f>
      </c>
      <c r="I754" s="6">
        <f>IF(COUNTA(A754:F754)=0,"",IF(AND(G754="OK",H754="OK"),"OK","REVISAR"))</f>
      </c>
    </row>
    <row r="755">
      <c r="A755" s="5"/>
      <c r="B755" s="5"/>
      <c r="C755" s="4"/>
      <c r="D755" s="4"/>
      <c r="E755" s="5"/>
      <c r="F755" s="4"/>
      <c r="G755" s="6">
        <f>IF(AND(A755="",B755=""),"",IF(COUNTIFS($A$2:$A$2001,A755,$B$2:$B$2001,B755)&gt;1,"DUPLICADO","OK"))</f>
      </c>
      <c r="H755" s="6">
        <f>IF(COUNTA(A755:F755)=0,"",IF(AND(A755&lt;&gt;"",B755&lt;&gt;"",E755&lt;&gt;""),"OK","ERRO: faltam "&amp;IF(A755="","Conta; ","")&amp;IF(B755="","Oportunidade; ","")&amp;IF(E755="","Novo gerente; ","")))</f>
      </c>
      <c r="I755" s="6">
        <f>IF(COUNTA(A755:F755)=0,"",IF(AND(G755="OK",H755="OK"),"OK","REVISAR"))</f>
      </c>
    </row>
    <row r="756">
      <c r="A756" s="5"/>
      <c r="B756" s="5"/>
      <c r="C756" s="4"/>
      <c r="D756" s="4"/>
      <c r="E756" s="5"/>
      <c r="F756" s="4"/>
      <c r="G756" s="6">
        <f>IF(AND(A756="",B756=""),"",IF(COUNTIFS($A$2:$A$2001,A756,$B$2:$B$2001,B756)&gt;1,"DUPLICADO","OK"))</f>
      </c>
      <c r="H756" s="6">
        <f>IF(COUNTA(A756:F756)=0,"",IF(AND(A756&lt;&gt;"",B756&lt;&gt;"",E756&lt;&gt;""),"OK","ERRO: faltam "&amp;IF(A756="","Conta; ","")&amp;IF(B756="","Oportunidade; ","")&amp;IF(E756="","Novo gerente; ","")))</f>
      </c>
      <c r="I756" s="6">
        <f>IF(COUNTA(A756:F756)=0,"",IF(AND(G756="OK",H756="OK"),"OK","REVISAR"))</f>
      </c>
    </row>
    <row r="757">
      <c r="A757" s="5"/>
      <c r="B757" s="5"/>
      <c r="C757" s="4"/>
      <c r="D757" s="4"/>
      <c r="E757" s="5"/>
      <c r="F757" s="4"/>
      <c r="G757" s="6">
        <f>IF(AND(A757="",B757=""),"",IF(COUNTIFS($A$2:$A$2001,A757,$B$2:$B$2001,B757)&gt;1,"DUPLICADO","OK"))</f>
      </c>
      <c r="H757" s="6">
        <f>IF(COUNTA(A757:F757)=0,"",IF(AND(A757&lt;&gt;"",B757&lt;&gt;"",E757&lt;&gt;""),"OK","ERRO: faltam "&amp;IF(A757="","Conta; ","")&amp;IF(B757="","Oportunidade; ","")&amp;IF(E757="","Novo gerente; ","")))</f>
      </c>
      <c r="I757" s="6">
        <f>IF(COUNTA(A757:F757)=0,"",IF(AND(G757="OK",H757="OK"),"OK","REVISAR"))</f>
      </c>
    </row>
    <row r="758">
      <c r="A758" s="5"/>
      <c r="B758" s="5"/>
      <c r="C758" s="4"/>
      <c r="D758" s="4"/>
      <c r="E758" s="5"/>
      <c r="F758" s="4"/>
      <c r="G758" s="6">
        <f>IF(AND(A758="",B758=""),"",IF(COUNTIFS($A$2:$A$2001,A758,$B$2:$B$2001,B758)&gt;1,"DUPLICADO","OK"))</f>
      </c>
      <c r="H758" s="6">
        <f>IF(COUNTA(A758:F758)=0,"",IF(AND(A758&lt;&gt;"",B758&lt;&gt;"",E758&lt;&gt;""),"OK","ERRO: faltam "&amp;IF(A758="","Conta; ","")&amp;IF(B758="","Oportunidade; ","")&amp;IF(E758="","Novo gerente; ","")))</f>
      </c>
      <c r="I758" s="6">
        <f>IF(COUNTA(A758:F758)=0,"",IF(AND(G758="OK",H758="OK"),"OK","REVISAR"))</f>
      </c>
    </row>
    <row r="759">
      <c r="A759" s="5"/>
      <c r="B759" s="5"/>
      <c r="C759" s="4"/>
      <c r="D759" s="4"/>
      <c r="E759" s="5"/>
      <c r="F759" s="4"/>
      <c r="G759" s="6">
        <f>IF(AND(A759="",B759=""),"",IF(COUNTIFS($A$2:$A$2001,A759,$B$2:$B$2001,B759)&gt;1,"DUPLICADO","OK"))</f>
      </c>
      <c r="H759" s="6">
        <f>IF(COUNTA(A759:F759)=0,"",IF(AND(A759&lt;&gt;"",B759&lt;&gt;"",E759&lt;&gt;""),"OK","ERRO: faltam "&amp;IF(A759="","Conta; ","")&amp;IF(B759="","Oportunidade; ","")&amp;IF(E759="","Novo gerente; ","")))</f>
      </c>
      <c r="I759" s="6">
        <f>IF(COUNTA(A759:F759)=0,"",IF(AND(G759="OK",H759="OK"),"OK","REVISAR"))</f>
      </c>
    </row>
    <row r="760">
      <c r="A760" s="5"/>
      <c r="B760" s="5"/>
      <c r="C760" s="4"/>
      <c r="D760" s="4"/>
      <c r="E760" s="5"/>
      <c r="F760" s="4"/>
      <c r="G760" s="6">
        <f>IF(AND(A760="",B760=""),"",IF(COUNTIFS($A$2:$A$2001,A760,$B$2:$B$2001,B760)&gt;1,"DUPLICADO","OK"))</f>
      </c>
      <c r="H760" s="6">
        <f>IF(COUNTA(A760:F760)=0,"",IF(AND(A760&lt;&gt;"",B760&lt;&gt;"",E760&lt;&gt;""),"OK","ERRO: faltam "&amp;IF(A760="","Conta; ","")&amp;IF(B760="","Oportunidade; ","")&amp;IF(E760="","Novo gerente; ","")))</f>
      </c>
      <c r="I760" s="6">
        <f>IF(COUNTA(A760:F760)=0,"",IF(AND(G760="OK",H760="OK"),"OK","REVISAR"))</f>
      </c>
    </row>
    <row r="761">
      <c r="A761" s="5"/>
      <c r="B761" s="5"/>
      <c r="C761" s="4"/>
      <c r="D761" s="4"/>
      <c r="E761" s="5"/>
      <c r="F761" s="4"/>
      <c r="G761" s="6">
        <f>IF(AND(A761="",B761=""),"",IF(COUNTIFS($A$2:$A$2001,A761,$B$2:$B$2001,B761)&gt;1,"DUPLICADO","OK"))</f>
      </c>
      <c r="H761" s="6">
        <f>IF(COUNTA(A761:F761)=0,"",IF(AND(A761&lt;&gt;"",B761&lt;&gt;"",E761&lt;&gt;""),"OK","ERRO: faltam "&amp;IF(A761="","Conta; ","")&amp;IF(B761="","Oportunidade; ","")&amp;IF(E761="","Novo gerente; ","")))</f>
      </c>
      <c r="I761" s="6">
        <f>IF(COUNTA(A761:F761)=0,"",IF(AND(G761="OK",H761="OK"),"OK","REVISAR"))</f>
      </c>
    </row>
    <row r="762">
      <c r="A762" s="5"/>
      <c r="B762" s="5"/>
      <c r="C762" s="4"/>
      <c r="D762" s="4"/>
      <c r="E762" s="5"/>
      <c r="F762" s="4"/>
      <c r="G762" s="6">
        <f>IF(AND(A762="",B762=""),"",IF(COUNTIFS($A$2:$A$2001,A762,$B$2:$B$2001,B762)&gt;1,"DUPLICADO","OK"))</f>
      </c>
      <c r="H762" s="6">
        <f>IF(COUNTA(A762:F762)=0,"",IF(AND(A762&lt;&gt;"",B762&lt;&gt;"",E762&lt;&gt;""),"OK","ERRO: faltam "&amp;IF(A762="","Conta; ","")&amp;IF(B762="","Oportunidade; ","")&amp;IF(E762="","Novo gerente; ","")))</f>
      </c>
      <c r="I762" s="6">
        <f>IF(COUNTA(A762:F762)=0,"",IF(AND(G762="OK",H762="OK"),"OK","REVISAR"))</f>
      </c>
    </row>
    <row r="763">
      <c r="A763" s="5"/>
      <c r="B763" s="5"/>
      <c r="C763" s="4"/>
      <c r="D763" s="4"/>
      <c r="E763" s="5"/>
      <c r="F763" s="4"/>
      <c r="G763" s="6">
        <f>IF(AND(A763="",B763=""),"",IF(COUNTIFS($A$2:$A$2001,A763,$B$2:$B$2001,B763)&gt;1,"DUPLICADO","OK"))</f>
      </c>
      <c r="H763" s="6">
        <f>IF(COUNTA(A763:F763)=0,"",IF(AND(A763&lt;&gt;"",B763&lt;&gt;"",E763&lt;&gt;""),"OK","ERRO: faltam "&amp;IF(A763="","Conta; ","")&amp;IF(B763="","Oportunidade; ","")&amp;IF(E763="","Novo gerente; ","")))</f>
      </c>
      <c r="I763" s="6">
        <f>IF(COUNTA(A763:F763)=0,"",IF(AND(G763="OK",H763="OK"),"OK","REVISAR"))</f>
      </c>
    </row>
    <row r="764">
      <c r="A764" s="5"/>
      <c r="B764" s="5"/>
      <c r="C764" s="4"/>
      <c r="D764" s="4"/>
      <c r="E764" s="5"/>
      <c r="F764" s="4"/>
      <c r="G764" s="6">
        <f>IF(AND(A764="",B764=""),"",IF(COUNTIFS($A$2:$A$2001,A764,$B$2:$B$2001,B764)&gt;1,"DUPLICADO","OK"))</f>
      </c>
      <c r="H764" s="6">
        <f>IF(COUNTA(A764:F764)=0,"",IF(AND(A764&lt;&gt;"",B764&lt;&gt;"",E764&lt;&gt;""),"OK","ERRO: faltam "&amp;IF(A764="","Conta; ","")&amp;IF(B764="","Oportunidade; ","")&amp;IF(E764="","Novo gerente; ","")))</f>
      </c>
      <c r="I764" s="6">
        <f>IF(COUNTA(A764:F764)=0,"",IF(AND(G764="OK",H764="OK"),"OK","REVISAR"))</f>
      </c>
    </row>
    <row r="765">
      <c r="A765" s="5"/>
      <c r="B765" s="5"/>
      <c r="C765" s="4"/>
      <c r="D765" s="4"/>
      <c r="E765" s="5"/>
      <c r="F765" s="4"/>
      <c r="G765" s="6">
        <f>IF(AND(A765="",B765=""),"",IF(COUNTIFS($A$2:$A$2001,A765,$B$2:$B$2001,B765)&gt;1,"DUPLICADO","OK"))</f>
      </c>
      <c r="H765" s="6">
        <f>IF(COUNTA(A765:F765)=0,"",IF(AND(A765&lt;&gt;"",B765&lt;&gt;"",E765&lt;&gt;""),"OK","ERRO: faltam "&amp;IF(A765="","Conta; ","")&amp;IF(B765="","Oportunidade; ","")&amp;IF(E765="","Novo gerente; ","")))</f>
      </c>
      <c r="I765" s="6">
        <f>IF(COUNTA(A765:F765)=0,"",IF(AND(G765="OK",H765="OK"),"OK","REVISAR"))</f>
      </c>
    </row>
    <row r="766">
      <c r="A766" s="5"/>
      <c r="B766" s="5"/>
      <c r="C766" s="4"/>
      <c r="D766" s="4"/>
      <c r="E766" s="5"/>
      <c r="F766" s="4"/>
      <c r="G766" s="6">
        <f>IF(AND(A766="",B766=""),"",IF(COUNTIFS($A$2:$A$2001,A766,$B$2:$B$2001,B766)&gt;1,"DUPLICADO","OK"))</f>
      </c>
      <c r="H766" s="6">
        <f>IF(COUNTA(A766:F766)=0,"",IF(AND(A766&lt;&gt;"",B766&lt;&gt;"",E766&lt;&gt;""),"OK","ERRO: faltam "&amp;IF(A766="","Conta; ","")&amp;IF(B766="","Oportunidade; ","")&amp;IF(E766="","Novo gerente; ","")))</f>
      </c>
      <c r="I766" s="6">
        <f>IF(COUNTA(A766:F766)=0,"",IF(AND(G766="OK",H766="OK"),"OK","REVISAR"))</f>
      </c>
    </row>
    <row r="767">
      <c r="A767" s="5"/>
      <c r="B767" s="5"/>
      <c r="C767" s="4"/>
      <c r="D767" s="4"/>
      <c r="E767" s="5"/>
      <c r="F767" s="4"/>
      <c r="G767" s="6">
        <f>IF(AND(A767="",B767=""),"",IF(COUNTIFS($A$2:$A$2001,A767,$B$2:$B$2001,B767)&gt;1,"DUPLICADO","OK"))</f>
      </c>
      <c r="H767" s="6">
        <f>IF(COUNTA(A767:F767)=0,"",IF(AND(A767&lt;&gt;"",B767&lt;&gt;"",E767&lt;&gt;""),"OK","ERRO: faltam "&amp;IF(A767="","Conta; ","")&amp;IF(B767="","Oportunidade; ","")&amp;IF(E767="","Novo gerente; ","")))</f>
      </c>
      <c r="I767" s="6">
        <f>IF(COUNTA(A767:F767)=0,"",IF(AND(G767="OK",H767="OK"),"OK","REVISAR"))</f>
      </c>
    </row>
    <row r="768">
      <c r="A768" s="5"/>
      <c r="B768" s="5"/>
      <c r="C768" s="4"/>
      <c r="D768" s="4"/>
      <c r="E768" s="5"/>
      <c r="F768" s="4"/>
      <c r="G768" s="6">
        <f>IF(AND(A768="",B768=""),"",IF(COUNTIFS($A$2:$A$2001,A768,$B$2:$B$2001,B768)&gt;1,"DUPLICADO","OK"))</f>
      </c>
      <c r="H768" s="6">
        <f>IF(COUNTA(A768:F768)=0,"",IF(AND(A768&lt;&gt;"",B768&lt;&gt;"",E768&lt;&gt;""),"OK","ERRO: faltam "&amp;IF(A768="","Conta; ","")&amp;IF(B768="","Oportunidade; ","")&amp;IF(E768="","Novo gerente; ","")))</f>
      </c>
      <c r="I768" s="6">
        <f>IF(COUNTA(A768:F768)=0,"",IF(AND(G768="OK",H768="OK"),"OK","REVISAR"))</f>
      </c>
    </row>
    <row r="769">
      <c r="A769" s="5"/>
      <c r="B769" s="5"/>
      <c r="C769" s="4"/>
      <c r="D769" s="4"/>
      <c r="E769" s="5"/>
      <c r="F769" s="4"/>
      <c r="G769" s="6">
        <f>IF(AND(A769="",B769=""),"",IF(COUNTIFS($A$2:$A$2001,A769,$B$2:$B$2001,B769)&gt;1,"DUPLICADO","OK"))</f>
      </c>
      <c r="H769" s="6">
        <f>IF(COUNTA(A769:F769)=0,"",IF(AND(A769&lt;&gt;"",B769&lt;&gt;"",E769&lt;&gt;""),"OK","ERRO: faltam "&amp;IF(A769="","Conta; ","")&amp;IF(B769="","Oportunidade; ","")&amp;IF(E769="","Novo gerente; ","")))</f>
      </c>
      <c r="I769" s="6">
        <f>IF(COUNTA(A769:F769)=0,"",IF(AND(G769="OK",H769="OK"),"OK","REVISAR"))</f>
      </c>
    </row>
    <row r="770">
      <c r="A770" s="5"/>
      <c r="B770" s="5"/>
      <c r="C770" s="4"/>
      <c r="D770" s="4"/>
      <c r="E770" s="5"/>
      <c r="F770" s="4"/>
      <c r="G770" s="6">
        <f>IF(AND(A770="",B770=""),"",IF(COUNTIFS($A$2:$A$2001,A770,$B$2:$B$2001,B770)&gt;1,"DUPLICADO","OK"))</f>
      </c>
      <c r="H770" s="6">
        <f>IF(COUNTA(A770:F770)=0,"",IF(AND(A770&lt;&gt;"",B770&lt;&gt;"",E770&lt;&gt;""),"OK","ERRO: faltam "&amp;IF(A770="","Conta; ","")&amp;IF(B770="","Oportunidade; ","")&amp;IF(E770="","Novo gerente; ","")))</f>
      </c>
      <c r="I770" s="6">
        <f>IF(COUNTA(A770:F770)=0,"",IF(AND(G770="OK",H770="OK"),"OK","REVISAR"))</f>
      </c>
    </row>
    <row r="771">
      <c r="A771" s="5"/>
      <c r="B771" s="5"/>
      <c r="C771" s="4"/>
      <c r="D771" s="4"/>
      <c r="E771" s="5"/>
      <c r="F771" s="4"/>
      <c r="G771" s="6">
        <f>IF(AND(A771="",B771=""),"",IF(COUNTIFS($A$2:$A$2001,A771,$B$2:$B$2001,B771)&gt;1,"DUPLICADO","OK"))</f>
      </c>
      <c r="H771" s="6">
        <f>IF(COUNTA(A771:F771)=0,"",IF(AND(A771&lt;&gt;"",B771&lt;&gt;"",E771&lt;&gt;""),"OK","ERRO: faltam "&amp;IF(A771="","Conta; ","")&amp;IF(B771="","Oportunidade; ","")&amp;IF(E771="","Novo gerente; ","")))</f>
      </c>
      <c r="I771" s="6">
        <f>IF(COUNTA(A771:F771)=0,"",IF(AND(G771="OK",H771="OK"),"OK","REVISAR"))</f>
      </c>
    </row>
    <row r="772">
      <c r="A772" s="5"/>
      <c r="B772" s="5"/>
      <c r="C772" s="4"/>
      <c r="D772" s="4"/>
      <c r="E772" s="5"/>
      <c r="F772" s="4"/>
      <c r="G772" s="6">
        <f>IF(AND(A772="",B772=""),"",IF(COUNTIFS($A$2:$A$2001,A772,$B$2:$B$2001,B772)&gt;1,"DUPLICADO","OK"))</f>
      </c>
      <c r="H772" s="6">
        <f>IF(COUNTA(A772:F772)=0,"",IF(AND(A772&lt;&gt;"",B772&lt;&gt;"",E772&lt;&gt;""),"OK","ERRO: faltam "&amp;IF(A772="","Conta; ","")&amp;IF(B772="","Oportunidade; ","")&amp;IF(E772="","Novo gerente; ","")))</f>
      </c>
      <c r="I772" s="6">
        <f>IF(COUNTA(A772:F772)=0,"",IF(AND(G772="OK",H772="OK"),"OK","REVISAR"))</f>
      </c>
    </row>
    <row r="773">
      <c r="A773" s="5"/>
      <c r="B773" s="5"/>
      <c r="C773" s="4"/>
      <c r="D773" s="4"/>
      <c r="E773" s="5"/>
      <c r="F773" s="4"/>
      <c r="G773" s="6">
        <f>IF(AND(A773="",B773=""),"",IF(COUNTIFS($A$2:$A$2001,A773,$B$2:$B$2001,B773)&gt;1,"DUPLICADO","OK"))</f>
      </c>
      <c r="H773" s="6">
        <f>IF(COUNTA(A773:F773)=0,"",IF(AND(A773&lt;&gt;"",B773&lt;&gt;"",E773&lt;&gt;""),"OK","ERRO: faltam "&amp;IF(A773="","Conta; ","")&amp;IF(B773="","Oportunidade; ","")&amp;IF(E773="","Novo gerente; ","")))</f>
      </c>
      <c r="I773" s="6">
        <f>IF(COUNTA(A773:F773)=0,"",IF(AND(G773="OK",H773="OK"),"OK","REVISAR"))</f>
      </c>
    </row>
    <row r="774">
      <c r="A774" s="5"/>
      <c r="B774" s="5"/>
      <c r="C774" s="4"/>
      <c r="D774" s="4"/>
      <c r="E774" s="5"/>
      <c r="F774" s="4"/>
      <c r="G774" s="6">
        <f>IF(AND(A774="",B774=""),"",IF(COUNTIFS($A$2:$A$2001,A774,$B$2:$B$2001,B774)&gt;1,"DUPLICADO","OK"))</f>
      </c>
      <c r="H774" s="6">
        <f>IF(COUNTA(A774:F774)=0,"",IF(AND(A774&lt;&gt;"",B774&lt;&gt;"",E774&lt;&gt;""),"OK","ERRO: faltam "&amp;IF(A774="","Conta; ","")&amp;IF(B774="","Oportunidade; ","")&amp;IF(E774="","Novo gerente; ","")))</f>
      </c>
      <c r="I774" s="6">
        <f>IF(COUNTA(A774:F774)=0,"",IF(AND(G774="OK",H774="OK"),"OK","REVISAR"))</f>
      </c>
    </row>
    <row r="775">
      <c r="A775" s="5"/>
      <c r="B775" s="5"/>
      <c r="C775" s="4"/>
      <c r="D775" s="4"/>
      <c r="E775" s="5"/>
      <c r="F775" s="4"/>
      <c r="G775" s="6">
        <f>IF(AND(A775="",B775=""),"",IF(COUNTIFS($A$2:$A$2001,A775,$B$2:$B$2001,B775)&gt;1,"DUPLICADO","OK"))</f>
      </c>
      <c r="H775" s="6">
        <f>IF(COUNTA(A775:F775)=0,"",IF(AND(A775&lt;&gt;"",B775&lt;&gt;"",E775&lt;&gt;""),"OK","ERRO: faltam "&amp;IF(A775="","Conta; ","")&amp;IF(B775="","Oportunidade; ","")&amp;IF(E775="","Novo gerente; ","")))</f>
      </c>
      <c r="I775" s="6">
        <f>IF(COUNTA(A775:F775)=0,"",IF(AND(G775="OK",H775="OK"),"OK","REVISAR"))</f>
      </c>
    </row>
    <row r="776">
      <c r="A776" s="5"/>
      <c r="B776" s="5"/>
      <c r="C776" s="4"/>
      <c r="D776" s="4"/>
      <c r="E776" s="5"/>
      <c r="F776" s="4"/>
      <c r="G776" s="6">
        <f>IF(AND(A776="",B776=""),"",IF(COUNTIFS($A$2:$A$2001,A776,$B$2:$B$2001,B776)&gt;1,"DUPLICADO","OK"))</f>
      </c>
      <c r="H776" s="6">
        <f>IF(COUNTA(A776:F776)=0,"",IF(AND(A776&lt;&gt;"",B776&lt;&gt;"",E776&lt;&gt;""),"OK","ERRO: faltam "&amp;IF(A776="","Conta; ","")&amp;IF(B776="","Oportunidade; ","")&amp;IF(E776="","Novo gerente; ","")))</f>
      </c>
      <c r="I776" s="6">
        <f>IF(COUNTA(A776:F776)=0,"",IF(AND(G776="OK",H776="OK"),"OK","REVISAR"))</f>
      </c>
    </row>
    <row r="777">
      <c r="A777" s="5"/>
      <c r="B777" s="5"/>
      <c r="C777" s="4"/>
      <c r="D777" s="4"/>
      <c r="E777" s="5"/>
      <c r="F777" s="4"/>
      <c r="G777" s="6">
        <f>IF(AND(A777="",B777=""),"",IF(COUNTIFS($A$2:$A$2001,A777,$B$2:$B$2001,B777)&gt;1,"DUPLICADO","OK"))</f>
      </c>
      <c r="H777" s="6">
        <f>IF(COUNTA(A777:F777)=0,"",IF(AND(A777&lt;&gt;"",B777&lt;&gt;"",E777&lt;&gt;""),"OK","ERRO: faltam "&amp;IF(A777="","Conta; ","")&amp;IF(B777="","Oportunidade; ","")&amp;IF(E777="","Novo gerente; ","")))</f>
      </c>
      <c r="I777" s="6">
        <f>IF(COUNTA(A777:F777)=0,"",IF(AND(G777="OK",H777="OK"),"OK","REVISAR"))</f>
      </c>
    </row>
    <row r="778">
      <c r="A778" s="5"/>
      <c r="B778" s="5"/>
      <c r="C778" s="4"/>
      <c r="D778" s="4"/>
      <c r="E778" s="5"/>
      <c r="F778" s="4"/>
      <c r="G778" s="6">
        <f>IF(AND(A778="",B778=""),"",IF(COUNTIFS($A$2:$A$2001,A778,$B$2:$B$2001,B778)&gt;1,"DUPLICADO","OK"))</f>
      </c>
      <c r="H778" s="6">
        <f>IF(COUNTA(A778:F778)=0,"",IF(AND(A778&lt;&gt;"",B778&lt;&gt;"",E778&lt;&gt;""),"OK","ERRO: faltam "&amp;IF(A778="","Conta; ","")&amp;IF(B778="","Oportunidade; ","")&amp;IF(E778="","Novo gerente; ","")))</f>
      </c>
      <c r="I778" s="6">
        <f>IF(COUNTA(A778:F778)=0,"",IF(AND(G778="OK",H778="OK"),"OK","REVISAR"))</f>
      </c>
    </row>
    <row r="779">
      <c r="A779" s="5"/>
      <c r="B779" s="5"/>
      <c r="C779" s="4"/>
      <c r="D779" s="4"/>
      <c r="E779" s="5"/>
      <c r="F779" s="4"/>
      <c r="G779" s="6">
        <f>IF(AND(A779="",B779=""),"",IF(COUNTIFS($A$2:$A$2001,A779,$B$2:$B$2001,B779)&gt;1,"DUPLICADO","OK"))</f>
      </c>
      <c r="H779" s="6">
        <f>IF(COUNTA(A779:F779)=0,"",IF(AND(A779&lt;&gt;"",B779&lt;&gt;"",E779&lt;&gt;""),"OK","ERRO: faltam "&amp;IF(A779="","Conta; ","")&amp;IF(B779="","Oportunidade; ","")&amp;IF(E779="","Novo gerente; ","")))</f>
      </c>
      <c r="I779" s="6">
        <f>IF(COUNTA(A779:F779)=0,"",IF(AND(G779="OK",H779="OK"),"OK","REVISAR"))</f>
      </c>
    </row>
    <row r="780">
      <c r="A780" s="5"/>
      <c r="B780" s="5"/>
      <c r="C780" s="4"/>
      <c r="D780" s="4"/>
      <c r="E780" s="5"/>
      <c r="F780" s="4"/>
      <c r="G780" s="6">
        <f>IF(AND(A780="",B780=""),"",IF(COUNTIFS($A$2:$A$2001,A780,$B$2:$B$2001,B780)&gt;1,"DUPLICADO","OK"))</f>
      </c>
      <c r="H780" s="6">
        <f>IF(COUNTA(A780:F780)=0,"",IF(AND(A780&lt;&gt;"",B780&lt;&gt;"",E780&lt;&gt;""),"OK","ERRO: faltam "&amp;IF(A780="","Conta; ","")&amp;IF(B780="","Oportunidade; ","")&amp;IF(E780="","Novo gerente; ","")))</f>
      </c>
      <c r="I780" s="6">
        <f>IF(COUNTA(A780:F780)=0,"",IF(AND(G780="OK",H780="OK"),"OK","REVISAR"))</f>
      </c>
    </row>
    <row r="781">
      <c r="A781" s="5"/>
      <c r="B781" s="5"/>
      <c r="C781" s="4"/>
      <c r="D781" s="4"/>
      <c r="E781" s="5"/>
      <c r="F781" s="4"/>
      <c r="G781" s="6">
        <f>IF(AND(A781="",B781=""),"",IF(COUNTIFS($A$2:$A$2001,A781,$B$2:$B$2001,B781)&gt;1,"DUPLICADO","OK"))</f>
      </c>
      <c r="H781" s="6">
        <f>IF(COUNTA(A781:F781)=0,"",IF(AND(A781&lt;&gt;"",B781&lt;&gt;"",E781&lt;&gt;""),"OK","ERRO: faltam "&amp;IF(A781="","Conta; ","")&amp;IF(B781="","Oportunidade; ","")&amp;IF(E781="","Novo gerente; ","")))</f>
      </c>
      <c r="I781" s="6">
        <f>IF(COUNTA(A781:F781)=0,"",IF(AND(G781="OK",H781="OK"),"OK","REVISAR"))</f>
      </c>
    </row>
    <row r="782">
      <c r="A782" s="5"/>
      <c r="B782" s="5"/>
      <c r="C782" s="4"/>
      <c r="D782" s="4"/>
      <c r="E782" s="5"/>
      <c r="F782" s="4"/>
      <c r="G782" s="6">
        <f>IF(AND(A782="",B782=""),"",IF(COUNTIFS($A$2:$A$2001,A782,$B$2:$B$2001,B782)&gt;1,"DUPLICADO","OK"))</f>
      </c>
      <c r="H782" s="6">
        <f>IF(COUNTA(A782:F782)=0,"",IF(AND(A782&lt;&gt;"",B782&lt;&gt;"",E782&lt;&gt;""),"OK","ERRO: faltam "&amp;IF(A782="","Conta; ","")&amp;IF(B782="","Oportunidade; ","")&amp;IF(E782="","Novo gerente; ","")))</f>
      </c>
      <c r="I782" s="6">
        <f>IF(COUNTA(A782:F782)=0,"",IF(AND(G782="OK",H782="OK"),"OK","REVISAR"))</f>
      </c>
    </row>
    <row r="783">
      <c r="A783" s="5"/>
      <c r="B783" s="5"/>
      <c r="C783" s="4"/>
      <c r="D783" s="4"/>
      <c r="E783" s="5"/>
      <c r="F783" s="4"/>
      <c r="G783" s="6">
        <f>IF(AND(A783="",B783=""),"",IF(COUNTIFS($A$2:$A$2001,A783,$B$2:$B$2001,B783)&gt;1,"DUPLICADO","OK"))</f>
      </c>
      <c r="H783" s="6">
        <f>IF(COUNTA(A783:F783)=0,"",IF(AND(A783&lt;&gt;"",B783&lt;&gt;"",E783&lt;&gt;""),"OK","ERRO: faltam "&amp;IF(A783="","Conta; ","")&amp;IF(B783="","Oportunidade; ","")&amp;IF(E783="","Novo gerente; ","")))</f>
      </c>
      <c r="I783" s="6">
        <f>IF(COUNTA(A783:F783)=0,"",IF(AND(G783="OK",H783="OK"),"OK","REVISAR"))</f>
      </c>
    </row>
    <row r="784">
      <c r="A784" s="5"/>
      <c r="B784" s="5"/>
      <c r="C784" s="4"/>
      <c r="D784" s="4"/>
      <c r="E784" s="5"/>
      <c r="F784" s="4"/>
      <c r="G784" s="6">
        <f>IF(AND(A784="",B784=""),"",IF(COUNTIFS($A$2:$A$2001,A784,$B$2:$B$2001,B784)&gt;1,"DUPLICADO","OK"))</f>
      </c>
      <c r="H784" s="6">
        <f>IF(COUNTA(A784:F784)=0,"",IF(AND(A784&lt;&gt;"",B784&lt;&gt;"",E784&lt;&gt;""),"OK","ERRO: faltam "&amp;IF(A784="","Conta; ","")&amp;IF(B784="","Oportunidade; ","")&amp;IF(E784="","Novo gerente; ","")))</f>
      </c>
      <c r="I784" s="6">
        <f>IF(COUNTA(A784:F784)=0,"",IF(AND(G784="OK",H784="OK"),"OK","REVISAR"))</f>
      </c>
    </row>
    <row r="785">
      <c r="A785" s="5"/>
      <c r="B785" s="5"/>
      <c r="C785" s="4"/>
      <c r="D785" s="4"/>
      <c r="E785" s="5"/>
      <c r="F785" s="4"/>
      <c r="G785" s="6">
        <f>IF(AND(A785="",B785=""),"",IF(COUNTIFS($A$2:$A$2001,A785,$B$2:$B$2001,B785)&gt;1,"DUPLICADO","OK"))</f>
      </c>
      <c r="H785" s="6">
        <f>IF(COUNTA(A785:F785)=0,"",IF(AND(A785&lt;&gt;"",B785&lt;&gt;"",E785&lt;&gt;""),"OK","ERRO: faltam "&amp;IF(A785="","Conta; ","")&amp;IF(B785="","Oportunidade; ","")&amp;IF(E785="","Novo gerente; ","")))</f>
      </c>
      <c r="I785" s="6">
        <f>IF(COUNTA(A785:F785)=0,"",IF(AND(G785="OK",H785="OK"),"OK","REVISAR"))</f>
      </c>
    </row>
    <row r="786">
      <c r="A786" s="5"/>
      <c r="B786" s="5"/>
      <c r="C786" s="4"/>
      <c r="D786" s="4"/>
      <c r="E786" s="5"/>
      <c r="F786" s="4"/>
      <c r="G786" s="6">
        <f>IF(AND(A786="",B786=""),"",IF(COUNTIFS($A$2:$A$2001,A786,$B$2:$B$2001,B786)&gt;1,"DUPLICADO","OK"))</f>
      </c>
      <c r="H786" s="6">
        <f>IF(COUNTA(A786:F786)=0,"",IF(AND(A786&lt;&gt;"",B786&lt;&gt;"",E786&lt;&gt;""),"OK","ERRO: faltam "&amp;IF(A786="","Conta; ","")&amp;IF(B786="","Oportunidade; ","")&amp;IF(E786="","Novo gerente; ","")))</f>
      </c>
      <c r="I786" s="6">
        <f>IF(COUNTA(A786:F786)=0,"",IF(AND(G786="OK",H786="OK"),"OK","REVISAR"))</f>
      </c>
    </row>
    <row r="787">
      <c r="A787" s="5"/>
      <c r="B787" s="5"/>
      <c r="C787" s="4"/>
      <c r="D787" s="4"/>
      <c r="E787" s="5"/>
      <c r="F787" s="4"/>
      <c r="G787" s="6">
        <f>IF(AND(A787="",B787=""),"",IF(COUNTIFS($A$2:$A$2001,A787,$B$2:$B$2001,B787)&gt;1,"DUPLICADO","OK"))</f>
      </c>
      <c r="H787" s="6">
        <f>IF(COUNTA(A787:F787)=0,"",IF(AND(A787&lt;&gt;"",B787&lt;&gt;"",E787&lt;&gt;""),"OK","ERRO: faltam "&amp;IF(A787="","Conta; ","")&amp;IF(B787="","Oportunidade; ","")&amp;IF(E787="","Novo gerente; ","")))</f>
      </c>
      <c r="I787" s="6">
        <f>IF(COUNTA(A787:F787)=0,"",IF(AND(G787="OK",H787="OK"),"OK","REVISAR"))</f>
      </c>
    </row>
    <row r="788">
      <c r="A788" s="5"/>
      <c r="B788" s="5"/>
      <c r="C788" s="4"/>
      <c r="D788" s="4"/>
      <c r="E788" s="5"/>
      <c r="F788" s="4"/>
      <c r="G788" s="6">
        <f>IF(AND(A788="",B788=""),"",IF(COUNTIFS($A$2:$A$2001,A788,$B$2:$B$2001,B788)&gt;1,"DUPLICADO","OK"))</f>
      </c>
      <c r="H788" s="6">
        <f>IF(COUNTA(A788:F788)=0,"",IF(AND(A788&lt;&gt;"",B788&lt;&gt;"",E788&lt;&gt;""),"OK","ERRO: faltam "&amp;IF(A788="","Conta; ","")&amp;IF(B788="","Oportunidade; ","")&amp;IF(E788="","Novo gerente; ","")))</f>
      </c>
      <c r="I788" s="6">
        <f>IF(COUNTA(A788:F788)=0,"",IF(AND(G788="OK",H788="OK"),"OK","REVISAR"))</f>
      </c>
    </row>
    <row r="789">
      <c r="A789" s="5"/>
      <c r="B789" s="5"/>
      <c r="C789" s="4"/>
      <c r="D789" s="4"/>
      <c r="E789" s="5"/>
      <c r="F789" s="4"/>
      <c r="G789" s="6">
        <f>IF(AND(A789="",B789=""),"",IF(COUNTIFS($A$2:$A$2001,A789,$B$2:$B$2001,B789)&gt;1,"DUPLICADO","OK"))</f>
      </c>
      <c r="H789" s="6">
        <f>IF(COUNTA(A789:F789)=0,"",IF(AND(A789&lt;&gt;"",B789&lt;&gt;"",E789&lt;&gt;""),"OK","ERRO: faltam "&amp;IF(A789="","Conta; ","")&amp;IF(B789="","Oportunidade; ","")&amp;IF(E789="","Novo gerente; ","")))</f>
      </c>
      <c r="I789" s="6">
        <f>IF(COUNTA(A789:F789)=0,"",IF(AND(G789="OK",H789="OK"),"OK","REVISAR"))</f>
      </c>
    </row>
    <row r="790">
      <c r="A790" s="5"/>
      <c r="B790" s="5"/>
      <c r="C790" s="4"/>
      <c r="D790" s="4"/>
      <c r="E790" s="5"/>
      <c r="F790" s="4"/>
      <c r="G790" s="6">
        <f>IF(AND(A790="",B790=""),"",IF(COUNTIFS($A$2:$A$2001,A790,$B$2:$B$2001,B790)&gt;1,"DUPLICADO","OK"))</f>
      </c>
      <c r="H790" s="6">
        <f>IF(COUNTA(A790:F790)=0,"",IF(AND(A790&lt;&gt;"",B790&lt;&gt;"",E790&lt;&gt;""),"OK","ERRO: faltam "&amp;IF(A790="","Conta; ","")&amp;IF(B790="","Oportunidade; ","")&amp;IF(E790="","Novo gerente; ","")))</f>
      </c>
      <c r="I790" s="6">
        <f>IF(COUNTA(A790:F790)=0,"",IF(AND(G790="OK",H790="OK"),"OK","REVISAR"))</f>
      </c>
    </row>
    <row r="791">
      <c r="A791" s="5"/>
      <c r="B791" s="5"/>
      <c r="C791" s="4"/>
      <c r="D791" s="4"/>
      <c r="E791" s="5"/>
      <c r="F791" s="4"/>
      <c r="G791" s="6">
        <f>IF(AND(A791="",B791=""),"",IF(COUNTIFS($A$2:$A$2001,A791,$B$2:$B$2001,B791)&gt;1,"DUPLICADO","OK"))</f>
      </c>
      <c r="H791" s="6">
        <f>IF(COUNTA(A791:F791)=0,"",IF(AND(A791&lt;&gt;"",B791&lt;&gt;"",E791&lt;&gt;""),"OK","ERRO: faltam "&amp;IF(A791="","Conta; ","")&amp;IF(B791="","Oportunidade; ","")&amp;IF(E791="","Novo gerente; ","")))</f>
      </c>
      <c r="I791" s="6">
        <f>IF(COUNTA(A791:F791)=0,"",IF(AND(G791="OK",H791="OK"),"OK","REVISAR"))</f>
      </c>
    </row>
    <row r="792">
      <c r="A792" s="5"/>
      <c r="B792" s="5"/>
      <c r="C792" s="4"/>
      <c r="D792" s="4"/>
      <c r="E792" s="5"/>
      <c r="F792" s="4"/>
      <c r="G792" s="6">
        <f>IF(AND(A792="",B792=""),"",IF(COUNTIFS($A$2:$A$2001,A792,$B$2:$B$2001,B792)&gt;1,"DUPLICADO","OK"))</f>
      </c>
      <c r="H792" s="6">
        <f>IF(COUNTA(A792:F792)=0,"",IF(AND(A792&lt;&gt;"",B792&lt;&gt;"",E792&lt;&gt;""),"OK","ERRO: faltam "&amp;IF(A792="","Conta; ","")&amp;IF(B792="","Oportunidade; ","")&amp;IF(E792="","Novo gerente; ","")))</f>
      </c>
      <c r="I792" s="6">
        <f>IF(COUNTA(A792:F792)=0,"",IF(AND(G792="OK",H792="OK"),"OK","REVISAR"))</f>
      </c>
    </row>
    <row r="793">
      <c r="A793" s="5"/>
      <c r="B793" s="5"/>
      <c r="C793" s="4"/>
      <c r="D793" s="4"/>
      <c r="E793" s="5"/>
      <c r="F793" s="4"/>
      <c r="G793" s="6">
        <f>IF(AND(A793="",B793=""),"",IF(COUNTIFS($A$2:$A$2001,A793,$B$2:$B$2001,B793)&gt;1,"DUPLICADO","OK"))</f>
      </c>
      <c r="H793" s="6">
        <f>IF(COUNTA(A793:F793)=0,"",IF(AND(A793&lt;&gt;"",B793&lt;&gt;"",E793&lt;&gt;""),"OK","ERRO: faltam "&amp;IF(A793="","Conta; ","")&amp;IF(B793="","Oportunidade; ","")&amp;IF(E793="","Novo gerente; ","")))</f>
      </c>
      <c r="I793" s="6">
        <f>IF(COUNTA(A793:F793)=0,"",IF(AND(G793="OK",H793="OK"),"OK","REVISAR"))</f>
      </c>
    </row>
    <row r="794">
      <c r="A794" s="5"/>
      <c r="B794" s="5"/>
      <c r="C794" s="4"/>
      <c r="D794" s="4"/>
      <c r="E794" s="5"/>
      <c r="F794" s="4"/>
      <c r="G794" s="6">
        <f>IF(AND(A794="",B794=""),"",IF(COUNTIFS($A$2:$A$2001,A794,$B$2:$B$2001,B794)&gt;1,"DUPLICADO","OK"))</f>
      </c>
      <c r="H794" s="6">
        <f>IF(COUNTA(A794:F794)=0,"",IF(AND(A794&lt;&gt;"",B794&lt;&gt;"",E794&lt;&gt;""),"OK","ERRO: faltam "&amp;IF(A794="","Conta; ","")&amp;IF(B794="","Oportunidade; ","")&amp;IF(E794="","Novo gerente; ","")))</f>
      </c>
      <c r="I794" s="6">
        <f>IF(COUNTA(A794:F794)=0,"",IF(AND(G794="OK",H794="OK"),"OK","REVISAR"))</f>
      </c>
    </row>
    <row r="795">
      <c r="A795" s="5"/>
      <c r="B795" s="5"/>
      <c r="C795" s="4"/>
      <c r="D795" s="4"/>
      <c r="E795" s="5"/>
      <c r="F795" s="4"/>
      <c r="G795" s="6">
        <f>IF(AND(A795="",B795=""),"",IF(COUNTIFS($A$2:$A$2001,A795,$B$2:$B$2001,B795)&gt;1,"DUPLICADO","OK"))</f>
      </c>
      <c r="H795" s="6">
        <f>IF(COUNTA(A795:F795)=0,"",IF(AND(A795&lt;&gt;"",B795&lt;&gt;"",E795&lt;&gt;""),"OK","ERRO: faltam "&amp;IF(A795="","Conta; ","")&amp;IF(B795="","Oportunidade; ","")&amp;IF(E795="","Novo gerente; ","")))</f>
      </c>
      <c r="I795" s="6">
        <f>IF(COUNTA(A795:F795)=0,"",IF(AND(G795="OK",H795="OK"),"OK","REVISAR"))</f>
      </c>
    </row>
    <row r="796">
      <c r="A796" s="5"/>
      <c r="B796" s="5"/>
      <c r="C796" s="4"/>
      <c r="D796" s="4"/>
      <c r="E796" s="5"/>
      <c r="F796" s="4"/>
      <c r="G796" s="6">
        <f>IF(AND(A796="",B796=""),"",IF(COUNTIFS($A$2:$A$2001,A796,$B$2:$B$2001,B796)&gt;1,"DUPLICADO","OK"))</f>
      </c>
      <c r="H796" s="6">
        <f>IF(COUNTA(A796:F796)=0,"",IF(AND(A796&lt;&gt;"",B796&lt;&gt;"",E796&lt;&gt;""),"OK","ERRO: faltam "&amp;IF(A796="","Conta; ","")&amp;IF(B796="","Oportunidade; ","")&amp;IF(E796="","Novo gerente; ","")))</f>
      </c>
      <c r="I796" s="6">
        <f>IF(COUNTA(A796:F796)=0,"",IF(AND(G796="OK",H796="OK"),"OK","REVISAR"))</f>
      </c>
    </row>
    <row r="797">
      <c r="A797" s="5"/>
      <c r="B797" s="5"/>
      <c r="C797" s="4"/>
      <c r="D797" s="4"/>
      <c r="E797" s="5"/>
      <c r="F797" s="4"/>
      <c r="G797" s="6">
        <f>IF(AND(A797="",B797=""),"",IF(COUNTIFS($A$2:$A$2001,A797,$B$2:$B$2001,B797)&gt;1,"DUPLICADO","OK"))</f>
      </c>
      <c r="H797" s="6">
        <f>IF(COUNTA(A797:F797)=0,"",IF(AND(A797&lt;&gt;"",B797&lt;&gt;"",E797&lt;&gt;""),"OK","ERRO: faltam "&amp;IF(A797="","Conta; ","")&amp;IF(B797="","Oportunidade; ","")&amp;IF(E797="","Novo gerente; ","")))</f>
      </c>
      <c r="I797" s="6">
        <f>IF(COUNTA(A797:F797)=0,"",IF(AND(G797="OK",H797="OK"),"OK","REVISAR"))</f>
      </c>
    </row>
    <row r="798">
      <c r="A798" s="5"/>
      <c r="B798" s="5"/>
      <c r="C798" s="4"/>
      <c r="D798" s="4"/>
      <c r="E798" s="5"/>
      <c r="F798" s="4"/>
      <c r="G798" s="6">
        <f>IF(AND(A798="",B798=""),"",IF(COUNTIFS($A$2:$A$2001,A798,$B$2:$B$2001,B798)&gt;1,"DUPLICADO","OK"))</f>
      </c>
      <c r="H798" s="6">
        <f>IF(COUNTA(A798:F798)=0,"",IF(AND(A798&lt;&gt;"",B798&lt;&gt;"",E798&lt;&gt;""),"OK","ERRO: faltam "&amp;IF(A798="","Conta; ","")&amp;IF(B798="","Oportunidade; ","")&amp;IF(E798="","Novo gerente; ","")))</f>
      </c>
      <c r="I798" s="6">
        <f>IF(COUNTA(A798:F798)=0,"",IF(AND(G798="OK",H798="OK"),"OK","REVISAR"))</f>
      </c>
    </row>
    <row r="799">
      <c r="A799" s="5"/>
      <c r="B799" s="5"/>
      <c r="C799" s="4"/>
      <c r="D799" s="4"/>
      <c r="E799" s="5"/>
      <c r="F799" s="4"/>
      <c r="G799" s="6">
        <f>IF(AND(A799="",B799=""),"",IF(COUNTIFS($A$2:$A$2001,A799,$B$2:$B$2001,B799)&gt;1,"DUPLICADO","OK"))</f>
      </c>
      <c r="H799" s="6">
        <f>IF(COUNTA(A799:F799)=0,"",IF(AND(A799&lt;&gt;"",B799&lt;&gt;"",E799&lt;&gt;""),"OK","ERRO: faltam "&amp;IF(A799="","Conta; ","")&amp;IF(B799="","Oportunidade; ","")&amp;IF(E799="","Novo gerente; ","")))</f>
      </c>
      <c r="I799" s="6">
        <f>IF(COUNTA(A799:F799)=0,"",IF(AND(G799="OK",H799="OK"),"OK","REVISAR"))</f>
      </c>
    </row>
    <row r="800">
      <c r="A800" s="5"/>
      <c r="B800" s="5"/>
      <c r="C800" s="4"/>
      <c r="D800" s="4"/>
      <c r="E800" s="5"/>
      <c r="F800" s="4"/>
      <c r="G800" s="6">
        <f>IF(AND(A800="",B800=""),"",IF(COUNTIFS($A$2:$A$2001,A800,$B$2:$B$2001,B800)&gt;1,"DUPLICADO","OK"))</f>
      </c>
      <c r="H800" s="6">
        <f>IF(COUNTA(A800:F800)=0,"",IF(AND(A800&lt;&gt;"",B800&lt;&gt;"",E800&lt;&gt;""),"OK","ERRO: faltam "&amp;IF(A800="","Conta; ","")&amp;IF(B800="","Oportunidade; ","")&amp;IF(E800="","Novo gerente; ","")))</f>
      </c>
      <c r="I800" s="6">
        <f>IF(COUNTA(A800:F800)=0,"",IF(AND(G800="OK",H800="OK"),"OK","REVISAR"))</f>
      </c>
    </row>
    <row r="801">
      <c r="A801" s="5"/>
      <c r="B801" s="5"/>
      <c r="C801" s="4"/>
      <c r="D801" s="4"/>
      <c r="E801" s="5"/>
      <c r="F801" s="4"/>
      <c r="G801" s="6">
        <f>IF(AND(A801="",B801=""),"",IF(COUNTIFS($A$2:$A$2001,A801,$B$2:$B$2001,B801)&gt;1,"DUPLICADO","OK"))</f>
      </c>
      <c r="H801" s="6">
        <f>IF(COUNTA(A801:F801)=0,"",IF(AND(A801&lt;&gt;"",B801&lt;&gt;"",E801&lt;&gt;""),"OK","ERRO: faltam "&amp;IF(A801="","Conta; ","")&amp;IF(B801="","Oportunidade; ","")&amp;IF(E801="","Novo gerente; ","")))</f>
      </c>
      <c r="I801" s="6">
        <f>IF(COUNTA(A801:F801)=0,"",IF(AND(G801="OK",H801="OK"),"OK","REVISAR"))</f>
      </c>
    </row>
    <row r="802">
      <c r="A802" s="5"/>
      <c r="B802" s="5"/>
      <c r="C802" s="4"/>
      <c r="D802" s="4"/>
      <c r="E802" s="5"/>
      <c r="F802" s="4"/>
      <c r="G802" s="6">
        <f>IF(AND(A802="",B802=""),"",IF(COUNTIFS($A$2:$A$2001,A802,$B$2:$B$2001,B802)&gt;1,"DUPLICADO","OK"))</f>
      </c>
      <c r="H802" s="6">
        <f>IF(COUNTA(A802:F802)=0,"",IF(AND(A802&lt;&gt;"",B802&lt;&gt;"",E802&lt;&gt;""),"OK","ERRO: faltam "&amp;IF(A802="","Conta; ","")&amp;IF(B802="","Oportunidade; ","")&amp;IF(E802="","Novo gerente; ","")))</f>
      </c>
      <c r="I802" s="6">
        <f>IF(COUNTA(A802:F802)=0,"",IF(AND(G802="OK",H802="OK"),"OK","REVISAR"))</f>
      </c>
    </row>
    <row r="803">
      <c r="A803" s="5"/>
      <c r="B803" s="5"/>
      <c r="C803" s="4"/>
      <c r="D803" s="4"/>
      <c r="E803" s="5"/>
      <c r="F803" s="4"/>
      <c r="G803" s="6">
        <f>IF(AND(A803="",B803=""),"",IF(COUNTIFS($A$2:$A$2001,A803,$B$2:$B$2001,B803)&gt;1,"DUPLICADO","OK"))</f>
      </c>
      <c r="H803" s="6">
        <f>IF(COUNTA(A803:F803)=0,"",IF(AND(A803&lt;&gt;"",B803&lt;&gt;"",E803&lt;&gt;""),"OK","ERRO: faltam "&amp;IF(A803="","Conta; ","")&amp;IF(B803="","Oportunidade; ","")&amp;IF(E803="","Novo gerente; ","")))</f>
      </c>
      <c r="I803" s="6">
        <f>IF(COUNTA(A803:F803)=0,"",IF(AND(G803="OK",H803="OK"),"OK","REVISAR"))</f>
      </c>
    </row>
    <row r="804">
      <c r="A804" s="5"/>
      <c r="B804" s="5"/>
      <c r="C804" s="4"/>
      <c r="D804" s="4"/>
      <c r="E804" s="5"/>
      <c r="F804" s="4"/>
      <c r="G804" s="6">
        <f>IF(AND(A804="",B804=""),"",IF(COUNTIFS($A$2:$A$2001,A804,$B$2:$B$2001,B804)&gt;1,"DUPLICADO","OK"))</f>
      </c>
      <c r="H804" s="6">
        <f>IF(COUNTA(A804:F804)=0,"",IF(AND(A804&lt;&gt;"",B804&lt;&gt;"",E804&lt;&gt;""),"OK","ERRO: faltam "&amp;IF(A804="","Conta; ","")&amp;IF(B804="","Oportunidade; ","")&amp;IF(E804="","Novo gerente; ","")))</f>
      </c>
      <c r="I804" s="6">
        <f>IF(COUNTA(A804:F804)=0,"",IF(AND(G804="OK",H804="OK"),"OK","REVISAR"))</f>
      </c>
    </row>
    <row r="805">
      <c r="A805" s="5"/>
      <c r="B805" s="5"/>
      <c r="C805" s="4"/>
      <c r="D805" s="4"/>
      <c r="E805" s="5"/>
      <c r="F805" s="4"/>
      <c r="G805" s="6">
        <f>IF(AND(A805="",B805=""),"",IF(COUNTIFS($A$2:$A$2001,A805,$B$2:$B$2001,B805)&gt;1,"DUPLICADO","OK"))</f>
      </c>
      <c r="H805" s="6">
        <f>IF(COUNTA(A805:F805)=0,"",IF(AND(A805&lt;&gt;"",B805&lt;&gt;"",E805&lt;&gt;""),"OK","ERRO: faltam "&amp;IF(A805="","Conta; ","")&amp;IF(B805="","Oportunidade; ","")&amp;IF(E805="","Novo gerente; ","")))</f>
      </c>
      <c r="I805" s="6">
        <f>IF(COUNTA(A805:F805)=0,"",IF(AND(G805="OK",H805="OK"),"OK","REVISAR"))</f>
      </c>
    </row>
    <row r="806">
      <c r="A806" s="5"/>
      <c r="B806" s="5"/>
      <c r="C806" s="4"/>
      <c r="D806" s="4"/>
      <c r="E806" s="5"/>
      <c r="F806" s="4"/>
      <c r="G806" s="6">
        <f>IF(AND(A806="",B806=""),"",IF(COUNTIFS($A$2:$A$2001,A806,$B$2:$B$2001,B806)&gt;1,"DUPLICADO","OK"))</f>
      </c>
      <c r="H806" s="6">
        <f>IF(COUNTA(A806:F806)=0,"",IF(AND(A806&lt;&gt;"",B806&lt;&gt;"",E806&lt;&gt;""),"OK","ERRO: faltam "&amp;IF(A806="","Conta; ","")&amp;IF(B806="","Oportunidade; ","")&amp;IF(E806="","Novo gerente; ","")))</f>
      </c>
      <c r="I806" s="6">
        <f>IF(COUNTA(A806:F806)=0,"",IF(AND(G806="OK",H806="OK"),"OK","REVISAR"))</f>
      </c>
    </row>
    <row r="807">
      <c r="A807" s="5"/>
      <c r="B807" s="5"/>
      <c r="C807" s="4"/>
      <c r="D807" s="4"/>
      <c r="E807" s="5"/>
      <c r="F807" s="4"/>
      <c r="G807" s="6">
        <f>IF(AND(A807="",B807=""),"",IF(COUNTIFS($A$2:$A$2001,A807,$B$2:$B$2001,B807)&gt;1,"DUPLICADO","OK"))</f>
      </c>
      <c r="H807" s="6">
        <f>IF(COUNTA(A807:F807)=0,"",IF(AND(A807&lt;&gt;"",B807&lt;&gt;"",E807&lt;&gt;""),"OK","ERRO: faltam "&amp;IF(A807="","Conta; ","")&amp;IF(B807="","Oportunidade; ","")&amp;IF(E807="","Novo gerente; ","")))</f>
      </c>
      <c r="I807" s="6">
        <f>IF(COUNTA(A807:F807)=0,"",IF(AND(G807="OK",H807="OK"),"OK","REVISAR"))</f>
      </c>
    </row>
    <row r="808">
      <c r="A808" s="5"/>
      <c r="B808" s="5"/>
      <c r="C808" s="4"/>
      <c r="D808" s="4"/>
      <c r="E808" s="5"/>
      <c r="F808" s="4"/>
      <c r="G808" s="6">
        <f>IF(AND(A808="",B808=""),"",IF(COUNTIFS($A$2:$A$2001,A808,$B$2:$B$2001,B808)&gt;1,"DUPLICADO","OK"))</f>
      </c>
      <c r="H808" s="6">
        <f>IF(COUNTA(A808:F808)=0,"",IF(AND(A808&lt;&gt;"",B808&lt;&gt;"",E808&lt;&gt;""),"OK","ERRO: faltam "&amp;IF(A808="","Conta; ","")&amp;IF(B808="","Oportunidade; ","")&amp;IF(E808="","Novo gerente; ","")))</f>
      </c>
      <c r="I808" s="6">
        <f>IF(COUNTA(A808:F808)=0,"",IF(AND(G808="OK",H808="OK"),"OK","REVISAR"))</f>
      </c>
    </row>
    <row r="809">
      <c r="A809" s="5"/>
      <c r="B809" s="5"/>
      <c r="C809" s="4"/>
      <c r="D809" s="4"/>
      <c r="E809" s="5"/>
      <c r="F809" s="4"/>
      <c r="G809" s="6">
        <f>IF(AND(A809="",B809=""),"",IF(COUNTIFS($A$2:$A$2001,A809,$B$2:$B$2001,B809)&gt;1,"DUPLICADO","OK"))</f>
      </c>
      <c r="H809" s="6">
        <f>IF(COUNTA(A809:F809)=0,"",IF(AND(A809&lt;&gt;"",B809&lt;&gt;"",E809&lt;&gt;""),"OK","ERRO: faltam "&amp;IF(A809="","Conta; ","")&amp;IF(B809="","Oportunidade; ","")&amp;IF(E809="","Novo gerente; ","")))</f>
      </c>
      <c r="I809" s="6">
        <f>IF(COUNTA(A809:F809)=0,"",IF(AND(G809="OK",H809="OK"),"OK","REVISAR"))</f>
      </c>
    </row>
    <row r="810">
      <c r="A810" s="5"/>
      <c r="B810" s="5"/>
      <c r="C810" s="4"/>
      <c r="D810" s="4"/>
      <c r="E810" s="5"/>
      <c r="F810" s="4"/>
      <c r="G810" s="6">
        <f>IF(AND(A810="",B810=""),"",IF(COUNTIFS($A$2:$A$2001,A810,$B$2:$B$2001,B810)&gt;1,"DUPLICADO","OK"))</f>
      </c>
      <c r="H810" s="6">
        <f>IF(COUNTA(A810:F810)=0,"",IF(AND(A810&lt;&gt;"",B810&lt;&gt;"",E810&lt;&gt;""),"OK","ERRO: faltam "&amp;IF(A810="","Conta; ","")&amp;IF(B810="","Oportunidade; ","")&amp;IF(E810="","Novo gerente; ","")))</f>
      </c>
      <c r="I810" s="6">
        <f>IF(COUNTA(A810:F810)=0,"",IF(AND(G810="OK",H810="OK"),"OK","REVISAR"))</f>
      </c>
    </row>
    <row r="811">
      <c r="A811" s="5"/>
      <c r="B811" s="5"/>
      <c r="C811" s="4"/>
      <c r="D811" s="4"/>
      <c r="E811" s="5"/>
      <c r="F811" s="4"/>
      <c r="G811" s="6">
        <f>IF(AND(A811="",B811=""),"",IF(COUNTIFS($A$2:$A$2001,A811,$B$2:$B$2001,B811)&gt;1,"DUPLICADO","OK"))</f>
      </c>
      <c r="H811" s="6">
        <f>IF(COUNTA(A811:F811)=0,"",IF(AND(A811&lt;&gt;"",B811&lt;&gt;"",E811&lt;&gt;""),"OK","ERRO: faltam "&amp;IF(A811="","Conta; ","")&amp;IF(B811="","Oportunidade; ","")&amp;IF(E811="","Novo gerente; ","")))</f>
      </c>
      <c r="I811" s="6">
        <f>IF(COUNTA(A811:F811)=0,"",IF(AND(G811="OK",H811="OK"),"OK","REVISAR"))</f>
      </c>
    </row>
    <row r="812">
      <c r="A812" s="5"/>
      <c r="B812" s="5"/>
      <c r="C812" s="4"/>
      <c r="D812" s="4"/>
      <c r="E812" s="5"/>
      <c r="F812" s="4"/>
      <c r="G812" s="6">
        <f>IF(AND(A812="",B812=""),"",IF(COUNTIFS($A$2:$A$2001,A812,$B$2:$B$2001,B812)&gt;1,"DUPLICADO","OK"))</f>
      </c>
      <c r="H812" s="6">
        <f>IF(COUNTA(A812:F812)=0,"",IF(AND(A812&lt;&gt;"",B812&lt;&gt;"",E812&lt;&gt;""),"OK","ERRO: faltam "&amp;IF(A812="","Conta; ","")&amp;IF(B812="","Oportunidade; ","")&amp;IF(E812="","Novo gerente; ","")))</f>
      </c>
      <c r="I812" s="6">
        <f>IF(COUNTA(A812:F812)=0,"",IF(AND(G812="OK",H812="OK"),"OK","REVISAR"))</f>
      </c>
    </row>
    <row r="813">
      <c r="A813" s="5"/>
      <c r="B813" s="5"/>
      <c r="C813" s="4"/>
      <c r="D813" s="4"/>
      <c r="E813" s="5"/>
      <c r="F813" s="4"/>
      <c r="G813" s="6">
        <f>IF(AND(A813="",B813=""),"",IF(COUNTIFS($A$2:$A$2001,A813,$B$2:$B$2001,B813)&gt;1,"DUPLICADO","OK"))</f>
      </c>
      <c r="H813" s="6">
        <f>IF(COUNTA(A813:F813)=0,"",IF(AND(A813&lt;&gt;"",B813&lt;&gt;"",E813&lt;&gt;""),"OK","ERRO: faltam "&amp;IF(A813="","Conta; ","")&amp;IF(B813="","Oportunidade; ","")&amp;IF(E813="","Novo gerente; ","")))</f>
      </c>
      <c r="I813" s="6">
        <f>IF(COUNTA(A813:F813)=0,"",IF(AND(G813="OK",H813="OK"),"OK","REVISAR"))</f>
      </c>
    </row>
    <row r="814">
      <c r="A814" s="5"/>
      <c r="B814" s="5"/>
      <c r="C814" s="4"/>
      <c r="D814" s="4"/>
      <c r="E814" s="5"/>
      <c r="F814" s="4"/>
      <c r="G814" s="6">
        <f>IF(AND(A814="",B814=""),"",IF(COUNTIFS($A$2:$A$2001,A814,$B$2:$B$2001,B814)&gt;1,"DUPLICADO","OK"))</f>
      </c>
      <c r="H814" s="6">
        <f>IF(COUNTA(A814:F814)=0,"",IF(AND(A814&lt;&gt;"",B814&lt;&gt;"",E814&lt;&gt;""),"OK","ERRO: faltam "&amp;IF(A814="","Conta; ","")&amp;IF(B814="","Oportunidade; ","")&amp;IF(E814="","Novo gerente; ","")))</f>
      </c>
      <c r="I814" s="6">
        <f>IF(COUNTA(A814:F814)=0,"",IF(AND(G814="OK",H814="OK"),"OK","REVISAR"))</f>
      </c>
    </row>
    <row r="815">
      <c r="A815" s="5"/>
      <c r="B815" s="5"/>
      <c r="C815" s="4"/>
      <c r="D815" s="4"/>
      <c r="E815" s="5"/>
      <c r="F815" s="4"/>
      <c r="G815" s="6">
        <f>IF(AND(A815="",B815=""),"",IF(COUNTIFS($A$2:$A$2001,A815,$B$2:$B$2001,B815)&gt;1,"DUPLICADO","OK"))</f>
      </c>
      <c r="H815" s="6">
        <f>IF(COUNTA(A815:F815)=0,"",IF(AND(A815&lt;&gt;"",B815&lt;&gt;"",E815&lt;&gt;""),"OK","ERRO: faltam "&amp;IF(A815="","Conta; ","")&amp;IF(B815="","Oportunidade; ","")&amp;IF(E815="","Novo gerente; ","")))</f>
      </c>
      <c r="I815" s="6">
        <f>IF(COUNTA(A815:F815)=0,"",IF(AND(G815="OK",H815="OK"),"OK","REVISAR"))</f>
      </c>
    </row>
    <row r="816">
      <c r="A816" s="5"/>
      <c r="B816" s="5"/>
      <c r="C816" s="4"/>
      <c r="D816" s="4"/>
      <c r="E816" s="5"/>
      <c r="F816" s="4"/>
      <c r="G816" s="6">
        <f>IF(AND(A816="",B816=""),"",IF(COUNTIFS($A$2:$A$2001,A816,$B$2:$B$2001,B816)&gt;1,"DUPLICADO","OK"))</f>
      </c>
      <c r="H816" s="6">
        <f>IF(COUNTA(A816:F816)=0,"",IF(AND(A816&lt;&gt;"",B816&lt;&gt;"",E816&lt;&gt;""),"OK","ERRO: faltam "&amp;IF(A816="","Conta; ","")&amp;IF(B816="","Oportunidade; ","")&amp;IF(E816="","Novo gerente; ","")))</f>
      </c>
      <c r="I816" s="6">
        <f>IF(COUNTA(A816:F816)=0,"",IF(AND(G816="OK",H816="OK"),"OK","REVISAR"))</f>
      </c>
    </row>
    <row r="817">
      <c r="A817" s="5"/>
      <c r="B817" s="5"/>
      <c r="C817" s="4"/>
      <c r="D817" s="4"/>
      <c r="E817" s="5"/>
      <c r="F817" s="4"/>
      <c r="G817" s="6">
        <f>IF(AND(A817="",B817=""),"",IF(COUNTIFS($A$2:$A$2001,A817,$B$2:$B$2001,B817)&gt;1,"DUPLICADO","OK"))</f>
      </c>
      <c r="H817" s="6">
        <f>IF(COUNTA(A817:F817)=0,"",IF(AND(A817&lt;&gt;"",B817&lt;&gt;"",E817&lt;&gt;""),"OK","ERRO: faltam "&amp;IF(A817="","Conta; ","")&amp;IF(B817="","Oportunidade; ","")&amp;IF(E817="","Novo gerente; ","")))</f>
      </c>
      <c r="I817" s="6">
        <f>IF(COUNTA(A817:F817)=0,"",IF(AND(G817="OK",H817="OK"),"OK","REVISAR"))</f>
      </c>
    </row>
    <row r="818">
      <c r="A818" s="5"/>
      <c r="B818" s="5"/>
      <c r="C818" s="4"/>
      <c r="D818" s="4"/>
      <c r="E818" s="5"/>
      <c r="F818" s="4"/>
      <c r="G818" s="6">
        <f>IF(AND(A818="",B818=""),"",IF(COUNTIFS($A$2:$A$2001,A818,$B$2:$B$2001,B818)&gt;1,"DUPLICADO","OK"))</f>
      </c>
      <c r="H818" s="6">
        <f>IF(COUNTA(A818:F818)=0,"",IF(AND(A818&lt;&gt;"",B818&lt;&gt;"",E818&lt;&gt;""),"OK","ERRO: faltam "&amp;IF(A818="","Conta; ","")&amp;IF(B818="","Oportunidade; ","")&amp;IF(E818="","Novo gerente; ","")))</f>
      </c>
      <c r="I818" s="6">
        <f>IF(COUNTA(A818:F818)=0,"",IF(AND(G818="OK",H818="OK"),"OK","REVISAR"))</f>
      </c>
    </row>
    <row r="819">
      <c r="A819" s="5"/>
      <c r="B819" s="5"/>
      <c r="C819" s="4"/>
      <c r="D819" s="4"/>
      <c r="E819" s="5"/>
      <c r="F819" s="4"/>
      <c r="G819" s="6">
        <f>IF(AND(A819="",B819=""),"",IF(COUNTIFS($A$2:$A$2001,A819,$B$2:$B$2001,B819)&gt;1,"DUPLICADO","OK"))</f>
      </c>
      <c r="H819" s="6">
        <f>IF(COUNTA(A819:F819)=0,"",IF(AND(A819&lt;&gt;"",B819&lt;&gt;"",E819&lt;&gt;""),"OK","ERRO: faltam "&amp;IF(A819="","Conta; ","")&amp;IF(B819="","Oportunidade; ","")&amp;IF(E819="","Novo gerente; ","")))</f>
      </c>
      <c r="I819" s="6">
        <f>IF(COUNTA(A819:F819)=0,"",IF(AND(G819="OK",H819="OK"),"OK","REVISAR"))</f>
      </c>
    </row>
    <row r="820">
      <c r="A820" s="5"/>
      <c r="B820" s="5"/>
      <c r="C820" s="4"/>
      <c r="D820" s="4"/>
      <c r="E820" s="5"/>
      <c r="F820" s="4"/>
      <c r="G820" s="6">
        <f>IF(AND(A820="",B820=""),"",IF(COUNTIFS($A$2:$A$2001,A820,$B$2:$B$2001,B820)&gt;1,"DUPLICADO","OK"))</f>
      </c>
      <c r="H820" s="6">
        <f>IF(COUNTA(A820:F820)=0,"",IF(AND(A820&lt;&gt;"",B820&lt;&gt;"",E820&lt;&gt;""),"OK","ERRO: faltam "&amp;IF(A820="","Conta; ","")&amp;IF(B820="","Oportunidade; ","")&amp;IF(E820="","Novo gerente; ","")))</f>
      </c>
      <c r="I820" s="6">
        <f>IF(COUNTA(A820:F820)=0,"",IF(AND(G820="OK",H820="OK"),"OK","REVISAR"))</f>
      </c>
    </row>
    <row r="821">
      <c r="A821" s="5"/>
      <c r="B821" s="5"/>
      <c r="C821" s="4"/>
      <c r="D821" s="4"/>
      <c r="E821" s="5"/>
      <c r="F821" s="4"/>
      <c r="G821" s="6">
        <f>IF(AND(A821="",B821=""),"",IF(COUNTIFS($A$2:$A$2001,A821,$B$2:$B$2001,B821)&gt;1,"DUPLICADO","OK"))</f>
      </c>
      <c r="H821" s="6">
        <f>IF(COUNTA(A821:F821)=0,"",IF(AND(A821&lt;&gt;"",B821&lt;&gt;"",E821&lt;&gt;""),"OK","ERRO: faltam "&amp;IF(A821="","Conta; ","")&amp;IF(B821="","Oportunidade; ","")&amp;IF(E821="","Novo gerente; ","")))</f>
      </c>
      <c r="I821" s="6">
        <f>IF(COUNTA(A821:F821)=0,"",IF(AND(G821="OK",H821="OK"),"OK","REVISAR"))</f>
      </c>
    </row>
    <row r="822">
      <c r="A822" s="5"/>
      <c r="B822" s="5"/>
      <c r="C822" s="4"/>
      <c r="D822" s="4"/>
      <c r="E822" s="5"/>
      <c r="F822" s="4"/>
      <c r="G822" s="6">
        <f>IF(AND(A822="",B822=""),"",IF(COUNTIFS($A$2:$A$2001,A822,$B$2:$B$2001,B822)&gt;1,"DUPLICADO","OK"))</f>
      </c>
      <c r="H822" s="6">
        <f>IF(COUNTA(A822:F822)=0,"",IF(AND(A822&lt;&gt;"",B822&lt;&gt;"",E822&lt;&gt;""),"OK","ERRO: faltam "&amp;IF(A822="","Conta; ","")&amp;IF(B822="","Oportunidade; ","")&amp;IF(E822="","Novo gerente; ","")))</f>
      </c>
      <c r="I822" s="6">
        <f>IF(COUNTA(A822:F822)=0,"",IF(AND(G822="OK",H822="OK"),"OK","REVISAR"))</f>
      </c>
    </row>
    <row r="823">
      <c r="A823" s="5"/>
      <c r="B823" s="5"/>
      <c r="C823" s="4"/>
      <c r="D823" s="4"/>
      <c r="E823" s="5"/>
      <c r="F823" s="4"/>
      <c r="G823" s="6">
        <f>IF(AND(A823="",B823=""),"",IF(COUNTIFS($A$2:$A$2001,A823,$B$2:$B$2001,B823)&gt;1,"DUPLICADO","OK"))</f>
      </c>
      <c r="H823" s="6">
        <f>IF(COUNTA(A823:F823)=0,"",IF(AND(A823&lt;&gt;"",B823&lt;&gt;"",E823&lt;&gt;""),"OK","ERRO: faltam "&amp;IF(A823="","Conta; ","")&amp;IF(B823="","Oportunidade; ","")&amp;IF(E823="","Novo gerente; ","")))</f>
      </c>
      <c r="I823" s="6">
        <f>IF(COUNTA(A823:F823)=0,"",IF(AND(G823="OK",H823="OK"),"OK","REVISAR"))</f>
      </c>
    </row>
    <row r="824">
      <c r="A824" s="5"/>
      <c r="B824" s="5"/>
      <c r="C824" s="4"/>
      <c r="D824" s="4"/>
      <c r="E824" s="5"/>
      <c r="F824" s="4"/>
      <c r="G824" s="6">
        <f>IF(AND(A824="",B824=""),"",IF(COUNTIFS($A$2:$A$2001,A824,$B$2:$B$2001,B824)&gt;1,"DUPLICADO","OK"))</f>
      </c>
      <c r="H824" s="6">
        <f>IF(COUNTA(A824:F824)=0,"",IF(AND(A824&lt;&gt;"",B824&lt;&gt;"",E824&lt;&gt;""),"OK","ERRO: faltam "&amp;IF(A824="","Conta; ","")&amp;IF(B824="","Oportunidade; ","")&amp;IF(E824="","Novo gerente; ","")))</f>
      </c>
      <c r="I824" s="6">
        <f>IF(COUNTA(A824:F824)=0,"",IF(AND(G824="OK",H824="OK"),"OK","REVISAR"))</f>
      </c>
    </row>
    <row r="825">
      <c r="A825" s="5"/>
      <c r="B825" s="5"/>
      <c r="C825" s="4"/>
      <c r="D825" s="4"/>
      <c r="E825" s="5"/>
      <c r="F825" s="4"/>
      <c r="G825" s="6">
        <f>IF(AND(A825="",B825=""),"",IF(COUNTIFS($A$2:$A$2001,A825,$B$2:$B$2001,B825)&gt;1,"DUPLICADO","OK"))</f>
      </c>
      <c r="H825" s="6">
        <f>IF(COUNTA(A825:F825)=0,"",IF(AND(A825&lt;&gt;"",B825&lt;&gt;"",E825&lt;&gt;""),"OK","ERRO: faltam "&amp;IF(A825="","Conta; ","")&amp;IF(B825="","Oportunidade; ","")&amp;IF(E825="","Novo gerente; ","")))</f>
      </c>
      <c r="I825" s="6">
        <f>IF(COUNTA(A825:F825)=0,"",IF(AND(G825="OK",H825="OK"),"OK","REVISAR"))</f>
      </c>
    </row>
    <row r="826">
      <c r="A826" s="5"/>
      <c r="B826" s="5"/>
      <c r="C826" s="4"/>
      <c r="D826" s="4"/>
      <c r="E826" s="5"/>
      <c r="F826" s="4"/>
      <c r="G826" s="6">
        <f>IF(AND(A826="",B826=""),"",IF(COUNTIFS($A$2:$A$2001,A826,$B$2:$B$2001,B826)&gt;1,"DUPLICADO","OK"))</f>
      </c>
      <c r="H826" s="6">
        <f>IF(COUNTA(A826:F826)=0,"",IF(AND(A826&lt;&gt;"",B826&lt;&gt;"",E826&lt;&gt;""),"OK","ERRO: faltam "&amp;IF(A826="","Conta; ","")&amp;IF(B826="","Oportunidade; ","")&amp;IF(E826="","Novo gerente; ","")))</f>
      </c>
      <c r="I826" s="6">
        <f>IF(COUNTA(A826:F826)=0,"",IF(AND(G826="OK",H826="OK"),"OK","REVISAR"))</f>
      </c>
    </row>
    <row r="827">
      <c r="A827" s="5"/>
      <c r="B827" s="5"/>
      <c r="C827" s="4"/>
      <c r="D827" s="4"/>
      <c r="E827" s="5"/>
      <c r="F827" s="4"/>
      <c r="G827" s="6">
        <f>IF(AND(A827="",B827=""),"",IF(COUNTIFS($A$2:$A$2001,A827,$B$2:$B$2001,B827)&gt;1,"DUPLICADO","OK"))</f>
      </c>
      <c r="H827" s="6">
        <f>IF(COUNTA(A827:F827)=0,"",IF(AND(A827&lt;&gt;"",B827&lt;&gt;"",E827&lt;&gt;""),"OK","ERRO: faltam "&amp;IF(A827="","Conta; ","")&amp;IF(B827="","Oportunidade; ","")&amp;IF(E827="","Novo gerente; ","")))</f>
      </c>
      <c r="I827" s="6">
        <f>IF(COUNTA(A827:F827)=0,"",IF(AND(G827="OK",H827="OK"),"OK","REVISAR"))</f>
      </c>
    </row>
    <row r="828">
      <c r="A828" s="5"/>
      <c r="B828" s="5"/>
      <c r="C828" s="4"/>
      <c r="D828" s="4"/>
      <c r="E828" s="5"/>
      <c r="F828" s="4"/>
      <c r="G828" s="6">
        <f>IF(AND(A828="",B828=""),"",IF(COUNTIFS($A$2:$A$2001,A828,$B$2:$B$2001,B828)&gt;1,"DUPLICADO","OK"))</f>
      </c>
      <c r="H828" s="6">
        <f>IF(COUNTA(A828:F828)=0,"",IF(AND(A828&lt;&gt;"",B828&lt;&gt;"",E828&lt;&gt;""),"OK","ERRO: faltam "&amp;IF(A828="","Conta; ","")&amp;IF(B828="","Oportunidade; ","")&amp;IF(E828="","Novo gerente; ","")))</f>
      </c>
      <c r="I828" s="6">
        <f>IF(COUNTA(A828:F828)=0,"",IF(AND(G828="OK",H828="OK"),"OK","REVISAR"))</f>
      </c>
    </row>
    <row r="829">
      <c r="A829" s="5"/>
      <c r="B829" s="5"/>
      <c r="C829" s="4"/>
      <c r="D829" s="4"/>
      <c r="E829" s="5"/>
      <c r="F829" s="4"/>
      <c r="G829" s="6">
        <f>IF(AND(A829="",B829=""),"",IF(COUNTIFS($A$2:$A$2001,A829,$B$2:$B$2001,B829)&gt;1,"DUPLICADO","OK"))</f>
      </c>
      <c r="H829" s="6">
        <f>IF(COUNTA(A829:F829)=0,"",IF(AND(A829&lt;&gt;"",B829&lt;&gt;"",E829&lt;&gt;""),"OK","ERRO: faltam "&amp;IF(A829="","Conta; ","")&amp;IF(B829="","Oportunidade; ","")&amp;IF(E829="","Novo gerente; ","")))</f>
      </c>
      <c r="I829" s="6">
        <f>IF(COUNTA(A829:F829)=0,"",IF(AND(G829="OK",H829="OK"),"OK","REVISAR"))</f>
      </c>
    </row>
    <row r="830">
      <c r="A830" s="5"/>
      <c r="B830" s="5"/>
      <c r="C830" s="4"/>
      <c r="D830" s="4"/>
      <c r="E830" s="5"/>
      <c r="F830" s="4"/>
      <c r="G830" s="6">
        <f>IF(AND(A830="",B830=""),"",IF(COUNTIFS($A$2:$A$2001,A830,$B$2:$B$2001,B830)&gt;1,"DUPLICADO","OK"))</f>
      </c>
      <c r="H830" s="6">
        <f>IF(COUNTA(A830:F830)=0,"",IF(AND(A830&lt;&gt;"",B830&lt;&gt;"",E830&lt;&gt;""),"OK","ERRO: faltam "&amp;IF(A830="","Conta; ","")&amp;IF(B830="","Oportunidade; ","")&amp;IF(E830="","Novo gerente; ","")))</f>
      </c>
      <c r="I830" s="6">
        <f>IF(COUNTA(A830:F830)=0,"",IF(AND(G830="OK",H830="OK"),"OK","REVISAR"))</f>
      </c>
    </row>
    <row r="831">
      <c r="A831" s="5"/>
      <c r="B831" s="5"/>
      <c r="C831" s="4"/>
      <c r="D831" s="4"/>
      <c r="E831" s="5"/>
      <c r="F831" s="4"/>
      <c r="G831" s="6">
        <f>IF(AND(A831="",B831=""),"",IF(COUNTIFS($A$2:$A$2001,A831,$B$2:$B$2001,B831)&gt;1,"DUPLICADO","OK"))</f>
      </c>
      <c r="H831" s="6">
        <f>IF(COUNTA(A831:F831)=0,"",IF(AND(A831&lt;&gt;"",B831&lt;&gt;"",E831&lt;&gt;""),"OK","ERRO: faltam "&amp;IF(A831="","Conta; ","")&amp;IF(B831="","Oportunidade; ","")&amp;IF(E831="","Novo gerente; ","")))</f>
      </c>
      <c r="I831" s="6">
        <f>IF(COUNTA(A831:F831)=0,"",IF(AND(G831="OK",H831="OK"),"OK","REVISAR"))</f>
      </c>
    </row>
    <row r="832">
      <c r="A832" s="5"/>
      <c r="B832" s="5"/>
      <c r="C832" s="4"/>
      <c r="D832" s="4"/>
      <c r="E832" s="5"/>
      <c r="F832" s="4"/>
      <c r="G832" s="6">
        <f>IF(AND(A832="",B832=""),"",IF(COUNTIFS($A$2:$A$2001,A832,$B$2:$B$2001,B832)&gt;1,"DUPLICADO","OK"))</f>
      </c>
      <c r="H832" s="6">
        <f>IF(COUNTA(A832:F832)=0,"",IF(AND(A832&lt;&gt;"",B832&lt;&gt;"",E832&lt;&gt;""),"OK","ERRO: faltam "&amp;IF(A832="","Conta; ","")&amp;IF(B832="","Oportunidade; ","")&amp;IF(E832="","Novo gerente; ","")))</f>
      </c>
      <c r="I832" s="6">
        <f>IF(COUNTA(A832:F832)=0,"",IF(AND(G832="OK",H832="OK"),"OK","REVISAR"))</f>
      </c>
    </row>
    <row r="833">
      <c r="A833" s="5"/>
      <c r="B833" s="5"/>
      <c r="C833" s="4"/>
      <c r="D833" s="4"/>
      <c r="E833" s="5"/>
      <c r="F833" s="4"/>
      <c r="G833" s="6">
        <f>IF(AND(A833="",B833=""),"",IF(COUNTIFS($A$2:$A$2001,A833,$B$2:$B$2001,B833)&gt;1,"DUPLICADO","OK"))</f>
      </c>
      <c r="H833" s="6">
        <f>IF(COUNTA(A833:F833)=0,"",IF(AND(A833&lt;&gt;"",B833&lt;&gt;"",E833&lt;&gt;""),"OK","ERRO: faltam "&amp;IF(A833="","Conta; ","")&amp;IF(B833="","Oportunidade; ","")&amp;IF(E833="","Novo gerente; ","")))</f>
      </c>
      <c r="I833" s="6">
        <f>IF(COUNTA(A833:F833)=0,"",IF(AND(G833="OK",H833="OK"),"OK","REVISAR"))</f>
      </c>
    </row>
    <row r="834">
      <c r="A834" s="5"/>
      <c r="B834" s="5"/>
      <c r="C834" s="4"/>
      <c r="D834" s="4"/>
      <c r="E834" s="5"/>
      <c r="F834" s="4"/>
      <c r="G834" s="6">
        <f>IF(AND(A834="",B834=""),"",IF(COUNTIFS($A$2:$A$2001,A834,$B$2:$B$2001,B834)&gt;1,"DUPLICADO","OK"))</f>
      </c>
      <c r="H834" s="6">
        <f>IF(COUNTA(A834:F834)=0,"",IF(AND(A834&lt;&gt;"",B834&lt;&gt;"",E834&lt;&gt;""),"OK","ERRO: faltam "&amp;IF(A834="","Conta; ","")&amp;IF(B834="","Oportunidade; ","")&amp;IF(E834="","Novo gerente; ","")))</f>
      </c>
      <c r="I834" s="6">
        <f>IF(COUNTA(A834:F834)=0,"",IF(AND(G834="OK",H834="OK"),"OK","REVISAR"))</f>
      </c>
    </row>
    <row r="835">
      <c r="A835" s="5"/>
      <c r="B835" s="5"/>
      <c r="C835" s="4"/>
      <c r="D835" s="4"/>
      <c r="E835" s="5"/>
      <c r="F835" s="4"/>
      <c r="G835" s="6">
        <f>IF(AND(A835="",B835=""),"",IF(COUNTIFS($A$2:$A$2001,A835,$B$2:$B$2001,B835)&gt;1,"DUPLICADO","OK"))</f>
      </c>
      <c r="H835" s="6">
        <f>IF(COUNTA(A835:F835)=0,"",IF(AND(A835&lt;&gt;"",B835&lt;&gt;"",E835&lt;&gt;""),"OK","ERRO: faltam "&amp;IF(A835="","Conta; ","")&amp;IF(B835="","Oportunidade; ","")&amp;IF(E835="","Novo gerente; ","")))</f>
      </c>
      <c r="I835" s="6">
        <f>IF(COUNTA(A835:F835)=0,"",IF(AND(G835="OK",H835="OK"),"OK","REVISAR"))</f>
      </c>
    </row>
    <row r="836">
      <c r="A836" s="5"/>
      <c r="B836" s="5"/>
      <c r="C836" s="4"/>
      <c r="D836" s="4"/>
      <c r="E836" s="5"/>
      <c r="F836" s="4"/>
      <c r="G836" s="6">
        <f>IF(AND(A836="",B836=""),"",IF(COUNTIFS($A$2:$A$2001,A836,$B$2:$B$2001,B836)&gt;1,"DUPLICADO","OK"))</f>
      </c>
      <c r="H836" s="6">
        <f>IF(COUNTA(A836:F836)=0,"",IF(AND(A836&lt;&gt;"",B836&lt;&gt;"",E836&lt;&gt;""),"OK","ERRO: faltam "&amp;IF(A836="","Conta; ","")&amp;IF(B836="","Oportunidade; ","")&amp;IF(E836="","Novo gerente; ","")))</f>
      </c>
      <c r="I836" s="6">
        <f>IF(COUNTA(A836:F836)=0,"",IF(AND(G836="OK",H836="OK"),"OK","REVISAR"))</f>
      </c>
    </row>
    <row r="837">
      <c r="A837" s="5"/>
      <c r="B837" s="5"/>
      <c r="C837" s="4"/>
      <c r="D837" s="4"/>
      <c r="E837" s="5"/>
      <c r="F837" s="4"/>
      <c r="G837" s="6">
        <f>IF(AND(A837="",B837=""),"",IF(COUNTIFS($A$2:$A$2001,A837,$B$2:$B$2001,B837)&gt;1,"DUPLICADO","OK"))</f>
      </c>
      <c r="H837" s="6">
        <f>IF(COUNTA(A837:F837)=0,"",IF(AND(A837&lt;&gt;"",B837&lt;&gt;"",E837&lt;&gt;""),"OK","ERRO: faltam "&amp;IF(A837="","Conta; ","")&amp;IF(B837="","Oportunidade; ","")&amp;IF(E837="","Novo gerente; ","")))</f>
      </c>
      <c r="I837" s="6">
        <f>IF(COUNTA(A837:F837)=0,"",IF(AND(G837="OK",H837="OK"),"OK","REVISAR"))</f>
      </c>
    </row>
    <row r="838">
      <c r="A838" s="5"/>
      <c r="B838" s="5"/>
      <c r="C838" s="4"/>
      <c r="D838" s="4"/>
      <c r="E838" s="5"/>
      <c r="F838" s="4"/>
      <c r="G838" s="6">
        <f>IF(AND(A838="",B838=""),"",IF(COUNTIFS($A$2:$A$2001,A838,$B$2:$B$2001,B838)&gt;1,"DUPLICADO","OK"))</f>
      </c>
      <c r="H838" s="6">
        <f>IF(COUNTA(A838:F838)=0,"",IF(AND(A838&lt;&gt;"",B838&lt;&gt;"",E838&lt;&gt;""),"OK","ERRO: faltam "&amp;IF(A838="","Conta; ","")&amp;IF(B838="","Oportunidade; ","")&amp;IF(E838="","Novo gerente; ","")))</f>
      </c>
      <c r="I838" s="6">
        <f>IF(COUNTA(A838:F838)=0,"",IF(AND(G838="OK",H838="OK"),"OK","REVISAR"))</f>
      </c>
    </row>
    <row r="839">
      <c r="A839" s="5"/>
      <c r="B839" s="5"/>
      <c r="C839" s="4"/>
      <c r="D839" s="4"/>
      <c r="E839" s="5"/>
      <c r="F839" s="4"/>
      <c r="G839" s="6">
        <f>IF(AND(A839="",B839=""),"",IF(COUNTIFS($A$2:$A$2001,A839,$B$2:$B$2001,B839)&gt;1,"DUPLICADO","OK"))</f>
      </c>
      <c r="H839" s="6">
        <f>IF(COUNTA(A839:F839)=0,"",IF(AND(A839&lt;&gt;"",B839&lt;&gt;"",E839&lt;&gt;""),"OK","ERRO: faltam "&amp;IF(A839="","Conta; ","")&amp;IF(B839="","Oportunidade; ","")&amp;IF(E839="","Novo gerente; ","")))</f>
      </c>
      <c r="I839" s="6">
        <f>IF(COUNTA(A839:F839)=0,"",IF(AND(G839="OK",H839="OK"),"OK","REVISAR"))</f>
      </c>
    </row>
    <row r="840">
      <c r="A840" s="5"/>
      <c r="B840" s="5"/>
      <c r="C840" s="4"/>
      <c r="D840" s="4"/>
      <c r="E840" s="5"/>
      <c r="F840" s="4"/>
      <c r="G840" s="6">
        <f>IF(AND(A840="",B840=""),"",IF(COUNTIFS($A$2:$A$2001,A840,$B$2:$B$2001,B840)&gt;1,"DUPLICADO","OK"))</f>
      </c>
      <c r="H840" s="6">
        <f>IF(COUNTA(A840:F840)=0,"",IF(AND(A840&lt;&gt;"",B840&lt;&gt;"",E840&lt;&gt;""),"OK","ERRO: faltam "&amp;IF(A840="","Conta; ","")&amp;IF(B840="","Oportunidade; ","")&amp;IF(E840="","Novo gerente; ","")))</f>
      </c>
      <c r="I840" s="6">
        <f>IF(COUNTA(A840:F840)=0,"",IF(AND(G840="OK",H840="OK"),"OK","REVISAR"))</f>
      </c>
    </row>
    <row r="841">
      <c r="A841" s="5"/>
      <c r="B841" s="5"/>
      <c r="C841" s="4"/>
      <c r="D841" s="4"/>
      <c r="E841" s="5"/>
      <c r="F841" s="4"/>
      <c r="G841" s="6">
        <f>IF(AND(A841="",B841=""),"",IF(COUNTIFS($A$2:$A$2001,A841,$B$2:$B$2001,B841)&gt;1,"DUPLICADO","OK"))</f>
      </c>
      <c r="H841" s="6">
        <f>IF(COUNTA(A841:F841)=0,"",IF(AND(A841&lt;&gt;"",B841&lt;&gt;"",E841&lt;&gt;""),"OK","ERRO: faltam "&amp;IF(A841="","Conta; ","")&amp;IF(B841="","Oportunidade; ","")&amp;IF(E841="","Novo gerente; ","")))</f>
      </c>
      <c r="I841" s="6">
        <f>IF(COUNTA(A841:F841)=0,"",IF(AND(G841="OK",H841="OK"),"OK","REVISAR"))</f>
      </c>
    </row>
    <row r="842">
      <c r="A842" s="5"/>
      <c r="B842" s="5"/>
      <c r="C842" s="4"/>
      <c r="D842" s="4"/>
      <c r="E842" s="5"/>
      <c r="F842" s="4"/>
      <c r="G842" s="6">
        <f>IF(AND(A842="",B842=""),"",IF(COUNTIFS($A$2:$A$2001,A842,$B$2:$B$2001,B842)&gt;1,"DUPLICADO","OK"))</f>
      </c>
      <c r="H842" s="6">
        <f>IF(COUNTA(A842:F842)=0,"",IF(AND(A842&lt;&gt;"",B842&lt;&gt;"",E842&lt;&gt;""),"OK","ERRO: faltam "&amp;IF(A842="","Conta; ","")&amp;IF(B842="","Oportunidade; ","")&amp;IF(E842="","Novo gerente; ","")))</f>
      </c>
      <c r="I842" s="6">
        <f>IF(COUNTA(A842:F842)=0,"",IF(AND(G842="OK",H842="OK"),"OK","REVISAR"))</f>
      </c>
    </row>
    <row r="843">
      <c r="A843" s="5"/>
      <c r="B843" s="5"/>
      <c r="C843" s="4"/>
      <c r="D843" s="4"/>
      <c r="E843" s="5"/>
      <c r="F843" s="4"/>
      <c r="G843" s="6">
        <f>IF(AND(A843="",B843=""),"",IF(COUNTIFS($A$2:$A$2001,A843,$B$2:$B$2001,B843)&gt;1,"DUPLICADO","OK"))</f>
      </c>
      <c r="H843" s="6">
        <f>IF(COUNTA(A843:F843)=0,"",IF(AND(A843&lt;&gt;"",B843&lt;&gt;"",E843&lt;&gt;""),"OK","ERRO: faltam "&amp;IF(A843="","Conta; ","")&amp;IF(B843="","Oportunidade; ","")&amp;IF(E843="","Novo gerente; ","")))</f>
      </c>
      <c r="I843" s="6">
        <f>IF(COUNTA(A843:F843)=0,"",IF(AND(G843="OK",H843="OK"),"OK","REVISAR"))</f>
      </c>
    </row>
    <row r="844">
      <c r="A844" s="5"/>
      <c r="B844" s="5"/>
      <c r="C844" s="4"/>
      <c r="D844" s="4"/>
      <c r="E844" s="5"/>
      <c r="F844" s="4"/>
      <c r="G844" s="6">
        <f>IF(AND(A844="",B844=""),"",IF(COUNTIFS($A$2:$A$2001,A844,$B$2:$B$2001,B844)&gt;1,"DUPLICADO","OK"))</f>
      </c>
      <c r="H844" s="6">
        <f>IF(COUNTA(A844:F844)=0,"",IF(AND(A844&lt;&gt;"",B844&lt;&gt;"",E844&lt;&gt;""),"OK","ERRO: faltam "&amp;IF(A844="","Conta; ","")&amp;IF(B844="","Oportunidade; ","")&amp;IF(E844="","Novo gerente; ","")))</f>
      </c>
      <c r="I844" s="6">
        <f>IF(COUNTA(A844:F844)=0,"",IF(AND(G844="OK",H844="OK"),"OK","REVISAR"))</f>
      </c>
    </row>
    <row r="845">
      <c r="A845" s="5"/>
      <c r="B845" s="5"/>
      <c r="C845" s="4"/>
      <c r="D845" s="4"/>
      <c r="E845" s="5"/>
      <c r="F845" s="4"/>
      <c r="G845" s="6">
        <f>IF(AND(A845="",B845=""),"",IF(COUNTIFS($A$2:$A$2001,A845,$B$2:$B$2001,B845)&gt;1,"DUPLICADO","OK"))</f>
      </c>
      <c r="H845" s="6">
        <f>IF(COUNTA(A845:F845)=0,"",IF(AND(A845&lt;&gt;"",B845&lt;&gt;"",E845&lt;&gt;""),"OK","ERRO: faltam "&amp;IF(A845="","Conta; ","")&amp;IF(B845="","Oportunidade; ","")&amp;IF(E845="","Novo gerente; ","")))</f>
      </c>
      <c r="I845" s="6">
        <f>IF(COUNTA(A845:F845)=0,"",IF(AND(G845="OK",H845="OK"),"OK","REVISAR"))</f>
      </c>
    </row>
    <row r="846">
      <c r="A846" s="5"/>
      <c r="B846" s="5"/>
      <c r="C846" s="4"/>
      <c r="D846" s="4"/>
      <c r="E846" s="5"/>
      <c r="F846" s="4"/>
      <c r="G846" s="6">
        <f>IF(AND(A846="",B846=""),"",IF(COUNTIFS($A$2:$A$2001,A846,$B$2:$B$2001,B846)&gt;1,"DUPLICADO","OK"))</f>
      </c>
      <c r="H846" s="6">
        <f>IF(COUNTA(A846:F846)=0,"",IF(AND(A846&lt;&gt;"",B846&lt;&gt;"",E846&lt;&gt;""),"OK","ERRO: faltam "&amp;IF(A846="","Conta; ","")&amp;IF(B846="","Oportunidade; ","")&amp;IF(E846="","Novo gerente; ","")))</f>
      </c>
      <c r="I846" s="6">
        <f>IF(COUNTA(A846:F846)=0,"",IF(AND(G846="OK",H846="OK"),"OK","REVISAR"))</f>
      </c>
    </row>
    <row r="847">
      <c r="A847" s="5"/>
      <c r="B847" s="5"/>
      <c r="C847" s="4"/>
      <c r="D847" s="4"/>
      <c r="E847" s="5"/>
      <c r="F847" s="4"/>
      <c r="G847" s="6">
        <f>IF(AND(A847="",B847=""),"",IF(COUNTIFS($A$2:$A$2001,A847,$B$2:$B$2001,B847)&gt;1,"DUPLICADO","OK"))</f>
      </c>
      <c r="H847" s="6">
        <f>IF(COUNTA(A847:F847)=0,"",IF(AND(A847&lt;&gt;"",B847&lt;&gt;"",E847&lt;&gt;""),"OK","ERRO: faltam "&amp;IF(A847="","Conta; ","")&amp;IF(B847="","Oportunidade; ","")&amp;IF(E847="","Novo gerente; ","")))</f>
      </c>
      <c r="I847" s="6">
        <f>IF(COUNTA(A847:F847)=0,"",IF(AND(G847="OK",H847="OK"),"OK","REVISAR"))</f>
      </c>
    </row>
    <row r="848">
      <c r="A848" s="5"/>
      <c r="B848" s="5"/>
      <c r="C848" s="4"/>
      <c r="D848" s="4"/>
      <c r="E848" s="5"/>
      <c r="F848" s="4"/>
      <c r="G848" s="6">
        <f>IF(AND(A848="",B848=""),"",IF(COUNTIFS($A$2:$A$2001,A848,$B$2:$B$2001,B848)&gt;1,"DUPLICADO","OK"))</f>
      </c>
      <c r="H848" s="6">
        <f>IF(COUNTA(A848:F848)=0,"",IF(AND(A848&lt;&gt;"",B848&lt;&gt;"",E848&lt;&gt;""),"OK","ERRO: faltam "&amp;IF(A848="","Conta; ","")&amp;IF(B848="","Oportunidade; ","")&amp;IF(E848="","Novo gerente; ","")))</f>
      </c>
      <c r="I848" s="6">
        <f>IF(COUNTA(A848:F848)=0,"",IF(AND(G848="OK",H848="OK"),"OK","REVISAR"))</f>
      </c>
    </row>
    <row r="849">
      <c r="A849" s="5"/>
      <c r="B849" s="5"/>
      <c r="C849" s="4"/>
      <c r="D849" s="4"/>
      <c r="E849" s="5"/>
      <c r="F849" s="4"/>
      <c r="G849" s="6">
        <f>IF(AND(A849="",B849=""),"",IF(COUNTIFS($A$2:$A$2001,A849,$B$2:$B$2001,B849)&gt;1,"DUPLICADO","OK"))</f>
      </c>
      <c r="H849" s="6">
        <f>IF(COUNTA(A849:F849)=0,"",IF(AND(A849&lt;&gt;"",B849&lt;&gt;"",E849&lt;&gt;""),"OK","ERRO: faltam "&amp;IF(A849="","Conta; ","")&amp;IF(B849="","Oportunidade; ","")&amp;IF(E849="","Novo gerente; ","")))</f>
      </c>
      <c r="I849" s="6">
        <f>IF(COUNTA(A849:F849)=0,"",IF(AND(G849="OK",H849="OK"),"OK","REVISAR"))</f>
      </c>
    </row>
    <row r="850">
      <c r="A850" s="5"/>
      <c r="B850" s="5"/>
      <c r="C850" s="4"/>
      <c r="D850" s="4"/>
      <c r="E850" s="5"/>
      <c r="F850" s="4"/>
      <c r="G850" s="6">
        <f>IF(AND(A850="",B850=""),"",IF(COUNTIFS($A$2:$A$2001,A850,$B$2:$B$2001,B850)&gt;1,"DUPLICADO","OK"))</f>
      </c>
      <c r="H850" s="6">
        <f>IF(COUNTA(A850:F850)=0,"",IF(AND(A850&lt;&gt;"",B850&lt;&gt;"",E850&lt;&gt;""),"OK","ERRO: faltam "&amp;IF(A850="","Conta; ","")&amp;IF(B850="","Oportunidade; ","")&amp;IF(E850="","Novo gerente; ","")))</f>
      </c>
      <c r="I850" s="6">
        <f>IF(COUNTA(A850:F850)=0,"",IF(AND(G850="OK",H850="OK"),"OK","REVISAR"))</f>
      </c>
    </row>
    <row r="851">
      <c r="A851" s="5"/>
      <c r="B851" s="5"/>
      <c r="C851" s="4"/>
      <c r="D851" s="4"/>
      <c r="E851" s="5"/>
      <c r="F851" s="4"/>
      <c r="G851" s="6">
        <f>IF(AND(A851="",B851=""),"",IF(COUNTIFS($A$2:$A$2001,A851,$B$2:$B$2001,B851)&gt;1,"DUPLICADO","OK"))</f>
      </c>
      <c r="H851" s="6">
        <f>IF(COUNTA(A851:F851)=0,"",IF(AND(A851&lt;&gt;"",B851&lt;&gt;"",E851&lt;&gt;""),"OK","ERRO: faltam "&amp;IF(A851="","Conta; ","")&amp;IF(B851="","Oportunidade; ","")&amp;IF(E851="","Novo gerente; ","")))</f>
      </c>
      <c r="I851" s="6">
        <f>IF(COUNTA(A851:F851)=0,"",IF(AND(G851="OK",H851="OK"),"OK","REVISAR"))</f>
      </c>
    </row>
    <row r="852">
      <c r="A852" s="5"/>
      <c r="B852" s="5"/>
      <c r="C852" s="4"/>
      <c r="D852" s="4"/>
      <c r="E852" s="5"/>
      <c r="F852" s="4"/>
      <c r="G852" s="6">
        <f>IF(AND(A852="",B852=""),"",IF(COUNTIFS($A$2:$A$2001,A852,$B$2:$B$2001,B852)&gt;1,"DUPLICADO","OK"))</f>
      </c>
      <c r="H852" s="6">
        <f>IF(COUNTA(A852:F852)=0,"",IF(AND(A852&lt;&gt;"",B852&lt;&gt;"",E852&lt;&gt;""),"OK","ERRO: faltam "&amp;IF(A852="","Conta; ","")&amp;IF(B852="","Oportunidade; ","")&amp;IF(E852="","Novo gerente; ","")))</f>
      </c>
      <c r="I852" s="6">
        <f>IF(COUNTA(A852:F852)=0,"",IF(AND(G852="OK",H852="OK"),"OK","REVISAR"))</f>
      </c>
    </row>
    <row r="853">
      <c r="A853" s="5"/>
      <c r="B853" s="5"/>
      <c r="C853" s="4"/>
      <c r="D853" s="4"/>
      <c r="E853" s="5"/>
      <c r="F853" s="4"/>
      <c r="G853" s="6">
        <f>IF(AND(A853="",B853=""),"",IF(COUNTIFS($A$2:$A$2001,A853,$B$2:$B$2001,B853)&gt;1,"DUPLICADO","OK"))</f>
      </c>
      <c r="H853" s="6">
        <f>IF(COUNTA(A853:F853)=0,"",IF(AND(A853&lt;&gt;"",B853&lt;&gt;"",E853&lt;&gt;""),"OK","ERRO: faltam "&amp;IF(A853="","Conta; ","")&amp;IF(B853="","Oportunidade; ","")&amp;IF(E853="","Novo gerente; ","")))</f>
      </c>
      <c r="I853" s="6">
        <f>IF(COUNTA(A853:F853)=0,"",IF(AND(G853="OK",H853="OK"),"OK","REVISAR"))</f>
      </c>
    </row>
    <row r="854">
      <c r="A854" s="5"/>
      <c r="B854" s="5"/>
      <c r="C854" s="4"/>
      <c r="D854" s="4"/>
      <c r="E854" s="5"/>
      <c r="F854" s="4"/>
      <c r="G854" s="6">
        <f>IF(AND(A854="",B854=""),"",IF(COUNTIFS($A$2:$A$2001,A854,$B$2:$B$2001,B854)&gt;1,"DUPLICADO","OK"))</f>
      </c>
      <c r="H854" s="6">
        <f>IF(COUNTA(A854:F854)=0,"",IF(AND(A854&lt;&gt;"",B854&lt;&gt;"",E854&lt;&gt;""),"OK","ERRO: faltam "&amp;IF(A854="","Conta; ","")&amp;IF(B854="","Oportunidade; ","")&amp;IF(E854="","Novo gerente; ","")))</f>
      </c>
      <c r="I854" s="6">
        <f>IF(COUNTA(A854:F854)=0,"",IF(AND(G854="OK",H854="OK"),"OK","REVISAR"))</f>
      </c>
    </row>
    <row r="855">
      <c r="A855" s="5"/>
      <c r="B855" s="5"/>
      <c r="C855" s="4"/>
      <c r="D855" s="4"/>
      <c r="E855" s="5"/>
      <c r="F855" s="4"/>
      <c r="G855" s="6">
        <f>IF(AND(A855="",B855=""),"",IF(COUNTIFS($A$2:$A$2001,A855,$B$2:$B$2001,B855)&gt;1,"DUPLICADO","OK"))</f>
      </c>
      <c r="H855" s="6">
        <f>IF(COUNTA(A855:F855)=0,"",IF(AND(A855&lt;&gt;"",B855&lt;&gt;"",E855&lt;&gt;""),"OK","ERRO: faltam "&amp;IF(A855="","Conta; ","")&amp;IF(B855="","Oportunidade; ","")&amp;IF(E855="","Novo gerente; ","")))</f>
      </c>
      <c r="I855" s="6">
        <f>IF(COUNTA(A855:F855)=0,"",IF(AND(G855="OK",H855="OK"),"OK","REVISAR"))</f>
      </c>
    </row>
    <row r="856">
      <c r="A856" s="5"/>
      <c r="B856" s="5"/>
      <c r="C856" s="4"/>
      <c r="D856" s="4"/>
      <c r="E856" s="5"/>
      <c r="F856" s="4"/>
      <c r="G856" s="6">
        <f>IF(AND(A856="",B856=""),"",IF(COUNTIFS($A$2:$A$2001,A856,$B$2:$B$2001,B856)&gt;1,"DUPLICADO","OK"))</f>
      </c>
      <c r="H856" s="6">
        <f>IF(COUNTA(A856:F856)=0,"",IF(AND(A856&lt;&gt;"",B856&lt;&gt;"",E856&lt;&gt;""),"OK","ERRO: faltam "&amp;IF(A856="","Conta; ","")&amp;IF(B856="","Oportunidade; ","")&amp;IF(E856="","Novo gerente; ","")))</f>
      </c>
      <c r="I856" s="6">
        <f>IF(COUNTA(A856:F856)=0,"",IF(AND(G856="OK",H856="OK"),"OK","REVISAR"))</f>
      </c>
    </row>
    <row r="857">
      <c r="A857" s="5"/>
      <c r="B857" s="5"/>
      <c r="C857" s="4"/>
      <c r="D857" s="4"/>
      <c r="E857" s="5"/>
      <c r="F857" s="4"/>
      <c r="G857" s="6">
        <f>IF(AND(A857="",B857=""),"",IF(COUNTIFS($A$2:$A$2001,A857,$B$2:$B$2001,B857)&gt;1,"DUPLICADO","OK"))</f>
      </c>
      <c r="H857" s="6">
        <f>IF(COUNTA(A857:F857)=0,"",IF(AND(A857&lt;&gt;"",B857&lt;&gt;"",E857&lt;&gt;""),"OK","ERRO: faltam "&amp;IF(A857="","Conta; ","")&amp;IF(B857="","Oportunidade; ","")&amp;IF(E857="","Novo gerente; ","")))</f>
      </c>
      <c r="I857" s="6">
        <f>IF(COUNTA(A857:F857)=0,"",IF(AND(G857="OK",H857="OK"),"OK","REVISAR"))</f>
      </c>
    </row>
    <row r="858">
      <c r="A858" s="5"/>
      <c r="B858" s="5"/>
      <c r="C858" s="4"/>
      <c r="D858" s="4"/>
      <c r="E858" s="5"/>
      <c r="F858" s="4"/>
      <c r="G858" s="6">
        <f>IF(AND(A858="",B858=""),"",IF(COUNTIFS($A$2:$A$2001,A858,$B$2:$B$2001,B858)&gt;1,"DUPLICADO","OK"))</f>
      </c>
      <c r="H858" s="6">
        <f>IF(COUNTA(A858:F858)=0,"",IF(AND(A858&lt;&gt;"",B858&lt;&gt;"",E858&lt;&gt;""),"OK","ERRO: faltam "&amp;IF(A858="","Conta; ","")&amp;IF(B858="","Oportunidade; ","")&amp;IF(E858="","Novo gerente; ","")))</f>
      </c>
      <c r="I858" s="6">
        <f>IF(COUNTA(A858:F858)=0,"",IF(AND(G858="OK",H858="OK"),"OK","REVISAR"))</f>
      </c>
    </row>
    <row r="859">
      <c r="A859" s="5"/>
      <c r="B859" s="5"/>
      <c r="C859" s="4"/>
      <c r="D859" s="4"/>
      <c r="E859" s="5"/>
      <c r="F859" s="4"/>
      <c r="G859" s="6">
        <f>IF(AND(A859="",B859=""),"",IF(COUNTIFS($A$2:$A$2001,A859,$B$2:$B$2001,B859)&gt;1,"DUPLICADO","OK"))</f>
      </c>
      <c r="H859" s="6">
        <f>IF(COUNTA(A859:F859)=0,"",IF(AND(A859&lt;&gt;"",B859&lt;&gt;"",E859&lt;&gt;""),"OK","ERRO: faltam "&amp;IF(A859="","Conta; ","")&amp;IF(B859="","Oportunidade; ","")&amp;IF(E859="","Novo gerente; ","")))</f>
      </c>
      <c r="I859" s="6">
        <f>IF(COUNTA(A859:F859)=0,"",IF(AND(G859="OK",H859="OK"),"OK","REVISAR"))</f>
      </c>
    </row>
    <row r="860">
      <c r="A860" s="5"/>
      <c r="B860" s="5"/>
      <c r="C860" s="4"/>
      <c r="D860" s="4"/>
      <c r="E860" s="5"/>
      <c r="F860" s="4"/>
      <c r="G860" s="6">
        <f>IF(AND(A860="",B860=""),"",IF(COUNTIFS($A$2:$A$2001,A860,$B$2:$B$2001,B860)&gt;1,"DUPLICADO","OK"))</f>
      </c>
      <c r="H860" s="6">
        <f>IF(COUNTA(A860:F860)=0,"",IF(AND(A860&lt;&gt;"",B860&lt;&gt;"",E860&lt;&gt;""),"OK","ERRO: faltam "&amp;IF(A860="","Conta; ","")&amp;IF(B860="","Oportunidade; ","")&amp;IF(E860="","Novo gerente; ","")))</f>
      </c>
      <c r="I860" s="6">
        <f>IF(COUNTA(A860:F860)=0,"",IF(AND(G860="OK",H860="OK"),"OK","REVISAR"))</f>
      </c>
    </row>
    <row r="861">
      <c r="A861" s="5"/>
      <c r="B861" s="5"/>
      <c r="C861" s="4"/>
      <c r="D861" s="4"/>
      <c r="E861" s="5"/>
      <c r="F861" s="4"/>
      <c r="G861" s="6">
        <f>IF(AND(A861="",B861=""),"",IF(COUNTIFS($A$2:$A$2001,A861,$B$2:$B$2001,B861)&gt;1,"DUPLICADO","OK"))</f>
      </c>
      <c r="H861" s="6">
        <f>IF(COUNTA(A861:F861)=0,"",IF(AND(A861&lt;&gt;"",B861&lt;&gt;"",E861&lt;&gt;""),"OK","ERRO: faltam "&amp;IF(A861="","Conta; ","")&amp;IF(B861="","Oportunidade; ","")&amp;IF(E861="","Novo gerente; ","")))</f>
      </c>
      <c r="I861" s="6">
        <f>IF(COUNTA(A861:F861)=0,"",IF(AND(G861="OK",H861="OK"),"OK","REVISAR"))</f>
      </c>
    </row>
    <row r="862">
      <c r="A862" s="5"/>
      <c r="B862" s="5"/>
      <c r="C862" s="4"/>
      <c r="D862" s="4"/>
      <c r="E862" s="5"/>
      <c r="F862" s="4"/>
      <c r="G862" s="6">
        <f>IF(AND(A862="",B862=""),"",IF(COUNTIFS($A$2:$A$2001,A862,$B$2:$B$2001,B862)&gt;1,"DUPLICADO","OK"))</f>
      </c>
      <c r="H862" s="6">
        <f>IF(COUNTA(A862:F862)=0,"",IF(AND(A862&lt;&gt;"",B862&lt;&gt;"",E862&lt;&gt;""),"OK","ERRO: faltam "&amp;IF(A862="","Conta; ","")&amp;IF(B862="","Oportunidade; ","")&amp;IF(E862="","Novo gerente; ","")))</f>
      </c>
      <c r="I862" s="6">
        <f>IF(COUNTA(A862:F862)=0,"",IF(AND(G862="OK",H862="OK"),"OK","REVISAR"))</f>
      </c>
    </row>
    <row r="863">
      <c r="A863" s="5"/>
      <c r="B863" s="5"/>
      <c r="C863" s="4"/>
      <c r="D863" s="4"/>
      <c r="E863" s="5"/>
      <c r="F863" s="4"/>
      <c r="G863" s="6">
        <f>IF(AND(A863="",B863=""),"",IF(COUNTIFS($A$2:$A$2001,A863,$B$2:$B$2001,B863)&gt;1,"DUPLICADO","OK"))</f>
      </c>
      <c r="H863" s="6">
        <f>IF(COUNTA(A863:F863)=0,"",IF(AND(A863&lt;&gt;"",B863&lt;&gt;"",E863&lt;&gt;""),"OK","ERRO: faltam "&amp;IF(A863="","Conta; ","")&amp;IF(B863="","Oportunidade; ","")&amp;IF(E863="","Novo gerente; ","")))</f>
      </c>
      <c r="I863" s="6">
        <f>IF(COUNTA(A863:F863)=0,"",IF(AND(G863="OK",H863="OK"),"OK","REVISAR"))</f>
      </c>
    </row>
    <row r="864">
      <c r="A864" s="5"/>
      <c r="B864" s="5"/>
      <c r="C864" s="4"/>
      <c r="D864" s="4"/>
      <c r="E864" s="5"/>
      <c r="F864" s="4"/>
      <c r="G864" s="6">
        <f>IF(AND(A864="",B864=""),"",IF(COUNTIFS($A$2:$A$2001,A864,$B$2:$B$2001,B864)&gt;1,"DUPLICADO","OK"))</f>
      </c>
      <c r="H864" s="6">
        <f>IF(COUNTA(A864:F864)=0,"",IF(AND(A864&lt;&gt;"",B864&lt;&gt;"",E864&lt;&gt;""),"OK","ERRO: faltam "&amp;IF(A864="","Conta; ","")&amp;IF(B864="","Oportunidade; ","")&amp;IF(E864="","Novo gerente; ","")))</f>
      </c>
      <c r="I864" s="6">
        <f>IF(COUNTA(A864:F864)=0,"",IF(AND(G864="OK",H864="OK"),"OK","REVISAR"))</f>
      </c>
    </row>
    <row r="865">
      <c r="A865" s="5"/>
      <c r="B865" s="5"/>
      <c r="C865" s="4"/>
      <c r="D865" s="4"/>
      <c r="E865" s="5"/>
      <c r="F865" s="4"/>
      <c r="G865" s="6">
        <f>IF(AND(A865="",B865=""),"",IF(COUNTIFS($A$2:$A$2001,A865,$B$2:$B$2001,B865)&gt;1,"DUPLICADO","OK"))</f>
      </c>
      <c r="H865" s="6">
        <f>IF(COUNTA(A865:F865)=0,"",IF(AND(A865&lt;&gt;"",B865&lt;&gt;"",E865&lt;&gt;""),"OK","ERRO: faltam "&amp;IF(A865="","Conta; ","")&amp;IF(B865="","Oportunidade; ","")&amp;IF(E865="","Novo gerente; ","")))</f>
      </c>
      <c r="I865" s="6">
        <f>IF(COUNTA(A865:F865)=0,"",IF(AND(G865="OK",H865="OK"),"OK","REVISAR"))</f>
      </c>
    </row>
    <row r="866">
      <c r="A866" s="5"/>
      <c r="B866" s="5"/>
      <c r="C866" s="4"/>
      <c r="D866" s="4"/>
      <c r="E866" s="5"/>
      <c r="F866" s="4"/>
      <c r="G866" s="6">
        <f>IF(AND(A866="",B866=""),"",IF(COUNTIFS($A$2:$A$2001,A866,$B$2:$B$2001,B866)&gt;1,"DUPLICADO","OK"))</f>
      </c>
      <c r="H866" s="6">
        <f>IF(COUNTA(A866:F866)=0,"",IF(AND(A866&lt;&gt;"",B866&lt;&gt;"",E866&lt;&gt;""),"OK","ERRO: faltam "&amp;IF(A866="","Conta; ","")&amp;IF(B866="","Oportunidade; ","")&amp;IF(E866="","Novo gerente; ","")))</f>
      </c>
      <c r="I866" s="6">
        <f>IF(COUNTA(A866:F866)=0,"",IF(AND(G866="OK",H866="OK"),"OK","REVISAR"))</f>
      </c>
    </row>
    <row r="867">
      <c r="A867" s="5"/>
      <c r="B867" s="5"/>
      <c r="C867" s="4"/>
      <c r="D867" s="4"/>
      <c r="E867" s="5"/>
      <c r="F867" s="4"/>
      <c r="G867" s="6">
        <f>IF(AND(A867="",B867=""),"",IF(COUNTIFS($A$2:$A$2001,A867,$B$2:$B$2001,B867)&gt;1,"DUPLICADO","OK"))</f>
      </c>
      <c r="H867" s="6">
        <f>IF(COUNTA(A867:F867)=0,"",IF(AND(A867&lt;&gt;"",B867&lt;&gt;"",E867&lt;&gt;""),"OK","ERRO: faltam "&amp;IF(A867="","Conta; ","")&amp;IF(B867="","Oportunidade; ","")&amp;IF(E867="","Novo gerente; ","")))</f>
      </c>
      <c r="I867" s="6">
        <f>IF(COUNTA(A867:F867)=0,"",IF(AND(G867="OK",H867="OK"),"OK","REVISAR"))</f>
      </c>
    </row>
    <row r="868">
      <c r="A868" s="5"/>
      <c r="B868" s="5"/>
      <c r="C868" s="4"/>
      <c r="D868" s="4"/>
      <c r="E868" s="5"/>
      <c r="F868" s="4"/>
      <c r="G868" s="6">
        <f>IF(AND(A868="",B868=""),"",IF(COUNTIFS($A$2:$A$2001,A868,$B$2:$B$2001,B868)&gt;1,"DUPLICADO","OK"))</f>
      </c>
      <c r="H868" s="6">
        <f>IF(COUNTA(A868:F868)=0,"",IF(AND(A868&lt;&gt;"",B868&lt;&gt;"",E868&lt;&gt;""),"OK","ERRO: faltam "&amp;IF(A868="","Conta; ","")&amp;IF(B868="","Oportunidade; ","")&amp;IF(E868="","Novo gerente; ","")))</f>
      </c>
      <c r="I868" s="6">
        <f>IF(COUNTA(A868:F868)=0,"",IF(AND(G868="OK",H868="OK"),"OK","REVISAR"))</f>
      </c>
    </row>
    <row r="869">
      <c r="A869" s="5"/>
      <c r="B869" s="5"/>
      <c r="C869" s="4"/>
      <c r="D869" s="4"/>
      <c r="E869" s="5"/>
      <c r="F869" s="4"/>
      <c r="G869" s="6">
        <f>IF(AND(A869="",B869=""),"",IF(COUNTIFS($A$2:$A$2001,A869,$B$2:$B$2001,B869)&gt;1,"DUPLICADO","OK"))</f>
      </c>
      <c r="H869" s="6">
        <f>IF(COUNTA(A869:F869)=0,"",IF(AND(A869&lt;&gt;"",B869&lt;&gt;"",E869&lt;&gt;""),"OK","ERRO: faltam "&amp;IF(A869="","Conta; ","")&amp;IF(B869="","Oportunidade; ","")&amp;IF(E869="","Novo gerente; ","")))</f>
      </c>
      <c r="I869" s="6">
        <f>IF(COUNTA(A869:F869)=0,"",IF(AND(G869="OK",H869="OK"),"OK","REVISAR"))</f>
      </c>
    </row>
    <row r="870">
      <c r="A870" s="5"/>
      <c r="B870" s="5"/>
      <c r="C870" s="4"/>
      <c r="D870" s="4"/>
      <c r="E870" s="5"/>
      <c r="F870" s="4"/>
      <c r="G870" s="6">
        <f>IF(AND(A870="",B870=""),"",IF(COUNTIFS($A$2:$A$2001,A870,$B$2:$B$2001,B870)&gt;1,"DUPLICADO","OK"))</f>
      </c>
      <c r="H870" s="6">
        <f>IF(COUNTA(A870:F870)=0,"",IF(AND(A870&lt;&gt;"",B870&lt;&gt;"",E870&lt;&gt;""),"OK","ERRO: faltam "&amp;IF(A870="","Conta; ","")&amp;IF(B870="","Oportunidade; ","")&amp;IF(E870="","Novo gerente; ","")))</f>
      </c>
      <c r="I870" s="6">
        <f>IF(COUNTA(A870:F870)=0,"",IF(AND(G870="OK",H870="OK"),"OK","REVISAR"))</f>
      </c>
    </row>
    <row r="871">
      <c r="A871" s="5"/>
      <c r="B871" s="5"/>
      <c r="C871" s="4"/>
      <c r="D871" s="4"/>
      <c r="E871" s="5"/>
      <c r="F871" s="4"/>
      <c r="G871" s="6">
        <f>IF(AND(A871="",B871=""),"",IF(COUNTIFS($A$2:$A$2001,A871,$B$2:$B$2001,B871)&gt;1,"DUPLICADO","OK"))</f>
      </c>
      <c r="H871" s="6">
        <f>IF(COUNTA(A871:F871)=0,"",IF(AND(A871&lt;&gt;"",B871&lt;&gt;"",E871&lt;&gt;""),"OK","ERRO: faltam "&amp;IF(A871="","Conta; ","")&amp;IF(B871="","Oportunidade; ","")&amp;IF(E871="","Novo gerente; ","")))</f>
      </c>
      <c r="I871" s="6">
        <f>IF(COUNTA(A871:F871)=0,"",IF(AND(G871="OK",H871="OK"),"OK","REVISAR"))</f>
      </c>
    </row>
    <row r="872">
      <c r="A872" s="5"/>
      <c r="B872" s="5"/>
      <c r="C872" s="4"/>
      <c r="D872" s="4"/>
      <c r="E872" s="5"/>
      <c r="F872" s="4"/>
      <c r="G872" s="6">
        <f>IF(AND(A872="",B872=""),"",IF(COUNTIFS($A$2:$A$2001,A872,$B$2:$B$2001,B872)&gt;1,"DUPLICADO","OK"))</f>
      </c>
      <c r="H872" s="6">
        <f>IF(COUNTA(A872:F872)=0,"",IF(AND(A872&lt;&gt;"",B872&lt;&gt;"",E872&lt;&gt;""),"OK","ERRO: faltam "&amp;IF(A872="","Conta; ","")&amp;IF(B872="","Oportunidade; ","")&amp;IF(E872="","Novo gerente; ","")))</f>
      </c>
      <c r="I872" s="6">
        <f>IF(COUNTA(A872:F872)=0,"",IF(AND(G872="OK",H872="OK"),"OK","REVISAR"))</f>
      </c>
    </row>
    <row r="873">
      <c r="A873" s="5"/>
      <c r="B873" s="5"/>
      <c r="C873" s="4"/>
      <c r="D873" s="4"/>
      <c r="E873" s="5"/>
      <c r="F873" s="4"/>
      <c r="G873" s="6">
        <f>IF(AND(A873="",B873=""),"",IF(COUNTIFS($A$2:$A$2001,A873,$B$2:$B$2001,B873)&gt;1,"DUPLICADO","OK"))</f>
      </c>
      <c r="H873" s="6">
        <f>IF(COUNTA(A873:F873)=0,"",IF(AND(A873&lt;&gt;"",B873&lt;&gt;"",E873&lt;&gt;""),"OK","ERRO: faltam "&amp;IF(A873="","Conta; ","")&amp;IF(B873="","Oportunidade; ","")&amp;IF(E873="","Novo gerente; ","")))</f>
      </c>
      <c r="I873" s="6">
        <f>IF(COUNTA(A873:F873)=0,"",IF(AND(G873="OK",H873="OK"),"OK","REVISAR"))</f>
      </c>
    </row>
    <row r="874">
      <c r="A874" s="5"/>
      <c r="B874" s="5"/>
      <c r="C874" s="4"/>
      <c r="D874" s="4"/>
      <c r="E874" s="5"/>
      <c r="F874" s="4"/>
      <c r="G874" s="6">
        <f>IF(AND(A874="",B874=""),"",IF(COUNTIFS($A$2:$A$2001,A874,$B$2:$B$2001,B874)&gt;1,"DUPLICADO","OK"))</f>
      </c>
      <c r="H874" s="6">
        <f>IF(COUNTA(A874:F874)=0,"",IF(AND(A874&lt;&gt;"",B874&lt;&gt;"",E874&lt;&gt;""),"OK","ERRO: faltam "&amp;IF(A874="","Conta; ","")&amp;IF(B874="","Oportunidade; ","")&amp;IF(E874="","Novo gerente; ","")))</f>
      </c>
      <c r="I874" s="6">
        <f>IF(COUNTA(A874:F874)=0,"",IF(AND(G874="OK",H874="OK"),"OK","REVISAR"))</f>
      </c>
    </row>
    <row r="875">
      <c r="A875" s="5"/>
      <c r="B875" s="5"/>
      <c r="C875" s="4"/>
      <c r="D875" s="4"/>
      <c r="E875" s="5"/>
      <c r="F875" s="4"/>
      <c r="G875" s="6">
        <f>IF(AND(A875="",B875=""),"",IF(COUNTIFS($A$2:$A$2001,A875,$B$2:$B$2001,B875)&gt;1,"DUPLICADO","OK"))</f>
      </c>
      <c r="H875" s="6">
        <f>IF(COUNTA(A875:F875)=0,"",IF(AND(A875&lt;&gt;"",B875&lt;&gt;"",E875&lt;&gt;""),"OK","ERRO: faltam "&amp;IF(A875="","Conta; ","")&amp;IF(B875="","Oportunidade; ","")&amp;IF(E875="","Novo gerente; ","")))</f>
      </c>
      <c r="I875" s="6">
        <f>IF(COUNTA(A875:F875)=0,"",IF(AND(G875="OK",H875="OK"),"OK","REVISAR"))</f>
      </c>
    </row>
    <row r="876">
      <c r="A876" s="5"/>
      <c r="B876" s="5"/>
      <c r="C876" s="4"/>
      <c r="D876" s="4"/>
      <c r="E876" s="5"/>
      <c r="F876" s="4"/>
      <c r="G876" s="6">
        <f>IF(AND(A876="",B876=""),"",IF(COUNTIFS($A$2:$A$2001,A876,$B$2:$B$2001,B876)&gt;1,"DUPLICADO","OK"))</f>
      </c>
      <c r="H876" s="6">
        <f>IF(COUNTA(A876:F876)=0,"",IF(AND(A876&lt;&gt;"",B876&lt;&gt;"",E876&lt;&gt;""),"OK","ERRO: faltam "&amp;IF(A876="","Conta; ","")&amp;IF(B876="","Oportunidade; ","")&amp;IF(E876="","Novo gerente; ","")))</f>
      </c>
      <c r="I876" s="6">
        <f>IF(COUNTA(A876:F876)=0,"",IF(AND(G876="OK",H876="OK"),"OK","REVISAR"))</f>
      </c>
    </row>
    <row r="877">
      <c r="A877" s="5"/>
      <c r="B877" s="5"/>
      <c r="C877" s="4"/>
      <c r="D877" s="4"/>
      <c r="E877" s="5"/>
      <c r="F877" s="4"/>
      <c r="G877" s="6">
        <f>IF(AND(A877="",B877=""),"",IF(COUNTIFS($A$2:$A$2001,A877,$B$2:$B$2001,B877)&gt;1,"DUPLICADO","OK"))</f>
      </c>
      <c r="H877" s="6">
        <f>IF(COUNTA(A877:F877)=0,"",IF(AND(A877&lt;&gt;"",B877&lt;&gt;"",E877&lt;&gt;""),"OK","ERRO: faltam "&amp;IF(A877="","Conta; ","")&amp;IF(B877="","Oportunidade; ","")&amp;IF(E877="","Novo gerente; ","")))</f>
      </c>
      <c r="I877" s="6">
        <f>IF(COUNTA(A877:F877)=0,"",IF(AND(G877="OK",H877="OK"),"OK","REVISAR"))</f>
      </c>
    </row>
    <row r="878">
      <c r="A878" s="5"/>
      <c r="B878" s="5"/>
      <c r="C878" s="4"/>
      <c r="D878" s="4"/>
      <c r="E878" s="5"/>
      <c r="F878" s="4"/>
      <c r="G878" s="6">
        <f>IF(AND(A878="",B878=""),"",IF(COUNTIFS($A$2:$A$2001,A878,$B$2:$B$2001,B878)&gt;1,"DUPLICADO","OK"))</f>
      </c>
      <c r="H878" s="6">
        <f>IF(COUNTA(A878:F878)=0,"",IF(AND(A878&lt;&gt;"",B878&lt;&gt;"",E878&lt;&gt;""),"OK","ERRO: faltam "&amp;IF(A878="","Conta; ","")&amp;IF(B878="","Oportunidade; ","")&amp;IF(E878="","Novo gerente; ","")))</f>
      </c>
      <c r="I878" s="6">
        <f>IF(COUNTA(A878:F878)=0,"",IF(AND(G878="OK",H878="OK"),"OK","REVISAR"))</f>
      </c>
    </row>
    <row r="879">
      <c r="A879" s="5"/>
      <c r="B879" s="5"/>
      <c r="C879" s="4"/>
      <c r="D879" s="4"/>
      <c r="E879" s="5"/>
      <c r="F879" s="4"/>
      <c r="G879" s="6">
        <f>IF(AND(A879="",B879=""),"",IF(COUNTIFS($A$2:$A$2001,A879,$B$2:$B$2001,B879)&gt;1,"DUPLICADO","OK"))</f>
      </c>
      <c r="H879" s="6">
        <f>IF(COUNTA(A879:F879)=0,"",IF(AND(A879&lt;&gt;"",B879&lt;&gt;"",E879&lt;&gt;""),"OK","ERRO: faltam "&amp;IF(A879="","Conta; ","")&amp;IF(B879="","Oportunidade; ","")&amp;IF(E879="","Novo gerente; ","")))</f>
      </c>
      <c r="I879" s="6">
        <f>IF(COUNTA(A879:F879)=0,"",IF(AND(G879="OK",H879="OK"),"OK","REVISAR"))</f>
      </c>
    </row>
    <row r="880">
      <c r="A880" s="5"/>
      <c r="B880" s="5"/>
      <c r="C880" s="4"/>
      <c r="D880" s="4"/>
      <c r="E880" s="5"/>
      <c r="F880" s="4"/>
      <c r="G880" s="6">
        <f>IF(AND(A880="",B880=""),"",IF(COUNTIFS($A$2:$A$2001,A880,$B$2:$B$2001,B880)&gt;1,"DUPLICADO","OK"))</f>
      </c>
      <c r="H880" s="6">
        <f>IF(COUNTA(A880:F880)=0,"",IF(AND(A880&lt;&gt;"",B880&lt;&gt;"",E880&lt;&gt;""),"OK","ERRO: faltam "&amp;IF(A880="","Conta; ","")&amp;IF(B880="","Oportunidade; ","")&amp;IF(E880="","Novo gerente; ","")))</f>
      </c>
      <c r="I880" s="6">
        <f>IF(COUNTA(A880:F880)=0,"",IF(AND(G880="OK",H880="OK"),"OK","REVISAR"))</f>
      </c>
    </row>
    <row r="881">
      <c r="A881" s="5"/>
      <c r="B881" s="5"/>
      <c r="C881" s="4"/>
      <c r="D881" s="4"/>
      <c r="E881" s="5"/>
      <c r="F881" s="4"/>
      <c r="G881" s="6">
        <f>IF(AND(A881="",B881=""),"",IF(COUNTIFS($A$2:$A$2001,A881,$B$2:$B$2001,B881)&gt;1,"DUPLICADO","OK"))</f>
      </c>
      <c r="H881" s="6">
        <f>IF(COUNTA(A881:F881)=0,"",IF(AND(A881&lt;&gt;"",B881&lt;&gt;"",E881&lt;&gt;""),"OK","ERRO: faltam "&amp;IF(A881="","Conta; ","")&amp;IF(B881="","Oportunidade; ","")&amp;IF(E881="","Novo gerente; ","")))</f>
      </c>
      <c r="I881" s="6">
        <f>IF(COUNTA(A881:F881)=0,"",IF(AND(G881="OK",H881="OK"),"OK","REVISAR"))</f>
      </c>
    </row>
    <row r="882">
      <c r="A882" s="5"/>
      <c r="B882" s="5"/>
      <c r="C882" s="4"/>
      <c r="D882" s="4"/>
      <c r="E882" s="5"/>
      <c r="F882" s="4"/>
      <c r="G882" s="6">
        <f>IF(AND(A882="",B882=""),"",IF(COUNTIFS($A$2:$A$2001,A882,$B$2:$B$2001,B882)&gt;1,"DUPLICADO","OK"))</f>
      </c>
      <c r="H882" s="6">
        <f>IF(COUNTA(A882:F882)=0,"",IF(AND(A882&lt;&gt;"",B882&lt;&gt;"",E882&lt;&gt;""),"OK","ERRO: faltam "&amp;IF(A882="","Conta; ","")&amp;IF(B882="","Oportunidade; ","")&amp;IF(E882="","Novo gerente; ","")))</f>
      </c>
      <c r="I882" s="6">
        <f>IF(COUNTA(A882:F882)=0,"",IF(AND(G882="OK",H882="OK"),"OK","REVISAR"))</f>
      </c>
    </row>
    <row r="883">
      <c r="A883" s="5"/>
      <c r="B883" s="5"/>
      <c r="C883" s="4"/>
      <c r="D883" s="4"/>
      <c r="E883" s="5"/>
      <c r="F883" s="4"/>
      <c r="G883" s="6">
        <f>IF(AND(A883="",B883=""),"",IF(COUNTIFS($A$2:$A$2001,A883,$B$2:$B$2001,B883)&gt;1,"DUPLICADO","OK"))</f>
      </c>
      <c r="H883" s="6">
        <f>IF(COUNTA(A883:F883)=0,"",IF(AND(A883&lt;&gt;"",B883&lt;&gt;"",E883&lt;&gt;""),"OK","ERRO: faltam "&amp;IF(A883="","Conta; ","")&amp;IF(B883="","Oportunidade; ","")&amp;IF(E883="","Novo gerente; ","")))</f>
      </c>
      <c r="I883" s="6">
        <f>IF(COUNTA(A883:F883)=0,"",IF(AND(G883="OK",H883="OK"),"OK","REVISAR"))</f>
      </c>
    </row>
    <row r="884">
      <c r="A884" s="5"/>
      <c r="B884" s="5"/>
      <c r="C884" s="4"/>
      <c r="D884" s="4"/>
      <c r="E884" s="5"/>
      <c r="F884" s="4"/>
      <c r="G884" s="6">
        <f>IF(AND(A884="",B884=""),"",IF(COUNTIFS($A$2:$A$2001,A884,$B$2:$B$2001,B884)&gt;1,"DUPLICADO","OK"))</f>
      </c>
      <c r="H884" s="6">
        <f>IF(COUNTA(A884:F884)=0,"",IF(AND(A884&lt;&gt;"",B884&lt;&gt;"",E884&lt;&gt;""),"OK","ERRO: faltam "&amp;IF(A884="","Conta; ","")&amp;IF(B884="","Oportunidade; ","")&amp;IF(E884="","Novo gerente; ","")))</f>
      </c>
      <c r="I884" s="6">
        <f>IF(COUNTA(A884:F884)=0,"",IF(AND(G884="OK",H884="OK"),"OK","REVISAR"))</f>
      </c>
    </row>
    <row r="885">
      <c r="A885" s="5"/>
      <c r="B885" s="5"/>
      <c r="C885" s="4"/>
      <c r="D885" s="4"/>
      <c r="E885" s="5"/>
      <c r="F885" s="4"/>
      <c r="G885" s="6">
        <f>IF(AND(A885="",B885=""),"",IF(COUNTIFS($A$2:$A$2001,A885,$B$2:$B$2001,B885)&gt;1,"DUPLICADO","OK"))</f>
      </c>
      <c r="H885" s="6">
        <f>IF(COUNTA(A885:F885)=0,"",IF(AND(A885&lt;&gt;"",B885&lt;&gt;"",E885&lt;&gt;""),"OK","ERRO: faltam "&amp;IF(A885="","Conta; ","")&amp;IF(B885="","Oportunidade; ","")&amp;IF(E885="","Novo gerente; ","")))</f>
      </c>
      <c r="I885" s="6">
        <f>IF(COUNTA(A885:F885)=0,"",IF(AND(G885="OK",H885="OK"),"OK","REVISAR"))</f>
      </c>
    </row>
    <row r="886">
      <c r="A886" s="5"/>
      <c r="B886" s="5"/>
      <c r="C886" s="4"/>
      <c r="D886" s="4"/>
      <c r="E886" s="5"/>
      <c r="F886" s="4"/>
      <c r="G886" s="6">
        <f>IF(AND(A886="",B886=""),"",IF(COUNTIFS($A$2:$A$2001,A886,$B$2:$B$2001,B886)&gt;1,"DUPLICADO","OK"))</f>
      </c>
      <c r="H886" s="6">
        <f>IF(COUNTA(A886:F886)=0,"",IF(AND(A886&lt;&gt;"",B886&lt;&gt;"",E886&lt;&gt;""),"OK","ERRO: faltam "&amp;IF(A886="","Conta; ","")&amp;IF(B886="","Oportunidade; ","")&amp;IF(E886="","Novo gerente; ","")))</f>
      </c>
      <c r="I886" s="6">
        <f>IF(COUNTA(A886:F886)=0,"",IF(AND(G886="OK",H886="OK"),"OK","REVISAR"))</f>
      </c>
    </row>
    <row r="887">
      <c r="A887" s="5"/>
      <c r="B887" s="5"/>
      <c r="C887" s="4"/>
      <c r="D887" s="4"/>
      <c r="E887" s="5"/>
      <c r="F887" s="4"/>
      <c r="G887" s="6">
        <f>IF(AND(A887="",B887=""),"",IF(COUNTIFS($A$2:$A$2001,A887,$B$2:$B$2001,B887)&gt;1,"DUPLICADO","OK"))</f>
      </c>
      <c r="H887" s="6">
        <f>IF(COUNTA(A887:F887)=0,"",IF(AND(A887&lt;&gt;"",B887&lt;&gt;"",E887&lt;&gt;""),"OK","ERRO: faltam "&amp;IF(A887="","Conta; ","")&amp;IF(B887="","Oportunidade; ","")&amp;IF(E887="","Novo gerente; ","")))</f>
      </c>
      <c r="I887" s="6">
        <f>IF(COUNTA(A887:F887)=0,"",IF(AND(G887="OK",H887="OK"),"OK","REVISAR"))</f>
      </c>
    </row>
    <row r="888">
      <c r="A888" s="5"/>
      <c r="B888" s="5"/>
      <c r="C888" s="4"/>
      <c r="D888" s="4"/>
      <c r="E888" s="5"/>
      <c r="F888" s="4"/>
      <c r="G888" s="6">
        <f>IF(AND(A888="",B888=""),"",IF(COUNTIFS($A$2:$A$2001,A888,$B$2:$B$2001,B888)&gt;1,"DUPLICADO","OK"))</f>
      </c>
      <c r="H888" s="6">
        <f>IF(COUNTA(A888:F888)=0,"",IF(AND(A888&lt;&gt;"",B888&lt;&gt;"",E888&lt;&gt;""),"OK","ERRO: faltam "&amp;IF(A888="","Conta; ","")&amp;IF(B888="","Oportunidade; ","")&amp;IF(E888="","Novo gerente; ","")))</f>
      </c>
      <c r="I888" s="6">
        <f>IF(COUNTA(A888:F888)=0,"",IF(AND(G888="OK",H888="OK"),"OK","REVISAR"))</f>
      </c>
    </row>
    <row r="889">
      <c r="A889" s="5"/>
      <c r="B889" s="5"/>
      <c r="C889" s="4"/>
      <c r="D889" s="4"/>
      <c r="E889" s="5"/>
      <c r="F889" s="4"/>
      <c r="G889" s="6">
        <f>IF(AND(A889="",B889=""),"",IF(COUNTIFS($A$2:$A$2001,A889,$B$2:$B$2001,B889)&gt;1,"DUPLICADO","OK"))</f>
      </c>
      <c r="H889" s="6">
        <f>IF(COUNTA(A889:F889)=0,"",IF(AND(A889&lt;&gt;"",B889&lt;&gt;"",E889&lt;&gt;""),"OK","ERRO: faltam "&amp;IF(A889="","Conta; ","")&amp;IF(B889="","Oportunidade; ","")&amp;IF(E889="","Novo gerente; ","")))</f>
      </c>
      <c r="I889" s="6">
        <f>IF(COUNTA(A889:F889)=0,"",IF(AND(G889="OK",H889="OK"),"OK","REVISAR"))</f>
      </c>
    </row>
    <row r="890">
      <c r="A890" s="5"/>
      <c r="B890" s="5"/>
      <c r="C890" s="4"/>
      <c r="D890" s="4"/>
      <c r="E890" s="5"/>
      <c r="F890" s="4"/>
      <c r="G890" s="6">
        <f>IF(AND(A890="",B890=""),"",IF(COUNTIFS($A$2:$A$2001,A890,$B$2:$B$2001,B890)&gt;1,"DUPLICADO","OK"))</f>
      </c>
      <c r="H890" s="6">
        <f>IF(COUNTA(A890:F890)=0,"",IF(AND(A890&lt;&gt;"",B890&lt;&gt;"",E890&lt;&gt;""),"OK","ERRO: faltam "&amp;IF(A890="","Conta; ","")&amp;IF(B890="","Oportunidade; ","")&amp;IF(E890="","Novo gerente; ","")))</f>
      </c>
      <c r="I890" s="6">
        <f>IF(COUNTA(A890:F890)=0,"",IF(AND(G890="OK",H890="OK"),"OK","REVISAR"))</f>
      </c>
    </row>
    <row r="891">
      <c r="A891" s="5"/>
      <c r="B891" s="5"/>
      <c r="C891" s="4"/>
      <c r="D891" s="4"/>
      <c r="E891" s="5"/>
      <c r="F891" s="4"/>
      <c r="G891" s="6">
        <f>IF(AND(A891="",B891=""),"",IF(COUNTIFS($A$2:$A$2001,A891,$B$2:$B$2001,B891)&gt;1,"DUPLICADO","OK"))</f>
      </c>
      <c r="H891" s="6">
        <f>IF(COUNTA(A891:F891)=0,"",IF(AND(A891&lt;&gt;"",B891&lt;&gt;"",E891&lt;&gt;""),"OK","ERRO: faltam "&amp;IF(A891="","Conta; ","")&amp;IF(B891="","Oportunidade; ","")&amp;IF(E891="","Novo gerente; ","")))</f>
      </c>
      <c r="I891" s="6">
        <f>IF(COUNTA(A891:F891)=0,"",IF(AND(G891="OK",H891="OK"),"OK","REVISAR"))</f>
      </c>
    </row>
    <row r="892">
      <c r="A892" s="5"/>
      <c r="B892" s="5"/>
      <c r="C892" s="4"/>
      <c r="D892" s="4"/>
      <c r="E892" s="5"/>
      <c r="F892" s="4"/>
      <c r="G892" s="6">
        <f>IF(AND(A892="",B892=""),"",IF(COUNTIFS($A$2:$A$2001,A892,$B$2:$B$2001,B892)&gt;1,"DUPLICADO","OK"))</f>
      </c>
      <c r="H892" s="6">
        <f>IF(COUNTA(A892:F892)=0,"",IF(AND(A892&lt;&gt;"",B892&lt;&gt;"",E892&lt;&gt;""),"OK","ERRO: faltam "&amp;IF(A892="","Conta; ","")&amp;IF(B892="","Oportunidade; ","")&amp;IF(E892="","Novo gerente; ","")))</f>
      </c>
      <c r="I892" s="6">
        <f>IF(COUNTA(A892:F892)=0,"",IF(AND(G892="OK",H892="OK"),"OK","REVISAR"))</f>
      </c>
    </row>
    <row r="893">
      <c r="A893" s="5"/>
      <c r="B893" s="5"/>
      <c r="C893" s="4"/>
      <c r="D893" s="4"/>
      <c r="E893" s="5"/>
      <c r="F893" s="4"/>
      <c r="G893" s="6">
        <f>IF(AND(A893="",B893=""),"",IF(COUNTIFS($A$2:$A$2001,A893,$B$2:$B$2001,B893)&gt;1,"DUPLICADO","OK"))</f>
      </c>
      <c r="H893" s="6">
        <f>IF(COUNTA(A893:F893)=0,"",IF(AND(A893&lt;&gt;"",B893&lt;&gt;"",E893&lt;&gt;""),"OK","ERRO: faltam "&amp;IF(A893="","Conta; ","")&amp;IF(B893="","Oportunidade; ","")&amp;IF(E893="","Novo gerente; ","")))</f>
      </c>
      <c r="I893" s="6">
        <f>IF(COUNTA(A893:F893)=0,"",IF(AND(G893="OK",H893="OK"),"OK","REVISAR"))</f>
      </c>
    </row>
    <row r="894">
      <c r="A894" s="5"/>
      <c r="B894" s="5"/>
      <c r="C894" s="4"/>
      <c r="D894" s="4"/>
      <c r="E894" s="5"/>
      <c r="F894" s="4"/>
      <c r="G894" s="6">
        <f>IF(AND(A894="",B894=""),"",IF(COUNTIFS($A$2:$A$2001,A894,$B$2:$B$2001,B894)&gt;1,"DUPLICADO","OK"))</f>
      </c>
      <c r="H894" s="6">
        <f>IF(COUNTA(A894:F894)=0,"",IF(AND(A894&lt;&gt;"",B894&lt;&gt;"",E894&lt;&gt;""),"OK","ERRO: faltam "&amp;IF(A894="","Conta; ","")&amp;IF(B894="","Oportunidade; ","")&amp;IF(E894="","Novo gerente; ","")))</f>
      </c>
      <c r="I894" s="6">
        <f>IF(COUNTA(A894:F894)=0,"",IF(AND(G894="OK",H894="OK"),"OK","REVISAR"))</f>
      </c>
    </row>
    <row r="895">
      <c r="A895" s="5"/>
      <c r="B895" s="5"/>
      <c r="C895" s="4"/>
      <c r="D895" s="4"/>
      <c r="E895" s="5"/>
      <c r="F895" s="4"/>
      <c r="G895" s="6">
        <f>IF(AND(A895="",B895=""),"",IF(COUNTIFS($A$2:$A$2001,A895,$B$2:$B$2001,B895)&gt;1,"DUPLICADO","OK"))</f>
      </c>
      <c r="H895" s="6">
        <f>IF(COUNTA(A895:F895)=0,"",IF(AND(A895&lt;&gt;"",B895&lt;&gt;"",E895&lt;&gt;""),"OK","ERRO: faltam "&amp;IF(A895="","Conta; ","")&amp;IF(B895="","Oportunidade; ","")&amp;IF(E895="","Novo gerente; ","")))</f>
      </c>
      <c r="I895" s="6">
        <f>IF(COUNTA(A895:F895)=0,"",IF(AND(G895="OK",H895="OK"),"OK","REVISAR"))</f>
      </c>
    </row>
    <row r="896">
      <c r="A896" s="5"/>
      <c r="B896" s="5"/>
      <c r="C896" s="4"/>
      <c r="D896" s="4"/>
      <c r="E896" s="5"/>
      <c r="F896" s="4"/>
      <c r="G896" s="6">
        <f>IF(AND(A896="",B896=""),"",IF(COUNTIFS($A$2:$A$2001,A896,$B$2:$B$2001,B896)&gt;1,"DUPLICADO","OK"))</f>
      </c>
      <c r="H896" s="6">
        <f>IF(COUNTA(A896:F896)=0,"",IF(AND(A896&lt;&gt;"",B896&lt;&gt;"",E896&lt;&gt;""),"OK","ERRO: faltam "&amp;IF(A896="","Conta; ","")&amp;IF(B896="","Oportunidade; ","")&amp;IF(E896="","Novo gerente; ","")))</f>
      </c>
      <c r="I896" s="6">
        <f>IF(COUNTA(A896:F896)=0,"",IF(AND(G896="OK",H896="OK"),"OK","REVISAR"))</f>
      </c>
    </row>
    <row r="897">
      <c r="A897" s="5"/>
      <c r="B897" s="5"/>
      <c r="C897" s="4"/>
      <c r="D897" s="4"/>
      <c r="E897" s="5"/>
      <c r="F897" s="4"/>
      <c r="G897" s="6">
        <f>IF(AND(A897="",B897=""),"",IF(COUNTIFS($A$2:$A$2001,A897,$B$2:$B$2001,B897)&gt;1,"DUPLICADO","OK"))</f>
      </c>
      <c r="H897" s="6">
        <f>IF(COUNTA(A897:F897)=0,"",IF(AND(A897&lt;&gt;"",B897&lt;&gt;"",E897&lt;&gt;""),"OK","ERRO: faltam "&amp;IF(A897="","Conta; ","")&amp;IF(B897="","Oportunidade; ","")&amp;IF(E897="","Novo gerente; ","")))</f>
      </c>
      <c r="I897" s="6">
        <f>IF(COUNTA(A897:F897)=0,"",IF(AND(G897="OK",H897="OK"),"OK","REVISAR"))</f>
      </c>
    </row>
    <row r="898">
      <c r="A898" s="5"/>
      <c r="B898" s="5"/>
      <c r="C898" s="4"/>
      <c r="D898" s="4"/>
      <c r="E898" s="5"/>
      <c r="F898" s="4"/>
      <c r="G898" s="6">
        <f>IF(AND(A898="",B898=""),"",IF(COUNTIFS($A$2:$A$2001,A898,$B$2:$B$2001,B898)&gt;1,"DUPLICADO","OK"))</f>
      </c>
      <c r="H898" s="6">
        <f>IF(COUNTA(A898:F898)=0,"",IF(AND(A898&lt;&gt;"",B898&lt;&gt;"",E898&lt;&gt;""),"OK","ERRO: faltam "&amp;IF(A898="","Conta; ","")&amp;IF(B898="","Oportunidade; ","")&amp;IF(E898="","Novo gerente; ","")))</f>
      </c>
      <c r="I898" s="6">
        <f>IF(COUNTA(A898:F898)=0,"",IF(AND(G898="OK",H898="OK"),"OK","REVISAR"))</f>
      </c>
    </row>
    <row r="899">
      <c r="A899" s="5"/>
      <c r="B899" s="5"/>
      <c r="C899" s="4"/>
      <c r="D899" s="4"/>
      <c r="E899" s="5"/>
      <c r="F899" s="4"/>
      <c r="G899" s="6">
        <f>IF(AND(A899="",B899=""),"",IF(COUNTIFS($A$2:$A$2001,A899,$B$2:$B$2001,B899)&gt;1,"DUPLICADO","OK"))</f>
      </c>
      <c r="H899" s="6">
        <f>IF(COUNTA(A899:F899)=0,"",IF(AND(A899&lt;&gt;"",B899&lt;&gt;"",E899&lt;&gt;""),"OK","ERRO: faltam "&amp;IF(A899="","Conta; ","")&amp;IF(B899="","Oportunidade; ","")&amp;IF(E899="","Novo gerente; ","")))</f>
      </c>
      <c r="I899" s="6">
        <f>IF(COUNTA(A899:F899)=0,"",IF(AND(G899="OK",H899="OK"),"OK","REVISAR"))</f>
      </c>
    </row>
    <row r="900">
      <c r="A900" s="5"/>
      <c r="B900" s="5"/>
      <c r="C900" s="4"/>
      <c r="D900" s="4"/>
      <c r="E900" s="5"/>
      <c r="F900" s="4"/>
      <c r="G900" s="6">
        <f>IF(AND(A900="",B900=""),"",IF(COUNTIFS($A$2:$A$2001,A900,$B$2:$B$2001,B900)&gt;1,"DUPLICADO","OK"))</f>
      </c>
      <c r="H900" s="6">
        <f>IF(COUNTA(A900:F900)=0,"",IF(AND(A900&lt;&gt;"",B900&lt;&gt;"",E900&lt;&gt;""),"OK","ERRO: faltam "&amp;IF(A900="","Conta; ","")&amp;IF(B900="","Oportunidade; ","")&amp;IF(E900="","Novo gerente; ","")))</f>
      </c>
      <c r="I900" s="6">
        <f>IF(COUNTA(A900:F900)=0,"",IF(AND(G900="OK",H900="OK"),"OK","REVISAR"))</f>
      </c>
    </row>
    <row r="901">
      <c r="A901" s="5"/>
      <c r="B901" s="5"/>
      <c r="C901" s="4"/>
      <c r="D901" s="4"/>
      <c r="E901" s="5"/>
      <c r="F901" s="4"/>
      <c r="G901" s="6">
        <f>IF(AND(A901="",B901=""),"",IF(COUNTIFS($A$2:$A$2001,A901,$B$2:$B$2001,B901)&gt;1,"DUPLICADO","OK"))</f>
      </c>
      <c r="H901" s="6">
        <f>IF(COUNTA(A901:F901)=0,"",IF(AND(A901&lt;&gt;"",B901&lt;&gt;"",E901&lt;&gt;""),"OK","ERRO: faltam "&amp;IF(A901="","Conta; ","")&amp;IF(B901="","Oportunidade; ","")&amp;IF(E901="","Novo gerente; ","")))</f>
      </c>
      <c r="I901" s="6">
        <f>IF(COUNTA(A901:F901)=0,"",IF(AND(G901="OK",H901="OK"),"OK","REVISAR"))</f>
      </c>
    </row>
    <row r="902">
      <c r="A902" s="5"/>
      <c r="B902" s="5"/>
      <c r="C902" s="4"/>
      <c r="D902" s="4"/>
      <c r="E902" s="5"/>
      <c r="F902" s="4"/>
      <c r="G902" s="6">
        <f>IF(AND(A902="",B902=""),"",IF(COUNTIFS($A$2:$A$2001,A902,$B$2:$B$2001,B902)&gt;1,"DUPLICADO","OK"))</f>
      </c>
      <c r="H902" s="6">
        <f>IF(COUNTA(A902:F902)=0,"",IF(AND(A902&lt;&gt;"",B902&lt;&gt;"",E902&lt;&gt;""),"OK","ERRO: faltam "&amp;IF(A902="","Conta; ","")&amp;IF(B902="","Oportunidade; ","")&amp;IF(E902="","Novo gerente; ","")))</f>
      </c>
      <c r="I902" s="6">
        <f>IF(COUNTA(A902:F902)=0,"",IF(AND(G902="OK",H902="OK"),"OK","REVISAR"))</f>
      </c>
    </row>
    <row r="903">
      <c r="A903" s="5"/>
      <c r="B903" s="5"/>
      <c r="C903" s="4"/>
      <c r="D903" s="4"/>
      <c r="E903" s="5"/>
      <c r="F903" s="4"/>
      <c r="G903" s="6">
        <f>IF(AND(A903="",B903=""),"",IF(COUNTIFS($A$2:$A$2001,A903,$B$2:$B$2001,B903)&gt;1,"DUPLICADO","OK"))</f>
      </c>
      <c r="H903" s="6">
        <f>IF(COUNTA(A903:F903)=0,"",IF(AND(A903&lt;&gt;"",B903&lt;&gt;"",E903&lt;&gt;""),"OK","ERRO: faltam "&amp;IF(A903="","Conta; ","")&amp;IF(B903="","Oportunidade; ","")&amp;IF(E903="","Novo gerente; ","")))</f>
      </c>
      <c r="I903" s="6">
        <f>IF(COUNTA(A903:F903)=0,"",IF(AND(G903="OK",H903="OK"),"OK","REVISAR"))</f>
      </c>
    </row>
    <row r="904">
      <c r="A904" s="5"/>
      <c r="B904" s="5"/>
      <c r="C904" s="4"/>
      <c r="D904" s="4"/>
      <c r="E904" s="5"/>
      <c r="F904" s="4"/>
      <c r="G904" s="6">
        <f>IF(AND(A904="",B904=""),"",IF(COUNTIFS($A$2:$A$2001,A904,$B$2:$B$2001,B904)&gt;1,"DUPLICADO","OK"))</f>
      </c>
      <c r="H904" s="6">
        <f>IF(COUNTA(A904:F904)=0,"",IF(AND(A904&lt;&gt;"",B904&lt;&gt;"",E904&lt;&gt;""),"OK","ERRO: faltam "&amp;IF(A904="","Conta; ","")&amp;IF(B904="","Oportunidade; ","")&amp;IF(E904="","Novo gerente; ","")))</f>
      </c>
      <c r="I904" s="6">
        <f>IF(COUNTA(A904:F904)=0,"",IF(AND(G904="OK",H904="OK"),"OK","REVISAR"))</f>
      </c>
    </row>
    <row r="905">
      <c r="A905" s="5"/>
      <c r="B905" s="5"/>
      <c r="C905" s="4"/>
      <c r="D905" s="4"/>
      <c r="E905" s="5"/>
      <c r="F905" s="4"/>
      <c r="G905" s="6">
        <f>IF(AND(A905="",B905=""),"",IF(COUNTIFS($A$2:$A$2001,A905,$B$2:$B$2001,B905)&gt;1,"DUPLICADO","OK"))</f>
      </c>
      <c r="H905" s="6">
        <f>IF(COUNTA(A905:F905)=0,"",IF(AND(A905&lt;&gt;"",B905&lt;&gt;"",E905&lt;&gt;""),"OK","ERRO: faltam "&amp;IF(A905="","Conta; ","")&amp;IF(B905="","Oportunidade; ","")&amp;IF(E905="","Novo gerente; ","")))</f>
      </c>
      <c r="I905" s="6">
        <f>IF(COUNTA(A905:F905)=0,"",IF(AND(G905="OK",H905="OK"),"OK","REVISAR"))</f>
      </c>
    </row>
    <row r="906">
      <c r="A906" s="5"/>
      <c r="B906" s="5"/>
      <c r="C906" s="4"/>
      <c r="D906" s="4"/>
      <c r="E906" s="5"/>
      <c r="F906" s="4"/>
      <c r="G906" s="6">
        <f>IF(AND(A906="",B906=""),"",IF(COUNTIFS($A$2:$A$2001,A906,$B$2:$B$2001,B906)&gt;1,"DUPLICADO","OK"))</f>
      </c>
      <c r="H906" s="6">
        <f>IF(COUNTA(A906:F906)=0,"",IF(AND(A906&lt;&gt;"",B906&lt;&gt;"",E906&lt;&gt;""),"OK","ERRO: faltam "&amp;IF(A906="","Conta; ","")&amp;IF(B906="","Oportunidade; ","")&amp;IF(E906="","Novo gerente; ","")))</f>
      </c>
      <c r="I906" s="6">
        <f>IF(COUNTA(A906:F906)=0,"",IF(AND(G906="OK",H906="OK"),"OK","REVISAR"))</f>
      </c>
    </row>
    <row r="907">
      <c r="A907" s="5"/>
      <c r="B907" s="5"/>
      <c r="C907" s="4"/>
      <c r="D907" s="4"/>
      <c r="E907" s="5"/>
      <c r="F907" s="4"/>
      <c r="G907" s="6">
        <f>IF(AND(A907="",B907=""),"",IF(COUNTIFS($A$2:$A$2001,A907,$B$2:$B$2001,B907)&gt;1,"DUPLICADO","OK"))</f>
      </c>
      <c r="H907" s="6">
        <f>IF(COUNTA(A907:F907)=0,"",IF(AND(A907&lt;&gt;"",B907&lt;&gt;"",E907&lt;&gt;""),"OK","ERRO: faltam "&amp;IF(A907="","Conta; ","")&amp;IF(B907="","Oportunidade; ","")&amp;IF(E907="","Novo gerente; ","")))</f>
      </c>
      <c r="I907" s="6">
        <f>IF(COUNTA(A907:F907)=0,"",IF(AND(G907="OK",H907="OK"),"OK","REVISAR"))</f>
      </c>
    </row>
    <row r="908">
      <c r="A908" s="5"/>
      <c r="B908" s="5"/>
      <c r="C908" s="4"/>
      <c r="D908" s="4"/>
      <c r="E908" s="5"/>
      <c r="F908" s="4"/>
      <c r="G908" s="6">
        <f>IF(AND(A908="",B908=""),"",IF(COUNTIFS($A$2:$A$2001,A908,$B$2:$B$2001,B908)&gt;1,"DUPLICADO","OK"))</f>
      </c>
      <c r="H908" s="6">
        <f>IF(COUNTA(A908:F908)=0,"",IF(AND(A908&lt;&gt;"",B908&lt;&gt;"",E908&lt;&gt;""),"OK","ERRO: faltam "&amp;IF(A908="","Conta; ","")&amp;IF(B908="","Oportunidade; ","")&amp;IF(E908="","Novo gerente; ","")))</f>
      </c>
      <c r="I908" s="6">
        <f>IF(COUNTA(A908:F908)=0,"",IF(AND(G908="OK",H908="OK"),"OK","REVISAR"))</f>
      </c>
    </row>
    <row r="909">
      <c r="A909" s="5"/>
      <c r="B909" s="5"/>
      <c r="C909" s="4"/>
      <c r="D909" s="4"/>
      <c r="E909" s="5"/>
      <c r="F909" s="4"/>
      <c r="G909" s="6">
        <f>IF(AND(A909="",B909=""),"",IF(COUNTIFS($A$2:$A$2001,A909,$B$2:$B$2001,B909)&gt;1,"DUPLICADO","OK"))</f>
      </c>
      <c r="H909" s="6">
        <f>IF(COUNTA(A909:F909)=0,"",IF(AND(A909&lt;&gt;"",B909&lt;&gt;"",E909&lt;&gt;""),"OK","ERRO: faltam "&amp;IF(A909="","Conta; ","")&amp;IF(B909="","Oportunidade; ","")&amp;IF(E909="","Novo gerente; ","")))</f>
      </c>
      <c r="I909" s="6">
        <f>IF(COUNTA(A909:F909)=0,"",IF(AND(G909="OK",H909="OK"),"OK","REVISAR"))</f>
      </c>
    </row>
    <row r="910">
      <c r="A910" s="5"/>
      <c r="B910" s="5"/>
      <c r="C910" s="4"/>
      <c r="D910" s="4"/>
      <c r="E910" s="5"/>
      <c r="F910" s="4"/>
      <c r="G910" s="6">
        <f>IF(AND(A910="",B910=""),"",IF(COUNTIFS($A$2:$A$2001,A910,$B$2:$B$2001,B910)&gt;1,"DUPLICADO","OK"))</f>
      </c>
      <c r="H910" s="6">
        <f>IF(COUNTA(A910:F910)=0,"",IF(AND(A910&lt;&gt;"",B910&lt;&gt;"",E910&lt;&gt;""),"OK","ERRO: faltam "&amp;IF(A910="","Conta; ","")&amp;IF(B910="","Oportunidade; ","")&amp;IF(E910="","Novo gerente; ","")))</f>
      </c>
      <c r="I910" s="6">
        <f>IF(COUNTA(A910:F910)=0,"",IF(AND(G910="OK",H910="OK"),"OK","REVISAR"))</f>
      </c>
    </row>
    <row r="911">
      <c r="A911" s="5"/>
      <c r="B911" s="5"/>
      <c r="C911" s="4"/>
      <c r="D911" s="4"/>
      <c r="E911" s="5"/>
      <c r="F911" s="4"/>
      <c r="G911" s="6">
        <f>IF(AND(A911="",B911=""),"",IF(COUNTIFS($A$2:$A$2001,A911,$B$2:$B$2001,B911)&gt;1,"DUPLICADO","OK"))</f>
      </c>
      <c r="H911" s="6">
        <f>IF(COUNTA(A911:F911)=0,"",IF(AND(A911&lt;&gt;"",B911&lt;&gt;"",E911&lt;&gt;""),"OK","ERRO: faltam "&amp;IF(A911="","Conta; ","")&amp;IF(B911="","Oportunidade; ","")&amp;IF(E911="","Novo gerente; ","")))</f>
      </c>
      <c r="I911" s="6">
        <f>IF(COUNTA(A911:F911)=0,"",IF(AND(G911="OK",H911="OK"),"OK","REVISAR"))</f>
      </c>
    </row>
    <row r="912">
      <c r="A912" s="5"/>
      <c r="B912" s="5"/>
      <c r="C912" s="4"/>
      <c r="D912" s="4"/>
      <c r="E912" s="5"/>
      <c r="F912" s="4"/>
      <c r="G912" s="6">
        <f>IF(AND(A912="",B912=""),"",IF(COUNTIFS($A$2:$A$2001,A912,$B$2:$B$2001,B912)&gt;1,"DUPLICADO","OK"))</f>
      </c>
      <c r="H912" s="6">
        <f>IF(COUNTA(A912:F912)=0,"",IF(AND(A912&lt;&gt;"",B912&lt;&gt;"",E912&lt;&gt;""),"OK","ERRO: faltam "&amp;IF(A912="","Conta; ","")&amp;IF(B912="","Oportunidade; ","")&amp;IF(E912="","Novo gerente; ","")))</f>
      </c>
      <c r="I912" s="6">
        <f>IF(COUNTA(A912:F912)=0,"",IF(AND(G912="OK",H912="OK"),"OK","REVISAR"))</f>
      </c>
    </row>
    <row r="913">
      <c r="A913" s="5"/>
      <c r="B913" s="5"/>
      <c r="C913" s="4"/>
      <c r="D913" s="4"/>
      <c r="E913" s="5"/>
      <c r="F913" s="4"/>
      <c r="G913" s="6">
        <f>IF(AND(A913="",B913=""),"",IF(COUNTIFS($A$2:$A$2001,A913,$B$2:$B$2001,B913)&gt;1,"DUPLICADO","OK"))</f>
      </c>
      <c r="H913" s="6">
        <f>IF(COUNTA(A913:F913)=0,"",IF(AND(A913&lt;&gt;"",B913&lt;&gt;"",E913&lt;&gt;""),"OK","ERRO: faltam "&amp;IF(A913="","Conta; ","")&amp;IF(B913="","Oportunidade; ","")&amp;IF(E913="","Novo gerente; ","")))</f>
      </c>
      <c r="I913" s="6">
        <f>IF(COUNTA(A913:F913)=0,"",IF(AND(G913="OK",H913="OK"),"OK","REVISAR"))</f>
      </c>
    </row>
    <row r="914">
      <c r="A914" s="5"/>
      <c r="B914" s="5"/>
      <c r="C914" s="4"/>
      <c r="D914" s="4"/>
      <c r="E914" s="5"/>
      <c r="F914" s="4"/>
      <c r="G914" s="6">
        <f>IF(AND(A914="",B914=""),"",IF(COUNTIFS($A$2:$A$2001,A914,$B$2:$B$2001,B914)&gt;1,"DUPLICADO","OK"))</f>
      </c>
      <c r="H914" s="6">
        <f>IF(COUNTA(A914:F914)=0,"",IF(AND(A914&lt;&gt;"",B914&lt;&gt;"",E914&lt;&gt;""),"OK","ERRO: faltam "&amp;IF(A914="","Conta; ","")&amp;IF(B914="","Oportunidade; ","")&amp;IF(E914="","Novo gerente; ","")))</f>
      </c>
      <c r="I914" s="6">
        <f>IF(COUNTA(A914:F914)=0,"",IF(AND(G914="OK",H914="OK"),"OK","REVISAR"))</f>
      </c>
    </row>
    <row r="915">
      <c r="A915" s="5"/>
      <c r="B915" s="5"/>
      <c r="C915" s="4"/>
      <c r="D915" s="4"/>
      <c r="E915" s="5"/>
      <c r="F915" s="4"/>
      <c r="G915" s="6">
        <f>IF(AND(A915="",B915=""),"",IF(COUNTIFS($A$2:$A$2001,A915,$B$2:$B$2001,B915)&gt;1,"DUPLICADO","OK"))</f>
      </c>
      <c r="H915" s="6">
        <f>IF(COUNTA(A915:F915)=0,"",IF(AND(A915&lt;&gt;"",B915&lt;&gt;"",E915&lt;&gt;""),"OK","ERRO: faltam "&amp;IF(A915="","Conta; ","")&amp;IF(B915="","Oportunidade; ","")&amp;IF(E915="","Novo gerente; ","")))</f>
      </c>
      <c r="I915" s="6">
        <f>IF(COUNTA(A915:F915)=0,"",IF(AND(G915="OK",H915="OK"),"OK","REVISAR"))</f>
      </c>
    </row>
    <row r="916">
      <c r="A916" s="5"/>
      <c r="B916" s="5"/>
      <c r="C916" s="4"/>
      <c r="D916" s="4"/>
      <c r="E916" s="5"/>
      <c r="F916" s="4"/>
      <c r="G916" s="6">
        <f>IF(AND(A916="",B916=""),"",IF(COUNTIFS($A$2:$A$2001,A916,$B$2:$B$2001,B916)&gt;1,"DUPLICADO","OK"))</f>
      </c>
      <c r="H916" s="6">
        <f>IF(COUNTA(A916:F916)=0,"",IF(AND(A916&lt;&gt;"",B916&lt;&gt;"",E916&lt;&gt;""),"OK","ERRO: faltam "&amp;IF(A916="","Conta; ","")&amp;IF(B916="","Oportunidade; ","")&amp;IF(E916="","Novo gerente; ","")))</f>
      </c>
      <c r="I916" s="6">
        <f>IF(COUNTA(A916:F916)=0,"",IF(AND(G916="OK",H916="OK"),"OK","REVISAR"))</f>
      </c>
    </row>
    <row r="917">
      <c r="A917" s="5"/>
      <c r="B917" s="5"/>
      <c r="C917" s="4"/>
      <c r="D917" s="4"/>
      <c r="E917" s="5"/>
      <c r="F917" s="4"/>
      <c r="G917" s="6">
        <f>IF(AND(A917="",B917=""),"",IF(COUNTIFS($A$2:$A$2001,A917,$B$2:$B$2001,B917)&gt;1,"DUPLICADO","OK"))</f>
      </c>
      <c r="H917" s="6">
        <f>IF(COUNTA(A917:F917)=0,"",IF(AND(A917&lt;&gt;"",B917&lt;&gt;"",E917&lt;&gt;""),"OK","ERRO: faltam "&amp;IF(A917="","Conta; ","")&amp;IF(B917="","Oportunidade; ","")&amp;IF(E917="","Novo gerente; ","")))</f>
      </c>
      <c r="I917" s="6">
        <f>IF(COUNTA(A917:F917)=0,"",IF(AND(G917="OK",H917="OK"),"OK","REVISAR"))</f>
      </c>
    </row>
    <row r="918">
      <c r="A918" s="5"/>
      <c r="B918" s="5"/>
      <c r="C918" s="4"/>
      <c r="D918" s="4"/>
      <c r="E918" s="5"/>
      <c r="F918" s="4"/>
      <c r="G918" s="6">
        <f>IF(AND(A918="",B918=""),"",IF(COUNTIFS($A$2:$A$2001,A918,$B$2:$B$2001,B918)&gt;1,"DUPLICADO","OK"))</f>
      </c>
      <c r="H918" s="6">
        <f>IF(COUNTA(A918:F918)=0,"",IF(AND(A918&lt;&gt;"",B918&lt;&gt;"",E918&lt;&gt;""),"OK","ERRO: faltam "&amp;IF(A918="","Conta; ","")&amp;IF(B918="","Oportunidade; ","")&amp;IF(E918="","Novo gerente; ","")))</f>
      </c>
      <c r="I918" s="6">
        <f>IF(COUNTA(A918:F918)=0,"",IF(AND(G918="OK",H918="OK"),"OK","REVISAR"))</f>
      </c>
    </row>
    <row r="919">
      <c r="A919" s="5"/>
      <c r="B919" s="5"/>
      <c r="C919" s="4"/>
      <c r="D919" s="4"/>
      <c r="E919" s="5"/>
      <c r="F919" s="4"/>
      <c r="G919" s="6">
        <f>IF(AND(A919="",B919=""),"",IF(COUNTIFS($A$2:$A$2001,A919,$B$2:$B$2001,B919)&gt;1,"DUPLICADO","OK"))</f>
      </c>
      <c r="H919" s="6">
        <f>IF(COUNTA(A919:F919)=0,"",IF(AND(A919&lt;&gt;"",B919&lt;&gt;"",E919&lt;&gt;""),"OK","ERRO: faltam "&amp;IF(A919="","Conta; ","")&amp;IF(B919="","Oportunidade; ","")&amp;IF(E919="","Novo gerente; ","")))</f>
      </c>
      <c r="I919" s="6">
        <f>IF(COUNTA(A919:F919)=0,"",IF(AND(G919="OK",H919="OK"),"OK","REVISAR"))</f>
      </c>
    </row>
    <row r="920">
      <c r="A920" s="5"/>
      <c r="B920" s="5"/>
      <c r="C920" s="4"/>
      <c r="D920" s="4"/>
      <c r="E920" s="5"/>
      <c r="F920" s="4"/>
      <c r="G920" s="6">
        <f>IF(AND(A920="",B920=""),"",IF(COUNTIFS($A$2:$A$2001,A920,$B$2:$B$2001,B920)&gt;1,"DUPLICADO","OK"))</f>
      </c>
      <c r="H920" s="6">
        <f>IF(COUNTA(A920:F920)=0,"",IF(AND(A920&lt;&gt;"",B920&lt;&gt;"",E920&lt;&gt;""),"OK","ERRO: faltam "&amp;IF(A920="","Conta; ","")&amp;IF(B920="","Oportunidade; ","")&amp;IF(E920="","Novo gerente; ","")))</f>
      </c>
      <c r="I920" s="6">
        <f>IF(COUNTA(A920:F920)=0,"",IF(AND(G920="OK",H920="OK"),"OK","REVISAR"))</f>
      </c>
    </row>
    <row r="921">
      <c r="A921" s="5"/>
      <c r="B921" s="5"/>
      <c r="C921" s="4"/>
      <c r="D921" s="4"/>
      <c r="E921" s="5"/>
      <c r="F921" s="4"/>
      <c r="G921" s="6">
        <f>IF(AND(A921="",B921=""),"",IF(COUNTIFS($A$2:$A$2001,A921,$B$2:$B$2001,B921)&gt;1,"DUPLICADO","OK"))</f>
      </c>
      <c r="H921" s="6">
        <f>IF(COUNTA(A921:F921)=0,"",IF(AND(A921&lt;&gt;"",B921&lt;&gt;"",E921&lt;&gt;""),"OK","ERRO: faltam "&amp;IF(A921="","Conta; ","")&amp;IF(B921="","Oportunidade; ","")&amp;IF(E921="","Novo gerente; ","")))</f>
      </c>
      <c r="I921" s="6">
        <f>IF(COUNTA(A921:F921)=0,"",IF(AND(G921="OK",H921="OK"),"OK","REVISAR"))</f>
      </c>
    </row>
    <row r="922">
      <c r="A922" s="5"/>
      <c r="B922" s="5"/>
      <c r="C922" s="4"/>
      <c r="D922" s="4"/>
      <c r="E922" s="5"/>
      <c r="F922" s="4"/>
      <c r="G922" s="6">
        <f>IF(AND(A922="",B922=""),"",IF(COUNTIFS($A$2:$A$2001,A922,$B$2:$B$2001,B922)&gt;1,"DUPLICADO","OK"))</f>
      </c>
      <c r="H922" s="6">
        <f>IF(COUNTA(A922:F922)=0,"",IF(AND(A922&lt;&gt;"",B922&lt;&gt;"",E922&lt;&gt;""),"OK","ERRO: faltam "&amp;IF(A922="","Conta; ","")&amp;IF(B922="","Oportunidade; ","")&amp;IF(E922="","Novo gerente; ","")))</f>
      </c>
      <c r="I922" s="6">
        <f>IF(COUNTA(A922:F922)=0,"",IF(AND(G922="OK",H922="OK"),"OK","REVISAR"))</f>
      </c>
    </row>
    <row r="923">
      <c r="A923" s="5"/>
      <c r="B923" s="5"/>
      <c r="C923" s="4"/>
      <c r="D923" s="4"/>
      <c r="E923" s="5"/>
      <c r="F923" s="4"/>
      <c r="G923" s="6">
        <f>IF(AND(A923="",B923=""),"",IF(COUNTIFS($A$2:$A$2001,A923,$B$2:$B$2001,B923)&gt;1,"DUPLICADO","OK"))</f>
      </c>
      <c r="H923" s="6">
        <f>IF(COUNTA(A923:F923)=0,"",IF(AND(A923&lt;&gt;"",B923&lt;&gt;"",E923&lt;&gt;""),"OK","ERRO: faltam "&amp;IF(A923="","Conta; ","")&amp;IF(B923="","Oportunidade; ","")&amp;IF(E923="","Novo gerente; ","")))</f>
      </c>
      <c r="I923" s="6">
        <f>IF(COUNTA(A923:F923)=0,"",IF(AND(G923="OK",H923="OK"),"OK","REVISAR"))</f>
      </c>
    </row>
    <row r="924">
      <c r="A924" s="5"/>
      <c r="B924" s="5"/>
      <c r="C924" s="4"/>
      <c r="D924" s="4"/>
      <c r="E924" s="5"/>
      <c r="F924" s="4"/>
      <c r="G924" s="6">
        <f>IF(AND(A924="",B924=""),"",IF(COUNTIFS($A$2:$A$2001,A924,$B$2:$B$2001,B924)&gt;1,"DUPLICADO","OK"))</f>
      </c>
      <c r="H924" s="6">
        <f>IF(COUNTA(A924:F924)=0,"",IF(AND(A924&lt;&gt;"",B924&lt;&gt;"",E924&lt;&gt;""),"OK","ERRO: faltam "&amp;IF(A924="","Conta; ","")&amp;IF(B924="","Oportunidade; ","")&amp;IF(E924="","Novo gerente; ","")))</f>
      </c>
      <c r="I924" s="6">
        <f>IF(COUNTA(A924:F924)=0,"",IF(AND(G924="OK",H924="OK"),"OK","REVISAR"))</f>
      </c>
    </row>
    <row r="925">
      <c r="A925" s="5"/>
      <c r="B925" s="5"/>
      <c r="C925" s="4"/>
      <c r="D925" s="4"/>
      <c r="E925" s="5"/>
      <c r="F925" s="4"/>
      <c r="G925" s="6">
        <f>IF(AND(A925="",B925=""),"",IF(COUNTIFS($A$2:$A$2001,A925,$B$2:$B$2001,B925)&gt;1,"DUPLICADO","OK"))</f>
      </c>
      <c r="H925" s="6">
        <f>IF(COUNTA(A925:F925)=0,"",IF(AND(A925&lt;&gt;"",B925&lt;&gt;"",E925&lt;&gt;""),"OK","ERRO: faltam "&amp;IF(A925="","Conta; ","")&amp;IF(B925="","Oportunidade; ","")&amp;IF(E925="","Novo gerente; ","")))</f>
      </c>
      <c r="I925" s="6">
        <f>IF(COUNTA(A925:F925)=0,"",IF(AND(G925="OK",H925="OK"),"OK","REVISAR"))</f>
      </c>
    </row>
    <row r="926">
      <c r="A926" s="5"/>
      <c r="B926" s="5"/>
      <c r="C926" s="4"/>
      <c r="D926" s="4"/>
      <c r="E926" s="5"/>
      <c r="F926" s="4"/>
      <c r="G926" s="6">
        <f>IF(AND(A926="",B926=""),"",IF(COUNTIFS($A$2:$A$2001,A926,$B$2:$B$2001,B926)&gt;1,"DUPLICADO","OK"))</f>
      </c>
      <c r="H926" s="6">
        <f>IF(COUNTA(A926:F926)=0,"",IF(AND(A926&lt;&gt;"",B926&lt;&gt;"",E926&lt;&gt;""),"OK","ERRO: faltam "&amp;IF(A926="","Conta; ","")&amp;IF(B926="","Oportunidade; ","")&amp;IF(E926="","Novo gerente; ","")))</f>
      </c>
      <c r="I926" s="6">
        <f>IF(COUNTA(A926:F926)=0,"",IF(AND(G926="OK",H926="OK"),"OK","REVISAR"))</f>
      </c>
    </row>
    <row r="927">
      <c r="A927" s="5"/>
      <c r="B927" s="5"/>
      <c r="C927" s="4"/>
      <c r="D927" s="4"/>
      <c r="E927" s="5"/>
      <c r="F927" s="4"/>
      <c r="G927" s="6">
        <f>IF(AND(A927="",B927=""),"",IF(COUNTIFS($A$2:$A$2001,A927,$B$2:$B$2001,B927)&gt;1,"DUPLICADO","OK"))</f>
      </c>
      <c r="H927" s="6">
        <f>IF(COUNTA(A927:F927)=0,"",IF(AND(A927&lt;&gt;"",B927&lt;&gt;"",E927&lt;&gt;""),"OK","ERRO: faltam "&amp;IF(A927="","Conta; ","")&amp;IF(B927="","Oportunidade; ","")&amp;IF(E927="","Novo gerente; ","")))</f>
      </c>
      <c r="I927" s="6">
        <f>IF(COUNTA(A927:F927)=0,"",IF(AND(G927="OK",H927="OK"),"OK","REVISAR"))</f>
      </c>
    </row>
    <row r="928">
      <c r="A928" s="5"/>
      <c r="B928" s="5"/>
      <c r="C928" s="4"/>
      <c r="D928" s="4"/>
      <c r="E928" s="5"/>
      <c r="F928" s="4"/>
      <c r="G928" s="6">
        <f>IF(AND(A928="",B928=""),"",IF(COUNTIFS($A$2:$A$2001,A928,$B$2:$B$2001,B928)&gt;1,"DUPLICADO","OK"))</f>
      </c>
      <c r="H928" s="6">
        <f>IF(COUNTA(A928:F928)=0,"",IF(AND(A928&lt;&gt;"",B928&lt;&gt;"",E928&lt;&gt;""),"OK","ERRO: faltam "&amp;IF(A928="","Conta; ","")&amp;IF(B928="","Oportunidade; ","")&amp;IF(E928="","Novo gerente; ","")))</f>
      </c>
      <c r="I928" s="6">
        <f>IF(COUNTA(A928:F928)=0,"",IF(AND(G928="OK",H928="OK"),"OK","REVISAR"))</f>
      </c>
    </row>
    <row r="929">
      <c r="A929" s="5"/>
      <c r="B929" s="5"/>
      <c r="C929" s="4"/>
      <c r="D929" s="4"/>
      <c r="E929" s="5"/>
      <c r="F929" s="4"/>
      <c r="G929" s="6">
        <f>IF(AND(A929="",B929=""),"",IF(COUNTIFS($A$2:$A$2001,A929,$B$2:$B$2001,B929)&gt;1,"DUPLICADO","OK"))</f>
      </c>
      <c r="H929" s="6">
        <f>IF(COUNTA(A929:F929)=0,"",IF(AND(A929&lt;&gt;"",B929&lt;&gt;"",E929&lt;&gt;""),"OK","ERRO: faltam "&amp;IF(A929="","Conta; ","")&amp;IF(B929="","Oportunidade; ","")&amp;IF(E929="","Novo gerente; ","")))</f>
      </c>
      <c r="I929" s="6">
        <f>IF(COUNTA(A929:F929)=0,"",IF(AND(G929="OK",H929="OK"),"OK","REVISAR"))</f>
      </c>
    </row>
    <row r="930">
      <c r="A930" s="5"/>
      <c r="B930" s="5"/>
      <c r="C930" s="4"/>
      <c r="D930" s="4"/>
      <c r="E930" s="5"/>
      <c r="F930" s="4"/>
      <c r="G930" s="6">
        <f>IF(AND(A930="",B930=""),"",IF(COUNTIFS($A$2:$A$2001,A930,$B$2:$B$2001,B930)&gt;1,"DUPLICADO","OK"))</f>
      </c>
      <c r="H930" s="6">
        <f>IF(COUNTA(A930:F930)=0,"",IF(AND(A930&lt;&gt;"",B930&lt;&gt;"",E930&lt;&gt;""),"OK","ERRO: faltam "&amp;IF(A930="","Conta; ","")&amp;IF(B930="","Oportunidade; ","")&amp;IF(E930="","Novo gerente; ","")))</f>
      </c>
      <c r="I930" s="6">
        <f>IF(COUNTA(A930:F930)=0,"",IF(AND(G930="OK",H930="OK"),"OK","REVISAR"))</f>
      </c>
    </row>
    <row r="931">
      <c r="A931" s="5"/>
      <c r="B931" s="5"/>
      <c r="C931" s="4"/>
      <c r="D931" s="4"/>
      <c r="E931" s="5"/>
      <c r="F931" s="4"/>
      <c r="G931" s="6">
        <f>IF(AND(A931="",B931=""),"",IF(COUNTIFS($A$2:$A$2001,A931,$B$2:$B$2001,B931)&gt;1,"DUPLICADO","OK"))</f>
      </c>
      <c r="H931" s="6">
        <f>IF(COUNTA(A931:F931)=0,"",IF(AND(A931&lt;&gt;"",B931&lt;&gt;"",E931&lt;&gt;""),"OK","ERRO: faltam "&amp;IF(A931="","Conta; ","")&amp;IF(B931="","Oportunidade; ","")&amp;IF(E931="","Novo gerente; ","")))</f>
      </c>
      <c r="I931" s="6">
        <f>IF(COUNTA(A931:F931)=0,"",IF(AND(G931="OK",H931="OK"),"OK","REVISAR"))</f>
      </c>
    </row>
    <row r="932">
      <c r="A932" s="5"/>
      <c r="B932" s="5"/>
      <c r="C932" s="4"/>
      <c r="D932" s="4"/>
      <c r="E932" s="5"/>
      <c r="F932" s="4"/>
      <c r="G932" s="6">
        <f>IF(AND(A932="",B932=""),"",IF(COUNTIFS($A$2:$A$2001,A932,$B$2:$B$2001,B932)&gt;1,"DUPLICADO","OK"))</f>
      </c>
      <c r="H932" s="6">
        <f>IF(COUNTA(A932:F932)=0,"",IF(AND(A932&lt;&gt;"",B932&lt;&gt;"",E932&lt;&gt;""),"OK","ERRO: faltam "&amp;IF(A932="","Conta; ","")&amp;IF(B932="","Oportunidade; ","")&amp;IF(E932="","Novo gerente; ","")))</f>
      </c>
      <c r="I932" s="6">
        <f>IF(COUNTA(A932:F932)=0,"",IF(AND(G932="OK",H932="OK"),"OK","REVISAR"))</f>
      </c>
    </row>
    <row r="933">
      <c r="A933" s="5"/>
      <c r="B933" s="5"/>
      <c r="C933" s="4"/>
      <c r="D933" s="4"/>
      <c r="E933" s="5"/>
      <c r="F933" s="4"/>
      <c r="G933" s="6">
        <f>IF(AND(A933="",B933=""),"",IF(COUNTIFS($A$2:$A$2001,A933,$B$2:$B$2001,B933)&gt;1,"DUPLICADO","OK"))</f>
      </c>
      <c r="H933" s="6">
        <f>IF(COUNTA(A933:F933)=0,"",IF(AND(A933&lt;&gt;"",B933&lt;&gt;"",E933&lt;&gt;""),"OK","ERRO: faltam "&amp;IF(A933="","Conta; ","")&amp;IF(B933="","Oportunidade; ","")&amp;IF(E933="","Novo gerente; ","")))</f>
      </c>
      <c r="I933" s="6">
        <f>IF(COUNTA(A933:F933)=0,"",IF(AND(G933="OK",H933="OK"),"OK","REVISAR"))</f>
      </c>
    </row>
    <row r="934">
      <c r="A934" s="5"/>
      <c r="B934" s="5"/>
      <c r="C934" s="4"/>
      <c r="D934" s="4"/>
      <c r="E934" s="5"/>
      <c r="F934" s="4"/>
      <c r="G934" s="6">
        <f>IF(AND(A934="",B934=""),"",IF(COUNTIFS($A$2:$A$2001,A934,$B$2:$B$2001,B934)&gt;1,"DUPLICADO","OK"))</f>
      </c>
      <c r="H934" s="6">
        <f>IF(COUNTA(A934:F934)=0,"",IF(AND(A934&lt;&gt;"",B934&lt;&gt;"",E934&lt;&gt;""),"OK","ERRO: faltam "&amp;IF(A934="","Conta; ","")&amp;IF(B934="","Oportunidade; ","")&amp;IF(E934="","Novo gerente; ","")))</f>
      </c>
      <c r="I934" s="6">
        <f>IF(COUNTA(A934:F934)=0,"",IF(AND(G934="OK",H934="OK"),"OK","REVISAR"))</f>
      </c>
    </row>
    <row r="935">
      <c r="A935" s="5"/>
      <c r="B935" s="5"/>
      <c r="C935" s="4"/>
      <c r="D935" s="4"/>
      <c r="E935" s="5"/>
      <c r="F935" s="4"/>
      <c r="G935" s="6">
        <f>IF(AND(A935="",B935=""),"",IF(COUNTIFS($A$2:$A$2001,A935,$B$2:$B$2001,B935)&gt;1,"DUPLICADO","OK"))</f>
      </c>
      <c r="H935" s="6">
        <f>IF(COUNTA(A935:F935)=0,"",IF(AND(A935&lt;&gt;"",B935&lt;&gt;"",E935&lt;&gt;""),"OK","ERRO: faltam "&amp;IF(A935="","Conta; ","")&amp;IF(B935="","Oportunidade; ","")&amp;IF(E935="","Novo gerente; ","")))</f>
      </c>
      <c r="I935" s="6">
        <f>IF(COUNTA(A935:F935)=0,"",IF(AND(G935="OK",H935="OK"),"OK","REVISAR"))</f>
      </c>
    </row>
    <row r="936">
      <c r="A936" s="5"/>
      <c r="B936" s="5"/>
      <c r="C936" s="4"/>
      <c r="D936" s="4"/>
      <c r="E936" s="5"/>
      <c r="F936" s="4"/>
      <c r="G936" s="6">
        <f>IF(AND(A936="",B936=""),"",IF(COUNTIFS($A$2:$A$2001,A936,$B$2:$B$2001,B936)&gt;1,"DUPLICADO","OK"))</f>
      </c>
      <c r="H936" s="6">
        <f>IF(COUNTA(A936:F936)=0,"",IF(AND(A936&lt;&gt;"",B936&lt;&gt;"",E936&lt;&gt;""),"OK","ERRO: faltam "&amp;IF(A936="","Conta; ","")&amp;IF(B936="","Oportunidade; ","")&amp;IF(E936="","Novo gerente; ","")))</f>
      </c>
      <c r="I936" s="6">
        <f>IF(COUNTA(A936:F936)=0,"",IF(AND(G936="OK",H936="OK"),"OK","REVISAR"))</f>
      </c>
    </row>
    <row r="937">
      <c r="A937" s="5"/>
      <c r="B937" s="5"/>
      <c r="C937" s="4"/>
      <c r="D937" s="4"/>
      <c r="E937" s="5"/>
      <c r="F937" s="4"/>
      <c r="G937" s="6">
        <f>IF(AND(A937="",B937=""),"",IF(COUNTIFS($A$2:$A$2001,A937,$B$2:$B$2001,B937)&gt;1,"DUPLICADO","OK"))</f>
      </c>
      <c r="H937" s="6">
        <f>IF(COUNTA(A937:F937)=0,"",IF(AND(A937&lt;&gt;"",B937&lt;&gt;"",E937&lt;&gt;""),"OK","ERRO: faltam "&amp;IF(A937="","Conta; ","")&amp;IF(B937="","Oportunidade; ","")&amp;IF(E937="","Novo gerente; ","")))</f>
      </c>
      <c r="I937" s="6">
        <f>IF(COUNTA(A937:F937)=0,"",IF(AND(G937="OK",H937="OK"),"OK","REVISAR"))</f>
      </c>
    </row>
    <row r="938">
      <c r="A938" s="5"/>
      <c r="B938" s="5"/>
      <c r="C938" s="4"/>
      <c r="D938" s="4"/>
      <c r="E938" s="5"/>
      <c r="F938" s="4"/>
      <c r="G938" s="6">
        <f>IF(AND(A938="",B938=""),"",IF(COUNTIFS($A$2:$A$2001,A938,$B$2:$B$2001,B938)&gt;1,"DUPLICADO","OK"))</f>
      </c>
      <c r="H938" s="6">
        <f>IF(COUNTA(A938:F938)=0,"",IF(AND(A938&lt;&gt;"",B938&lt;&gt;"",E938&lt;&gt;""),"OK","ERRO: faltam "&amp;IF(A938="","Conta; ","")&amp;IF(B938="","Oportunidade; ","")&amp;IF(E938="","Novo gerente; ","")))</f>
      </c>
      <c r="I938" s="6">
        <f>IF(COUNTA(A938:F938)=0,"",IF(AND(G938="OK",H938="OK"),"OK","REVISAR"))</f>
      </c>
    </row>
    <row r="939">
      <c r="A939" s="5"/>
      <c r="B939" s="5"/>
      <c r="C939" s="4"/>
      <c r="D939" s="4"/>
      <c r="E939" s="5"/>
      <c r="F939" s="4"/>
      <c r="G939" s="6">
        <f>IF(AND(A939="",B939=""),"",IF(COUNTIFS($A$2:$A$2001,A939,$B$2:$B$2001,B939)&gt;1,"DUPLICADO","OK"))</f>
      </c>
      <c r="H939" s="6">
        <f>IF(COUNTA(A939:F939)=0,"",IF(AND(A939&lt;&gt;"",B939&lt;&gt;"",E939&lt;&gt;""),"OK","ERRO: faltam "&amp;IF(A939="","Conta; ","")&amp;IF(B939="","Oportunidade; ","")&amp;IF(E939="","Novo gerente; ","")))</f>
      </c>
      <c r="I939" s="6">
        <f>IF(COUNTA(A939:F939)=0,"",IF(AND(G939="OK",H939="OK"),"OK","REVISAR"))</f>
      </c>
    </row>
    <row r="940">
      <c r="A940" s="5"/>
      <c r="B940" s="5"/>
      <c r="C940" s="4"/>
      <c r="D940" s="4"/>
      <c r="E940" s="5"/>
      <c r="F940" s="4"/>
      <c r="G940" s="6">
        <f>IF(AND(A940="",B940=""),"",IF(COUNTIFS($A$2:$A$2001,A940,$B$2:$B$2001,B940)&gt;1,"DUPLICADO","OK"))</f>
      </c>
      <c r="H940" s="6">
        <f>IF(COUNTA(A940:F940)=0,"",IF(AND(A940&lt;&gt;"",B940&lt;&gt;"",E940&lt;&gt;""),"OK","ERRO: faltam "&amp;IF(A940="","Conta; ","")&amp;IF(B940="","Oportunidade; ","")&amp;IF(E940="","Novo gerente; ","")))</f>
      </c>
      <c r="I940" s="6">
        <f>IF(COUNTA(A940:F940)=0,"",IF(AND(G940="OK",H940="OK"),"OK","REVISAR"))</f>
      </c>
    </row>
    <row r="941">
      <c r="A941" s="5"/>
      <c r="B941" s="5"/>
      <c r="C941" s="4"/>
      <c r="D941" s="4"/>
      <c r="E941" s="5"/>
      <c r="F941" s="4"/>
      <c r="G941" s="6">
        <f>IF(AND(A941="",B941=""),"",IF(COUNTIFS($A$2:$A$2001,A941,$B$2:$B$2001,B941)&gt;1,"DUPLICADO","OK"))</f>
      </c>
      <c r="H941" s="6">
        <f>IF(COUNTA(A941:F941)=0,"",IF(AND(A941&lt;&gt;"",B941&lt;&gt;"",E941&lt;&gt;""),"OK","ERRO: faltam "&amp;IF(A941="","Conta; ","")&amp;IF(B941="","Oportunidade; ","")&amp;IF(E941="","Novo gerente; ","")))</f>
      </c>
      <c r="I941" s="6">
        <f>IF(COUNTA(A941:F941)=0,"",IF(AND(G941="OK",H941="OK"),"OK","REVISAR"))</f>
      </c>
    </row>
    <row r="942">
      <c r="A942" s="5"/>
      <c r="B942" s="5"/>
      <c r="C942" s="4"/>
      <c r="D942" s="4"/>
      <c r="E942" s="5"/>
      <c r="F942" s="4"/>
      <c r="G942" s="6">
        <f>IF(AND(A942="",B942=""),"",IF(COUNTIFS($A$2:$A$2001,A942,$B$2:$B$2001,B942)&gt;1,"DUPLICADO","OK"))</f>
      </c>
      <c r="H942" s="6">
        <f>IF(COUNTA(A942:F942)=0,"",IF(AND(A942&lt;&gt;"",B942&lt;&gt;"",E942&lt;&gt;""),"OK","ERRO: faltam "&amp;IF(A942="","Conta; ","")&amp;IF(B942="","Oportunidade; ","")&amp;IF(E942="","Novo gerente; ","")))</f>
      </c>
      <c r="I942" s="6">
        <f>IF(COUNTA(A942:F942)=0,"",IF(AND(G942="OK",H942="OK"),"OK","REVISAR"))</f>
      </c>
    </row>
    <row r="943">
      <c r="A943" s="5"/>
      <c r="B943" s="5"/>
      <c r="C943" s="4"/>
      <c r="D943" s="4"/>
      <c r="E943" s="5"/>
      <c r="F943" s="4"/>
      <c r="G943" s="6">
        <f>IF(AND(A943="",B943=""),"",IF(COUNTIFS($A$2:$A$2001,A943,$B$2:$B$2001,B943)&gt;1,"DUPLICADO","OK"))</f>
      </c>
      <c r="H943" s="6">
        <f>IF(COUNTA(A943:F943)=0,"",IF(AND(A943&lt;&gt;"",B943&lt;&gt;"",E943&lt;&gt;""),"OK","ERRO: faltam "&amp;IF(A943="","Conta; ","")&amp;IF(B943="","Oportunidade; ","")&amp;IF(E943="","Novo gerente; ","")))</f>
      </c>
      <c r="I943" s="6">
        <f>IF(COUNTA(A943:F943)=0,"",IF(AND(G943="OK",H943="OK"),"OK","REVISAR"))</f>
      </c>
    </row>
    <row r="944">
      <c r="A944" s="5"/>
      <c r="B944" s="5"/>
      <c r="C944" s="4"/>
      <c r="D944" s="4"/>
      <c r="E944" s="5"/>
      <c r="F944" s="4"/>
      <c r="G944" s="6">
        <f>IF(AND(A944="",B944=""),"",IF(COUNTIFS($A$2:$A$2001,A944,$B$2:$B$2001,B944)&gt;1,"DUPLICADO","OK"))</f>
      </c>
      <c r="H944" s="6">
        <f>IF(COUNTA(A944:F944)=0,"",IF(AND(A944&lt;&gt;"",B944&lt;&gt;"",E944&lt;&gt;""),"OK","ERRO: faltam "&amp;IF(A944="","Conta; ","")&amp;IF(B944="","Oportunidade; ","")&amp;IF(E944="","Novo gerente; ","")))</f>
      </c>
      <c r="I944" s="6">
        <f>IF(COUNTA(A944:F944)=0,"",IF(AND(G944="OK",H944="OK"),"OK","REVISAR"))</f>
      </c>
    </row>
    <row r="945">
      <c r="A945" s="5"/>
      <c r="B945" s="5"/>
      <c r="C945" s="4"/>
      <c r="D945" s="4"/>
      <c r="E945" s="5"/>
      <c r="F945" s="4"/>
      <c r="G945" s="6">
        <f>IF(AND(A945="",B945=""),"",IF(COUNTIFS($A$2:$A$2001,A945,$B$2:$B$2001,B945)&gt;1,"DUPLICADO","OK"))</f>
      </c>
      <c r="H945" s="6">
        <f>IF(COUNTA(A945:F945)=0,"",IF(AND(A945&lt;&gt;"",B945&lt;&gt;"",E945&lt;&gt;""),"OK","ERRO: faltam "&amp;IF(A945="","Conta; ","")&amp;IF(B945="","Oportunidade; ","")&amp;IF(E945="","Novo gerente; ","")))</f>
      </c>
      <c r="I945" s="6">
        <f>IF(COUNTA(A945:F945)=0,"",IF(AND(G945="OK",H945="OK"),"OK","REVISAR"))</f>
      </c>
    </row>
    <row r="946">
      <c r="A946" s="5"/>
      <c r="B946" s="5"/>
      <c r="C946" s="4"/>
      <c r="D946" s="4"/>
      <c r="E946" s="5"/>
      <c r="F946" s="4"/>
      <c r="G946" s="6">
        <f>IF(AND(A946="",B946=""),"",IF(COUNTIFS($A$2:$A$2001,A946,$B$2:$B$2001,B946)&gt;1,"DUPLICADO","OK"))</f>
      </c>
      <c r="H946" s="6">
        <f>IF(COUNTA(A946:F946)=0,"",IF(AND(A946&lt;&gt;"",B946&lt;&gt;"",E946&lt;&gt;""),"OK","ERRO: faltam "&amp;IF(A946="","Conta; ","")&amp;IF(B946="","Oportunidade; ","")&amp;IF(E946="","Novo gerente; ","")))</f>
      </c>
      <c r="I946" s="6">
        <f>IF(COUNTA(A946:F946)=0,"",IF(AND(G946="OK",H946="OK"),"OK","REVISAR"))</f>
      </c>
    </row>
    <row r="947">
      <c r="A947" s="5"/>
      <c r="B947" s="5"/>
      <c r="C947" s="4"/>
      <c r="D947" s="4"/>
      <c r="E947" s="5"/>
      <c r="F947" s="4"/>
      <c r="G947" s="6">
        <f>IF(AND(A947="",B947=""),"",IF(COUNTIFS($A$2:$A$2001,A947,$B$2:$B$2001,B947)&gt;1,"DUPLICADO","OK"))</f>
      </c>
      <c r="H947" s="6">
        <f>IF(COUNTA(A947:F947)=0,"",IF(AND(A947&lt;&gt;"",B947&lt;&gt;"",E947&lt;&gt;""),"OK","ERRO: faltam "&amp;IF(A947="","Conta; ","")&amp;IF(B947="","Oportunidade; ","")&amp;IF(E947="","Novo gerente; ","")))</f>
      </c>
      <c r="I947" s="6">
        <f>IF(COUNTA(A947:F947)=0,"",IF(AND(G947="OK",H947="OK"),"OK","REVISAR"))</f>
      </c>
    </row>
    <row r="948">
      <c r="A948" s="5"/>
      <c r="B948" s="5"/>
      <c r="C948" s="4"/>
      <c r="D948" s="4"/>
      <c r="E948" s="5"/>
      <c r="F948" s="4"/>
      <c r="G948" s="6">
        <f>IF(AND(A948="",B948=""),"",IF(COUNTIFS($A$2:$A$2001,A948,$B$2:$B$2001,B948)&gt;1,"DUPLICADO","OK"))</f>
      </c>
      <c r="H948" s="6">
        <f>IF(COUNTA(A948:F948)=0,"",IF(AND(A948&lt;&gt;"",B948&lt;&gt;"",E948&lt;&gt;""),"OK","ERRO: faltam "&amp;IF(A948="","Conta; ","")&amp;IF(B948="","Oportunidade; ","")&amp;IF(E948="","Novo gerente; ","")))</f>
      </c>
      <c r="I948" s="6">
        <f>IF(COUNTA(A948:F948)=0,"",IF(AND(G948="OK",H948="OK"),"OK","REVISAR"))</f>
      </c>
    </row>
    <row r="949">
      <c r="A949" s="5"/>
      <c r="B949" s="5"/>
      <c r="C949" s="4"/>
      <c r="D949" s="4"/>
      <c r="E949" s="5"/>
      <c r="F949" s="4"/>
      <c r="G949" s="6">
        <f>IF(AND(A949="",B949=""),"",IF(COUNTIFS($A$2:$A$2001,A949,$B$2:$B$2001,B949)&gt;1,"DUPLICADO","OK"))</f>
      </c>
      <c r="H949" s="6">
        <f>IF(COUNTA(A949:F949)=0,"",IF(AND(A949&lt;&gt;"",B949&lt;&gt;"",E949&lt;&gt;""),"OK","ERRO: faltam "&amp;IF(A949="","Conta; ","")&amp;IF(B949="","Oportunidade; ","")&amp;IF(E949="","Novo gerente; ","")))</f>
      </c>
      <c r="I949" s="6">
        <f>IF(COUNTA(A949:F949)=0,"",IF(AND(G949="OK",H949="OK"),"OK","REVISAR"))</f>
      </c>
    </row>
    <row r="950">
      <c r="A950" s="5"/>
      <c r="B950" s="5"/>
      <c r="C950" s="4"/>
      <c r="D950" s="4"/>
      <c r="E950" s="5"/>
      <c r="F950" s="4"/>
      <c r="G950" s="6">
        <f>IF(AND(A950="",B950=""),"",IF(COUNTIFS($A$2:$A$2001,A950,$B$2:$B$2001,B950)&gt;1,"DUPLICADO","OK"))</f>
      </c>
      <c r="H950" s="6">
        <f>IF(COUNTA(A950:F950)=0,"",IF(AND(A950&lt;&gt;"",B950&lt;&gt;"",E950&lt;&gt;""),"OK","ERRO: faltam "&amp;IF(A950="","Conta; ","")&amp;IF(B950="","Oportunidade; ","")&amp;IF(E950="","Novo gerente; ","")))</f>
      </c>
      <c r="I950" s="6">
        <f>IF(COUNTA(A950:F950)=0,"",IF(AND(G950="OK",H950="OK"),"OK","REVISAR"))</f>
      </c>
    </row>
    <row r="951">
      <c r="A951" s="5"/>
      <c r="B951" s="5"/>
      <c r="C951" s="4"/>
      <c r="D951" s="4"/>
      <c r="E951" s="5"/>
      <c r="F951" s="4"/>
      <c r="G951" s="6">
        <f>IF(AND(A951="",B951=""),"",IF(COUNTIFS($A$2:$A$2001,A951,$B$2:$B$2001,B951)&gt;1,"DUPLICADO","OK"))</f>
      </c>
      <c r="H951" s="6">
        <f>IF(COUNTA(A951:F951)=0,"",IF(AND(A951&lt;&gt;"",B951&lt;&gt;"",E951&lt;&gt;""),"OK","ERRO: faltam "&amp;IF(A951="","Conta; ","")&amp;IF(B951="","Oportunidade; ","")&amp;IF(E951="","Novo gerente; ","")))</f>
      </c>
      <c r="I951" s="6">
        <f>IF(COUNTA(A951:F951)=0,"",IF(AND(G951="OK",H951="OK"),"OK","REVISAR"))</f>
      </c>
    </row>
    <row r="952">
      <c r="A952" s="5"/>
      <c r="B952" s="5"/>
      <c r="C952" s="4"/>
      <c r="D952" s="4"/>
      <c r="E952" s="5"/>
      <c r="F952" s="4"/>
      <c r="G952" s="6">
        <f>IF(AND(A952="",B952=""),"",IF(COUNTIFS($A$2:$A$2001,A952,$B$2:$B$2001,B952)&gt;1,"DUPLICADO","OK"))</f>
      </c>
      <c r="H952" s="6">
        <f>IF(COUNTA(A952:F952)=0,"",IF(AND(A952&lt;&gt;"",B952&lt;&gt;"",E952&lt;&gt;""),"OK","ERRO: faltam "&amp;IF(A952="","Conta; ","")&amp;IF(B952="","Oportunidade; ","")&amp;IF(E952="","Novo gerente; ","")))</f>
      </c>
      <c r="I952" s="6">
        <f>IF(COUNTA(A952:F952)=0,"",IF(AND(G952="OK",H952="OK"),"OK","REVISAR"))</f>
      </c>
    </row>
    <row r="953">
      <c r="A953" s="5"/>
      <c r="B953" s="5"/>
      <c r="C953" s="4"/>
      <c r="D953" s="4"/>
      <c r="E953" s="5"/>
      <c r="F953" s="4"/>
      <c r="G953" s="6">
        <f>IF(AND(A953="",B953=""),"",IF(COUNTIFS($A$2:$A$2001,A953,$B$2:$B$2001,B953)&gt;1,"DUPLICADO","OK"))</f>
      </c>
      <c r="H953" s="6">
        <f>IF(COUNTA(A953:F953)=0,"",IF(AND(A953&lt;&gt;"",B953&lt;&gt;"",E953&lt;&gt;""),"OK","ERRO: faltam "&amp;IF(A953="","Conta; ","")&amp;IF(B953="","Oportunidade; ","")&amp;IF(E953="","Novo gerente; ","")))</f>
      </c>
      <c r="I953" s="6">
        <f>IF(COUNTA(A953:F953)=0,"",IF(AND(G953="OK",H953="OK"),"OK","REVISAR"))</f>
      </c>
    </row>
    <row r="954">
      <c r="A954" s="5"/>
      <c r="B954" s="5"/>
      <c r="C954" s="4"/>
      <c r="D954" s="4"/>
      <c r="E954" s="5"/>
      <c r="F954" s="4"/>
      <c r="G954" s="6">
        <f>IF(AND(A954="",B954=""),"",IF(COUNTIFS($A$2:$A$2001,A954,$B$2:$B$2001,B954)&gt;1,"DUPLICADO","OK"))</f>
      </c>
      <c r="H954" s="6">
        <f>IF(COUNTA(A954:F954)=0,"",IF(AND(A954&lt;&gt;"",B954&lt;&gt;"",E954&lt;&gt;""),"OK","ERRO: faltam "&amp;IF(A954="","Conta; ","")&amp;IF(B954="","Oportunidade; ","")&amp;IF(E954="","Novo gerente; ","")))</f>
      </c>
      <c r="I954" s="6">
        <f>IF(COUNTA(A954:F954)=0,"",IF(AND(G954="OK",H954="OK"),"OK","REVISAR"))</f>
      </c>
    </row>
    <row r="955">
      <c r="A955" s="5"/>
      <c r="B955" s="5"/>
      <c r="C955" s="4"/>
      <c r="D955" s="4"/>
      <c r="E955" s="5"/>
      <c r="F955" s="4"/>
      <c r="G955" s="6">
        <f>IF(AND(A955="",B955=""),"",IF(COUNTIFS($A$2:$A$2001,A955,$B$2:$B$2001,B955)&gt;1,"DUPLICADO","OK"))</f>
      </c>
      <c r="H955" s="6">
        <f>IF(COUNTA(A955:F955)=0,"",IF(AND(A955&lt;&gt;"",B955&lt;&gt;"",E955&lt;&gt;""),"OK","ERRO: faltam "&amp;IF(A955="","Conta; ","")&amp;IF(B955="","Oportunidade; ","")&amp;IF(E955="","Novo gerente; ","")))</f>
      </c>
      <c r="I955" s="6">
        <f>IF(COUNTA(A955:F955)=0,"",IF(AND(G955="OK",H955="OK"),"OK","REVISAR"))</f>
      </c>
    </row>
    <row r="956">
      <c r="A956" s="5"/>
      <c r="B956" s="5"/>
      <c r="C956" s="4"/>
      <c r="D956" s="4"/>
      <c r="E956" s="5"/>
      <c r="F956" s="4"/>
      <c r="G956" s="6">
        <f>IF(AND(A956="",B956=""),"",IF(COUNTIFS($A$2:$A$2001,A956,$B$2:$B$2001,B956)&gt;1,"DUPLICADO","OK"))</f>
      </c>
      <c r="H956" s="6">
        <f>IF(COUNTA(A956:F956)=0,"",IF(AND(A956&lt;&gt;"",B956&lt;&gt;"",E956&lt;&gt;""),"OK","ERRO: faltam "&amp;IF(A956="","Conta; ","")&amp;IF(B956="","Oportunidade; ","")&amp;IF(E956="","Novo gerente; ","")))</f>
      </c>
      <c r="I956" s="6">
        <f>IF(COUNTA(A956:F956)=0,"",IF(AND(G956="OK",H956="OK"),"OK","REVISAR"))</f>
      </c>
    </row>
    <row r="957">
      <c r="A957" s="5"/>
      <c r="B957" s="5"/>
      <c r="C957" s="4"/>
      <c r="D957" s="4"/>
      <c r="E957" s="5"/>
      <c r="F957" s="4"/>
      <c r="G957" s="6">
        <f>IF(AND(A957="",B957=""),"",IF(COUNTIFS($A$2:$A$2001,A957,$B$2:$B$2001,B957)&gt;1,"DUPLICADO","OK"))</f>
      </c>
      <c r="H957" s="6">
        <f>IF(COUNTA(A957:F957)=0,"",IF(AND(A957&lt;&gt;"",B957&lt;&gt;"",E957&lt;&gt;""),"OK","ERRO: faltam "&amp;IF(A957="","Conta; ","")&amp;IF(B957="","Oportunidade; ","")&amp;IF(E957="","Novo gerente; ","")))</f>
      </c>
      <c r="I957" s="6">
        <f>IF(COUNTA(A957:F957)=0,"",IF(AND(G957="OK",H957="OK"),"OK","REVISAR"))</f>
      </c>
    </row>
    <row r="958">
      <c r="A958" s="5"/>
      <c r="B958" s="5"/>
      <c r="C958" s="4"/>
      <c r="D958" s="4"/>
      <c r="E958" s="5"/>
      <c r="F958" s="4"/>
      <c r="G958" s="6">
        <f>IF(AND(A958="",B958=""),"",IF(COUNTIFS($A$2:$A$2001,A958,$B$2:$B$2001,B958)&gt;1,"DUPLICADO","OK"))</f>
      </c>
      <c r="H958" s="6">
        <f>IF(COUNTA(A958:F958)=0,"",IF(AND(A958&lt;&gt;"",B958&lt;&gt;"",E958&lt;&gt;""),"OK","ERRO: faltam "&amp;IF(A958="","Conta; ","")&amp;IF(B958="","Oportunidade; ","")&amp;IF(E958="","Novo gerente; ","")))</f>
      </c>
      <c r="I958" s="6">
        <f>IF(COUNTA(A958:F958)=0,"",IF(AND(G958="OK",H958="OK"),"OK","REVISAR"))</f>
      </c>
    </row>
    <row r="959">
      <c r="A959" s="5"/>
      <c r="B959" s="5"/>
      <c r="C959" s="4"/>
      <c r="D959" s="4"/>
      <c r="E959" s="5"/>
      <c r="F959" s="4"/>
      <c r="G959" s="6">
        <f>IF(AND(A959="",B959=""),"",IF(COUNTIFS($A$2:$A$2001,A959,$B$2:$B$2001,B959)&gt;1,"DUPLICADO","OK"))</f>
      </c>
      <c r="H959" s="6">
        <f>IF(COUNTA(A959:F959)=0,"",IF(AND(A959&lt;&gt;"",B959&lt;&gt;"",E959&lt;&gt;""),"OK","ERRO: faltam "&amp;IF(A959="","Conta; ","")&amp;IF(B959="","Oportunidade; ","")&amp;IF(E959="","Novo gerente; ","")))</f>
      </c>
      <c r="I959" s="6">
        <f>IF(COUNTA(A959:F959)=0,"",IF(AND(G959="OK",H959="OK"),"OK","REVISAR"))</f>
      </c>
    </row>
    <row r="960">
      <c r="A960" s="5"/>
      <c r="B960" s="5"/>
      <c r="C960" s="4"/>
      <c r="D960" s="4"/>
      <c r="E960" s="5"/>
      <c r="F960" s="4"/>
      <c r="G960" s="6">
        <f>IF(AND(A960="",B960=""),"",IF(COUNTIFS($A$2:$A$2001,A960,$B$2:$B$2001,B960)&gt;1,"DUPLICADO","OK"))</f>
      </c>
      <c r="H960" s="6">
        <f>IF(COUNTA(A960:F960)=0,"",IF(AND(A960&lt;&gt;"",B960&lt;&gt;"",E960&lt;&gt;""),"OK","ERRO: faltam "&amp;IF(A960="","Conta; ","")&amp;IF(B960="","Oportunidade; ","")&amp;IF(E960="","Novo gerente; ","")))</f>
      </c>
      <c r="I960" s="6">
        <f>IF(COUNTA(A960:F960)=0,"",IF(AND(G960="OK",H960="OK"),"OK","REVISAR"))</f>
      </c>
    </row>
    <row r="961">
      <c r="A961" s="5"/>
      <c r="B961" s="5"/>
      <c r="C961" s="4"/>
      <c r="D961" s="4"/>
      <c r="E961" s="5"/>
      <c r="F961" s="4"/>
      <c r="G961" s="6">
        <f>IF(AND(A961="",B961=""),"",IF(COUNTIFS($A$2:$A$2001,A961,$B$2:$B$2001,B961)&gt;1,"DUPLICADO","OK"))</f>
      </c>
      <c r="H961" s="6">
        <f>IF(COUNTA(A961:F961)=0,"",IF(AND(A961&lt;&gt;"",B961&lt;&gt;"",E961&lt;&gt;""),"OK","ERRO: faltam "&amp;IF(A961="","Conta; ","")&amp;IF(B961="","Oportunidade; ","")&amp;IF(E961="","Novo gerente; ","")))</f>
      </c>
      <c r="I961" s="6">
        <f>IF(COUNTA(A961:F961)=0,"",IF(AND(G961="OK",H961="OK"),"OK","REVISAR"))</f>
      </c>
    </row>
    <row r="962">
      <c r="A962" s="5"/>
      <c r="B962" s="5"/>
      <c r="C962" s="4"/>
      <c r="D962" s="4"/>
      <c r="E962" s="5"/>
      <c r="F962" s="4"/>
      <c r="G962" s="6">
        <f>IF(AND(A962="",B962=""),"",IF(COUNTIFS($A$2:$A$2001,A962,$B$2:$B$2001,B962)&gt;1,"DUPLICADO","OK"))</f>
      </c>
      <c r="H962" s="6">
        <f>IF(COUNTA(A962:F962)=0,"",IF(AND(A962&lt;&gt;"",B962&lt;&gt;"",E962&lt;&gt;""),"OK","ERRO: faltam "&amp;IF(A962="","Conta; ","")&amp;IF(B962="","Oportunidade; ","")&amp;IF(E962="","Novo gerente; ","")))</f>
      </c>
      <c r="I962" s="6">
        <f>IF(COUNTA(A962:F962)=0,"",IF(AND(G962="OK",H962="OK"),"OK","REVISAR"))</f>
      </c>
    </row>
    <row r="963">
      <c r="A963" s="5"/>
      <c r="B963" s="5"/>
      <c r="C963" s="4"/>
      <c r="D963" s="4"/>
      <c r="E963" s="5"/>
      <c r="F963" s="4"/>
      <c r="G963" s="6">
        <f>IF(AND(A963="",B963=""),"",IF(COUNTIFS($A$2:$A$2001,A963,$B$2:$B$2001,B963)&gt;1,"DUPLICADO","OK"))</f>
      </c>
      <c r="H963" s="6">
        <f>IF(COUNTA(A963:F963)=0,"",IF(AND(A963&lt;&gt;"",B963&lt;&gt;"",E963&lt;&gt;""),"OK","ERRO: faltam "&amp;IF(A963="","Conta; ","")&amp;IF(B963="","Oportunidade; ","")&amp;IF(E963="","Novo gerente; ","")))</f>
      </c>
      <c r="I963" s="6">
        <f>IF(COUNTA(A963:F963)=0,"",IF(AND(G963="OK",H963="OK"),"OK","REVISAR"))</f>
      </c>
    </row>
    <row r="964">
      <c r="A964" s="5"/>
      <c r="B964" s="5"/>
      <c r="C964" s="4"/>
      <c r="D964" s="4"/>
      <c r="E964" s="5"/>
      <c r="F964" s="4"/>
      <c r="G964" s="6">
        <f>IF(AND(A964="",B964=""),"",IF(COUNTIFS($A$2:$A$2001,A964,$B$2:$B$2001,B964)&gt;1,"DUPLICADO","OK"))</f>
      </c>
      <c r="H964" s="6">
        <f>IF(COUNTA(A964:F964)=0,"",IF(AND(A964&lt;&gt;"",B964&lt;&gt;"",E964&lt;&gt;""),"OK","ERRO: faltam "&amp;IF(A964="","Conta; ","")&amp;IF(B964="","Oportunidade; ","")&amp;IF(E964="","Novo gerente; ","")))</f>
      </c>
      <c r="I964" s="6">
        <f>IF(COUNTA(A964:F964)=0,"",IF(AND(G964="OK",H964="OK"),"OK","REVISAR"))</f>
      </c>
    </row>
    <row r="965">
      <c r="A965" s="5"/>
      <c r="B965" s="5"/>
      <c r="C965" s="4"/>
      <c r="D965" s="4"/>
      <c r="E965" s="5"/>
      <c r="F965" s="4"/>
      <c r="G965" s="6">
        <f>IF(AND(A965="",B965=""),"",IF(COUNTIFS($A$2:$A$2001,A965,$B$2:$B$2001,B965)&gt;1,"DUPLICADO","OK"))</f>
      </c>
      <c r="H965" s="6">
        <f>IF(COUNTA(A965:F965)=0,"",IF(AND(A965&lt;&gt;"",B965&lt;&gt;"",E965&lt;&gt;""),"OK","ERRO: faltam "&amp;IF(A965="","Conta; ","")&amp;IF(B965="","Oportunidade; ","")&amp;IF(E965="","Novo gerente; ","")))</f>
      </c>
      <c r="I965" s="6">
        <f>IF(COUNTA(A965:F965)=0,"",IF(AND(G965="OK",H965="OK"),"OK","REVISAR"))</f>
      </c>
    </row>
    <row r="966">
      <c r="A966" s="5"/>
      <c r="B966" s="5"/>
      <c r="C966" s="4"/>
      <c r="D966" s="4"/>
      <c r="E966" s="5"/>
      <c r="F966" s="4"/>
      <c r="G966" s="6">
        <f>IF(AND(A966="",B966=""),"",IF(COUNTIFS($A$2:$A$2001,A966,$B$2:$B$2001,B966)&gt;1,"DUPLICADO","OK"))</f>
      </c>
      <c r="H966" s="6">
        <f>IF(COUNTA(A966:F966)=0,"",IF(AND(A966&lt;&gt;"",B966&lt;&gt;"",E966&lt;&gt;""),"OK","ERRO: faltam "&amp;IF(A966="","Conta; ","")&amp;IF(B966="","Oportunidade; ","")&amp;IF(E966="","Novo gerente; ","")))</f>
      </c>
      <c r="I966" s="6">
        <f>IF(COUNTA(A966:F966)=0,"",IF(AND(G966="OK",H966="OK"),"OK","REVISAR"))</f>
      </c>
    </row>
    <row r="967">
      <c r="A967" s="5"/>
      <c r="B967" s="5"/>
      <c r="C967" s="4"/>
      <c r="D967" s="4"/>
      <c r="E967" s="5"/>
      <c r="F967" s="4"/>
      <c r="G967" s="6">
        <f>IF(AND(A967="",B967=""),"",IF(COUNTIFS($A$2:$A$2001,A967,$B$2:$B$2001,B967)&gt;1,"DUPLICADO","OK"))</f>
      </c>
      <c r="H967" s="6">
        <f>IF(COUNTA(A967:F967)=0,"",IF(AND(A967&lt;&gt;"",B967&lt;&gt;"",E967&lt;&gt;""),"OK","ERRO: faltam "&amp;IF(A967="","Conta; ","")&amp;IF(B967="","Oportunidade; ","")&amp;IF(E967="","Novo gerente; ","")))</f>
      </c>
      <c r="I967" s="6">
        <f>IF(COUNTA(A967:F967)=0,"",IF(AND(G967="OK",H967="OK"),"OK","REVISAR"))</f>
      </c>
    </row>
    <row r="968">
      <c r="A968" s="5"/>
      <c r="B968" s="5"/>
      <c r="C968" s="4"/>
      <c r="D968" s="4"/>
      <c r="E968" s="5"/>
      <c r="F968" s="4"/>
      <c r="G968" s="6">
        <f>IF(AND(A968="",B968=""),"",IF(COUNTIFS($A$2:$A$2001,A968,$B$2:$B$2001,B968)&gt;1,"DUPLICADO","OK"))</f>
      </c>
      <c r="H968" s="6">
        <f>IF(COUNTA(A968:F968)=0,"",IF(AND(A968&lt;&gt;"",B968&lt;&gt;"",E968&lt;&gt;""),"OK","ERRO: faltam "&amp;IF(A968="","Conta; ","")&amp;IF(B968="","Oportunidade; ","")&amp;IF(E968="","Novo gerente; ","")))</f>
      </c>
      <c r="I968" s="6">
        <f>IF(COUNTA(A968:F968)=0,"",IF(AND(G968="OK",H968="OK"),"OK","REVISAR"))</f>
      </c>
    </row>
    <row r="969">
      <c r="A969" s="5"/>
      <c r="B969" s="5"/>
      <c r="C969" s="4"/>
      <c r="D969" s="4"/>
      <c r="E969" s="5"/>
      <c r="F969" s="4"/>
      <c r="G969" s="6">
        <f>IF(AND(A969="",B969=""),"",IF(COUNTIFS($A$2:$A$2001,A969,$B$2:$B$2001,B969)&gt;1,"DUPLICADO","OK"))</f>
      </c>
      <c r="H969" s="6">
        <f>IF(COUNTA(A969:F969)=0,"",IF(AND(A969&lt;&gt;"",B969&lt;&gt;"",E969&lt;&gt;""),"OK","ERRO: faltam "&amp;IF(A969="","Conta; ","")&amp;IF(B969="","Oportunidade; ","")&amp;IF(E969="","Novo gerente; ","")))</f>
      </c>
      <c r="I969" s="6">
        <f>IF(COUNTA(A969:F969)=0,"",IF(AND(G969="OK",H969="OK"),"OK","REVISAR"))</f>
      </c>
    </row>
    <row r="970">
      <c r="A970" s="5"/>
      <c r="B970" s="5"/>
      <c r="C970" s="4"/>
      <c r="D970" s="4"/>
      <c r="E970" s="5"/>
      <c r="F970" s="4"/>
      <c r="G970" s="6">
        <f>IF(AND(A970="",B970=""),"",IF(COUNTIFS($A$2:$A$2001,A970,$B$2:$B$2001,B970)&gt;1,"DUPLICADO","OK"))</f>
      </c>
      <c r="H970" s="6">
        <f>IF(COUNTA(A970:F970)=0,"",IF(AND(A970&lt;&gt;"",B970&lt;&gt;"",E970&lt;&gt;""),"OK","ERRO: faltam "&amp;IF(A970="","Conta; ","")&amp;IF(B970="","Oportunidade; ","")&amp;IF(E970="","Novo gerente; ","")))</f>
      </c>
      <c r="I970" s="6">
        <f>IF(COUNTA(A970:F970)=0,"",IF(AND(G970="OK",H970="OK"),"OK","REVISAR"))</f>
      </c>
    </row>
    <row r="971">
      <c r="A971" s="5"/>
      <c r="B971" s="5"/>
      <c r="C971" s="4"/>
      <c r="D971" s="4"/>
      <c r="E971" s="5"/>
      <c r="F971" s="4"/>
      <c r="G971" s="6">
        <f>IF(AND(A971="",B971=""),"",IF(COUNTIFS($A$2:$A$2001,A971,$B$2:$B$2001,B971)&gt;1,"DUPLICADO","OK"))</f>
      </c>
      <c r="H971" s="6">
        <f>IF(COUNTA(A971:F971)=0,"",IF(AND(A971&lt;&gt;"",B971&lt;&gt;"",E971&lt;&gt;""),"OK","ERRO: faltam "&amp;IF(A971="","Conta; ","")&amp;IF(B971="","Oportunidade; ","")&amp;IF(E971="","Novo gerente; ","")))</f>
      </c>
      <c r="I971" s="6">
        <f>IF(COUNTA(A971:F971)=0,"",IF(AND(G971="OK",H971="OK"),"OK","REVISAR"))</f>
      </c>
    </row>
    <row r="972">
      <c r="A972" s="5"/>
      <c r="B972" s="5"/>
      <c r="C972" s="4"/>
      <c r="D972" s="4"/>
      <c r="E972" s="5"/>
      <c r="F972" s="4"/>
      <c r="G972" s="6">
        <f>IF(AND(A972="",B972=""),"",IF(COUNTIFS($A$2:$A$2001,A972,$B$2:$B$2001,B972)&gt;1,"DUPLICADO","OK"))</f>
      </c>
      <c r="H972" s="6">
        <f>IF(COUNTA(A972:F972)=0,"",IF(AND(A972&lt;&gt;"",B972&lt;&gt;"",E972&lt;&gt;""),"OK","ERRO: faltam "&amp;IF(A972="","Conta; ","")&amp;IF(B972="","Oportunidade; ","")&amp;IF(E972="","Novo gerente; ","")))</f>
      </c>
      <c r="I972" s="6">
        <f>IF(COUNTA(A972:F972)=0,"",IF(AND(G972="OK",H972="OK"),"OK","REVISAR"))</f>
      </c>
    </row>
    <row r="973">
      <c r="A973" s="5"/>
      <c r="B973" s="5"/>
      <c r="C973" s="4"/>
      <c r="D973" s="4"/>
      <c r="E973" s="5"/>
      <c r="F973" s="4"/>
      <c r="G973" s="6">
        <f>IF(AND(A973="",B973=""),"",IF(COUNTIFS($A$2:$A$2001,A973,$B$2:$B$2001,B973)&gt;1,"DUPLICADO","OK"))</f>
      </c>
      <c r="H973" s="6">
        <f>IF(COUNTA(A973:F973)=0,"",IF(AND(A973&lt;&gt;"",B973&lt;&gt;"",E973&lt;&gt;""),"OK","ERRO: faltam "&amp;IF(A973="","Conta; ","")&amp;IF(B973="","Oportunidade; ","")&amp;IF(E973="","Novo gerente; ","")))</f>
      </c>
      <c r="I973" s="6">
        <f>IF(COUNTA(A973:F973)=0,"",IF(AND(G973="OK",H973="OK"),"OK","REVISAR"))</f>
      </c>
    </row>
    <row r="974">
      <c r="A974" s="5"/>
      <c r="B974" s="5"/>
      <c r="C974" s="4"/>
      <c r="D974" s="4"/>
      <c r="E974" s="5"/>
      <c r="F974" s="4"/>
      <c r="G974" s="6">
        <f>IF(AND(A974="",B974=""),"",IF(COUNTIFS($A$2:$A$2001,A974,$B$2:$B$2001,B974)&gt;1,"DUPLICADO","OK"))</f>
      </c>
      <c r="H974" s="6">
        <f>IF(COUNTA(A974:F974)=0,"",IF(AND(A974&lt;&gt;"",B974&lt;&gt;"",E974&lt;&gt;""),"OK","ERRO: faltam "&amp;IF(A974="","Conta; ","")&amp;IF(B974="","Oportunidade; ","")&amp;IF(E974="","Novo gerente; ","")))</f>
      </c>
      <c r="I974" s="6">
        <f>IF(COUNTA(A974:F974)=0,"",IF(AND(G974="OK",H974="OK"),"OK","REVISAR"))</f>
      </c>
    </row>
    <row r="975">
      <c r="A975" s="5"/>
      <c r="B975" s="5"/>
      <c r="C975" s="4"/>
      <c r="D975" s="4"/>
      <c r="E975" s="5"/>
      <c r="F975" s="4"/>
      <c r="G975" s="6">
        <f>IF(AND(A975="",B975=""),"",IF(COUNTIFS($A$2:$A$2001,A975,$B$2:$B$2001,B975)&gt;1,"DUPLICADO","OK"))</f>
      </c>
      <c r="H975" s="6">
        <f>IF(COUNTA(A975:F975)=0,"",IF(AND(A975&lt;&gt;"",B975&lt;&gt;"",E975&lt;&gt;""),"OK","ERRO: faltam "&amp;IF(A975="","Conta; ","")&amp;IF(B975="","Oportunidade; ","")&amp;IF(E975="","Novo gerente; ","")))</f>
      </c>
      <c r="I975" s="6">
        <f>IF(COUNTA(A975:F975)=0,"",IF(AND(G975="OK",H975="OK"),"OK","REVISAR"))</f>
      </c>
    </row>
    <row r="976">
      <c r="A976" s="5"/>
      <c r="B976" s="5"/>
      <c r="C976" s="4"/>
      <c r="D976" s="4"/>
      <c r="E976" s="5"/>
      <c r="F976" s="4"/>
      <c r="G976" s="6">
        <f>IF(AND(A976="",B976=""),"",IF(COUNTIFS($A$2:$A$2001,A976,$B$2:$B$2001,B976)&gt;1,"DUPLICADO","OK"))</f>
      </c>
      <c r="H976" s="6">
        <f>IF(COUNTA(A976:F976)=0,"",IF(AND(A976&lt;&gt;"",B976&lt;&gt;"",E976&lt;&gt;""),"OK","ERRO: faltam "&amp;IF(A976="","Conta; ","")&amp;IF(B976="","Oportunidade; ","")&amp;IF(E976="","Novo gerente; ","")))</f>
      </c>
      <c r="I976" s="6">
        <f>IF(COUNTA(A976:F976)=0,"",IF(AND(G976="OK",H976="OK"),"OK","REVISAR"))</f>
      </c>
    </row>
    <row r="977">
      <c r="A977" s="5"/>
      <c r="B977" s="5"/>
      <c r="C977" s="4"/>
      <c r="D977" s="4"/>
      <c r="E977" s="5"/>
      <c r="F977" s="4"/>
      <c r="G977" s="6">
        <f>IF(AND(A977="",B977=""),"",IF(COUNTIFS($A$2:$A$2001,A977,$B$2:$B$2001,B977)&gt;1,"DUPLICADO","OK"))</f>
      </c>
      <c r="H977" s="6">
        <f>IF(COUNTA(A977:F977)=0,"",IF(AND(A977&lt;&gt;"",B977&lt;&gt;"",E977&lt;&gt;""),"OK","ERRO: faltam "&amp;IF(A977="","Conta; ","")&amp;IF(B977="","Oportunidade; ","")&amp;IF(E977="","Novo gerente; ","")))</f>
      </c>
      <c r="I977" s="6">
        <f>IF(COUNTA(A977:F977)=0,"",IF(AND(G977="OK",H977="OK"),"OK","REVISAR"))</f>
      </c>
    </row>
    <row r="978">
      <c r="A978" s="5"/>
      <c r="B978" s="5"/>
      <c r="C978" s="4"/>
      <c r="D978" s="4"/>
      <c r="E978" s="5"/>
      <c r="F978" s="4"/>
      <c r="G978" s="6">
        <f>IF(AND(A978="",B978=""),"",IF(COUNTIFS($A$2:$A$2001,A978,$B$2:$B$2001,B978)&gt;1,"DUPLICADO","OK"))</f>
      </c>
      <c r="H978" s="6">
        <f>IF(COUNTA(A978:F978)=0,"",IF(AND(A978&lt;&gt;"",B978&lt;&gt;"",E978&lt;&gt;""),"OK","ERRO: faltam "&amp;IF(A978="","Conta; ","")&amp;IF(B978="","Oportunidade; ","")&amp;IF(E978="","Novo gerente; ","")))</f>
      </c>
      <c r="I978" s="6">
        <f>IF(COUNTA(A978:F978)=0,"",IF(AND(G978="OK",H978="OK"),"OK","REVISAR"))</f>
      </c>
    </row>
    <row r="979">
      <c r="A979" s="5"/>
      <c r="B979" s="5"/>
      <c r="C979" s="4"/>
      <c r="D979" s="4"/>
      <c r="E979" s="5"/>
      <c r="F979" s="4"/>
      <c r="G979" s="6">
        <f>IF(AND(A979="",B979=""),"",IF(COUNTIFS($A$2:$A$2001,A979,$B$2:$B$2001,B979)&gt;1,"DUPLICADO","OK"))</f>
      </c>
      <c r="H979" s="6">
        <f>IF(COUNTA(A979:F979)=0,"",IF(AND(A979&lt;&gt;"",B979&lt;&gt;"",E979&lt;&gt;""),"OK","ERRO: faltam "&amp;IF(A979="","Conta; ","")&amp;IF(B979="","Oportunidade; ","")&amp;IF(E979="","Novo gerente; ","")))</f>
      </c>
      <c r="I979" s="6">
        <f>IF(COUNTA(A979:F979)=0,"",IF(AND(G979="OK",H979="OK"),"OK","REVISAR"))</f>
      </c>
    </row>
    <row r="980">
      <c r="A980" s="5"/>
      <c r="B980" s="5"/>
      <c r="C980" s="4"/>
      <c r="D980" s="4"/>
      <c r="E980" s="5"/>
      <c r="F980" s="4"/>
      <c r="G980" s="6">
        <f>IF(AND(A980="",B980=""),"",IF(COUNTIFS($A$2:$A$2001,A980,$B$2:$B$2001,B980)&gt;1,"DUPLICADO","OK"))</f>
      </c>
      <c r="H980" s="6">
        <f>IF(COUNTA(A980:F980)=0,"",IF(AND(A980&lt;&gt;"",B980&lt;&gt;"",E980&lt;&gt;""),"OK","ERRO: faltam "&amp;IF(A980="","Conta; ","")&amp;IF(B980="","Oportunidade; ","")&amp;IF(E980="","Novo gerente; ","")))</f>
      </c>
      <c r="I980" s="6">
        <f>IF(COUNTA(A980:F980)=0,"",IF(AND(G980="OK",H980="OK"),"OK","REVISAR"))</f>
      </c>
    </row>
    <row r="981">
      <c r="A981" s="5"/>
      <c r="B981" s="5"/>
      <c r="C981" s="4"/>
      <c r="D981" s="4"/>
      <c r="E981" s="5"/>
      <c r="F981" s="4"/>
      <c r="G981" s="6">
        <f>IF(AND(A981="",B981=""),"",IF(COUNTIFS($A$2:$A$2001,A981,$B$2:$B$2001,B981)&gt;1,"DUPLICADO","OK"))</f>
      </c>
      <c r="H981" s="6">
        <f>IF(COUNTA(A981:F981)=0,"",IF(AND(A981&lt;&gt;"",B981&lt;&gt;"",E981&lt;&gt;""),"OK","ERRO: faltam "&amp;IF(A981="","Conta; ","")&amp;IF(B981="","Oportunidade; ","")&amp;IF(E981="","Novo gerente; ","")))</f>
      </c>
      <c r="I981" s="6">
        <f>IF(COUNTA(A981:F981)=0,"",IF(AND(G981="OK",H981="OK"),"OK","REVISAR"))</f>
      </c>
    </row>
    <row r="982">
      <c r="A982" s="5"/>
      <c r="B982" s="5"/>
      <c r="C982" s="4"/>
      <c r="D982" s="4"/>
      <c r="E982" s="5"/>
      <c r="F982" s="4"/>
      <c r="G982" s="6">
        <f>IF(AND(A982="",B982=""),"",IF(COUNTIFS($A$2:$A$2001,A982,$B$2:$B$2001,B982)&gt;1,"DUPLICADO","OK"))</f>
      </c>
      <c r="H982" s="6">
        <f>IF(COUNTA(A982:F982)=0,"",IF(AND(A982&lt;&gt;"",B982&lt;&gt;"",E982&lt;&gt;""),"OK","ERRO: faltam "&amp;IF(A982="","Conta; ","")&amp;IF(B982="","Oportunidade; ","")&amp;IF(E982="","Novo gerente; ","")))</f>
      </c>
      <c r="I982" s="6">
        <f>IF(COUNTA(A982:F982)=0,"",IF(AND(G982="OK",H982="OK"),"OK","REVISAR"))</f>
      </c>
    </row>
    <row r="983">
      <c r="A983" s="5"/>
      <c r="B983" s="5"/>
      <c r="C983" s="4"/>
      <c r="D983" s="4"/>
      <c r="E983" s="5"/>
      <c r="F983" s="4"/>
      <c r="G983" s="6">
        <f>IF(AND(A983="",B983=""),"",IF(COUNTIFS($A$2:$A$2001,A983,$B$2:$B$2001,B983)&gt;1,"DUPLICADO","OK"))</f>
      </c>
      <c r="H983" s="6">
        <f>IF(COUNTA(A983:F983)=0,"",IF(AND(A983&lt;&gt;"",B983&lt;&gt;"",E983&lt;&gt;""),"OK","ERRO: faltam "&amp;IF(A983="","Conta; ","")&amp;IF(B983="","Oportunidade; ","")&amp;IF(E983="","Novo gerente; ","")))</f>
      </c>
      <c r="I983" s="6">
        <f>IF(COUNTA(A983:F983)=0,"",IF(AND(G983="OK",H983="OK"),"OK","REVISAR"))</f>
      </c>
    </row>
    <row r="984">
      <c r="A984" s="5"/>
      <c r="B984" s="5"/>
      <c r="C984" s="4"/>
      <c r="D984" s="4"/>
      <c r="E984" s="5"/>
      <c r="F984" s="4"/>
      <c r="G984" s="6">
        <f>IF(AND(A984="",B984=""),"",IF(COUNTIFS($A$2:$A$2001,A984,$B$2:$B$2001,B984)&gt;1,"DUPLICADO","OK"))</f>
      </c>
      <c r="H984" s="6">
        <f>IF(COUNTA(A984:F984)=0,"",IF(AND(A984&lt;&gt;"",B984&lt;&gt;"",E984&lt;&gt;""),"OK","ERRO: faltam "&amp;IF(A984="","Conta; ","")&amp;IF(B984="","Oportunidade; ","")&amp;IF(E984="","Novo gerente; ","")))</f>
      </c>
      <c r="I984" s="6">
        <f>IF(COUNTA(A984:F984)=0,"",IF(AND(G984="OK",H984="OK"),"OK","REVISAR"))</f>
      </c>
    </row>
    <row r="985">
      <c r="A985" s="5"/>
      <c r="B985" s="5"/>
      <c r="C985" s="4"/>
      <c r="D985" s="4"/>
      <c r="E985" s="5"/>
      <c r="F985" s="4"/>
      <c r="G985" s="6">
        <f>IF(AND(A985="",B985=""),"",IF(COUNTIFS($A$2:$A$2001,A985,$B$2:$B$2001,B985)&gt;1,"DUPLICADO","OK"))</f>
      </c>
      <c r="H985" s="6">
        <f>IF(COUNTA(A985:F985)=0,"",IF(AND(A985&lt;&gt;"",B985&lt;&gt;"",E985&lt;&gt;""),"OK","ERRO: faltam "&amp;IF(A985="","Conta; ","")&amp;IF(B985="","Oportunidade; ","")&amp;IF(E985="","Novo gerente; ","")))</f>
      </c>
      <c r="I985" s="6">
        <f>IF(COUNTA(A985:F985)=0,"",IF(AND(G985="OK",H985="OK"),"OK","REVISAR"))</f>
      </c>
    </row>
    <row r="986">
      <c r="A986" s="5"/>
      <c r="B986" s="5"/>
      <c r="C986" s="4"/>
      <c r="D986" s="4"/>
      <c r="E986" s="5"/>
      <c r="F986" s="4"/>
      <c r="G986" s="6">
        <f>IF(AND(A986="",B986=""),"",IF(COUNTIFS($A$2:$A$2001,A986,$B$2:$B$2001,B986)&gt;1,"DUPLICADO","OK"))</f>
      </c>
      <c r="H986" s="6">
        <f>IF(COUNTA(A986:F986)=0,"",IF(AND(A986&lt;&gt;"",B986&lt;&gt;"",E986&lt;&gt;""),"OK","ERRO: faltam "&amp;IF(A986="","Conta; ","")&amp;IF(B986="","Oportunidade; ","")&amp;IF(E986="","Novo gerente; ","")))</f>
      </c>
      <c r="I986" s="6">
        <f>IF(COUNTA(A986:F986)=0,"",IF(AND(G986="OK",H986="OK"),"OK","REVISAR"))</f>
      </c>
    </row>
    <row r="987">
      <c r="A987" s="5"/>
      <c r="B987" s="5"/>
      <c r="C987" s="4"/>
      <c r="D987" s="4"/>
      <c r="E987" s="5"/>
      <c r="F987" s="4"/>
      <c r="G987" s="6">
        <f>IF(AND(A987="",B987=""),"",IF(COUNTIFS($A$2:$A$2001,A987,$B$2:$B$2001,B987)&gt;1,"DUPLICADO","OK"))</f>
      </c>
      <c r="H987" s="6">
        <f>IF(COUNTA(A987:F987)=0,"",IF(AND(A987&lt;&gt;"",B987&lt;&gt;"",E987&lt;&gt;""),"OK","ERRO: faltam "&amp;IF(A987="","Conta; ","")&amp;IF(B987="","Oportunidade; ","")&amp;IF(E987="","Novo gerente; ","")))</f>
      </c>
      <c r="I987" s="6">
        <f>IF(COUNTA(A987:F987)=0,"",IF(AND(G987="OK",H987="OK"),"OK","REVISAR"))</f>
      </c>
    </row>
    <row r="988">
      <c r="A988" s="5"/>
      <c r="B988" s="5"/>
      <c r="C988" s="4"/>
      <c r="D988" s="4"/>
      <c r="E988" s="5"/>
      <c r="F988" s="4"/>
      <c r="G988" s="6">
        <f>IF(AND(A988="",B988=""),"",IF(COUNTIFS($A$2:$A$2001,A988,$B$2:$B$2001,B988)&gt;1,"DUPLICADO","OK"))</f>
      </c>
      <c r="H988" s="6">
        <f>IF(COUNTA(A988:F988)=0,"",IF(AND(A988&lt;&gt;"",B988&lt;&gt;"",E988&lt;&gt;""),"OK","ERRO: faltam "&amp;IF(A988="","Conta; ","")&amp;IF(B988="","Oportunidade; ","")&amp;IF(E988="","Novo gerente; ","")))</f>
      </c>
      <c r="I988" s="6">
        <f>IF(COUNTA(A988:F988)=0,"",IF(AND(G988="OK",H988="OK"),"OK","REVISAR"))</f>
      </c>
    </row>
    <row r="989">
      <c r="A989" s="5"/>
      <c r="B989" s="5"/>
      <c r="C989" s="4"/>
      <c r="D989" s="4"/>
      <c r="E989" s="5"/>
      <c r="F989" s="4"/>
      <c r="G989" s="6">
        <f>IF(AND(A989="",B989=""),"",IF(COUNTIFS($A$2:$A$2001,A989,$B$2:$B$2001,B989)&gt;1,"DUPLICADO","OK"))</f>
      </c>
      <c r="H989" s="6">
        <f>IF(COUNTA(A989:F989)=0,"",IF(AND(A989&lt;&gt;"",B989&lt;&gt;"",E989&lt;&gt;""),"OK","ERRO: faltam "&amp;IF(A989="","Conta; ","")&amp;IF(B989="","Oportunidade; ","")&amp;IF(E989="","Novo gerente; ","")))</f>
      </c>
      <c r="I989" s="6">
        <f>IF(COUNTA(A989:F989)=0,"",IF(AND(G989="OK",H989="OK"),"OK","REVISAR"))</f>
      </c>
    </row>
    <row r="990">
      <c r="A990" s="5"/>
      <c r="B990" s="5"/>
      <c r="C990" s="4"/>
      <c r="D990" s="4"/>
      <c r="E990" s="5"/>
      <c r="F990" s="4"/>
      <c r="G990" s="6">
        <f>IF(AND(A990="",B990=""),"",IF(COUNTIFS($A$2:$A$2001,A990,$B$2:$B$2001,B990)&gt;1,"DUPLICADO","OK"))</f>
      </c>
      <c r="H990" s="6">
        <f>IF(COUNTA(A990:F990)=0,"",IF(AND(A990&lt;&gt;"",B990&lt;&gt;"",E990&lt;&gt;""),"OK","ERRO: faltam "&amp;IF(A990="","Conta; ","")&amp;IF(B990="","Oportunidade; ","")&amp;IF(E990="","Novo gerente; ","")))</f>
      </c>
      <c r="I990" s="6">
        <f>IF(COUNTA(A990:F990)=0,"",IF(AND(G990="OK",H990="OK"),"OK","REVISAR"))</f>
      </c>
    </row>
    <row r="991">
      <c r="A991" s="5"/>
      <c r="B991" s="5"/>
      <c r="C991" s="4"/>
      <c r="D991" s="4"/>
      <c r="E991" s="5"/>
      <c r="F991" s="4"/>
      <c r="G991" s="6">
        <f>IF(AND(A991="",B991=""),"",IF(COUNTIFS($A$2:$A$2001,A991,$B$2:$B$2001,B991)&gt;1,"DUPLICADO","OK"))</f>
      </c>
      <c r="H991" s="6">
        <f>IF(COUNTA(A991:F991)=0,"",IF(AND(A991&lt;&gt;"",B991&lt;&gt;"",E991&lt;&gt;""),"OK","ERRO: faltam "&amp;IF(A991="","Conta; ","")&amp;IF(B991="","Oportunidade; ","")&amp;IF(E991="","Novo gerente; ","")))</f>
      </c>
      <c r="I991" s="6">
        <f>IF(COUNTA(A991:F991)=0,"",IF(AND(G991="OK",H991="OK"),"OK","REVISAR"))</f>
      </c>
    </row>
    <row r="992">
      <c r="A992" s="5"/>
      <c r="B992" s="5"/>
      <c r="C992" s="4"/>
      <c r="D992" s="4"/>
      <c r="E992" s="5"/>
      <c r="F992" s="4"/>
      <c r="G992" s="6">
        <f>IF(AND(A992="",B992=""),"",IF(COUNTIFS($A$2:$A$2001,A992,$B$2:$B$2001,B992)&gt;1,"DUPLICADO","OK"))</f>
      </c>
      <c r="H992" s="6">
        <f>IF(COUNTA(A992:F992)=0,"",IF(AND(A992&lt;&gt;"",B992&lt;&gt;"",E992&lt;&gt;""),"OK","ERRO: faltam "&amp;IF(A992="","Conta; ","")&amp;IF(B992="","Oportunidade; ","")&amp;IF(E992="","Novo gerente; ","")))</f>
      </c>
      <c r="I992" s="6">
        <f>IF(COUNTA(A992:F992)=0,"",IF(AND(G992="OK",H992="OK"),"OK","REVISAR"))</f>
      </c>
    </row>
    <row r="993">
      <c r="A993" s="5"/>
      <c r="B993" s="5"/>
      <c r="C993" s="4"/>
      <c r="D993" s="4"/>
      <c r="E993" s="5"/>
      <c r="F993" s="4"/>
      <c r="G993" s="6">
        <f>IF(AND(A993="",B993=""),"",IF(COUNTIFS($A$2:$A$2001,A993,$B$2:$B$2001,B993)&gt;1,"DUPLICADO","OK"))</f>
      </c>
      <c r="H993" s="6">
        <f>IF(COUNTA(A993:F993)=0,"",IF(AND(A993&lt;&gt;"",B993&lt;&gt;"",E993&lt;&gt;""),"OK","ERRO: faltam "&amp;IF(A993="","Conta; ","")&amp;IF(B993="","Oportunidade; ","")&amp;IF(E993="","Novo gerente; ","")))</f>
      </c>
      <c r="I993" s="6">
        <f>IF(COUNTA(A993:F993)=0,"",IF(AND(G993="OK",H993="OK"),"OK","REVISAR"))</f>
      </c>
    </row>
    <row r="994">
      <c r="A994" s="5"/>
      <c r="B994" s="5"/>
      <c r="C994" s="4"/>
      <c r="D994" s="4"/>
      <c r="E994" s="5"/>
      <c r="F994" s="4"/>
      <c r="G994" s="6">
        <f>IF(AND(A994="",B994=""),"",IF(COUNTIFS($A$2:$A$2001,A994,$B$2:$B$2001,B994)&gt;1,"DUPLICADO","OK"))</f>
      </c>
      <c r="H994" s="6">
        <f>IF(COUNTA(A994:F994)=0,"",IF(AND(A994&lt;&gt;"",B994&lt;&gt;"",E994&lt;&gt;""),"OK","ERRO: faltam "&amp;IF(A994="","Conta; ","")&amp;IF(B994="","Oportunidade; ","")&amp;IF(E994="","Novo gerente; ","")))</f>
      </c>
      <c r="I994" s="6">
        <f>IF(COUNTA(A994:F994)=0,"",IF(AND(G994="OK",H994="OK"),"OK","REVISAR"))</f>
      </c>
    </row>
    <row r="995">
      <c r="A995" s="5"/>
      <c r="B995" s="5"/>
      <c r="C995" s="4"/>
      <c r="D995" s="4"/>
      <c r="E995" s="5"/>
      <c r="F995" s="4"/>
      <c r="G995" s="6">
        <f>IF(AND(A995="",B995=""),"",IF(COUNTIFS($A$2:$A$2001,A995,$B$2:$B$2001,B995)&gt;1,"DUPLICADO","OK"))</f>
      </c>
      <c r="H995" s="6">
        <f>IF(COUNTA(A995:F995)=0,"",IF(AND(A995&lt;&gt;"",B995&lt;&gt;"",E995&lt;&gt;""),"OK","ERRO: faltam "&amp;IF(A995="","Conta; ","")&amp;IF(B995="","Oportunidade; ","")&amp;IF(E995="","Novo gerente; ","")))</f>
      </c>
      <c r="I995" s="6">
        <f>IF(COUNTA(A995:F995)=0,"",IF(AND(G995="OK",H995="OK"),"OK","REVISAR"))</f>
      </c>
    </row>
    <row r="996">
      <c r="A996" s="5"/>
      <c r="B996" s="5"/>
      <c r="C996" s="4"/>
      <c r="D996" s="4"/>
      <c r="E996" s="5"/>
      <c r="F996" s="4"/>
      <c r="G996" s="6">
        <f>IF(AND(A996="",B996=""),"",IF(COUNTIFS($A$2:$A$2001,A996,$B$2:$B$2001,B996)&gt;1,"DUPLICADO","OK"))</f>
      </c>
      <c r="H996" s="6">
        <f>IF(COUNTA(A996:F996)=0,"",IF(AND(A996&lt;&gt;"",B996&lt;&gt;"",E996&lt;&gt;""),"OK","ERRO: faltam "&amp;IF(A996="","Conta; ","")&amp;IF(B996="","Oportunidade; ","")&amp;IF(E996="","Novo gerente; ","")))</f>
      </c>
      <c r="I996" s="6">
        <f>IF(COUNTA(A996:F996)=0,"",IF(AND(G996="OK",H996="OK"),"OK","REVISAR"))</f>
      </c>
    </row>
    <row r="997">
      <c r="A997" s="5"/>
      <c r="B997" s="5"/>
      <c r="C997" s="4"/>
      <c r="D997" s="4"/>
      <c r="E997" s="5"/>
      <c r="F997" s="4"/>
      <c r="G997" s="6">
        <f>IF(AND(A997="",B997=""),"",IF(COUNTIFS($A$2:$A$2001,A997,$B$2:$B$2001,B997)&gt;1,"DUPLICADO","OK"))</f>
      </c>
      <c r="H997" s="6">
        <f>IF(COUNTA(A997:F997)=0,"",IF(AND(A997&lt;&gt;"",B997&lt;&gt;"",E997&lt;&gt;""),"OK","ERRO: faltam "&amp;IF(A997="","Conta; ","")&amp;IF(B997="","Oportunidade; ","")&amp;IF(E997="","Novo gerente; ","")))</f>
      </c>
      <c r="I997" s="6">
        <f>IF(COUNTA(A997:F997)=0,"",IF(AND(G997="OK",H997="OK"),"OK","REVISAR"))</f>
      </c>
    </row>
    <row r="998">
      <c r="A998" s="5"/>
      <c r="B998" s="5"/>
      <c r="C998" s="4"/>
      <c r="D998" s="4"/>
      <c r="E998" s="5"/>
      <c r="F998" s="4"/>
      <c r="G998" s="6">
        <f>IF(AND(A998="",B998=""),"",IF(COUNTIFS($A$2:$A$2001,A998,$B$2:$B$2001,B998)&gt;1,"DUPLICADO","OK"))</f>
      </c>
      <c r="H998" s="6">
        <f>IF(COUNTA(A998:F998)=0,"",IF(AND(A998&lt;&gt;"",B998&lt;&gt;"",E998&lt;&gt;""),"OK","ERRO: faltam "&amp;IF(A998="","Conta; ","")&amp;IF(B998="","Oportunidade; ","")&amp;IF(E998="","Novo gerente; ","")))</f>
      </c>
      <c r="I998" s="6">
        <f>IF(COUNTA(A998:F998)=0,"",IF(AND(G998="OK",H998="OK"),"OK","REVISAR"))</f>
      </c>
    </row>
    <row r="999">
      <c r="A999" s="5"/>
      <c r="B999" s="5"/>
      <c r="C999" s="4"/>
      <c r="D999" s="4"/>
      <c r="E999" s="5"/>
      <c r="F999" s="4"/>
      <c r="G999" s="6">
        <f>IF(AND(A999="",B999=""),"",IF(COUNTIFS($A$2:$A$2001,A999,$B$2:$B$2001,B999)&gt;1,"DUPLICADO","OK"))</f>
      </c>
      <c r="H999" s="6">
        <f>IF(COUNTA(A999:F999)=0,"",IF(AND(A999&lt;&gt;"",B999&lt;&gt;"",E999&lt;&gt;""),"OK","ERRO: faltam "&amp;IF(A999="","Conta; ","")&amp;IF(B999="","Oportunidade; ","")&amp;IF(E999="","Novo gerente; ","")))</f>
      </c>
      <c r="I999" s="6">
        <f>IF(COUNTA(A999:F999)=0,"",IF(AND(G999="OK",H999="OK"),"OK","REVISAR"))</f>
      </c>
    </row>
    <row r="1000">
      <c r="A1000" s="5"/>
      <c r="B1000" s="5"/>
      <c r="C1000" s="4"/>
      <c r="D1000" s="4"/>
      <c r="E1000" s="5"/>
      <c r="F1000" s="4"/>
      <c r="G1000" s="6">
        <f>IF(AND(A1000="",B1000=""),"",IF(COUNTIFS($A$2:$A$2001,A1000,$B$2:$B$2001,B1000)&gt;1,"DUPLICADO","OK"))</f>
      </c>
      <c r="H1000" s="6">
        <f>IF(COUNTA(A1000:F1000)=0,"",IF(AND(A1000&lt;&gt;"",B1000&lt;&gt;"",E1000&lt;&gt;""),"OK","ERRO: faltam "&amp;IF(A1000="","Conta; ","")&amp;IF(B1000="","Oportunidade; ","")&amp;IF(E1000="","Novo gerente; ","")))</f>
      </c>
      <c r="I1000" s="6">
        <f>IF(COUNTA(A1000:F1000)=0,"",IF(AND(G1000="OK",H1000="OK"),"OK","REVISAR"))</f>
      </c>
    </row>
    <row r="1001">
      <c r="A1001" s="5"/>
      <c r="B1001" s="5"/>
      <c r="C1001" s="4"/>
      <c r="D1001" s="4"/>
      <c r="E1001" s="5"/>
      <c r="F1001" s="4"/>
      <c r="G1001" s="6">
        <f>IF(AND(A1001="",B1001=""),"",IF(COUNTIFS($A$2:$A$2001,A1001,$B$2:$B$2001,B1001)&gt;1,"DUPLICADO","OK"))</f>
      </c>
      <c r="H1001" s="6">
        <f>IF(COUNTA(A1001:F1001)=0,"",IF(AND(A1001&lt;&gt;"",B1001&lt;&gt;"",E1001&lt;&gt;""),"OK","ERRO: faltam "&amp;IF(A1001="","Conta; ","")&amp;IF(B1001="","Oportunidade; ","")&amp;IF(E1001="","Novo gerente; ","")))</f>
      </c>
      <c r="I1001" s="6">
        <f>IF(COUNTA(A1001:F1001)=0,"",IF(AND(G1001="OK",H1001="OK"),"OK","REVISAR"))</f>
      </c>
    </row>
    <row r="1002">
      <c r="A1002" s="5"/>
      <c r="B1002" s="5"/>
      <c r="C1002" s="4"/>
      <c r="D1002" s="4"/>
      <c r="E1002" s="5"/>
      <c r="F1002" s="4"/>
      <c r="G1002" s="6">
        <f>IF(AND(A1002="",B1002=""),"",IF(COUNTIFS($A$2:$A$2001,A1002,$B$2:$B$2001,B1002)&gt;1,"DUPLICADO","OK"))</f>
      </c>
      <c r="H1002" s="6">
        <f>IF(COUNTA(A1002:F1002)=0,"",IF(AND(A1002&lt;&gt;"",B1002&lt;&gt;"",E1002&lt;&gt;""),"OK","ERRO: faltam "&amp;IF(A1002="","Conta; ","")&amp;IF(B1002="","Oportunidade; ","")&amp;IF(E1002="","Novo gerente; ","")))</f>
      </c>
      <c r="I1002" s="6">
        <f>IF(COUNTA(A1002:F1002)=0,"",IF(AND(G1002="OK",H1002="OK"),"OK","REVISAR"))</f>
      </c>
    </row>
    <row r="1003">
      <c r="A1003" s="5"/>
      <c r="B1003" s="5"/>
      <c r="C1003" s="4"/>
      <c r="D1003" s="4"/>
      <c r="E1003" s="5"/>
      <c r="F1003" s="4"/>
      <c r="G1003" s="6">
        <f>IF(AND(A1003="",B1003=""),"",IF(COUNTIFS($A$2:$A$2001,A1003,$B$2:$B$2001,B1003)&gt;1,"DUPLICADO","OK"))</f>
      </c>
      <c r="H1003" s="6">
        <f>IF(COUNTA(A1003:F1003)=0,"",IF(AND(A1003&lt;&gt;"",B1003&lt;&gt;"",E1003&lt;&gt;""),"OK","ERRO: faltam "&amp;IF(A1003="","Conta; ","")&amp;IF(B1003="","Oportunidade; ","")&amp;IF(E1003="","Novo gerente; ","")))</f>
      </c>
      <c r="I1003" s="6">
        <f>IF(COUNTA(A1003:F1003)=0,"",IF(AND(G1003="OK",H1003="OK"),"OK","REVISAR"))</f>
      </c>
    </row>
    <row r="1004">
      <c r="A1004" s="5"/>
      <c r="B1004" s="5"/>
      <c r="C1004" s="4"/>
      <c r="D1004" s="4"/>
      <c r="E1004" s="5"/>
      <c r="F1004" s="4"/>
      <c r="G1004" s="6">
        <f>IF(AND(A1004="",B1004=""),"",IF(COUNTIFS($A$2:$A$2001,A1004,$B$2:$B$2001,B1004)&gt;1,"DUPLICADO","OK"))</f>
      </c>
      <c r="H1004" s="6">
        <f>IF(COUNTA(A1004:F1004)=0,"",IF(AND(A1004&lt;&gt;"",B1004&lt;&gt;"",E1004&lt;&gt;""),"OK","ERRO: faltam "&amp;IF(A1004="","Conta; ","")&amp;IF(B1004="","Oportunidade; ","")&amp;IF(E1004="","Novo gerente; ","")))</f>
      </c>
      <c r="I1004" s="6">
        <f>IF(COUNTA(A1004:F1004)=0,"",IF(AND(G1004="OK",H1004="OK"),"OK","REVISAR"))</f>
      </c>
    </row>
    <row r="1005">
      <c r="A1005" s="5"/>
      <c r="B1005" s="5"/>
      <c r="C1005" s="4"/>
      <c r="D1005" s="4"/>
      <c r="E1005" s="5"/>
      <c r="F1005" s="4"/>
      <c r="G1005" s="6">
        <f>IF(AND(A1005="",B1005=""),"",IF(COUNTIFS($A$2:$A$2001,A1005,$B$2:$B$2001,B1005)&gt;1,"DUPLICADO","OK"))</f>
      </c>
      <c r="H1005" s="6">
        <f>IF(COUNTA(A1005:F1005)=0,"",IF(AND(A1005&lt;&gt;"",B1005&lt;&gt;"",E1005&lt;&gt;""),"OK","ERRO: faltam "&amp;IF(A1005="","Conta; ","")&amp;IF(B1005="","Oportunidade; ","")&amp;IF(E1005="","Novo gerente; ","")))</f>
      </c>
      <c r="I1005" s="6">
        <f>IF(COUNTA(A1005:F1005)=0,"",IF(AND(G1005="OK",H1005="OK"),"OK","REVISAR"))</f>
      </c>
    </row>
    <row r="1006">
      <c r="A1006" s="5"/>
      <c r="B1006" s="5"/>
      <c r="C1006" s="4"/>
      <c r="D1006" s="4"/>
      <c r="E1006" s="5"/>
      <c r="F1006" s="4"/>
      <c r="G1006" s="6">
        <f>IF(AND(A1006="",B1006=""),"",IF(COUNTIFS($A$2:$A$2001,A1006,$B$2:$B$2001,B1006)&gt;1,"DUPLICADO","OK"))</f>
      </c>
      <c r="H1006" s="6">
        <f>IF(COUNTA(A1006:F1006)=0,"",IF(AND(A1006&lt;&gt;"",B1006&lt;&gt;"",E1006&lt;&gt;""),"OK","ERRO: faltam "&amp;IF(A1006="","Conta; ","")&amp;IF(B1006="","Oportunidade; ","")&amp;IF(E1006="","Novo gerente; ","")))</f>
      </c>
      <c r="I1006" s="6">
        <f>IF(COUNTA(A1006:F1006)=0,"",IF(AND(G1006="OK",H1006="OK"),"OK","REVISAR"))</f>
      </c>
    </row>
    <row r="1007">
      <c r="A1007" s="5"/>
      <c r="B1007" s="5"/>
      <c r="C1007" s="4"/>
      <c r="D1007" s="4"/>
      <c r="E1007" s="5"/>
      <c r="F1007" s="4"/>
      <c r="G1007" s="6">
        <f>IF(AND(A1007="",B1007=""),"",IF(COUNTIFS($A$2:$A$2001,A1007,$B$2:$B$2001,B1007)&gt;1,"DUPLICADO","OK"))</f>
      </c>
      <c r="H1007" s="6">
        <f>IF(COUNTA(A1007:F1007)=0,"",IF(AND(A1007&lt;&gt;"",B1007&lt;&gt;"",E1007&lt;&gt;""),"OK","ERRO: faltam "&amp;IF(A1007="","Conta; ","")&amp;IF(B1007="","Oportunidade; ","")&amp;IF(E1007="","Novo gerente; ","")))</f>
      </c>
      <c r="I1007" s="6">
        <f>IF(COUNTA(A1007:F1007)=0,"",IF(AND(G1007="OK",H1007="OK"),"OK","REVISAR"))</f>
      </c>
    </row>
    <row r="1008">
      <c r="A1008" s="5"/>
      <c r="B1008" s="5"/>
      <c r="C1008" s="4"/>
      <c r="D1008" s="4"/>
      <c r="E1008" s="5"/>
      <c r="F1008" s="4"/>
      <c r="G1008" s="6">
        <f>IF(AND(A1008="",B1008=""),"",IF(COUNTIFS($A$2:$A$2001,A1008,$B$2:$B$2001,B1008)&gt;1,"DUPLICADO","OK"))</f>
      </c>
      <c r="H1008" s="6">
        <f>IF(COUNTA(A1008:F1008)=0,"",IF(AND(A1008&lt;&gt;"",B1008&lt;&gt;"",E1008&lt;&gt;""),"OK","ERRO: faltam "&amp;IF(A1008="","Conta; ","")&amp;IF(B1008="","Oportunidade; ","")&amp;IF(E1008="","Novo gerente; ","")))</f>
      </c>
      <c r="I1008" s="6">
        <f>IF(COUNTA(A1008:F1008)=0,"",IF(AND(G1008="OK",H1008="OK"),"OK","REVISAR"))</f>
      </c>
    </row>
    <row r="1009">
      <c r="A1009" s="5"/>
      <c r="B1009" s="5"/>
      <c r="C1009" s="4"/>
      <c r="D1009" s="4"/>
      <c r="E1009" s="5"/>
      <c r="F1009" s="4"/>
      <c r="G1009" s="6">
        <f>IF(AND(A1009="",B1009=""),"",IF(COUNTIFS($A$2:$A$2001,A1009,$B$2:$B$2001,B1009)&gt;1,"DUPLICADO","OK"))</f>
      </c>
      <c r="H1009" s="6">
        <f>IF(COUNTA(A1009:F1009)=0,"",IF(AND(A1009&lt;&gt;"",B1009&lt;&gt;"",E1009&lt;&gt;""),"OK","ERRO: faltam "&amp;IF(A1009="","Conta; ","")&amp;IF(B1009="","Oportunidade; ","")&amp;IF(E1009="","Novo gerente; ","")))</f>
      </c>
      <c r="I1009" s="6">
        <f>IF(COUNTA(A1009:F1009)=0,"",IF(AND(G1009="OK",H1009="OK"),"OK","REVISAR"))</f>
      </c>
    </row>
    <row r="1010">
      <c r="A1010" s="5"/>
      <c r="B1010" s="5"/>
      <c r="C1010" s="4"/>
      <c r="D1010" s="4"/>
      <c r="E1010" s="5"/>
      <c r="F1010" s="4"/>
      <c r="G1010" s="6">
        <f>IF(AND(A1010="",B1010=""),"",IF(COUNTIFS($A$2:$A$2001,A1010,$B$2:$B$2001,B1010)&gt;1,"DUPLICADO","OK"))</f>
      </c>
      <c r="H1010" s="6">
        <f>IF(COUNTA(A1010:F1010)=0,"",IF(AND(A1010&lt;&gt;"",B1010&lt;&gt;"",E1010&lt;&gt;""),"OK","ERRO: faltam "&amp;IF(A1010="","Conta; ","")&amp;IF(B1010="","Oportunidade; ","")&amp;IF(E1010="","Novo gerente; ","")))</f>
      </c>
      <c r="I1010" s="6">
        <f>IF(COUNTA(A1010:F1010)=0,"",IF(AND(G1010="OK",H1010="OK"),"OK","REVISAR"))</f>
      </c>
    </row>
    <row r="1011">
      <c r="A1011" s="5"/>
      <c r="B1011" s="5"/>
      <c r="C1011" s="4"/>
      <c r="D1011" s="4"/>
      <c r="E1011" s="5"/>
      <c r="F1011" s="4"/>
      <c r="G1011" s="6">
        <f>IF(AND(A1011="",B1011=""),"",IF(COUNTIFS($A$2:$A$2001,A1011,$B$2:$B$2001,B1011)&gt;1,"DUPLICADO","OK"))</f>
      </c>
      <c r="H1011" s="6">
        <f>IF(COUNTA(A1011:F1011)=0,"",IF(AND(A1011&lt;&gt;"",B1011&lt;&gt;"",E1011&lt;&gt;""),"OK","ERRO: faltam "&amp;IF(A1011="","Conta; ","")&amp;IF(B1011="","Oportunidade; ","")&amp;IF(E1011="","Novo gerente; ","")))</f>
      </c>
      <c r="I1011" s="6">
        <f>IF(COUNTA(A1011:F1011)=0,"",IF(AND(G1011="OK",H1011="OK"),"OK","REVISAR"))</f>
      </c>
    </row>
    <row r="1012">
      <c r="A1012" s="5"/>
      <c r="B1012" s="5"/>
      <c r="C1012" s="4"/>
      <c r="D1012" s="4"/>
      <c r="E1012" s="5"/>
      <c r="F1012" s="4"/>
      <c r="G1012" s="6">
        <f>IF(AND(A1012="",B1012=""),"",IF(COUNTIFS($A$2:$A$2001,A1012,$B$2:$B$2001,B1012)&gt;1,"DUPLICADO","OK"))</f>
      </c>
      <c r="H1012" s="6">
        <f>IF(COUNTA(A1012:F1012)=0,"",IF(AND(A1012&lt;&gt;"",B1012&lt;&gt;"",E1012&lt;&gt;""),"OK","ERRO: faltam "&amp;IF(A1012="","Conta; ","")&amp;IF(B1012="","Oportunidade; ","")&amp;IF(E1012="","Novo gerente; ","")))</f>
      </c>
      <c r="I1012" s="6">
        <f>IF(COUNTA(A1012:F1012)=0,"",IF(AND(G1012="OK",H1012="OK"),"OK","REVISAR"))</f>
      </c>
    </row>
    <row r="1013">
      <c r="A1013" s="5"/>
      <c r="B1013" s="5"/>
      <c r="C1013" s="4"/>
      <c r="D1013" s="4"/>
      <c r="E1013" s="5"/>
      <c r="F1013" s="4"/>
      <c r="G1013" s="6">
        <f>IF(AND(A1013="",B1013=""),"",IF(COUNTIFS($A$2:$A$2001,A1013,$B$2:$B$2001,B1013)&gt;1,"DUPLICADO","OK"))</f>
      </c>
      <c r="H1013" s="6">
        <f>IF(COUNTA(A1013:F1013)=0,"",IF(AND(A1013&lt;&gt;"",B1013&lt;&gt;"",E1013&lt;&gt;""),"OK","ERRO: faltam "&amp;IF(A1013="","Conta; ","")&amp;IF(B1013="","Oportunidade; ","")&amp;IF(E1013="","Novo gerente; ","")))</f>
      </c>
      <c r="I1013" s="6">
        <f>IF(COUNTA(A1013:F1013)=0,"",IF(AND(G1013="OK",H1013="OK"),"OK","REVISAR"))</f>
      </c>
    </row>
    <row r="1014">
      <c r="A1014" s="5"/>
      <c r="B1014" s="5"/>
      <c r="C1014" s="4"/>
      <c r="D1014" s="4"/>
      <c r="E1014" s="5"/>
      <c r="F1014" s="4"/>
      <c r="G1014" s="6">
        <f>IF(AND(A1014="",B1014=""),"",IF(COUNTIFS($A$2:$A$2001,A1014,$B$2:$B$2001,B1014)&gt;1,"DUPLICADO","OK"))</f>
      </c>
      <c r="H1014" s="6">
        <f>IF(COUNTA(A1014:F1014)=0,"",IF(AND(A1014&lt;&gt;"",B1014&lt;&gt;"",E1014&lt;&gt;""),"OK","ERRO: faltam "&amp;IF(A1014="","Conta; ","")&amp;IF(B1014="","Oportunidade; ","")&amp;IF(E1014="","Novo gerente; ","")))</f>
      </c>
      <c r="I1014" s="6">
        <f>IF(COUNTA(A1014:F1014)=0,"",IF(AND(G1014="OK",H1014="OK"),"OK","REVISAR"))</f>
      </c>
    </row>
    <row r="1015">
      <c r="A1015" s="5"/>
      <c r="B1015" s="5"/>
      <c r="C1015" s="4"/>
      <c r="D1015" s="4"/>
      <c r="E1015" s="5"/>
      <c r="F1015" s="4"/>
      <c r="G1015" s="6">
        <f>IF(AND(A1015="",B1015=""),"",IF(COUNTIFS($A$2:$A$2001,A1015,$B$2:$B$2001,B1015)&gt;1,"DUPLICADO","OK"))</f>
      </c>
      <c r="H1015" s="6">
        <f>IF(COUNTA(A1015:F1015)=0,"",IF(AND(A1015&lt;&gt;"",B1015&lt;&gt;"",E1015&lt;&gt;""),"OK","ERRO: faltam "&amp;IF(A1015="","Conta; ","")&amp;IF(B1015="","Oportunidade; ","")&amp;IF(E1015="","Novo gerente; ","")))</f>
      </c>
      <c r="I1015" s="6">
        <f>IF(COUNTA(A1015:F1015)=0,"",IF(AND(G1015="OK",H1015="OK"),"OK","REVISAR"))</f>
      </c>
    </row>
    <row r="1016">
      <c r="A1016" s="5"/>
      <c r="B1016" s="5"/>
      <c r="C1016" s="4"/>
      <c r="D1016" s="4"/>
      <c r="E1016" s="5"/>
      <c r="F1016" s="4"/>
      <c r="G1016" s="6">
        <f>IF(AND(A1016="",B1016=""),"",IF(COUNTIFS($A$2:$A$2001,A1016,$B$2:$B$2001,B1016)&gt;1,"DUPLICADO","OK"))</f>
      </c>
      <c r="H1016" s="6">
        <f>IF(COUNTA(A1016:F1016)=0,"",IF(AND(A1016&lt;&gt;"",B1016&lt;&gt;"",E1016&lt;&gt;""),"OK","ERRO: faltam "&amp;IF(A1016="","Conta; ","")&amp;IF(B1016="","Oportunidade; ","")&amp;IF(E1016="","Novo gerente; ","")))</f>
      </c>
      <c r="I1016" s="6">
        <f>IF(COUNTA(A1016:F1016)=0,"",IF(AND(G1016="OK",H1016="OK"),"OK","REVISAR"))</f>
      </c>
    </row>
    <row r="1017">
      <c r="A1017" s="5"/>
      <c r="B1017" s="5"/>
      <c r="C1017" s="4"/>
      <c r="D1017" s="4"/>
      <c r="E1017" s="5"/>
      <c r="F1017" s="4"/>
      <c r="G1017" s="6">
        <f>IF(AND(A1017="",B1017=""),"",IF(COUNTIFS($A$2:$A$2001,A1017,$B$2:$B$2001,B1017)&gt;1,"DUPLICADO","OK"))</f>
      </c>
      <c r="H1017" s="6">
        <f>IF(COUNTA(A1017:F1017)=0,"",IF(AND(A1017&lt;&gt;"",B1017&lt;&gt;"",E1017&lt;&gt;""),"OK","ERRO: faltam "&amp;IF(A1017="","Conta; ","")&amp;IF(B1017="","Oportunidade; ","")&amp;IF(E1017="","Novo gerente; ","")))</f>
      </c>
      <c r="I1017" s="6">
        <f>IF(COUNTA(A1017:F1017)=0,"",IF(AND(G1017="OK",H1017="OK"),"OK","REVISAR"))</f>
      </c>
    </row>
    <row r="1018">
      <c r="A1018" s="5"/>
      <c r="B1018" s="5"/>
      <c r="C1018" s="4"/>
      <c r="D1018" s="4"/>
      <c r="E1018" s="5"/>
      <c r="F1018" s="4"/>
      <c r="G1018" s="6">
        <f>IF(AND(A1018="",B1018=""),"",IF(COUNTIFS($A$2:$A$2001,A1018,$B$2:$B$2001,B1018)&gt;1,"DUPLICADO","OK"))</f>
      </c>
      <c r="H1018" s="6">
        <f>IF(COUNTA(A1018:F1018)=0,"",IF(AND(A1018&lt;&gt;"",B1018&lt;&gt;"",E1018&lt;&gt;""),"OK","ERRO: faltam "&amp;IF(A1018="","Conta; ","")&amp;IF(B1018="","Oportunidade; ","")&amp;IF(E1018="","Novo gerente; ","")))</f>
      </c>
      <c r="I1018" s="6">
        <f>IF(COUNTA(A1018:F1018)=0,"",IF(AND(G1018="OK",H1018="OK"),"OK","REVISAR"))</f>
      </c>
    </row>
    <row r="1019">
      <c r="A1019" s="5"/>
      <c r="B1019" s="5"/>
      <c r="C1019" s="4"/>
      <c r="D1019" s="4"/>
      <c r="E1019" s="5"/>
      <c r="F1019" s="4"/>
      <c r="G1019" s="6">
        <f>IF(AND(A1019="",B1019=""),"",IF(COUNTIFS($A$2:$A$2001,A1019,$B$2:$B$2001,B1019)&gt;1,"DUPLICADO","OK"))</f>
      </c>
      <c r="H1019" s="6">
        <f>IF(COUNTA(A1019:F1019)=0,"",IF(AND(A1019&lt;&gt;"",B1019&lt;&gt;"",E1019&lt;&gt;""),"OK","ERRO: faltam "&amp;IF(A1019="","Conta; ","")&amp;IF(B1019="","Oportunidade; ","")&amp;IF(E1019="","Novo gerente; ","")))</f>
      </c>
      <c r="I1019" s="6">
        <f>IF(COUNTA(A1019:F1019)=0,"",IF(AND(G1019="OK",H1019="OK"),"OK","REVISAR"))</f>
      </c>
    </row>
    <row r="1020">
      <c r="A1020" s="5"/>
      <c r="B1020" s="5"/>
      <c r="C1020" s="4"/>
      <c r="D1020" s="4"/>
      <c r="E1020" s="5"/>
      <c r="F1020" s="4"/>
      <c r="G1020" s="6">
        <f>IF(AND(A1020="",B1020=""),"",IF(COUNTIFS($A$2:$A$2001,A1020,$B$2:$B$2001,B1020)&gt;1,"DUPLICADO","OK"))</f>
      </c>
      <c r="H1020" s="6">
        <f>IF(COUNTA(A1020:F1020)=0,"",IF(AND(A1020&lt;&gt;"",B1020&lt;&gt;"",E1020&lt;&gt;""),"OK","ERRO: faltam "&amp;IF(A1020="","Conta; ","")&amp;IF(B1020="","Oportunidade; ","")&amp;IF(E1020="","Novo gerente; ","")))</f>
      </c>
      <c r="I1020" s="6">
        <f>IF(COUNTA(A1020:F1020)=0,"",IF(AND(G1020="OK",H1020="OK"),"OK","REVISAR"))</f>
      </c>
    </row>
    <row r="1021">
      <c r="A1021" s="5"/>
      <c r="B1021" s="5"/>
      <c r="C1021" s="4"/>
      <c r="D1021" s="4"/>
      <c r="E1021" s="5"/>
      <c r="F1021" s="4"/>
      <c r="G1021" s="6">
        <f>IF(AND(A1021="",B1021=""),"",IF(COUNTIFS($A$2:$A$2001,A1021,$B$2:$B$2001,B1021)&gt;1,"DUPLICADO","OK"))</f>
      </c>
      <c r="H1021" s="6">
        <f>IF(COUNTA(A1021:F1021)=0,"",IF(AND(A1021&lt;&gt;"",B1021&lt;&gt;"",E1021&lt;&gt;""),"OK","ERRO: faltam "&amp;IF(A1021="","Conta; ","")&amp;IF(B1021="","Oportunidade; ","")&amp;IF(E1021="","Novo gerente; ","")))</f>
      </c>
      <c r="I1021" s="6">
        <f>IF(COUNTA(A1021:F1021)=0,"",IF(AND(G1021="OK",H1021="OK"),"OK","REVISAR"))</f>
      </c>
    </row>
    <row r="1022">
      <c r="A1022" s="5"/>
      <c r="B1022" s="5"/>
      <c r="C1022" s="4"/>
      <c r="D1022" s="4"/>
      <c r="E1022" s="5"/>
      <c r="F1022" s="4"/>
      <c r="G1022" s="6">
        <f>IF(AND(A1022="",B1022=""),"",IF(COUNTIFS($A$2:$A$2001,A1022,$B$2:$B$2001,B1022)&gt;1,"DUPLICADO","OK"))</f>
      </c>
      <c r="H1022" s="6">
        <f>IF(COUNTA(A1022:F1022)=0,"",IF(AND(A1022&lt;&gt;"",B1022&lt;&gt;"",E1022&lt;&gt;""),"OK","ERRO: faltam "&amp;IF(A1022="","Conta; ","")&amp;IF(B1022="","Oportunidade; ","")&amp;IF(E1022="","Novo gerente; ","")))</f>
      </c>
      <c r="I1022" s="6">
        <f>IF(COUNTA(A1022:F1022)=0,"",IF(AND(G1022="OK",H1022="OK"),"OK","REVISAR"))</f>
      </c>
    </row>
    <row r="1023">
      <c r="A1023" s="5"/>
      <c r="B1023" s="5"/>
      <c r="C1023" s="4"/>
      <c r="D1023" s="4"/>
      <c r="E1023" s="5"/>
      <c r="F1023" s="4"/>
      <c r="G1023" s="6">
        <f>IF(AND(A1023="",B1023=""),"",IF(COUNTIFS($A$2:$A$2001,A1023,$B$2:$B$2001,B1023)&gt;1,"DUPLICADO","OK"))</f>
      </c>
      <c r="H1023" s="6">
        <f>IF(COUNTA(A1023:F1023)=0,"",IF(AND(A1023&lt;&gt;"",B1023&lt;&gt;"",E1023&lt;&gt;""),"OK","ERRO: faltam "&amp;IF(A1023="","Conta; ","")&amp;IF(B1023="","Oportunidade; ","")&amp;IF(E1023="","Novo gerente; ","")))</f>
      </c>
      <c r="I1023" s="6">
        <f>IF(COUNTA(A1023:F1023)=0,"",IF(AND(G1023="OK",H1023="OK"),"OK","REVISAR"))</f>
      </c>
    </row>
    <row r="1024">
      <c r="A1024" s="5"/>
      <c r="B1024" s="5"/>
      <c r="C1024" s="4"/>
      <c r="D1024" s="4"/>
      <c r="E1024" s="5"/>
      <c r="F1024" s="4"/>
      <c r="G1024" s="6">
        <f>IF(AND(A1024="",B1024=""),"",IF(COUNTIFS($A$2:$A$2001,A1024,$B$2:$B$2001,B1024)&gt;1,"DUPLICADO","OK"))</f>
      </c>
      <c r="H1024" s="6">
        <f>IF(COUNTA(A1024:F1024)=0,"",IF(AND(A1024&lt;&gt;"",B1024&lt;&gt;"",E1024&lt;&gt;""),"OK","ERRO: faltam "&amp;IF(A1024="","Conta; ","")&amp;IF(B1024="","Oportunidade; ","")&amp;IF(E1024="","Novo gerente; ","")))</f>
      </c>
      <c r="I1024" s="6">
        <f>IF(COUNTA(A1024:F1024)=0,"",IF(AND(G1024="OK",H1024="OK"),"OK","REVISAR"))</f>
      </c>
    </row>
    <row r="1025">
      <c r="A1025" s="5"/>
      <c r="B1025" s="5"/>
      <c r="C1025" s="4"/>
      <c r="D1025" s="4"/>
      <c r="E1025" s="5"/>
      <c r="F1025" s="4"/>
      <c r="G1025" s="6">
        <f>IF(AND(A1025="",B1025=""),"",IF(COUNTIFS($A$2:$A$2001,A1025,$B$2:$B$2001,B1025)&gt;1,"DUPLICADO","OK"))</f>
      </c>
      <c r="H1025" s="6">
        <f>IF(COUNTA(A1025:F1025)=0,"",IF(AND(A1025&lt;&gt;"",B1025&lt;&gt;"",E1025&lt;&gt;""),"OK","ERRO: faltam "&amp;IF(A1025="","Conta; ","")&amp;IF(B1025="","Oportunidade; ","")&amp;IF(E1025="","Novo gerente; ","")))</f>
      </c>
      <c r="I1025" s="6">
        <f>IF(COUNTA(A1025:F1025)=0,"",IF(AND(G1025="OK",H1025="OK"),"OK","REVISAR"))</f>
      </c>
    </row>
    <row r="1026">
      <c r="A1026" s="5"/>
      <c r="B1026" s="5"/>
      <c r="C1026" s="4"/>
      <c r="D1026" s="4"/>
      <c r="E1026" s="5"/>
      <c r="F1026" s="4"/>
      <c r="G1026" s="6">
        <f>IF(AND(A1026="",B1026=""),"",IF(COUNTIFS($A$2:$A$2001,A1026,$B$2:$B$2001,B1026)&gt;1,"DUPLICADO","OK"))</f>
      </c>
      <c r="H1026" s="6">
        <f>IF(COUNTA(A1026:F1026)=0,"",IF(AND(A1026&lt;&gt;"",B1026&lt;&gt;"",E1026&lt;&gt;""),"OK","ERRO: faltam "&amp;IF(A1026="","Conta; ","")&amp;IF(B1026="","Oportunidade; ","")&amp;IF(E1026="","Novo gerente; ","")))</f>
      </c>
      <c r="I1026" s="6">
        <f>IF(COUNTA(A1026:F1026)=0,"",IF(AND(G1026="OK",H1026="OK"),"OK","REVISAR"))</f>
      </c>
    </row>
    <row r="1027">
      <c r="A1027" s="5"/>
      <c r="B1027" s="5"/>
      <c r="C1027" s="4"/>
      <c r="D1027" s="4"/>
      <c r="E1027" s="5"/>
      <c r="F1027" s="4"/>
      <c r="G1027" s="6">
        <f>IF(AND(A1027="",B1027=""),"",IF(COUNTIFS($A$2:$A$2001,A1027,$B$2:$B$2001,B1027)&gt;1,"DUPLICADO","OK"))</f>
      </c>
      <c r="H1027" s="6">
        <f>IF(COUNTA(A1027:F1027)=0,"",IF(AND(A1027&lt;&gt;"",B1027&lt;&gt;"",E1027&lt;&gt;""),"OK","ERRO: faltam "&amp;IF(A1027="","Conta; ","")&amp;IF(B1027="","Oportunidade; ","")&amp;IF(E1027="","Novo gerente; ","")))</f>
      </c>
      <c r="I1027" s="6">
        <f>IF(COUNTA(A1027:F1027)=0,"",IF(AND(G1027="OK",H1027="OK"),"OK","REVISAR"))</f>
      </c>
    </row>
    <row r="1028">
      <c r="A1028" s="5"/>
      <c r="B1028" s="5"/>
      <c r="C1028" s="4"/>
      <c r="D1028" s="4"/>
      <c r="E1028" s="5"/>
      <c r="F1028" s="4"/>
      <c r="G1028" s="6">
        <f>IF(AND(A1028="",B1028=""),"",IF(COUNTIFS($A$2:$A$2001,A1028,$B$2:$B$2001,B1028)&gt;1,"DUPLICADO","OK"))</f>
      </c>
      <c r="H1028" s="6">
        <f>IF(COUNTA(A1028:F1028)=0,"",IF(AND(A1028&lt;&gt;"",B1028&lt;&gt;"",E1028&lt;&gt;""),"OK","ERRO: faltam "&amp;IF(A1028="","Conta; ","")&amp;IF(B1028="","Oportunidade; ","")&amp;IF(E1028="","Novo gerente; ","")))</f>
      </c>
      <c r="I1028" s="6">
        <f>IF(COUNTA(A1028:F1028)=0,"",IF(AND(G1028="OK",H1028="OK"),"OK","REVISAR"))</f>
      </c>
    </row>
    <row r="1029">
      <c r="A1029" s="5"/>
      <c r="B1029" s="5"/>
      <c r="C1029" s="4"/>
      <c r="D1029" s="4"/>
      <c r="E1029" s="5"/>
      <c r="F1029" s="4"/>
      <c r="G1029" s="6">
        <f>IF(AND(A1029="",B1029=""),"",IF(COUNTIFS($A$2:$A$2001,A1029,$B$2:$B$2001,B1029)&gt;1,"DUPLICADO","OK"))</f>
      </c>
      <c r="H1029" s="6">
        <f>IF(COUNTA(A1029:F1029)=0,"",IF(AND(A1029&lt;&gt;"",B1029&lt;&gt;"",E1029&lt;&gt;""),"OK","ERRO: faltam "&amp;IF(A1029="","Conta; ","")&amp;IF(B1029="","Oportunidade; ","")&amp;IF(E1029="","Novo gerente; ","")))</f>
      </c>
      <c r="I1029" s="6">
        <f>IF(COUNTA(A1029:F1029)=0,"",IF(AND(G1029="OK",H1029="OK"),"OK","REVISAR"))</f>
      </c>
    </row>
    <row r="1030">
      <c r="A1030" s="5"/>
      <c r="B1030" s="5"/>
      <c r="C1030" s="4"/>
      <c r="D1030" s="4"/>
      <c r="E1030" s="5"/>
      <c r="F1030" s="4"/>
      <c r="G1030" s="6">
        <f>IF(AND(A1030="",B1030=""),"",IF(COUNTIFS($A$2:$A$2001,A1030,$B$2:$B$2001,B1030)&gt;1,"DUPLICADO","OK"))</f>
      </c>
      <c r="H1030" s="6">
        <f>IF(COUNTA(A1030:F1030)=0,"",IF(AND(A1030&lt;&gt;"",B1030&lt;&gt;"",E1030&lt;&gt;""),"OK","ERRO: faltam "&amp;IF(A1030="","Conta; ","")&amp;IF(B1030="","Oportunidade; ","")&amp;IF(E1030="","Novo gerente; ","")))</f>
      </c>
      <c r="I1030" s="6">
        <f>IF(COUNTA(A1030:F1030)=0,"",IF(AND(G1030="OK",H1030="OK"),"OK","REVISAR"))</f>
      </c>
    </row>
    <row r="1031">
      <c r="A1031" s="5"/>
      <c r="B1031" s="5"/>
      <c r="C1031" s="4"/>
      <c r="D1031" s="4"/>
      <c r="E1031" s="5"/>
      <c r="F1031" s="4"/>
      <c r="G1031" s="6">
        <f>IF(AND(A1031="",B1031=""),"",IF(COUNTIFS($A$2:$A$2001,A1031,$B$2:$B$2001,B1031)&gt;1,"DUPLICADO","OK"))</f>
      </c>
      <c r="H1031" s="6">
        <f>IF(COUNTA(A1031:F1031)=0,"",IF(AND(A1031&lt;&gt;"",B1031&lt;&gt;"",E1031&lt;&gt;""),"OK","ERRO: faltam "&amp;IF(A1031="","Conta; ","")&amp;IF(B1031="","Oportunidade; ","")&amp;IF(E1031="","Novo gerente; ","")))</f>
      </c>
      <c r="I1031" s="6">
        <f>IF(COUNTA(A1031:F1031)=0,"",IF(AND(G1031="OK",H1031="OK"),"OK","REVISAR"))</f>
      </c>
    </row>
    <row r="1032">
      <c r="A1032" s="5"/>
      <c r="B1032" s="5"/>
      <c r="C1032" s="4"/>
      <c r="D1032" s="4"/>
      <c r="E1032" s="5"/>
      <c r="F1032" s="4"/>
      <c r="G1032" s="6">
        <f>IF(AND(A1032="",B1032=""),"",IF(COUNTIFS($A$2:$A$2001,A1032,$B$2:$B$2001,B1032)&gt;1,"DUPLICADO","OK"))</f>
      </c>
      <c r="H1032" s="6">
        <f>IF(COUNTA(A1032:F1032)=0,"",IF(AND(A1032&lt;&gt;"",B1032&lt;&gt;"",E1032&lt;&gt;""),"OK","ERRO: faltam "&amp;IF(A1032="","Conta; ","")&amp;IF(B1032="","Oportunidade; ","")&amp;IF(E1032="","Novo gerente; ","")))</f>
      </c>
      <c r="I1032" s="6">
        <f>IF(COUNTA(A1032:F1032)=0,"",IF(AND(G1032="OK",H1032="OK"),"OK","REVISAR"))</f>
      </c>
    </row>
    <row r="1033">
      <c r="A1033" s="5"/>
      <c r="B1033" s="5"/>
      <c r="C1033" s="4"/>
      <c r="D1033" s="4"/>
      <c r="E1033" s="5"/>
      <c r="F1033" s="4"/>
      <c r="G1033" s="6">
        <f>IF(AND(A1033="",B1033=""),"",IF(COUNTIFS($A$2:$A$2001,A1033,$B$2:$B$2001,B1033)&gt;1,"DUPLICADO","OK"))</f>
      </c>
      <c r="H1033" s="6">
        <f>IF(COUNTA(A1033:F1033)=0,"",IF(AND(A1033&lt;&gt;"",B1033&lt;&gt;"",E1033&lt;&gt;""),"OK","ERRO: faltam "&amp;IF(A1033="","Conta; ","")&amp;IF(B1033="","Oportunidade; ","")&amp;IF(E1033="","Novo gerente; ","")))</f>
      </c>
      <c r="I1033" s="6">
        <f>IF(COUNTA(A1033:F1033)=0,"",IF(AND(G1033="OK",H1033="OK"),"OK","REVISAR"))</f>
      </c>
    </row>
    <row r="1034">
      <c r="A1034" s="5"/>
      <c r="B1034" s="5"/>
      <c r="C1034" s="4"/>
      <c r="D1034" s="4"/>
      <c r="E1034" s="5"/>
      <c r="F1034" s="4"/>
      <c r="G1034" s="6">
        <f>IF(AND(A1034="",B1034=""),"",IF(COUNTIFS($A$2:$A$2001,A1034,$B$2:$B$2001,B1034)&gt;1,"DUPLICADO","OK"))</f>
      </c>
      <c r="H1034" s="6">
        <f>IF(COUNTA(A1034:F1034)=0,"",IF(AND(A1034&lt;&gt;"",B1034&lt;&gt;"",E1034&lt;&gt;""),"OK","ERRO: faltam "&amp;IF(A1034="","Conta; ","")&amp;IF(B1034="","Oportunidade; ","")&amp;IF(E1034="","Novo gerente; ","")))</f>
      </c>
      <c r="I1034" s="6">
        <f>IF(COUNTA(A1034:F1034)=0,"",IF(AND(G1034="OK",H1034="OK"),"OK","REVISAR"))</f>
      </c>
    </row>
    <row r="1035">
      <c r="A1035" s="5"/>
      <c r="B1035" s="5"/>
      <c r="C1035" s="4"/>
      <c r="D1035" s="4"/>
      <c r="E1035" s="5"/>
      <c r="F1035" s="4"/>
      <c r="G1035" s="6">
        <f>IF(AND(A1035="",B1035=""),"",IF(COUNTIFS($A$2:$A$2001,A1035,$B$2:$B$2001,B1035)&gt;1,"DUPLICADO","OK"))</f>
      </c>
      <c r="H1035" s="6">
        <f>IF(COUNTA(A1035:F1035)=0,"",IF(AND(A1035&lt;&gt;"",B1035&lt;&gt;"",E1035&lt;&gt;""),"OK","ERRO: faltam "&amp;IF(A1035="","Conta; ","")&amp;IF(B1035="","Oportunidade; ","")&amp;IF(E1035="","Novo gerente; ","")))</f>
      </c>
      <c r="I1035" s="6">
        <f>IF(COUNTA(A1035:F1035)=0,"",IF(AND(G1035="OK",H1035="OK"),"OK","REVISAR"))</f>
      </c>
    </row>
    <row r="1036">
      <c r="A1036" s="5"/>
      <c r="B1036" s="5"/>
      <c r="C1036" s="4"/>
      <c r="D1036" s="4"/>
      <c r="E1036" s="5"/>
      <c r="F1036" s="4"/>
      <c r="G1036" s="6">
        <f>IF(AND(A1036="",B1036=""),"",IF(COUNTIFS($A$2:$A$2001,A1036,$B$2:$B$2001,B1036)&gt;1,"DUPLICADO","OK"))</f>
      </c>
      <c r="H1036" s="6">
        <f>IF(COUNTA(A1036:F1036)=0,"",IF(AND(A1036&lt;&gt;"",B1036&lt;&gt;"",E1036&lt;&gt;""),"OK","ERRO: faltam "&amp;IF(A1036="","Conta; ","")&amp;IF(B1036="","Oportunidade; ","")&amp;IF(E1036="","Novo gerente; ","")))</f>
      </c>
      <c r="I1036" s="6">
        <f>IF(COUNTA(A1036:F1036)=0,"",IF(AND(G1036="OK",H1036="OK"),"OK","REVISAR"))</f>
      </c>
    </row>
    <row r="1037">
      <c r="A1037" s="5"/>
      <c r="B1037" s="5"/>
      <c r="C1037" s="4"/>
      <c r="D1037" s="4"/>
      <c r="E1037" s="5"/>
      <c r="F1037" s="4"/>
      <c r="G1037" s="6">
        <f>IF(AND(A1037="",B1037=""),"",IF(COUNTIFS($A$2:$A$2001,A1037,$B$2:$B$2001,B1037)&gt;1,"DUPLICADO","OK"))</f>
      </c>
      <c r="H1037" s="6">
        <f>IF(COUNTA(A1037:F1037)=0,"",IF(AND(A1037&lt;&gt;"",B1037&lt;&gt;"",E1037&lt;&gt;""),"OK","ERRO: faltam "&amp;IF(A1037="","Conta; ","")&amp;IF(B1037="","Oportunidade; ","")&amp;IF(E1037="","Novo gerente; ","")))</f>
      </c>
      <c r="I1037" s="6">
        <f>IF(COUNTA(A1037:F1037)=0,"",IF(AND(G1037="OK",H1037="OK"),"OK","REVISAR"))</f>
      </c>
    </row>
    <row r="1038">
      <c r="A1038" s="5"/>
      <c r="B1038" s="5"/>
      <c r="C1038" s="4"/>
      <c r="D1038" s="4"/>
      <c r="E1038" s="5"/>
      <c r="F1038" s="4"/>
      <c r="G1038" s="6">
        <f>IF(AND(A1038="",B1038=""),"",IF(COUNTIFS($A$2:$A$2001,A1038,$B$2:$B$2001,B1038)&gt;1,"DUPLICADO","OK"))</f>
      </c>
      <c r="H1038" s="6">
        <f>IF(COUNTA(A1038:F1038)=0,"",IF(AND(A1038&lt;&gt;"",B1038&lt;&gt;"",E1038&lt;&gt;""),"OK","ERRO: faltam "&amp;IF(A1038="","Conta; ","")&amp;IF(B1038="","Oportunidade; ","")&amp;IF(E1038="","Novo gerente; ","")))</f>
      </c>
      <c r="I1038" s="6">
        <f>IF(COUNTA(A1038:F1038)=0,"",IF(AND(G1038="OK",H1038="OK"),"OK","REVISAR"))</f>
      </c>
    </row>
    <row r="1039">
      <c r="A1039" s="5"/>
      <c r="B1039" s="5"/>
      <c r="C1039" s="4"/>
      <c r="D1039" s="4"/>
      <c r="E1039" s="5"/>
      <c r="F1039" s="4"/>
      <c r="G1039" s="6">
        <f>IF(AND(A1039="",B1039=""),"",IF(COUNTIFS($A$2:$A$2001,A1039,$B$2:$B$2001,B1039)&gt;1,"DUPLICADO","OK"))</f>
      </c>
      <c r="H1039" s="6">
        <f>IF(COUNTA(A1039:F1039)=0,"",IF(AND(A1039&lt;&gt;"",B1039&lt;&gt;"",E1039&lt;&gt;""),"OK","ERRO: faltam "&amp;IF(A1039="","Conta; ","")&amp;IF(B1039="","Oportunidade; ","")&amp;IF(E1039="","Novo gerente; ","")))</f>
      </c>
      <c r="I1039" s="6">
        <f>IF(COUNTA(A1039:F1039)=0,"",IF(AND(G1039="OK",H1039="OK"),"OK","REVISAR"))</f>
      </c>
    </row>
    <row r="1040">
      <c r="A1040" s="5"/>
      <c r="B1040" s="5"/>
      <c r="C1040" s="4"/>
      <c r="D1040" s="4"/>
      <c r="E1040" s="5"/>
      <c r="F1040" s="4"/>
      <c r="G1040" s="6">
        <f>IF(AND(A1040="",B1040=""),"",IF(COUNTIFS($A$2:$A$2001,A1040,$B$2:$B$2001,B1040)&gt;1,"DUPLICADO","OK"))</f>
      </c>
      <c r="H1040" s="6">
        <f>IF(COUNTA(A1040:F1040)=0,"",IF(AND(A1040&lt;&gt;"",B1040&lt;&gt;"",E1040&lt;&gt;""),"OK","ERRO: faltam "&amp;IF(A1040="","Conta; ","")&amp;IF(B1040="","Oportunidade; ","")&amp;IF(E1040="","Novo gerente; ","")))</f>
      </c>
      <c r="I1040" s="6">
        <f>IF(COUNTA(A1040:F1040)=0,"",IF(AND(G1040="OK",H1040="OK"),"OK","REVISAR"))</f>
      </c>
    </row>
    <row r="1041">
      <c r="A1041" s="5"/>
      <c r="B1041" s="5"/>
      <c r="C1041" s="4"/>
      <c r="D1041" s="4"/>
      <c r="E1041" s="5"/>
      <c r="F1041" s="4"/>
      <c r="G1041" s="6">
        <f>IF(AND(A1041="",B1041=""),"",IF(COUNTIFS($A$2:$A$2001,A1041,$B$2:$B$2001,B1041)&gt;1,"DUPLICADO","OK"))</f>
      </c>
      <c r="H1041" s="6">
        <f>IF(COUNTA(A1041:F1041)=0,"",IF(AND(A1041&lt;&gt;"",B1041&lt;&gt;"",E1041&lt;&gt;""),"OK","ERRO: faltam "&amp;IF(A1041="","Conta; ","")&amp;IF(B1041="","Oportunidade; ","")&amp;IF(E1041="","Novo gerente; ","")))</f>
      </c>
      <c r="I1041" s="6">
        <f>IF(COUNTA(A1041:F1041)=0,"",IF(AND(G1041="OK",H1041="OK"),"OK","REVISAR"))</f>
      </c>
    </row>
    <row r="1042">
      <c r="A1042" s="5"/>
      <c r="B1042" s="5"/>
      <c r="C1042" s="4"/>
      <c r="D1042" s="4"/>
      <c r="E1042" s="5"/>
      <c r="F1042" s="4"/>
      <c r="G1042" s="6">
        <f>IF(AND(A1042="",B1042=""),"",IF(COUNTIFS($A$2:$A$2001,A1042,$B$2:$B$2001,B1042)&gt;1,"DUPLICADO","OK"))</f>
      </c>
      <c r="H1042" s="6">
        <f>IF(COUNTA(A1042:F1042)=0,"",IF(AND(A1042&lt;&gt;"",B1042&lt;&gt;"",E1042&lt;&gt;""),"OK","ERRO: faltam "&amp;IF(A1042="","Conta; ","")&amp;IF(B1042="","Oportunidade; ","")&amp;IF(E1042="","Novo gerente; ","")))</f>
      </c>
      <c r="I1042" s="6">
        <f>IF(COUNTA(A1042:F1042)=0,"",IF(AND(G1042="OK",H1042="OK"),"OK","REVISAR"))</f>
      </c>
    </row>
    <row r="1043">
      <c r="A1043" s="5"/>
      <c r="B1043" s="5"/>
      <c r="C1043" s="4"/>
      <c r="D1043" s="4"/>
      <c r="E1043" s="5"/>
      <c r="F1043" s="4"/>
      <c r="G1043" s="6">
        <f>IF(AND(A1043="",B1043=""),"",IF(COUNTIFS($A$2:$A$2001,A1043,$B$2:$B$2001,B1043)&gt;1,"DUPLICADO","OK"))</f>
      </c>
      <c r="H1043" s="6">
        <f>IF(COUNTA(A1043:F1043)=0,"",IF(AND(A1043&lt;&gt;"",B1043&lt;&gt;"",E1043&lt;&gt;""),"OK","ERRO: faltam "&amp;IF(A1043="","Conta; ","")&amp;IF(B1043="","Oportunidade; ","")&amp;IF(E1043="","Novo gerente; ","")))</f>
      </c>
      <c r="I1043" s="6">
        <f>IF(COUNTA(A1043:F1043)=0,"",IF(AND(G1043="OK",H1043="OK"),"OK","REVISAR"))</f>
      </c>
    </row>
    <row r="1044">
      <c r="A1044" s="5"/>
      <c r="B1044" s="5"/>
      <c r="C1044" s="4"/>
      <c r="D1044" s="4"/>
      <c r="E1044" s="5"/>
      <c r="F1044" s="4"/>
      <c r="G1044" s="6">
        <f>IF(AND(A1044="",B1044=""),"",IF(COUNTIFS($A$2:$A$2001,A1044,$B$2:$B$2001,B1044)&gt;1,"DUPLICADO","OK"))</f>
      </c>
      <c r="H1044" s="6">
        <f>IF(COUNTA(A1044:F1044)=0,"",IF(AND(A1044&lt;&gt;"",B1044&lt;&gt;"",E1044&lt;&gt;""),"OK","ERRO: faltam "&amp;IF(A1044="","Conta; ","")&amp;IF(B1044="","Oportunidade; ","")&amp;IF(E1044="","Novo gerente; ","")))</f>
      </c>
      <c r="I1044" s="6">
        <f>IF(COUNTA(A1044:F1044)=0,"",IF(AND(G1044="OK",H1044="OK"),"OK","REVISAR"))</f>
      </c>
    </row>
    <row r="1045">
      <c r="A1045" s="5"/>
      <c r="B1045" s="5"/>
      <c r="C1045" s="4"/>
      <c r="D1045" s="4"/>
      <c r="E1045" s="5"/>
      <c r="F1045" s="4"/>
      <c r="G1045" s="6">
        <f>IF(AND(A1045="",B1045=""),"",IF(COUNTIFS($A$2:$A$2001,A1045,$B$2:$B$2001,B1045)&gt;1,"DUPLICADO","OK"))</f>
      </c>
      <c r="H1045" s="6">
        <f>IF(COUNTA(A1045:F1045)=0,"",IF(AND(A1045&lt;&gt;"",B1045&lt;&gt;"",E1045&lt;&gt;""),"OK","ERRO: faltam "&amp;IF(A1045="","Conta; ","")&amp;IF(B1045="","Oportunidade; ","")&amp;IF(E1045="","Novo gerente; ","")))</f>
      </c>
      <c r="I1045" s="6">
        <f>IF(COUNTA(A1045:F1045)=0,"",IF(AND(G1045="OK",H1045="OK"),"OK","REVISAR"))</f>
      </c>
    </row>
    <row r="1046">
      <c r="A1046" s="5"/>
      <c r="B1046" s="5"/>
      <c r="C1046" s="4"/>
      <c r="D1046" s="4"/>
      <c r="E1046" s="5"/>
      <c r="F1046" s="4"/>
      <c r="G1046" s="6">
        <f>IF(AND(A1046="",B1046=""),"",IF(COUNTIFS($A$2:$A$2001,A1046,$B$2:$B$2001,B1046)&gt;1,"DUPLICADO","OK"))</f>
      </c>
      <c r="H1046" s="6">
        <f>IF(COUNTA(A1046:F1046)=0,"",IF(AND(A1046&lt;&gt;"",B1046&lt;&gt;"",E1046&lt;&gt;""),"OK","ERRO: faltam "&amp;IF(A1046="","Conta; ","")&amp;IF(B1046="","Oportunidade; ","")&amp;IF(E1046="","Novo gerente; ","")))</f>
      </c>
      <c r="I1046" s="6">
        <f>IF(COUNTA(A1046:F1046)=0,"",IF(AND(G1046="OK",H1046="OK"),"OK","REVISAR"))</f>
      </c>
    </row>
    <row r="1047">
      <c r="A1047" s="5"/>
      <c r="B1047" s="5"/>
      <c r="C1047" s="4"/>
      <c r="D1047" s="4"/>
      <c r="E1047" s="5"/>
      <c r="F1047" s="4"/>
      <c r="G1047" s="6">
        <f>IF(AND(A1047="",B1047=""),"",IF(COUNTIFS($A$2:$A$2001,A1047,$B$2:$B$2001,B1047)&gt;1,"DUPLICADO","OK"))</f>
      </c>
      <c r="H1047" s="6">
        <f>IF(COUNTA(A1047:F1047)=0,"",IF(AND(A1047&lt;&gt;"",B1047&lt;&gt;"",E1047&lt;&gt;""),"OK","ERRO: faltam "&amp;IF(A1047="","Conta; ","")&amp;IF(B1047="","Oportunidade; ","")&amp;IF(E1047="","Novo gerente; ","")))</f>
      </c>
      <c r="I1047" s="6">
        <f>IF(COUNTA(A1047:F1047)=0,"",IF(AND(G1047="OK",H1047="OK"),"OK","REVISAR"))</f>
      </c>
    </row>
    <row r="1048">
      <c r="A1048" s="5"/>
      <c r="B1048" s="5"/>
      <c r="C1048" s="4"/>
      <c r="D1048" s="4"/>
      <c r="E1048" s="5"/>
      <c r="F1048" s="4"/>
      <c r="G1048" s="6">
        <f>IF(AND(A1048="",B1048=""),"",IF(COUNTIFS($A$2:$A$2001,A1048,$B$2:$B$2001,B1048)&gt;1,"DUPLICADO","OK"))</f>
      </c>
      <c r="H1048" s="6">
        <f>IF(COUNTA(A1048:F1048)=0,"",IF(AND(A1048&lt;&gt;"",B1048&lt;&gt;"",E1048&lt;&gt;""),"OK","ERRO: faltam "&amp;IF(A1048="","Conta; ","")&amp;IF(B1048="","Oportunidade; ","")&amp;IF(E1048="","Novo gerente; ","")))</f>
      </c>
      <c r="I1048" s="6">
        <f>IF(COUNTA(A1048:F1048)=0,"",IF(AND(G1048="OK",H1048="OK"),"OK","REVISAR"))</f>
      </c>
    </row>
    <row r="1049">
      <c r="A1049" s="5"/>
      <c r="B1049" s="5"/>
      <c r="C1049" s="4"/>
      <c r="D1049" s="4"/>
      <c r="E1049" s="5"/>
      <c r="F1049" s="4"/>
      <c r="G1049" s="6">
        <f>IF(AND(A1049="",B1049=""),"",IF(COUNTIFS($A$2:$A$2001,A1049,$B$2:$B$2001,B1049)&gt;1,"DUPLICADO","OK"))</f>
      </c>
      <c r="H1049" s="6">
        <f>IF(COUNTA(A1049:F1049)=0,"",IF(AND(A1049&lt;&gt;"",B1049&lt;&gt;"",E1049&lt;&gt;""),"OK","ERRO: faltam "&amp;IF(A1049="","Conta; ","")&amp;IF(B1049="","Oportunidade; ","")&amp;IF(E1049="","Novo gerente; ","")))</f>
      </c>
      <c r="I1049" s="6">
        <f>IF(COUNTA(A1049:F1049)=0,"",IF(AND(G1049="OK",H1049="OK"),"OK","REVISAR"))</f>
      </c>
    </row>
    <row r="1050">
      <c r="A1050" s="5"/>
      <c r="B1050" s="5"/>
      <c r="C1050" s="4"/>
      <c r="D1050" s="4"/>
      <c r="E1050" s="5"/>
      <c r="F1050" s="4"/>
      <c r="G1050" s="6">
        <f>IF(AND(A1050="",B1050=""),"",IF(COUNTIFS($A$2:$A$2001,A1050,$B$2:$B$2001,B1050)&gt;1,"DUPLICADO","OK"))</f>
      </c>
      <c r="H1050" s="6">
        <f>IF(COUNTA(A1050:F1050)=0,"",IF(AND(A1050&lt;&gt;"",B1050&lt;&gt;"",E1050&lt;&gt;""),"OK","ERRO: faltam "&amp;IF(A1050="","Conta; ","")&amp;IF(B1050="","Oportunidade; ","")&amp;IF(E1050="","Novo gerente; ","")))</f>
      </c>
      <c r="I1050" s="6">
        <f>IF(COUNTA(A1050:F1050)=0,"",IF(AND(G1050="OK",H1050="OK"),"OK","REVISAR"))</f>
      </c>
    </row>
    <row r="1051">
      <c r="A1051" s="5"/>
      <c r="B1051" s="5"/>
      <c r="C1051" s="4"/>
      <c r="D1051" s="4"/>
      <c r="E1051" s="5"/>
      <c r="F1051" s="4"/>
      <c r="G1051" s="6">
        <f>IF(AND(A1051="",B1051=""),"",IF(COUNTIFS($A$2:$A$2001,A1051,$B$2:$B$2001,B1051)&gt;1,"DUPLICADO","OK"))</f>
      </c>
      <c r="H1051" s="6">
        <f>IF(COUNTA(A1051:F1051)=0,"",IF(AND(A1051&lt;&gt;"",B1051&lt;&gt;"",E1051&lt;&gt;""),"OK","ERRO: faltam "&amp;IF(A1051="","Conta; ","")&amp;IF(B1051="","Oportunidade; ","")&amp;IF(E1051="","Novo gerente; ","")))</f>
      </c>
      <c r="I1051" s="6">
        <f>IF(COUNTA(A1051:F1051)=0,"",IF(AND(G1051="OK",H1051="OK"),"OK","REVISAR"))</f>
      </c>
    </row>
    <row r="1052">
      <c r="A1052" s="5"/>
      <c r="B1052" s="5"/>
      <c r="C1052" s="4"/>
      <c r="D1052" s="4"/>
      <c r="E1052" s="5"/>
      <c r="F1052" s="4"/>
      <c r="G1052" s="6">
        <f>IF(AND(A1052="",B1052=""),"",IF(COUNTIFS($A$2:$A$2001,A1052,$B$2:$B$2001,B1052)&gt;1,"DUPLICADO","OK"))</f>
      </c>
      <c r="H1052" s="6">
        <f>IF(COUNTA(A1052:F1052)=0,"",IF(AND(A1052&lt;&gt;"",B1052&lt;&gt;"",E1052&lt;&gt;""),"OK","ERRO: faltam "&amp;IF(A1052="","Conta; ","")&amp;IF(B1052="","Oportunidade; ","")&amp;IF(E1052="","Novo gerente; ","")))</f>
      </c>
      <c r="I1052" s="6">
        <f>IF(COUNTA(A1052:F1052)=0,"",IF(AND(G1052="OK",H1052="OK"),"OK","REVISAR"))</f>
      </c>
    </row>
    <row r="1053">
      <c r="A1053" s="5"/>
      <c r="B1053" s="5"/>
      <c r="C1053" s="4"/>
      <c r="D1053" s="4"/>
      <c r="E1053" s="5"/>
      <c r="F1053" s="4"/>
      <c r="G1053" s="6">
        <f>IF(AND(A1053="",B1053=""),"",IF(COUNTIFS($A$2:$A$2001,A1053,$B$2:$B$2001,B1053)&gt;1,"DUPLICADO","OK"))</f>
      </c>
      <c r="H1053" s="6">
        <f>IF(COUNTA(A1053:F1053)=0,"",IF(AND(A1053&lt;&gt;"",B1053&lt;&gt;"",E1053&lt;&gt;""),"OK","ERRO: faltam "&amp;IF(A1053="","Conta; ","")&amp;IF(B1053="","Oportunidade; ","")&amp;IF(E1053="","Novo gerente; ","")))</f>
      </c>
      <c r="I1053" s="6">
        <f>IF(COUNTA(A1053:F1053)=0,"",IF(AND(G1053="OK",H1053="OK"),"OK","REVISAR"))</f>
      </c>
    </row>
    <row r="1054">
      <c r="A1054" s="5"/>
      <c r="B1054" s="5"/>
      <c r="C1054" s="4"/>
      <c r="D1054" s="4"/>
      <c r="E1054" s="5"/>
      <c r="F1054" s="4"/>
      <c r="G1054" s="6">
        <f>IF(AND(A1054="",B1054=""),"",IF(COUNTIFS($A$2:$A$2001,A1054,$B$2:$B$2001,B1054)&gt;1,"DUPLICADO","OK"))</f>
      </c>
      <c r="H1054" s="6">
        <f>IF(COUNTA(A1054:F1054)=0,"",IF(AND(A1054&lt;&gt;"",B1054&lt;&gt;"",E1054&lt;&gt;""),"OK","ERRO: faltam "&amp;IF(A1054="","Conta; ","")&amp;IF(B1054="","Oportunidade; ","")&amp;IF(E1054="","Novo gerente; ","")))</f>
      </c>
      <c r="I1054" s="6">
        <f>IF(COUNTA(A1054:F1054)=0,"",IF(AND(G1054="OK",H1054="OK"),"OK","REVISAR"))</f>
      </c>
    </row>
    <row r="1055">
      <c r="A1055" s="5"/>
      <c r="B1055" s="5"/>
      <c r="C1055" s="4"/>
      <c r="D1055" s="4"/>
      <c r="E1055" s="5"/>
      <c r="F1055" s="4"/>
      <c r="G1055" s="6">
        <f>IF(AND(A1055="",B1055=""),"",IF(COUNTIFS($A$2:$A$2001,A1055,$B$2:$B$2001,B1055)&gt;1,"DUPLICADO","OK"))</f>
      </c>
      <c r="H1055" s="6">
        <f>IF(COUNTA(A1055:F1055)=0,"",IF(AND(A1055&lt;&gt;"",B1055&lt;&gt;"",E1055&lt;&gt;""),"OK","ERRO: faltam "&amp;IF(A1055="","Conta; ","")&amp;IF(B1055="","Oportunidade; ","")&amp;IF(E1055="","Novo gerente; ","")))</f>
      </c>
      <c r="I1055" s="6">
        <f>IF(COUNTA(A1055:F1055)=0,"",IF(AND(G1055="OK",H1055="OK"),"OK","REVISAR"))</f>
      </c>
    </row>
    <row r="1056">
      <c r="A1056" s="5"/>
      <c r="B1056" s="5"/>
      <c r="C1056" s="4"/>
      <c r="D1056" s="4"/>
      <c r="E1056" s="5"/>
      <c r="F1056" s="4"/>
      <c r="G1056" s="6">
        <f>IF(AND(A1056="",B1056=""),"",IF(COUNTIFS($A$2:$A$2001,A1056,$B$2:$B$2001,B1056)&gt;1,"DUPLICADO","OK"))</f>
      </c>
      <c r="H1056" s="6">
        <f>IF(COUNTA(A1056:F1056)=0,"",IF(AND(A1056&lt;&gt;"",B1056&lt;&gt;"",E1056&lt;&gt;""),"OK","ERRO: faltam "&amp;IF(A1056="","Conta; ","")&amp;IF(B1056="","Oportunidade; ","")&amp;IF(E1056="","Novo gerente; ","")))</f>
      </c>
      <c r="I1056" s="6">
        <f>IF(COUNTA(A1056:F1056)=0,"",IF(AND(G1056="OK",H1056="OK"),"OK","REVISAR"))</f>
      </c>
    </row>
    <row r="1057">
      <c r="A1057" s="5"/>
      <c r="B1057" s="5"/>
      <c r="C1057" s="4"/>
      <c r="D1057" s="4"/>
      <c r="E1057" s="5"/>
      <c r="F1057" s="4"/>
      <c r="G1057" s="6">
        <f>IF(AND(A1057="",B1057=""),"",IF(COUNTIFS($A$2:$A$2001,A1057,$B$2:$B$2001,B1057)&gt;1,"DUPLICADO","OK"))</f>
      </c>
      <c r="H1057" s="6">
        <f>IF(COUNTA(A1057:F1057)=0,"",IF(AND(A1057&lt;&gt;"",B1057&lt;&gt;"",E1057&lt;&gt;""),"OK","ERRO: faltam "&amp;IF(A1057="","Conta; ","")&amp;IF(B1057="","Oportunidade; ","")&amp;IF(E1057="","Novo gerente; ","")))</f>
      </c>
      <c r="I1057" s="6">
        <f>IF(COUNTA(A1057:F1057)=0,"",IF(AND(G1057="OK",H1057="OK"),"OK","REVISAR"))</f>
      </c>
    </row>
    <row r="1058">
      <c r="A1058" s="5"/>
      <c r="B1058" s="5"/>
      <c r="C1058" s="4"/>
      <c r="D1058" s="4"/>
      <c r="E1058" s="5"/>
      <c r="F1058" s="4"/>
      <c r="G1058" s="6">
        <f>IF(AND(A1058="",B1058=""),"",IF(COUNTIFS($A$2:$A$2001,A1058,$B$2:$B$2001,B1058)&gt;1,"DUPLICADO","OK"))</f>
      </c>
      <c r="H1058" s="6">
        <f>IF(COUNTA(A1058:F1058)=0,"",IF(AND(A1058&lt;&gt;"",B1058&lt;&gt;"",E1058&lt;&gt;""),"OK","ERRO: faltam "&amp;IF(A1058="","Conta; ","")&amp;IF(B1058="","Oportunidade; ","")&amp;IF(E1058="","Novo gerente; ","")))</f>
      </c>
      <c r="I1058" s="6">
        <f>IF(COUNTA(A1058:F1058)=0,"",IF(AND(G1058="OK",H1058="OK"),"OK","REVISAR"))</f>
      </c>
    </row>
    <row r="1059">
      <c r="A1059" s="5"/>
      <c r="B1059" s="5"/>
      <c r="C1059" s="4"/>
      <c r="D1059" s="4"/>
      <c r="E1059" s="5"/>
      <c r="F1059" s="4"/>
      <c r="G1059" s="6">
        <f>IF(AND(A1059="",B1059=""),"",IF(COUNTIFS($A$2:$A$2001,A1059,$B$2:$B$2001,B1059)&gt;1,"DUPLICADO","OK"))</f>
      </c>
      <c r="H1059" s="6">
        <f>IF(COUNTA(A1059:F1059)=0,"",IF(AND(A1059&lt;&gt;"",B1059&lt;&gt;"",E1059&lt;&gt;""),"OK","ERRO: faltam "&amp;IF(A1059="","Conta; ","")&amp;IF(B1059="","Oportunidade; ","")&amp;IF(E1059="","Novo gerente; ","")))</f>
      </c>
      <c r="I1059" s="6">
        <f>IF(COUNTA(A1059:F1059)=0,"",IF(AND(G1059="OK",H1059="OK"),"OK","REVISAR"))</f>
      </c>
    </row>
    <row r="1060">
      <c r="A1060" s="5"/>
      <c r="B1060" s="5"/>
      <c r="C1060" s="4"/>
      <c r="D1060" s="4"/>
      <c r="E1060" s="5"/>
      <c r="F1060" s="4"/>
      <c r="G1060" s="6">
        <f>IF(AND(A1060="",B1060=""),"",IF(COUNTIFS($A$2:$A$2001,A1060,$B$2:$B$2001,B1060)&gt;1,"DUPLICADO","OK"))</f>
      </c>
      <c r="H1060" s="6">
        <f>IF(COUNTA(A1060:F1060)=0,"",IF(AND(A1060&lt;&gt;"",B1060&lt;&gt;"",E1060&lt;&gt;""),"OK","ERRO: faltam "&amp;IF(A1060="","Conta; ","")&amp;IF(B1060="","Oportunidade; ","")&amp;IF(E1060="","Novo gerente; ","")))</f>
      </c>
      <c r="I1060" s="6">
        <f>IF(COUNTA(A1060:F1060)=0,"",IF(AND(G1060="OK",H1060="OK"),"OK","REVISAR"))</f>
      </c>
    </row>
    <row r="1061">
      <c r="A1061" s="5"/>
      <c r="B1061" s="5"/>
      <c r="C1061" s="4"/>
      <c r="D1061" s="4"/>
      <c r="E1061" s="5"/>
      <c r="F1061" s="4"/>
      <c r="G1061" s="6">
        <f>IF(AND(A1061="",B1061=""),"",IF(COUNTIFS($A$2:$A$2001,A1061,$B$2:$B$2001,B1061)&gt;1,"DUPLICADO","OK"))</f>
      </c>
      <c r="H1061" s="6">
        <f>IF(COUNTA(A1061:F1061)=0,"",IF(AND(A1061&lt;&gt;"",B1061&lt;&gt;"",E1061&lt;&gt;""),"OK","ERRO: faltam "&amp;IF(A1061="","Conta; ","")&amp;IF(B1061="","Oportunidade; ","")&amp;IF(E1061="","Novo gerente; ","")))</f>
      </c>
      <c r="I1061" s="6">
        <f>IF(COUNTA(A1061:F1061)=0,"",IF(AND(G1061="OK",H1061="OK"),"OK","REVISAR"))</f>
      </c>
    </row>
    <row r="1062">
      <c r="A1062" s="5"/>
      <c r="B1062" s="5"/>
      <c r="C1062" s="4"/>
      <c r="D1062" s="4"/>
      <c r="E1062" s="5"/>
      <c r="F1062" s="4"/>
      <c r="G1062" s="6">
        <f>IF(AND(A1062="",B1062=""),"",IF(COUNTIFS($A$2:$A$2001,A1062,$B$2:$B$2001,B1062)&gt;1,"DUPLICADO","OK"))</f>
      </c>
      <c r="H1062" s="6">
        <f>IF(COUNTA(A1062:F1062)=0,"",IF(AND(A1062&lt;&gt;"",B1062&lt;&gt;"",E1062&lt;&gt;""),"OK","ERRO: faltam "&amp;IF(A1062="","Conta; ","")&amp;IF(B1062="","Oportunidade; ","")&amp;IF(E1062="","Novo gerente; ","")))</f>
      </c>
      <c r="I1062" s="6">
        <f>IF(COUNTA(A1062:F1062)=0,"",IF(AND(G1062="OK",H1062="OK"),"OK","REVISAR"))</f>
      </c>
    </row>
    <row r="1063">
      <c r="A1063" s="5"/>
      <c r="B1063" s="5"/>
      <c r="C1063" s="4"/>
      <c r="D1063" s="4"/>
      <c r="E1063" s="5"/>
      <c r="F1063" s="4"/>
      <c r="G1063" s="6">
        <f>IF(AND(A1063="",B1063=""),"",IF(COUNTIFS($A$2:$A$2001,A1063,$B$2:$B$2001,B1063)&gt;1,"DUPLICADO","OK"))</f>
      </c>
      <c r="H1063" s="6">
        <f>IF(COUNTA(A1063:F1063)=0,"",IF(AND(A1063&lt;&gt;"",B1063&lt;&gt;"",E1063&lt;&gt;""),"OK","ERRO: faltam "&amp;IF(A1063="","Conta; ","")&amp;IF(B1063="","Oportunidade; ","")&amp;IF(E1063="","Novo gerente; ","")))</f>
      </c>
      <c r="I1063" s="6">
        <f>IF(COUNTA(A1063:F1063)=0,"",IF(AND(G1063="OK",H1063="OK"),"OK","REVISAR"))</f>
      </c>
    </row>
    <row r="1064">
      <c r="A1064" s="5"/>
      <c r="B1064" s="5"/>
      <c r="C1064" s="4"/>
      <c r="D1064" s="4"/>
      <c r="E1064" s="5"/>
      <c r="F1064" s="4"/>
      <c r="G1064" s="6">
        <f>IF(AND(A1064="",B1064=""),"",IF(COUNTIFS($A$2:$A$2001,A1064,$B$2:$B$2001,B1064)&gt;1,"DUPLICADO","OK"))</f>
      </c>
      <c r="H1064" s="6">
        <f>IF(COUNTA(A1064:F1064)=0,"",IF(AND(A1064&lt;&gt;"",B1064&lt;&gt;"",E1064&lt;&gt;""),"OK","ERRO: faltam "&amp;IF(A1064="","Conta; ","")&amp;IF(B1064="","Oportunidade; ","")&amp;IF(E1064="","Novo gerente; ","")))</f>
      </c>
      <c r="I1064" s="6">
        <f>IF(COUNTA(A1064:F1064)=0,"",IF(AND(G1064="OK",H1064="OK"),"OK","REVISAR"))</f>
      </c>
    </row>
    <row r="1065">
      <c r="A1065" s="5"/>
      <c r="B1065" s="5"/>
      <c r="C1065" s="4"/>
      <c r="D1065" s="4"/>
      <c r="E1065" s="5"/>
      <c r="F1065" s="4"/>
      <c r="G1065" s="6">
        <f>IF(AND(A1065="",B1065=""),"",IF(COUNTIFS($A$2:$A$2001,A1065,$B$2:$B$2001,B1065)&gt;1,"DUPLICADO","OK"))</f>
      </c>
      <c r="H1065" s="6">
        <f>IF(COUNTA(A1065:F1065)=0,"",IF(AND(A1065&lt;&gt;"",B1065&lt;&gt;"",E1065&lt;&gt;""),"OK","ERRO: faltam "&amp;IF(A1065="","Conta; ","")&amp;IF(B1065="","Oportunidade; ","")&amp;IF(E1065="","Novo gerente; ","")))</f>
      </c>
      <c r="I1065" s="6">
        <f>IF(COUNTA(A1065:F1065)=0,"",IF(AND(G1065="OK",H1065="OK"),"OK","REVISAR"))</f>
      </c>
    </row>
    <row r="1066">
      <c r="A1066" s="5"/>
      <c r="B1066" s="5"/>
      <c r="C1066" s="4"/>
      <c r="D1066" s="4"/>
      <c r="E1066" s="5"/>
      <c r="F1066" s="4"/>
      <c r="G1066" s="6">
        <f>IF(AND(A1066="",B1066=""),"",IF(COUNTIFS($A$2:$A$2001,A1066,$B$2:$B$2001,B1066)&gt;1,"DUPLICADO","OK"))</f>
      </c>
      <c r="H1066" s="6">
        <f>IF(COUNTA(A1066:F1066)=0,"",IF(AND(A1066&lt;&gt;"",B1066&lt;&gt;"",E1066&lt;&gt;""),"OK","ERRO: faltam "&amp;IF(A1066="","Conta; ","")&amp;IF(B1066="","Oportunidade; ","")&amp;IF(E1066="","Novo gerente; ","")))</f>
      </c>
      <c r="I1066" s="6">
        <f>IF(COUNTA(A1066:F1066)=0,"",IF(AND(G1066="OK",H1066="OK"),"OK","REVISAR"))</f>
      </c>
    </row>
    <row r="1067">
      <c r="A1067" s="5"/>
      <c r="B1067" s="5"/>
      <c r="C1067" s="4"/>
      <c r="D1067" s="4"/>
      <c r="E1067" s="5"/>
      <c r="F1067" s="4"/>
      <c r="G1067" s="6">
        <f>IF(AND(A1067="",B1067=""),"",IF(COUNTIFS($A$2:$A$2001,A1067,$B$2:$B$2001,B1067)&gt;1,"DUPLICADO","OK"))</f>
      </c>
      <c r="H1067" s="6">
        <f>IF(COUNTA(A1067:F1067)=0,"",IF(AND(A1067&lt;&gt;"",B1067&lt;&gt;"",E1067&lt;&gt;""),"OK","ERRO: faltam "&amp;IF(A1067="","Conta; ","")&amp;IF(B1067="","Oportunidade; ","")&amp;IF(E1067="","Novo gerente; ","")))</f>
      </c>
      <c r="I1067" s="6">
        <f>IF(COUNTA(A1067:F1067)=0,"",IF(AND(G1067="OK",H1067="OK"),"OK","REVISAR"))</f>
      </c>
    </row>
    <row r="1068">
      <c r="A1068" s="5"/>
      <c r="B1068" s="5"/>
      <c r="C1068" s="4"/>
      <c r="D1068" s="4"/>
      <c r="E1068" s="5"/>
      <c r="F1068" s="4"/>
      <c r="G1068" s="6">
        <f>IF(AND(A1068="",B1068=""),"",IF(COUNTIFS($A$2:$A$2001,A1068,$B$2:$B$2001,B1068)&gt;1,"DUPLICADO","OK"))</f>
      </c>
      <c r="H1068" s="6">
        <f>IF(COUNTA(A1068:F1068)=0,"",IF(AND(A1068&lt;&gt;"",B1068&lt;&gt;"",E1068&lt;&gt;""),"OK","ERRO: faltam "&amp;IF(A1068="","Conta; ","")&amp;IF(B1068="","Oportunidade; ","")&amp;IF(E1068="","Novo gerente; ","")))</f>
      </c>
      <c r="I1068" s="6">
        <f>IF(COUNTA(A1068:F1068)=0,"",IF(AND(G1068="OK",H1068="OK"),"OK","REVISAR"))</f>
      </c>
    </row>
    <row r="1069">
      <c r="A1069" s="5"/>
      <c r="B1069" s="5"/>
      <c r="C1069" s="4"/>
      <c r="D1069" s="4"/>
      <c r="E1069" s="5"/>
      <c r="F1069" s="4"/>
      <c r="G1069" s="6">
        <f>IF(AND(A1069="",B1069=""),"",IF(COUNTIFS($A$2:$A$2001,A1069,$B$2:$B$2001,B1069)&gt;1,"DUPLICADO","OK"))</f>
      </c>
      <c r="H1069" s="6">
        <f>IF(COUNTA(A1069:F1069)=0,"",IF(AND(A1069&lt;&gt;"",B1069&lt;&gt;"",E1069&lt;&gt;""),"OK","ERRO: faltam "&amp;IF(A1069="","Conta; ","")&amp;IF(B1069="","Oportunidade; ","")&amp;IF(E1069="","Novo gerente; ","")))</f>
      </c>
      <c r="I1069" s="6">
        <f>IF(COUNTA(A1069:F1069)=0,"",IF(AND(G1069="OK",H1069="OK"),"OK","REVISAR"))</f>
      </c>
    </row>
    <row r="1070">
      <c r="A1070" s="5"/>
      <c r="B1070" s="5"/>
      <c r="C1070" s="4"/>
      <c r="D1070" s="4"/>
      <c r="E1070" s="5"/>
      <c r="F1070" s="4"/>
      <c r="G1070" s="6">
        <f>IF(AND(A1070="",B1070=""),"",IF(COUNTIFS($A$2:$A$2001,A1070,$B$2:$B$2001,B1070)&gt;1,"DUPLICADO","OK"))</f>
      </c>
      <c r="H1070" s="6">
        <f>IF(COUNTA(A1070:F1070)=0,"",IF(AND(A1070&lt;&gt;"",B1070&lt;&gt;"",E1070&lt;&gt;""),"OK","ERRO: faltam "&amp;IF(A1070="","Conta; ","")&amp;IF(B1070="","Oportunidade; ","")&amp;IF(E1070="","Novo gerente; ","")))</f>
      </c>
      <c r="I1070" s="6">
        <f>IF(COUNTA(A1070:F1070)=0,"",IF(AND(G1070="OK",H1070="OK"),"OK","REVISAR"))</f>
      </c>
    </row>
    <row r="1071">
      <c r="A1071" s="5"/>
      <c r="B1071" s="5"/>
      <c r="C1071" s="4"/>
      <c r="D1071" s="4"/>
      <c r="E1071" s="5"/>
      <c r="F1071" s="4"/>
      <c r="G1071" s="6">
        <f>IF(AND(A1071="",B1071=""),"",IF(COUNTIFS($A$2:$A$2001,A1071,$B$2:$B$2001,B1071)&gt;1,"DUPLICADO","OK"))</f>
      </c>
      <c r="H1071" s="6">
        <f>IF(COUNTA(A1071:F1071)=0,"",IF(AND(A1071&lt;&gt;"",B1071&lt;&gt;"",E1071&lt;&gt;""),"OK","ERRO: faltam "&amp;IF(A1071="","Conta; ","")&amp;IF(B1071="","Oportunidade; ","")&amp;IF(E1071="","Novo gerente; ","")))</f>
      </c>
      <c r="I1071" s="6">
        <f>IF(COUNTA(A1071:F1071)=0,"",IF(AND(G1071="OK",H1071="OK"),"OK","REVISAR"))</f>
      </c>
    </row>
    <row r="1072">
      <c r="A1072" s="5"/>
      <c r="B1072" s="5"/>
      <c r="C1072" s="4"/>
      <c r="D1072" s="4"/>
      <c r="E1072" s="5"/>
      <c r="F1072" s="4"/>
      <c r="G1072" s="6">
        <f>IF(AND(A1072="",B1072=""),"",IF(COUNTIFS($A$2:$A$2001,A1072,$B$2:$B$2001,B1072)&gt;1,"DUPLICADO","OK"))</f>
      </c>
      <c r="H1072" s="6">
        <f>IF(COUNTA(A1072:F1072)=0,"",IF(AND(A1072&lt;&gt;"",B1072&lt;&gt;"",E1072&lt;&gt;""),"OK","ERRO: faltam "&amp;IF(A1072="","Conta; ","")&amp;IF(B1072="","Oportunidade; ","")&amp;IF(E1072="","Novo gerente; ","")))</f>
      </c>
      <c r="I1072" s="6">
        <f>IF(COUNTA(A1072:F1072)=0,"",IF(AND(G1072="OK",H1072="OK"),"OK","REVISAR"))</f>
      </c>
    </row>
    <row r="1073">
      <c r="A1073" s="5"/>
      <c r="B1073" s="5"/>
      <c r="C1073" s="4"/>
      <c r="D1073" s="4"/>
      <c r="E1073" s="5"/>
      <c r="F1073" s="4"/>
      <c r="G1073" s="6">
        <f>IF(AND(A1073="",B1073=""),"",IF(COUNTIFS($A$2:$A$2001,A1073,$B$2:$B$2001,B1073)&gt;1,"DUPLICADO","OK"))</f>
      </c>
      <c r="H1073" s="6">
        <f>IF(COUNTA(A1073:F1073)=0,"",IF(AND(A1073&lt;&gt;"",B1073&lt;&gt;"",E1073&lt;&gt;""),"OK","ERRO: faltam "&amp;IF(A1073="","Conta; ","")&amp;IF(B1073="","Oportunidade; ","")&amp;IF(E1073="","Novo gerente; ","")))</f>
      </c>
      <c r="I1073" s="6">
        <f>IF(COUNTA(A1073:F1073)=0,"",IF(AND(G1073="OK",H1073="OK"),"OK","REVISAR"))</f>
      </c>
    </row>
    <row r="1074">
      <c r="A1074" s="5"/>
      <c r="B1074" s="5"/>
      <c r="C1074" s="4"/>
      <c r="D1074" s="4"/>
      <c r="E1074" s="5"/>
      <c r="F1074" s="4"/>
      <c r="G1074" s="6">
        <f>IF(AND(A1074="",B1074=""),"",IF(COUNTIFS($A$2:$A$2001,A1074,$B$2:$B$2001,B1074)&gt;1,"DUPLICADO","OK"))</f>
      </c>
      <c r="H1074" s="6">
        <f>IF(COUNTA(A1074:F1074)=0,"",IF(AND(A1074&lt;&gt;"",B1074&lt;&gt;"",E1074&lt;&gt;""),"OK","ERRO: faltam "&amp;IF(A1074="","Conta; ","")&amp;IF(B1074="","Oportunidade; ","")&amp;IF(E1074="","Novo gerente; ","")))</f>
      </c>
      <c r="I1074" s="6">
        <f>IF(COUNTA(A1074:F1074)=0,"",IF(AND(G1074="OK",H1074="OK"),"OK","REVISAR"))</f>
      </c>
    </row>
    <row r="1075">
      <c r="A1075" s="5"/>
      <c r="B1075" s="5"/>
      <c r="C1075" s="4"/>
      <c r="D1075" s="4"/>
      <c r="E1075" s="5"/>
      <c r="F1075" s="4"/>
      <c r="G1075" s="6">
        <f>IF(AND(A1075="",B1075=""),"",IF(COUNTIFS($A$2:$A$2001,A1075,$B$2:$B$2001,B1075)&gt;1,"DUPLICADO","OK"))</f>
      </c>
      <c r="H1075" s="6">
        <f>IF(COUNTA(A1075:F1075)=0,"",IF(AND(A1075&lt;&gt;"",B1075&lt;&gt;"",E1075&lt;&gt;""),"OK","ERRO: faltam "&amp;IF(A1075="","Conta; ","")&amp;IF(B1075="","Oportunidade; ","")&amp;IF(E1075="","Novo gerente; ","")))</f>
      </c>
      <c r="I1075" s="6">
        <f>IF(COUNTA(A1075:F1075)=0,"",IF(AND(G1075="OK",H1075="OK"),"OK","REVISAR"))</f>
      </c>
    </row>
    <row r="1076">
      <c r="A1076" s="5"/>
      <c r="B1076" s="5"/>
      <c r="C1076" s="4"/>
      <c r="D1076" s="4"/>
      <c r="E1076" s="5"/>
      <c r="F1076" s="4"/>
      <c r="G1076" s="6">
        <f>IF(AND(A1076="",B1076=""),"",IF(COUNTIFS($A$2:$A$2001,A1076,$B$2:$B$2001,B1076)&gt;1,"DUPLICADO","OK"))</f>
      </c>
      <c r="H1076" s="6">
        <f>IF(COUNTA(A1076:F1076)=0,"",IF(AND(A1076&lt;&gt;"",B1076&lt;&gt;"",E1076&lt;&gt;""),"OK","ERRO: faltam "&amp;IF(A1076="","Conta; ","")&amp;IF(B1076="","Oportunidade; ","")&amp;IF(E1076="","Novo gerente; ","")))</f>
      </c>
      <c r="I1076" s="6">
        <f>IF(COUNTA(A1076:F1076)=0,"",IF(AND(G1076="OK",H1076="OK"),"OK","REVISAR"))</f>
      </c>
    </row>
    <row r="1077">
      <c r="A1077" s="5"/>
      <c r="B1077" s="5"/>
      <c r="C1077" s="4"/>
      <c r="D1077" s="4"/>
      <c r="E1077" s="5"/>
      <c r="F1077" s="4"/>
      <c r="G1077" s="6">
        <f>IF(AND(A1077="",B1077=""),"",IF(COUNTIFS($A$2:$A$2001,A1077,$B$2:$B$2001,B1077)&gt;1,"DUPLICADO","OK"))</f>
      </c>
      <c r="H1077" s="6">
        <f>IF(COUNTA(A1077:F1077)=0,"",IF(AND(A1077&lt;&gt;"",B1077&lt;&gt;"",E1077&lt;&gt;""),"OK","ERRO: faltam "&amp;IF(A1077="","Conta; ","")&amp;IF(B1077="","Oportunidade; ","")&amp;IF(E1077="","Novo gerente; ","")))</f>
      </c>
      <c r="I1077" s="6">
        <f>IF(COUNTA(A1077:F1077)=0,"",IF(AND(G1077="OK",H1077="OK"),"OK","REVISAR"))</f>
      </c>
    </row>
    <row r="1078">
      <c r="A1078" s="5"/>
      <c r="B1078" s="5"/>
      <c r="C1078" s="4"/>
      <c r="D1078" s="4"/>
      <c r="E1078" s="5"/>
      <c r="F1078" s="4"/>
      <c r="G1078" s="6">
        <f>IF(AND(A1078="",B1078=""),"",IF(COUNTIFS($A$2:$A$2001,A1078,$B$2:$B$2001,B1078)&gt;1,"DUPLICADO","OK"))</f>
      </c>
      <c r="H1078" s="6">
        <f>IF(COUNTA(A1078:F1078)=0,"",IF(AND(A1078&lt;&gt;"",B1078&lt;&gt;"",E1078&lt;&gt;""),"OK","ERRO: faltam "&amp;IF(A1078="","Conta; ","")&amp;IF(B1078="","Oportunidade; ","")&amp;IF(E1078="","Novo gerente; ","")))</f>
      </c>
      <c r="I1078" s="6">
        <f>IF(COUNTA(A1078:F1078)=0,"",IF(AND(G1078="OK",H1078="OK"),"OK","REVISAR"))</f>
      </c>
    </row>
    <row r="1079">
      <c r="A1079" s="5"/>
      <c r="B1079" s="5"/>
      <c r="C1079" s="4"/>
      <c r="D1079" s="4"/>
      <c r="E1079" s="5"/>
      <c r="F1079" s="4"/>
      <c r="G1079" s="6">
        <f>IF(AND(A1079="",B1079=""),"",IF(COUNTIFS($A$2:$A$2001,A1079,$B$2:$B$2001,B1079)&gt;1,"DUPLICADO","OK"))</f>
      </c>
      <c r="H1079" s="6">
        <f>IF(COUNTA(A1079:F1079)=0,"",IF(AND(A1079&lt;&gt;"",B1079&lt;&gt;"",E1079&lt;&gt;""),"OK","ERRO: faltam "&amp;IF(A1079="","Conta; ","")&amp;IF(B1079="","Oportunidade; ","")&amp;IF(E1079="","Novo gerente; ","")))</f>
      </c>
      <c r="I1079" s="6">
        <f>IF(COUNTA(A1079:F1079)=0,"",IF(AND(G1079="OK",H1079="OK"),"OK","REVISAR"))</f>
      </c>
    </row>
    <row r="1080">
      <c r="A1080" s="5"/>
      <c r="B1080" s="5"/>
      <c r="C1080" s="4"/>
      <c r="D1080" s="4"/>
      <c r="E1080" s="5"/>
      <c r="F1080" s="4"/>
      <c r="G1080" s="6">
        <f>IF(AND(A1080="",B1080=""),"",IF(COUNTIFS($A$2:$A$2001,A1080,$B$2:$B$2001,B1080)&gt;1,"DUPLICADO","OK"))</f>
      </c>
      <c r="H1080" s="6">
        <f>IF(COUNTA(A1080:F1080)=0,"",IF(AND(A1080&lt;&gt;"",B1080&lt;&gt;"",E1080&lt;&gt;""),"OK","ERRO: faltam "&amp;IF(A1080="","Conta; ","")&amp;IF(B1080="","Oportunidade; ","")&amp;IF(E1080="","Novo gerente; ","")))</f>
      </c>
      <c r="I1080" s="6">
        <f>IF(COUNTA(A1080:F1080)=0,"",IF(AND(G1080="OK",H1080="OK"),"OK","REVISAR"))</f>
      </c>
    </row>
    <row r="1081">
      <c r="A1081" s="5"/>
      <c r="B1081" s="5"/>
      <c r="C1081" s="4"/>
      <c r="D1081" s="4"/>
      <c r="E1081" s="5"/>
      <c r="F1081" s="4"/>
      <c r="G1081" s="6">
        <f>IF(AND(A1081="",B1081=""),"",IF(COUNTIFS($A$2:$A$2001,A1081,$B$2:$B$2001,B1081)&gt;1,"DUPLICADO","OK"))</f>
      </c>
      <c r="H1081" s="6">
        <f>IF(COUNTA(A1081:F1081)=0,"",IF(AND(A1081&lt;&gt;"",B1081&lt;&gt;"",E1081&lt;&gt;""),"OK","ERRO: faltam "&amp;IF(A1081="","Conta; ","")&amp;IF(B1081="","Oportunidade; ","")&amp;IF(E1081="","Novo gerente; ","")))</f>
      </c>
      <c r="I1081" s="6">
        <f>IF(COUNTA(A1081:F1081)=0,"",IF(AND(G1081="OK",H1081="OK"),"OK","REVISAR"))</f>
      </c>
    </row>
    <row r="1082">
      <c r="A1082" s="5"/>
      <c r="B1082" s="5"/>
      <c r="C1082" s="4"/>
      <c r="D1082" s="4"/>
      <c r="E1082" s="5"/>
      <c r="F1082" s="4"/>
      <c r="G1082" s="6">
        <f>IF(AND(A1082="",B1082=""),"",IF(COUNTIFS($A$2:$A$2001,A1082,$B$2:$B$2001,B1082)&gt;1,"DUPLICADO","OK"))</f>
      </c>
      <c r="H1082" s="6">
        <f>IF(COUNTA(A1082:F1082)=0,"",IF(AND(A1082&lt;&gt;"",B1082&lt;&gt;"",E1082&lt;&gt;""),"OK","ERRO: faltam "&amp;IF(A1082="","Conta; ","")&amp;IF(B1082="","Oportunidade; ","")&amp;IF(E1082="","Novo gerente; ","")))</f>
      </c>
      <c r="I1082" s="6">
        <f>IF(COUNTA(A1082:F1082)=0,"",IF(AND(G1082="OK",H1082="OK"),"OK","REVISAR"))</f>
      </c>
    </row>
    <row r="1083">
      <c r="A1083" s="5"/>
      <c r="B1083" s="5"/>
      <c r="C1083" s="4"/>
      <c r="D1083" s="4"/>
      <c r="E1083" s="5"/>
      <c r="F1083" s="4"/>
      <c r="G1083" s="6">
        <f>IF(AND(A1083="",B1083=""),"",IF(COUNTIFS($A$2:$A$2001,A1083,$B$2:$B$2001,B1083)&gt;1,"DUPLICADO","OK"))</f>
      </c>
      <c r="H1083" s="6">
        <f>IF(COUNTA(A1083:F1083)=0,"",IF(AND(A1083&lt;&gt;"",B1083&lt;&gt;"",E1083&lt;&gt;""),"OK","ERRO: faltam "&amp;IF(A1083="","Conta; ","")&amp;IF(B1083="","Oportunidade; ","")&amp;IF(E1083="","Novo gerente; ","")))</f>
      </c>
      <c r="I1083" s="6">
        <f>IF(COUNTA(A1083:F1083)=0,"",IF(AND(G1083="OK",H1083="OK"),"OK","REVISAR"))</f>
      </c>
    </row>
    <row r="1084">
      <c r="A1084" s="5"/>
      <c r="B1084" s="5"/>
      <c r="C1084" s="4"/>
      <c r="D1084" s="4"/>
      <c r="E1084" s="5"/>
      <c r="F1084" s="4"/>
      <c r="G1084" s="6">
        <f>IF(AND(A1084="",B1084=""),"",IF(COUNTIFS($A$2:$A$2001,A1084,$B$2:$B$2001,B1084)&gt;1,"DUPLICADO","OK"))</f>
      </c>
      <c r="H1084" s="6">
        <f>IF(COUNTA(A1084:F1084)=0,"",IF(AND(A1084&lt;&gt;"",B1084&lt;&gt;"",E1084&lt;&gt;""),"OK","ERRO: faltam "&amp;IF(A1084="","Conta; ","")&amp;IF(B1084="","Oportunidade; ","")&amp;IF(E1084="","Novo gerente; ","")))</f>
      </c>
      <c r="I1084" s="6">
        <f>IF(COUNTA(A1084:F1084)=0,"",IF(AND(G1084="OK",H1084="OK"),"OK","REVISAR"))</f>
      </c>
    </row>
    <row r="1085">
      <c r="A1085" s="5"/>
      <c r="B1085" s="5"/>
      <c r="C1085" s="4"/>
      <c r="D1085" s="4"/>
      <c r="E1085" s="5"/>
      <c r="F1085" s="4"/>
      <c r="G1085" s="6">
        <f>IF(AND(A1085="",B1085=""),"",IF(COUNTIFS($A$2:$A$2001,A1085,$B$2:$B$2001,B1085)&gt;1,"DUPLICADO","OK"))</f>
      </c>
      <c r="H1085" s="6">
        <f>IF(COUNTA(A1085:F1085)=0,"",IF(AND(A1085&lt;&gt;"",B1085&lt;&gt;"",E1085&lt;&gt;""),"OK","ERRO: faltam "&amp;IF(A1085="","Conta; ","")&amp;IF(B1085="","Oportunidade; ","")&amp;IF(E1085="","Novo gerente; ","")))</f>
      </c>
      <c r="I1085" s="6">
        <f>IF(COUNTA(A1085:F1085)=0,"",IF(AND(G1085="OK",H1085="OK"),"OK","REVISAR"))</f>
      </c>
    </row>
    <row r="1086">
      <c r="A1086" s="5"/>
      <c r="B1086" s="5"/>
      <c r="C1086" s="4"/>
      <c r="D1086" s="4"/>
      <c r="E1086" s="5"/>
      <c r="F1086" s="4"/>
      <c r="G1086" s="6">
        <f>IF(AND(A1086="",B1086=""),"",IF(COUNTIFS($A$2:$A$2001,A1086,$B$2:$B$2001,B1086)&gt;1,"DUPLICADO","OK"))</f>
      </c>
      <c r="H1086" s="6">
        <f>IF(COUNTA(A1086:F1086)=0,"",IF(AND(A1086&lt;&gt;"",B1086&lt;&gt;"",E1086&lt;&gt;""),"OK","ERRO: faltam "&amp;IF(A1086="","Conta; ","")&amp;IF(B1086="","Oportunidade; ","")&amp;IF(E1086="","Novo gerente; ","")))</f>
      </c>
      <c r="I1086" s="6">
        <f>IF(COUNTA(A1086:F1086)=0,"",IF(AND(G1086="OK",H1086="OK"),"OK","REVISAR"))</f>
      </c>
    </row>
    <row r="1087">
      <c r="A1087" s="5"/>
      <c r="B1087" s="5"/>
      <c r="C1087" s="4"/>
      <c r="D1087" s="4"/>
      <c r="E1087" s="5"/>
      <c r="F1087" s="4"/>
      <c r="G1087" s="6">
        <f>IF(AND(A1087="",B1087=""),"",IF(COUNTIFS($A$2:$A$2001,A1087,$B$2:$B$2001,B1087)&gt;1,"DUPLICADO","OK"))</f>
      </c>
      <c r="H1087" s="6">
        <f>IF(COUNTA(A1087:F1087)=0,"",IF(AND(A1087&lt;&gt;"",B1087&lt;&gt;"",E1087&lt;&gt;""),"OK","ERRO: faltam "&amp;IF(A1087="","Conta; ","")&amp;IF(B1087="","Oportunidade; ","")&amp;IF(E1087="","Novo gerente; ","")))</f>
      </c>
      <c r="I1087" s="6">
        <f>IF(COUNTA(A1087:F1087)=0,"",IF(AND(G1087="OK",H1087="OK"),"OK","REVISAR"))</f>
      </c>
    </row>
    <row r="1088">
      <c r="A1088" s="5"/>
      <c r="B1088" s="5"/>
      <c r="C1088" s="4"/>
      <c r="D1088" s="4"/>
      <c r="E1088" s="5"/>
      <c r="F1088" s="4"/>
      <c r="G1088" s="6">
        <f>IF(AND(A1088="",B1088=""),"",IF(COUNTIFS($A$2:$A$2001,A1088,$B$2:$B$2001,B1088)&gt;1,"DUPLICADO","OK"))</f>
      </c>
      <c r="H1088" s="6">
        <f>IF(COUNTA(A1088:F1088)=0,"",IF(AND(A1088&lt;&gt;"",B1088&lt;&gt;"",E1088&lt;&gt;""),"OK","ERRO: faltam "&amp;IF(A1088="","Conta; ","")&amp;IF(B1088="","Oportunidade; ","")&amp;IF(E1088="","Novo gerente; ","")))</f>
      </c>
      <c r="I1088" s="6">
        <f>IF(COUNTA(A1088:F1088)=0,"",IF(AND(G1088="OK",H1088="OK"),"OK","REVISAR"))</f>
      </c>
    </row>
    <row r="1089">
      <c r="A1089" s="5"/>
      <c r="B1089" s="5"/>
      <c r="C1089" s="4"/>
      <c r="D1089" s="4"/>
      <c r="E1089" s="5"/>
      <c r="F1089" s="4"/>
      <c r="G1089" s="6">
        <f>IF(AND(A1089="",B1089=""),"",IF(COUNTIFS($A$2:$A$2001,A1089,$B$2:$B$2001,B1089)&gt;1,"DUPLICADO","OK"))</f>
      </c>
      <c r="H1089" s="6">
        <f>IF(COUNTA(A1089:F1089)=0,"",IF(AND(A1089&lt;&gt;"",B1089&lt;&gt;"",E1089&lt;&gt;""),"OK","ERRO: faltam "&amp;IF(A1089="","Conta; ","")&amp;IF(B1089="","Oportunidade; ","")&amp;IF(E1089="","Novo gerente; ","")))</f>
      </c>
      <c r="I1089" s="6">
        <f>IF(COUNTA(A1089:F1089)=0,"",IF(AND(G1089="OK",H1089="OK"),"OK","REVISAR"))</f>
      </c>
    </row>
    <row r="1090">
      <c r="A1090" s="5"/>
      <c r="B1090" s="5"/>
      <c r="C1090" s="4"/>
      <c r="D1090" s="4"/>
      <c r="E1090" s="5"/>
      <c r="F1090" s="4"/>
      <c r="G1090" s="6">
        <f>IF(AND(A1090="",B1090=""),"",IF(COUNTIFS($A$2:$A$2001,A1090,$B$2:$B$2001,B1090)&gt;1,"DUPLICADO","OK"))</f>
      </c>
      <c r="H1090" s="6">
        <f>IF(COUNTA(A1090:F1090)=0,"",IF(AND(A1090&lt;&gt;"",B1090&lt;&gt;"",E1090&lt;&gt;""),"OK","ERRO: faltam "&amp;IF(A1090="","Conta; ","")&amp;IF(B1090="","Oportunidade; ","")&amp;IF(E1090="","Novo gerente; ","")))</f>
      </c>
      <c r="I1090" s="6">
        <f>IF(COUNTA(A1090:F1090)=0,"",IF(AND(G1090="OK",H1090="OK"),"OK","REVISAR"))</f>
      </c>
    </row>
    <row r="1091">
      <c r="A1091" s="5"/>
      <c r="B1091" s="5"/>
      <c r="C1091" s="4"/>
      <c r="D1091" s="4"/>
      <c r="E1091" s="5"/>
      <c r="F1091" s="4"/>
      <c r="G1091" s="6">
        <f>IF(AND(A1091="",B1091=""),"",IF(COUNTIFS($A$2:$A$2001,A1091,$B$2:$B$2001,B1091)&gt;1,"DUPLICADO","OK"))</f>
      </c>
      <c r="H1091" s="6">
        <f>IF(COUNTA(A1091:F1091)=0,"",IF(AND(A1091&lt;&gt;"",B1091&lt;&gt;"",E1091&lt;&gt;""),"OK","ERRO: faltam "&amp;IF(A1091="","Conta; ","")&amp;IF(B1091="","Oportunidade; ","")&amp;IF(E1091="","Novo gerente; ","")))</f>
      </c>
      <c r="I1091" s="6">
        <f>IF(COUNTA(A1091:F1091)=0,"",IF(AND(G1091="OK",H1091="OK"),"OK","REVISAR"))</f>
      </c>
    </row>
    <row r="1092">
      <c r="A1092" s="5"/>
      <c r="B1092" s="5"/>
      <c r="C1092" s="4"/>
      <c r="D1092" s="4"/>
      <c r="E1092" s="5"/>
      <c r="F1092" s="4"/>
      <c r="G1092" s="6">
        <f>IF(AND(A1092="",B1092=""),"",IF(COUNTIFS($A$2:$A$2001,A1092,$B$2:$B$2001,B1092)&gt;1,"DUPLICADO","OK"))</f>
      </c>
      <c r="H1092" s="6">
        <f>IF(COUNTA(A1092:F1092)=0,"",IF(AND(A1092&lt;&gt;"",B1092&lt;&gt;"",E1092&lt;&gt;""),"OK","ERRO: faltam "&amp;IF(A1092="","Conta; ","")&amp;IF(B1092="","Oportunidade; ","")&amp;IF(E1092="","Novo gerente; ","")))</f>
      </c>
      <c r="I1092" s="6">
        <f>IF(COUNTA(A1092:F1092)=0,"",IF(AND(G1092="OK",H1092="OK"),"OK","REVISAR"))</f>
      </c>
    </row>
    <row r="1093">
      <c r="A1093" s="5"/>
      <c r="B1093" s="5"/>
      <c r="C1093" s="4"/>
      <c r="D1093" s="4"/>
      <c r="E1093" s="5"/>
      <c r="F1093" s="4"/>
      <c r="G1093" s="6">
        <f>IF(AND(A1093="",B1093=""),"",IF(COUNTIFS($A$2:$A$2001,A1093,$B$2:$B$2001,B1093)&gt;1,"DUPLICADO","OK"))</f>
      </c>
      <c r="H1093" s="6">
        <f>IF(COUNTA(A1093:F1093)=0,"",IF(AND(A1093&lt;&gt;"",B1093&lt;&gt;"",E1093&lt;&gt;""),"OK","ERRO: faltam "&amp;IF(A1093="","Conta; ","")&amp;IF(B1093="","Oportunidade; ","")&amp;IF(E1093="","Novo gerente; ","")))</f>
      </c>
      <c r="I1093" s="6">
        <f>IF(COUNTA(A1093:F1093)=0,"",IF(AND(G1093="OK",H1093="OK"),"OK","REVISAR"))</f>
      </c>
    </row>
    <row r="1094">
      <c r="A1094" s="5"/>
      <c r="B1094" s="5"/>
      <c r="C1094" s="4"/>
      <c r="D1094" s="4"/>
      <c r="E1094" s="5"/>
      <c r="F1094" s="4"/>
      <c r="G1094" s="6">
        <f>IF(AND(A1094="",B1094=""),"",IF(COUNTIFS($A$2:$A$2001,A1094,$B$2:$B$2001,B1094)&gt;1,"DUPLICADO","OK"))</f>
      </c>
      <c r="H1094" s="6">
        <f>IF(COUNTA(A1094:F1094)=0,"",IF(AND(A1094&lt;&gt;"",B1094&lt;&gt;"",E1094&lt;&gt;""),"OK","ERRO: faltam "&amp;IF(A1094="","Conta; ","")&amp;IF(B1094="","Oportunidade; ","")&amp;IF(E1094="","Novo gerente; ","")))</f>
      </c>
      <c r="I1094" s="6">
        <f>IF(COUNTA(A1094:F1094)=0,"",IF(AND(G1094="OK",H1094="OK"),"OK","REVISAR"))</f>
      </c>
    </row>
    <row r="1095">
      <c r="A1095" s="5"/>
      <c r="B1095" s="5"/>
      <c r="C1095" s="4"/>
      <c r="D1095" s="4"/>
      <c r="E1095" s="5"/>
      <c r="F1095" s="4"/>
      <c r="G1095" s="6">
        <f>IF(AND(A1095="",B1095=""),"",IF(COUNTIFS($A$2:$A$2001,A1095,$B$2:$B$2001,B1095)&gt;1,"DUPLICADO","OK"))</f>
      </c>
      <c r="H1095" s="6">
        <f>IF(COUNTA(A1095:F1095)=0,"",IF(AND(A1095&lt;&gt;"",B1095&lt;&gt;"",E1095&lt;&gt;""),"OK","ERRO: faltam "&amp;IF(A1095="","Conta; ","")&amp;IF(B1095="","Oportunidade; ","")&amp;IF(E1095="","Novo gerente; ","")))</f>
      </c>
      <c r="I1095" s="6">
        <f>IF(COUNTA(A1095:F1095)=0,"",IF(AND(G1095="OK",H1095="OK"),"OK","REVISAR"))</f>
      </c>
    </row>
    <row r="1096">
      <c r="A1096" s="5"/>
      <c r="B1096" s="5"/>
      <c r="C1096" s="4"/>
      <c r="D1096" s="4"/>
      <c r="E1096" s="5"/>
      <c r="F1096" s="4"/>
      <c r="G1096" s="6">
        <f>IF(AND(A1096="",B1096=""),"",IF(COUNTIFS($A$2:$A$2001,A1096,$B$2:$B$2001,B1096)&gt;1,"DUPLICADO","OK"))</f>
      </c>
      <c r="H1096" s="6">
        <f>IF(COUNTA(A1096:F1096)=0,"",IF(AND(A1096&lt;&gt;"",B1096&lt;&gt;"",E1096&lt;&gt;""),"OK","ERRO: faltam "&amp;IF(A1096="","Conta; ","")&amp;IF(B1096="","Oportunidade; ","")&amp;IF(E1096="","Novo gerente; ","")))</f>
      </c>
      <c r="I1096" s="6">
        <f>IF(COUNTA(A1096:F1096)=0,"",IF(AND(G1096="OK",H1096="OK"),"OK","REVISAR"))</f>
      </c>
    </row>
    <row r="1097">
      <c r="A1097" s="5"/>
      <c r="B1097" s="5"/>
      <c r="C1097" s="4"/>
      <c r="D1097" s="4"/>
      <c r="E1097" s="5"/>
      <c r="F1097" s="4"/>
      <c r="G1097" s="6">
        <f>IF(AND(A1097="",B1097=""),"",IF(COUNTIFS($A$2:$A$2001,A1097,$B$2:$B$2001,B1097)&gt;1,"DUPLICADO","OK"))</f>
      </c>
      <c r="H1097" s="6">
        <f>IF(COUNTA(A1097:F1097)=0,"",IF(AND(A1097&lt;&gt;"",B1097&lt;&gt;"",E1097&lt;&gt;""),"OK","ERRO: faltam "&amp;IF(A1097="","Conta; ","")&amp;IF(B1097="","Oportunidade; ","")&amp;IF(E1097="","Novo gerente; ","")))</f>
      </c>
      <c r="I1097" s="6">
        <f>IF(COUNTA(A1097:F1097)=0,"",IF(AND(G1097="OK",H1097="OK"),"OK","REVISAR"))</f>
      </c>
    </row>
    <row r="1098">
      <c r="A1098" s="5"/>
      <c r="B1098" s="5"/>
      <c r="C1098" s="4"/>
      <c r="D1098" s="4"/>
      <c r="E1098" s="5"/>
      <c r="F1098" s="4"/>
      <c r="G1098" s="6">
        <f>IF(AND(A1098="",B1098=""),"",IF(COUNTIFS($A$2:$A$2001,A1098,$B$2:$B$2001,B1098)&gt;1,"DUPLICADO","OK"))</f>
      </c>
      <c r="H1098" s="6">
        <f>IF(COUNTA(A1098:F1098)=0,"",IF(AND(A1098&lt;&gt;"",B1098&lt;&gt;"",E1098&lt;&gt;""),"OK","ERRO: faltam "&amp;IF(A1098="","Conta; ","")&amp;IF(B1098="","Oportunidade; ","")&amp;IF(E1098="","Novo gerente; ","")))</f>
      </c>
      <c r="I1098" s="6">
        <f>IF(COUNTA(A1098:F1098)=0,"",IF(AND(G1098="OK",H1098="OK"),"OK","REVISAR"))</f>
      </c>
    </row>
    <row r="1099">
      <c r="A1099" s="5"/>
      <c r="B1099" s="5"/>
      <c r="C1099" s="4"/>
      <c r="D1099" s="4"/>
      <c r="E1099" s="5"/>
      <c r="F1099" s="4"/>
      <c r="G1099" s="6">
        <f>IF(AND(A1099="",B1099=""),"",IF(COUNTIFS($A$2:$A$2001,A1099,$B$2:$B$2001,B1099)&gt;1,"DUPLICADO","OK"))</f>
      </c>
      <c r="H1099" s="6">
        <f>IF(COUNTA(A1099:F1099)=0,"",IF(AND(A1099&lt;&gt;"",B1099&lt;&gt;"",E1099&lt;&gt;""),"OK","ERRO: faltam "&amp;IF(A1099="","Conta; ","")&amp;IF(B1099="","Oportunidade; ","")&amp;IF(E1099="","Novo gerente; ","")))</f>
      </c>
      <c r="I1099" s="6">
        <f>IF(COUNTA(A1099:F1099)=0,"",IF(AND(G1099="OK",H1099="OK"),"OK","REVISAR"))</f>
      </c>
    </row>
    <row r="1100">
      <c r="A1100" s="5"/>
      <c r="B1100" s="5"/>
      <c r="C1100" s="4"/>
      <c r="D1100" s="4"/>
      <c r="E1100" s="5"/>
      <c r="F1100" s="4"/>
      <c r="G1100" s="6">
        <f>IF(AND(A1100="",B1100=""),"",IF(COUNTIFS($A$2:$A$2001,A1100,$B$2:$B$2001,B1100)&gt;1,"DUPLICADO","OK"))</f>
      </c>
      <c r="H1100" s="6">
        <f>IF(COUNTA(A1100:F1100)=0,"",IF(AND(A1100&lt;&gt;"",B1100&lt;&gt;"",E1100&lt;&gt;""),"OK","ERRO: faltam "&amp;IF(A1100="","Conta; ","")&amp;IF(B1100="","Oportunidade; ","")&amp;IF(E1100="","Novo gerente; ","")))</f>
      </c>
      <c r="I1100" s="6">
        <f>IF(COUNTA(A1100:F1100)=0,"",IF(AND(G1100="OK",H1100="OK"),"OK","REVISAR"))</f>
      </c>
    </row>
    <row r="1101">
      <c r="A1101" s="5"/>
      <c r="B1101" s="5"/>
      <c r="C1101" s="4"/>
      <c r="D1101" s="4"/>
      <c r="E1101" s="5"/>
      <c r="F1101" s="4"/>
      <c r="G1101" s="6">
        <f>IF(AND(A1101="",B1101=""),"",IF(COUNTIFS($A$2:$A$2001,A1101,$B$2:$B$2001,B1101)&gt;1,"DUPLICADO","OK"))</f>
      </c>
      <c r="H1101" s="6">
        <f>IF(COUNTA(A1101:F1101)=0,"",IF(AND(A1101&lt;&gt;"",B1101&lt;&gt;"",E1101&lt;&gt;""),"OK","ERRO: faltam "&amp;IF(A1101="","Conta; ","")&amp;IF(B1101="","Oportunidade; ","")&amp;IF(E1101="","Novo gerente; ","")))</f>
      </c>
      <c r="I1101" s="6">
        <f>IF(COUNTA(A1101:F1101)=0,"",IF(AND(G1101="OK",H1101="OK"),"OK","REVISAR"))</f>
      </c>
    </row>
    <row r="1102">
      <c r="A1102" s="5"/>
      <c r="B1102" s="5"/>
      <c r="C1102" s="4"/>
      <c r="D1102" s="4"/>
      <c r="E1102" s="5"/>
      <c r="F1102" s="4"/>
      <c r="G1102" s="6">
        <f>IF(AND(A1102="",B1102=""),"",IF(COUNTIFS($A$2:$A$2001,A1102,$B$2:$B$2001,B1102)&gt;1,"DUPLICADO","OK"))</f>
      </c>
      <c r="H1102" s="6">
        <f>IF(COUNTA(A1102:F1102)=0,"",IF(AND(A1102&lt;&gt;"",B1102&lt;&gt;"",E1102&lt;&gt;""),"OK","ERRO: faltam "&amp;IF(A1102="","Conta; ","")&amp;IF(B1102="","Oportunidade; ","")&amp;IF(E1102="","Novo gerente; ","")))</f>
      </c>
      <c r="I1102" s="6">
        <f>IF(COUNTA(A1102:F1102)=0,"",IF(AND(G1102="OK",H1102="OK"),"OK","REVISAR"))</f>
      </c>
    </row>
    <row r="1103">
      <c r="A1103" s="5"/>
      <c r="B1103" s="5"/>
      <c r="C1103" s="4"/>
      <c r="D1103" s="4"/>
      <c r="E1103" s="5"/>
      <c r="F1103" s="4"/>
      <c r="G1103" s="6">
        <f>IF(AND(A1103="",B1103=""),"",IF(COUNTIFS($A$2:$A$2001,A1103,$B$2:$B$2001,B1103)&gt;1,"DUPLICADO","OK"))</f>
      </c>
      <c r="H1103" s="6">
        <f>IF(COUNTA(A1103:F1103)=0,"",IF(AND(A1103&lt;&gt;"",B1103&lt;&gt;"",E1103&lt;&gt;""),"OK","ERRO: faltam "&amp;IF(A1103="","Conta; ","")&amp;IF(B1103="","Oportunidade; ","")&amp;IF(E1103="","Novo gerente; ","")))</f>
      </c>
      <c r="I1103" s="6">
        <f>IF(COUNTA(A1103:F1103)=0,"",IF(AND(G1103="OK",H1103="OK"),"OK","REVISAR"))</f>
      </c>
    </row>
    <row r="1104">
      <c r="A1104" s="5"/>
      <c r="B1104" s="5"/>
      <c r="C1104" s="4"/>
      <c r="D1104" s="4"/>
      <c r="E1104" s="5"/>
      <c r="F1104" s="4"/>
      <c r="G1104" s="6">
        <f>IF(AND(A1104="",B1104=""),"",IF(COUNTIFS($A$2:$A$2001,A1104,$B$2:$B$2001,B1104)&gt;1,"DUPLICADO","OK"))</f>
      </c>
      <c r="H1104" s="6">
        <f>IF(COUNTA(A1104:F1104)=0,"",IF(AND(A1104&lt;&gt;"",B1104&lt;&gt;"",E1104&lt;&gt;""),"OK","ERRO: faltam "&amp;IF(A1104="","Conta; ","")&amp;IF(B1104="","Oportunidade; ","")&amp;IF(E1104="","Novo gerente; ","")))</f>
      </c>
      <c r="I1104" s="6">
        <f>IF(COUNTA(A1104:F1104)=0,"",IF(AND(G1104="OK",H1104="OK"),"OK","REVISAR"))</f>
      </c>
    </row>
    <row r="1105">
      <c r="A1105" s="5"/>
      <c r="B1105" s="5"/>
      <c r="C1105" s="4"/>
      <c r="D1105" s="4"/>
      <c r="E1105" s="5"/>
      <c r="F1105" s="4"/>
      <c r="G1105" s="6">
        <f>IF(AND(A1105="",B1105=""),"",IF(COUNTIFS($A$2:$A$2001,A1105,$B$2:$B$2001,B1105)&gt;1,"DUPLICADO","OK"))</f>
      </c>
      <c r="H1105" s="6">
        <f>IF(COUNTA(A1105:F1105)=0,"",IF(AND(A1105&lt;&gt;"",B1105&lt;&gt;"",E1105&lt;&gt;""),"OK","ERRO: faltam "&amp;IF(A1105="","Conta; ","")&amp;IF(B1105="","Oportunidade; ","")&amp;IF(E1105="","Novo gerente; ","")))</f>
      </c>
      <c r="I1105" s="6">
        <f>IF(COUNTA(A1105:F1105)=0,"",IF(AND(G1105="OK",H1105="OK"),"OK","REVISAR"))</f>
      </c>
    </row>
    <row r="1106">
      <c r="A1106" s="5"/>
      <c r="B1106" s="5"/>
      <c r="C1106" s="4"/>
      <c r="D1106" s="4"/>
      <c r="E1106" s="5"/>
      <c r="F1106" s="4"/>
      <c r="G1106" s="6">
        <f>IF(AND(A1106="",B1106=""),"",IF(COUNTIFS($A$2:$A$2001,A1106,$B$2:$B$2001,B1106)&gt;1,"DUPLICADO","OK"))</f>
      </c>
      <c r="H1106" s="6">
        <f>IF(COUNTA(A1106:F1106)=0,"",IF(AND(A1106&lt;&gt;"",B1106&lt;&gt;"",E1106&lt;&gt;""),"OK","ERRO: faltam "&amp;IF(A1106="","Conta; ","")&amp;IF(B1106="","Oportunidade; ","")&amp;IF(E1106="","Novo gerente; ","")))</f>
      </c>
      <c r="I1106" s="6">
        <f>IF(COUNTA(A1106:F1106)=0,"",IF(AND(G1106="OK",H1106="OK"),"OK","REVISAR"))</f>
      </c>
    </row>
    <row r="1107">
      <c r="A1107" s="5"/>
      <c r="B1107" s="5"/>
      <c r="C1107" s="4"/>
      <c r="D1107" s="4"/>
      <c r="E1107" s="5"/>
      <c r="F1107" s="4"/>
      <c r="G1107" s="6">
        <f>IF(AND(A1107="",B1107=""),"",IF(COUNTIFS($A$2:$A$2001,A1107,$B$2:$B$2001,B1107)&gt;1,"DUPLICADO","OK"))</f>
      </c>
      <c r="H1107" s="6">
        <f>IF(COUNTA(A1107:F1107)=0,"",IF(AND(A1107&lt;&gt;"",B1107&lt;&gt;"",E1107&lt;&gt;""),"OK","ERRO: faltam "&amp;IF(A1107="","Conta; ","")&amp;IF(B1107="","Oportunidade; ","")&amp;IF(E1107="","Novo gerente; ","")))</f>
      </c>
      <c r="I1107" s="6">
        <f>IF(COUNTA(A1107:F1107)=0,"",IF(AND(G1107="OK",H1107="OK"),"OK","REVISAR"))</f>
      </c>
    </row>
    <row r="1108">
      <c r="A1108" s="5"/>
      <c r="B1108" s="5"/>
      <c r="C1108" s="4"/>
      <c r="D1108" s="4"/>
      <c r="E1108" s="5"/>
      <c r="F1108" s="4"/>
      <c r="G1108" s="6">
        <f>IF(AND(A1108="",B1108=""),"",IF(COUNTIFS($A$2:$A$2001,A1108,$B$2:$B$2001,B1108)&gt;1,"DUPLICADO","OK"))</f>
      </c>
      <c r="H1108" s="6">
        <f>IF(COUNTA(A1108:F1108)=0,"",IF(AND(A1108&lt;&gt;"",B1108&lt;&gt;"",E1108&lt;&gt;""),"OK","ERRO: faltam "&amp;IF(A1108="","Conta; ","")&amp;IF(B1108="","Oportunidade; ","")&amp;IF(E1108="","Novo gerente; ","")))</f>
      </c>
      <c r="I1108" s="6">
        <f>IF(COUNTA(A1108:F1108)=0,"",IF(AND(G1108="OK",H1108="OK"),"OK","REVISAR"))</f>
      </c>
    </row>
    <row r="1109">
      <c r="A1109" s="5"/>
      <c r="B1109" s="5"/>
      <c r="C1109" s="4"/>
      <c r="D1109" s="4"/>
      <c r="E1109" s="5"/>
      <c r="F1109" s="4"/>
      <c r="G1109" s="6">
        <f>IF(AND(A1109="",B1109=""),"",IF(COUNTIFS($A$2:$A$2001,A1109,$B$2:$B$2001,B1109)&gt;1,"DUPLICADO","OK"))</f>
      </c>
      <c r="H1109" s="6">
        <f>IF(COUNTA(A1109:F1109)=0,"",IF(AND(A1109&lt;&gt;"",B1109&lt;&gt;"",E1109&lt;&gt;""),"OK","ERRO: faltam "&amp;IF(A1109="","Conta; ","")&amp;IF(B1109="","Oportunidade; ","")&amp;IF(E1109="","Novo gerente; ","")))</f>
      </c>
      <c r="I1109" s="6">
        <f>IF(COUNTA(A1109:F1109)=0,"",IF(AND(G1109="OK",H1109="OK"),"OK","REVISAR"))</f>
      </c>
    </row>
    <row r="1110">
      <c r="A1110" s="5"/>
      <c r="B1110" s="5"/>
      <c r="C1110" s="4"/>
      <c r="D1110" s="4"/>
      <c r="E1110" s="5"/>
      <c r="F1110" s="4"/>
      <c r="G1110" s="6">
        <f>IF(AND(A1110="",B1110=""),"",IF(COUNTIFS($A$2:$A$2001,A1110,$B$2:$B$2001,B1110)&gt;1,"DUPLICADO","OK"))</f>
      </c>
      <c r="H1110" s="6">
        <f>IF(COUNTA(A1110:F1110)=0,"",IF(AND(A1110&lt;&gt;"",B1110&lt;&gt;"",E1110&lt;&gt;""),"OK","ERRO: faltam "&amp;IF(A1110="","Conta; ","")&amp;IF(B1110="","Oportunidade; ","")&amp;IF(E1110="","Novo gerente; ","")))</f>
      </c>
      <c r="I1110" s="6">
        <f>IF(COUNTA(A1110:F1110)=0,"",IF(AND(G1110="OK",H1110="OK"),"OK","REVISAR"))</f>
      </c>
    </row>
    <row r="1111">
      <c r="A1111" s="5"/>
      <c r="B1111" s="5"/>
      <c r="C1111" s="4"/>
      <c r="D1111" s="4"/>
      <c r="E1111" s="5"/>
      <c r="F1111" s="4"/>
      <c r="G1111" s="6">
        <f>IF(AND(A1111="",B1111=""),"",IF(COUNTIFS($A$2:$A$2001,A1111,$B$2:$B$2001,B1111)&gt;1,"DUPLICADO","OK"))</f>
      </c>
      <c r="H1111" s="6">
        <f>IF(COUNTA(A1111:F1111)=0,"",IF(AND(A1111&lt;&gt;"",B1111&lt;&gt;"",E1111&lt;&gt;""),"OK","ERRO: faltam "&amp;IF(A1111="","Conta; ","")&amp;IF(B1111="","Oportunidade; ","")&amp;IF(E1111="","Novo gerente; ","")))</f>
      </c>
      <c r="I1111" s="6">
        <f>IF(COUNTA(A1111:F1111)=0,"",IF(AND(G1111="OK",H1111="OK"),"OK","REVISAR"))</f>
      </c>
    </row>
    <row r="1112">
      <c r="A1112" s="5"/>
      <c r="B1112" s="5"/>
      <c r="C1112" s="4"/>
      <c r="D1112" s="4"/>
      <c r="E1112" s="5"/>
      <c r="F1112" s="4"/>
      <c r="G1112" s="6">
        <f>IF(AND(A1112="",B1112=""),"",IF(COUNTIFS($A$2:$A$2001,A1112,$B$2:$B$2001,B1112)&gt;1,"DUPLICADO","OK"))</f>
      </c>
      <c r="H1112" s="6">
        <f>IF(COUNTA(A1112:F1112)=0,"",IF(AND(A1112&lt;&gt;"",B1112&lt;&gt;"",E1112&lt;&gt;""),"OK","ERRO: faltam "&amp;IF(A1112="","Conta; ","")&amp;IF(B1112="","Oportunidade; ","")&amp;IF(E1112="","Novo gerente; ","")))</f>
      </c>
      <c r="I1112" s="6">
        <f>IF(COUNTA(A1112:F1112)=0,"",IF(AND(G1112="OK",H1112="OK"),"OK","REVISAR"))</f>
      </c>
    </row>
    <row r="1113">
      <c r="A1113" s="5"/>
      <c r="B1113" s="5"/>
      <c r="C1113" s="4"/>
      <c r="D1113" s="4"/>
      <c r="E1113" s="5"/>
      <c r="F1113" s="4"/>
      <c r="G1113" s="6">
        <f>IF(AND(A1113="",B1113=""),"",IF(COUNTIFS($A$2:$A$2001,A1113,$B$2:$B$2001,B1113)&gt;1,"DUPLICADO","OK"))</f>
      </c>
      <c r="H1113" s="6">
        <f>IF(COUNTA(A1113:F1113)=0,"",IF(AND(A1113&lt;&gt;"",B1113&lt;&gt;"",E1113&lt;&gt;""),"OK","ERRO: faltam "&amp;IF(A1113="","Conta; ","")&amp;IF(B1113="","Oportunidade; ","")&amp;IF(E1113="","Novo gerente; ","")))</f>
      </c>
      <c r="I1113" s="6">
        <f>IF(COUNTA(A1113:F1113)=0,"",IF(AND(G1113="OK",H1113="OK"),"OK","REVISAR"))</f>
      </c>
    </row>
    <row r="1114">
      <c r="A1114" s="5"/>
      <c r="B1114" s="5"/>
      <c r="C1114" s="4"/>
      <c r="D1114" s="4"/>
      <c r="E1114" s="5"/>
      <c r="F1114" s="4"/>
      <c r="G1114" s="6">
        <f>IF(AND(A1114="",B1114=""),"",IF(COUNTIFS($A$2:$A$2001,A1114,$B$2:$B$2001,B1114)&gt;1,"DUPLICADO","OK"))</f>
      </c>
      <c r="H1114" s="6">
        <f>IF(COUNTA(A1114:F1114)=0,"",IF(AND(A1114&lt;&gt;"",B1114&lt;&gt;"",E1114&lt;&gt;""),"OK","ERRO: faltam "&amp;IF(A1114="","Conta; ","")&amp;IF(B1114="","Oportunidade; ","")&amp;IF(E1114="","Novo gerente; ","")))</f>
      </c>
      <c r="I1114" s="6">
        <f>IF(COUNTA(A1114:F1114)=0,"",IF(AND(G1114="OK",H1114="OK"),"OK","REVISAR"))</f>
      </c>
    </row>
    <row r="1115">
      <c r="A1115" s="5"/>
      <c r="B1115" s="5"/>
      <c r="C1115" s="4"/>
      <c r="D1115" s="4"/>
      <c r="E1115" s="5"/>
      <c r="F1115" s="4"/>
      <c r="G1115" s="6">
        <f>IF(AND(A1115="",B1115=""),"",IF(COUNTIFS($A$2:$A$2001,A1115,$B$2:$B$2001,B1115)&gt;1,"DUPLICADO","OK"))</f>
      </c>
      <c r="H1115" s="6">
        <f>IF(COUNTA(A1115:F1115)=0,"",IF(AND(A1115&lt;&gt;"",B1115&lt;&gt;"",E1115&lt;&gt;""),"OK","ERRO: faltam "&amp;IF(A1115="","Conta; ","")&amp;IF(B1115="","Oportunidade; ","")&amp;IF(E1115="","Novo gerente; ","")))</f>
      </c>
      <c r="I1115" s="6">
        <f>IF(COUNTA(A1115:F1115)=0,"",IF(AND(G1115="OK",H1115="OK"),"OK","REVISAR"))</f>
      </c>
    </row>
    <row r="1116">
      <c r="A1116" s="5"/>
      <c r="B1116" s="5"/>
      <c r="C1116" s="4"/>
      <c r="D1116" s="4"/>
      <c r="E1116" s="5"/>
      <c r="F1116" s="4"/>
      <c r="G1116" s="6">
        <f>IF(AND(A1116="",B1116=""),"",IF(COUNTIFS($A$2:$A$2001,A1116,$B$2:$B$2001,B1116)&gt;1,"DUPLICADO","OK"))</f>
      </c>
      <c r="H1116" s="6">
        <f>IF(COUNTA(A1116:F1116)=0,"",IF(AND(A1116&lt;&gt;"",B1116&lt;&gt;"",E1116&lt;&gt;""),"OK","ERRO: faltam "&amp;IF(A1116="","Conta; ","")&amp;IF(B1116="","Oportunidade; ","")&amp;IF(E1116="","Novo gerente; ","")))</f>
      </c>
      <c r="I1116" s="6">
        <f>IF(COUNTA(A1116:F1116)=0,"",IF(AND(G1116="OK",H1116="OK"),"OK","REVISAR"))</f>
      </c>
    </row>
    <row r="1117">
      <c r="A1117" s="5"/>
      <c r="B1117" s="5"/>
      <c r="C1117" s="4"/>
      <c r="D1117" s="4"/>
      <c r="E1117" s="5"/>
      <c r="F1117" s="4"/>
      <c r="G1117" s="6">
        <f>IF(AND(A1117="",B1117=""),"",IF(COUNTIFS($A$2:$A$2001,A1117,$B$2:$B$2001,B1117)&gt;1,"DUPLICADO","OK"))</f>
      </c>
      <c r="H1117" s="6">
        <f>IF(COUNTA(A1117:F1117)=0,"",IF(AND(A1117&lt;&gt;"",B1117&lt;&gt;"",E1117&lt;&gt;""),"OK","ERRO: faltam "&amp;IF(A1117="","Conta; ","")&amp;IF(B1117="","Oportunidade; ","")&amp;IF(E1117="","Novo gerente; ","")))</f>
      </c>
      <c r="I1117" s="6">
        <f>IF(COUNTA(A1117:F1117)=0,"",IF(AND(G1117="OK",H1117="OK"),"OK","REVISAR"))</f>
      </c>
    </row>
    <row r="1118">
      <c r="A1118" s="5"/>
      <c r="B1118" s="5"/>
      <c r="C1118" s="4"/>
      <c r="D1118" s="4"/>
      <c r="E1118" s="5"/>
      <c r="F1118" s="4"/>
      <c r="G1118" s="6">
        <f>IF(AND(A1118="",B1118=""),"",IF(COUNTIFS($A$2:$A$2001,A1118,$B$2:$B$2001,B1118)&gt;1,"DUPLICADO","OK"))</f>
      </c>
      <c r="H1118" s="6">
        <f>IF(COUNTA(A1118:F1118)=0,"",IF(AND(A1118&lt;&gt;"",B1118&lt;&gt;"",E1118&lt;&gt;""),"OK","ERRO: faltam "&amp;IF(A1118="","Conta; ","")&amp;IF(B1118="","Oportunidade; ","")&amp;IF(E1118="","Novo gerente; ","")))</f>
      </c>
      <c r="I1118" s="6">
        <f>IF(COUNTA(A1118:F1118)=0,"",IF(AND(G1118="OK",H1118="OK"),"OK","REVISAR"))</f>
      </c>
    </row>
    <row r="1119">
      <c r="A1119" s="5"/>
      <c r="B1119" s="5"/>
      <c r="C1119" s="4"/>
      <c r="D1119" s="4"/>
      <c r="E1119" s="5"/>
      <c r="F1119" s="4"/>
      <c r="G1119" s="6">
        <f>IF(AND(A1119="",B1119=""),"",IF(COUNTIFS($A$2:$A$2001,A1119,$B$2:$B$2001,B1119)&gt;1,"DUPLICADO","OK"))</f>
      </c>
      <c r="H1119" s="6">
        <f>IF(COUNTA(A1119:F1119)=0,"",IF(AND(A1119&lt;&gt;"",B1119&lt;&gt;"",E1119&lt;&gt;""),"OK","ERRO: faltam "&amp;IF(A1119="","Conta; ","")&amp;IF(B1119="","Oportunidade; ","")&amp;IF(E1119="","Novo gerente; ","")))</f>
      </c>
      <c r="I1119" s="6">
        <f>IF(COUNTA(A1119:F1119)=0,"",IF(AND(G1119="OK",H1119="OK"),"OK","REVISAR"))</f>
      </c>
    </row>
    <row r="1120">
      <c r="A1120" s="5"/>
      <c r="B1120" s="5"/>
      <c r="C1120" s="4"/>
      <c r="D1120" s="4"/>
      <c r="E1120" s="5"/>
      <c r="F1120" s="4"/>
      <c r="G1120" s="6">
        <f>IF(AND(A1120="",B1120=""),"",IF(COUNTIFS($A$2:$A$2001,A1120,$B$2:$B$2001,B1120)&gt;1,"DUPLICADO","OK"))</f>
      </c>
      <c r="H1120" s="6">
        <f>IF(COUNTA(A1120:F1120)=0,"",IF(AND(A1120&lt;&gt;"",B1120&lt;&gt;"",E1120&lt;&gt;""),"OK","ERRO: faltam "&amp;IF(A1120="","Conta; ","")&amp;IF(B1120="","Oportunidade; ","")&amp;IF(E1120="","Novo gerente; ","")))</f>
      </c>
      <c r="I1120" s="6">
        <f>IF(COUNTA(A1120:F1120)=0,"",IF(AND(G1120="OK",H1120="OK"),"OK","REVISAR"))</f>
      </c>
    </row>
    <row r="1121">
      <c r="A1121" s="5"/>
      <c r="B1121" s="5"/>
      <c r="C1121" s="4"/>
      <c r="D1121" s="4"/>
      <c r="E1121" s="5"/>
      <c r="F1121" s="4"/>
      <c r="G1121" s="6">
        <f>IF(AND(A1121="",B1121=""),"",IF(COUNTIFS($A$2:$A$2001,A1121,$B$2:$B$2001,B1121)&gt;1,"DUPLICADO","OK"))</f>
      </c>
      <c r="H1121" s="6">
        <f>IF(COUNTA(A1121:F1121)=0,"",IF(AND(A1121&lt;&gt;"",B1121&lt;&gt;"",E1121&lt;&gt;""),"OK","ERRO: faltam "&amp;IF(A1121="","Conta; ","")&amp;IF(B1121="","Oportunidade; ","")&amp;IF(E1121="","Novo gerente; ","")))</f>
      </c>
      <c r="I1121" s="6">
        <f>IF(COUNTA(A1121:F1121)=0,"",IF(AND(G1121="OK",H1121="OK"),"OK","REVISAR"))</f>
      </c>
    </row>
    <row r="1122">
      <c r="A1122" s="5"/>
      <c r="B1122" s="5"/>
      <c r="C1122" s="4"/>
      <c r="D1122" s="4"/>
      <c r="E1122" s="5"/>
      <c r="F1122" s="4"/>
      <c r="G1122" s="6">
        <f>IF(AND(A1122="",B1122=""),"",IF(COUNTIFS($A$2:$A$2001,A1122,$B$2:$B$2001,B1122)&gt;1,"DUPLICADO","OK"))</f>
      </c>
      <c r="H1122" s="6">
        <f>IF(COUNTA(A1122:F1122)=0,"",IF(AND(A1122&lt;&gt;"",B1122&lt;&gt;"",E1122&lt;&gt;""),"OK","ERRO: faltam "&amp;IF(A1122="","Conta; ","")&amp;IF(B1122="","Oportunidade; ","")&amp;IF(E1122="","Novo gerente; ","")))</f>
      </c>
      <c r="I1122" s="6">
        <f>IF(COUNTA(A1122:F1122)=0,"",IF(AND(G1122="OK",H1122="OK"),"OK","REVISAR"))</f>
      </c>
    </row>
    <row r="1123">
      <c r="A1123" s="5"/>
      <c r="B1123" s="5"/>
      <c r="C1123" s="4"/>
      <c r="D1123" s="4"/>
      <c r="E1123" s="5"/>
      <c r="F1123" s="4"/>
      <c r="G1123" s="6">
        <f>IF(AND(A1123="",B1123=""),"",IF(COUNTIFS($A$2:$A$2001,A1123,$B$2:$B$2001,B1123)&gt;1,"DUPLICADO","OK"))</f>
      </c>
      <c r="H1123" s="6">
        <f>IF(COUNTA(A1123:F1123)=0,"",IF(AND(A1123&lt;&gt;"",B1123&lt;&gt;"",E1123&lt;&gt;""),"OK","ERRO: faltam "&amp;IF(A1123="","Conta; ","")&amp;IF(B1123="","Oportunidade; ","")&amp;IF(E1123="","Novo gerente; ","")))</f>
      </c>
      <c r="I1123" s="6">
        <f>IF(COUNTA(A1123:F1123)=0,"",IF(AND(G1123="OK",H1123="OK"),"OK","REVISAR"))</f>
      </c>
    </row>
    <row r="1124">
      <c r="A1124" s="5"/>
      <c r="B1124" s="5"/>
      <c r="C1124" s="4"/>
      <c r="D1124" s="4"/>
      <c r="E1124" s="5"/>
      <c r="F1124" s="4"/>
      <c r="G1124" s="6">
        <f>IF(AND(A1124="",B1124=""),"",IF(COUNTIFS($A$2:$A$2001,A1124,$B$2:$B$2001,B1124)&gt;1,"DUPLICADO","OK"))</f>
      </c>
      <c r="H1124" s="6">
        <f>IF(COUNTA(A1124:F1124)=0,"",IF(AND(A1124&lt;&gt;"",B1124&lt;&gt;"",E1124&lt;&gt;""),"OK","ERRO: faltam "&amp;IF(A1124="","Conta; ","")&amp;IF(B1124="","Oportunidade; ","")&amp;IF(E1124="","Novo gerente; ","")))</f>
      </c>
      <c r="I1124" s="6">
        <f>IF(COUNTA(A1124:F1124)=0,"",IF(AND(G1124="OK",H1124="OK"),"OK","REVISAR"))</f>
      </c>
    </row>
    <row r="1125">
      <c r="A1125" s="5"/>
      <c r="B1125" s="5"/>
      <c r="C1125" s="4"/>
      <c r="D1125" s="4"/>
      <c r="E1125" s="5"/>
      <c r="F1125" s="4"/>
      <c r="G1125" s="6">
        <f>IF(AND(A1125="",B1125=""),"",IF(COUNTIFS($A$2:$A$2001,A1125,$B$2:$B$2001,B1125)&gt;1,"DUPLICADO","OK"))</f>
      </c>
      <c r="H1125" s="6">
        <f>IF(COUNTA(A1125:F1125)=0,"",IF(AND(A1125&lt;&gt;"",B1125&lt;&gt;"",E1125&lt;&gt;""),"OK","ERRO: faltam "&amp;IF(A1125="","Conta; ","")&amp;IF(B1125="","Oportunidade; ","")&amp;IF(E1125="","Novo gerente; ","")))</f>
      </c>
      <c r="I1125" s="6">
        <f>IF(COUNTA(A1125:F1125)=0,"",IF(AND(G1125="OK",H1125="OK"),"OK","REVISAR"))</f>
      </c>
    </row>
    <row r="1126">
      <c r="A1126" s="5"/>
      <c r="B1126" s="5"/>
      <c r="C1126" s="4"/>
      <c r="D1126" s="4"/>
      <c r="E1126" s="5"/>
      <c r="F1126" s="4"/>
      <c r="G1126" s="6">
        <f>IF(AND(A1126="",B1126=""),"",IF(COUNTIFS($A$2:$A$2001,A1126,$B$2:$B$2001,B1126)&gt;1,"DUPLICADO","OK"))</f>
      </c>
      <c r="H1126" s="6">
        <f>IF(COUNTA(A1126:F1126)=0,"",IF(AND(A1126&lt;&gt;"",B1126&lt;&gt;"",E1126&lt;&gt;""),"OK","ERRO: faltam "&amp;IF(A1126="","Conta; ","")&amp;IF(B1126="","Oportunidade; ","")&amp;IF(E1126="","Novo gerente; ","")))</f>
      </c>
      <c r="I1126" s="6">
        <f>IF(COUNTA(A1126:F1126)=0,"",IF(AND(G1126="OK",H1126="OK"),"OK","REVISAR"))</f>
      </c>
    </row>
    <row r="1127">
      <c r="A1127" s="5"/>
      <c r="B1127" s="5"/>
      <c r="C1127" s="4"/>
      <c r="D1127" s="4"/>
      <c r="E1127" s="5"/>
      <c r="F1127" s="4"/>
      <c r="G1127" s="6">
        <f>IF(AND(A1127="",B1127=""),"",IF(COUNTIFS($A$2:$A$2001,A1127,$B$2:$B$2001,B1127)&gt;1,"DUPLICADO","OK"))</f>
      </c>
      <c r="H1127" s="6">
        <f>IF(COUNTA(A1127:F1127)=0,"",IF(AND(A1127&lt;&gt;"",B1127&lt;&gt;"",E1127&lt;&gt;""),"OK","ERRO: faltam "&amp;IF(A1127="","Conta; ","")&amp;IF(B1127="","Oportunidade; ","")&amp;IF(E1127="","Novo gerente; ","")))</f>
      </c>
      <c r="I1127" s="6">
        <f>IF(COUNTA(A1127:F1127)=0,"",IF(AND(G1127="OK",H1127="OK"),"OK","REVISAR"))</f>
      </c>
    </row>
    <row r="1128">
      <c r="A1128" s="5"/>
      <c r="B1128" s="5"/>
      <c r="C1128" s="4"/>
      <c r="D1128" s="4"/>
      <c r="E1128" s="5"/>
      <c r="F1128" s="4"/>
      <c r="G1128" s="6">
        <f>IF(AND(A1128="",B1128=""),"",IF(COUNTIFS($A$2:$A$2001,A1128,$B$2:$B$2001,B1128)&gt;1,"DUPLICADO","OK"))</f>
      </c>
      <c r="H1128" s="6">
        <f>IF(COUNTA(A1128:F1128)=0,"",IF(AND(A1128&lt;&gt;"",B1128&lt;&gt;"",E1128&lt;&gt;""),"OK","ERRO: faltam "&amp;IF(A1128="","Conta; ","")&amp;IF(B1128="","Oportunidade; ","")&amp;IF(E1128="","Novo gerente; ","")))</f>
      </c>
      <c r="I1128" s="6">
        <f>IF(COUNTA(A1128:F1128)=0,"",IF(AND(G1128="OK",H1128="OK"),"OK","REVISAR"))</f>
      </c>
    </row>
    <row r="1129">
      <c r="A1129" s="5"/>
      <c r="B1129" s="5"/>
      <c r="C1129" s="4"/>
      <c r="D1129" s="4"/>
      <c r="E1129" s="5"/>
      <c r="F1129" s="4"/>
      <c r="G1129" s="6">
        <f>IF(AND(A1129="",B1129=""),"",IF(COUNTIFS($A$2:$A$2001,A1129,$B$2:$B$2001,B1129)&gt;1,"DUPLICADO","OK"))</f>
      </c>
      <c r="H1129" s="6">
        <f>IF(COUNTA(A1129:F1129)=0,"",IF(AND(A1129&lt;&gt;"",B1129&lt;&gt;"",E1129&lt;&gt;""),"OK","ERRO: faltam "&amp;IF(A1129="","Conta; ","")&amp;IF(B1129="","Oportunidade; ","")&amp;IF(E1129="","Novo gerente; ","")))</f>
      </c>
      <c r="I1129" s="6">
        <f>IF(COUNTA(A1129:F1129)=0,"",IF(AND(G1129="OK",H1129="OK"),"OK","REVISAR"))</f>
      </c>
    </row>
    <row r="1130">
      <c r="A1130" s="5"/>
      <c r="B1130" s="5"/>
      <c r="C1130" s="4"/>
      <c r="D1130" s="4"/>
      <c r="E1130" s="5"/>
      <c r="F1130" s="4"/>
      <c r="G1130" s="6">
        <f>IF(AND(A1130="",B1130=""),"",IF(COUNTIFS($A$2:$A$2001,A1130,$B$2:$B$2001,B1130)&gt;1,"DUPLICADO","OK"))</f>
      </c>
      <c r="H1130" s="6">
        <f>IF(COUNTA(A1130:F1130)=0,"",IF(AND(A1130&lt;&gt;"",B1130&lt;&gt;"",E1130&lt;&gt;""),"OK","ERRO: faltam "&amp;IF(A1130="","Conta; ","")&amp;IF(B1130="","Oportunidade; ","")&amp;IF(E1130="","Novo gerente; ","")))</f>
      </c>
      <c r="I1130" s="6">
        <f>IF(COUNTA(A1130:F1130)=0,"",IF(AND(G1130="OK",H1130="OK"),"OK","REVISAR"))</f>
      </c>
    </row>
    <row r="1131">
      <c r="A1131" s="5"/>
      <c r="B1131" s="5"/>
      <c r="C1131" s="4"/>
      <c r="D1131" s="4"/>
      <c r="E1131" s="5"/>
      <c r="F1131" s="4"/>
      <c r="G1131" s="6">
        <f>IF(AND(A1131="",B1131=""),"",IF(COUNTIFS($A$2:$A$2001,A1131,$B$2:$B$2001,B1131)&gt;1,"DUPLICADO","OK"))</f>
      </c>
      <c r="H1131" s="6">
        <f>IF(COUNTA(A1131:F1131)=0,"",IF(AND(A1131&lt;&gt;"",B1131&lt;&gt;"",E1131&lt;&gt;""),"OK","ERRO: faltam "&amp;IF(A1131="","Conta; ","")&amp;IF(B1131="","Oportunidade; ","")&amp;IF(E1131="","Novo gerente; ","")))</f>
      </c>
      <c r="I1131" s="6">
        <f>IF(COUNTA(A1131:F1131)=0,"",IF(AND(G1131="OK",H1131="OK"),"OK","REVISAR"))</f>
      </c>
    </row>
    <row r="1132">
      <c r="A1132" s="5"/>
      <c r="B1132" s="5"/>
      <c r="C1132" s="4"/>
      <c r="D1132" s="4"/>
      <c r="E1132" s="5"/>
      <c r="F1132" s="4"/>
      <c r="G1132" s="6">
        <f>IF(AND(A1132="",B1132=""),"",IF(COUNTIFS($A$2:$A$2001,A1132,$B$2:$B$2001,B1132)&gt;1,"DUPLICADO","OK"))</f>
      </c>
      <c r="H1132" s="6">
        <f>IF(COUNTA(A1132:F1132)=0,"",IF(AND(A1132&lt;&gt;"",B1132&lt;&gt;"",E1132&lt;&gt;""),"OK","ERRO: faltam "&amp;IF(A1132="","Conta; ","")&amp;IF(B1132="","Oportunidade; ","")&amp;IF(E1132="","Novo gerente; ","")))</f>
      </c>
      <c r="I1132" s="6">
        <f>IF(COUNTA(A1132:F1132)=0,"",IF(AND(G1132="OK",H1132="OK"),"OK","REVISAR"))</f>
      </c>
    </row>
    <row r="1133">
      <c r="A1133" s="5"/>
      <c r="B1133" s="5"/>
      <c r="C1133" s="4"/>
      <c r="D1133" s="4"/>
      <c r="E1133" s="5"/>
      <c r="F1133" s="4"/>
      <c r="G1133" s="6">
        <f>IF(AND(A1133="",B1133=""),"",IF(COUNTIFS($A$2:$A$2001,A1133,$B$2:$B$2001,B1133)&gt;1,"DUPLICADO","OK"))</f>
      </c>
      <c r="H1133" s="6">
        <f>IF(COUNTA(A1133:F1133)=0,"",IF(AND(A1133&lt;&gt;"",B1133&lt;&gt;"",E1133&lt;&gt;""),"OK","ERRO: faltam "&amp;IF(A1133="","Conta; ","")&amp;IF(B1133="","Oportunidade; ","")&amp;IF(E1133="","Novo gerente; ","")))</f>
      </c>
      <c r="I1133" s="6">
        <f>IF(COUNTA(A1133:F1133)=0,"",IF(AND(G1133="OK",H1133="OK"),"OK","REVISAR"))</f>
      </c>
    </row>
    <row r="1134">
      <c r="A1134" s="5"/>
      <c r="B1134" s="5"/>
      <c r="C1134" s="4"/>
      <c r="D1134" s="4"/>
      <c r="E1134" s="5"/>
      <c r="F1134" s="4"/>
      <c r="G1134" s="6">
        <f>IF(AND(A1134="",B1134=""),"",IF(COUNTIFS($A$2:$A$2001,A1134,$B$2:$B$2001,B1134)&gt;1,"DUPLICADO","OK"))</f>
      </c>
      <c r="H1134" s="6">
        <f>IF(COUNTA(A1134:F1134)=0,"",IF(AND(A1134&lt;&gt;"",B1134&lt;&gt;"",E1134&lt;&gt;""),"OK","ERRO: faltam "&amp;IF(A1134="","Conta; ","")&amp;IF(B1134="","Oportunidade; ","")&amp;IF(E1134="","Novo gerente; ","")))</f>
      </c>
      <c r="I1134" s="6">
        <f>IF(COUNTA(A1134:F1134)=0,"",IF(AND(G1134="OK",H1134="OK"),"OK","REVISAR"))</f>
      </c>
    </row>
    <row r="1135">
      <c r="A1135" s="5"/>
      <c r="B1135" s="5"/>
      <c r="C1135" s="4"/>
      <c r="D1135" s="4"/>
      <c r="E1135" s="5"/>
      <c r="F1135" s="4"/>
      <c r="G1135" s="6">
        <f>IF(AND(A1135="",B1135=""),"",IF(COUNTIFS($A$2:$A$2001,A1135,$B$2:$B$2001,B1135)&gt;1,"DUPLICADO","OK"))</f>
      </c>
      <c r="H1135" s="6">
        <f>IF(COUNTA(A1135:F1135)=0,"",IF(AND(A1135&lt;&gt;"",B1135&lt;&gt;"",E1135&lt;&gt;""),"OK","ERRO: faltam "&amp;IF(A1135="","Conta; ","")&amp;IF(B1135="","Oportunidade; ","")&amp;IF(E1135="","Novo gerente; ","")))</f>
      </c>
      <c r="I1135" s="6">
        <f>IF(COUNTA(A1135:F1135)=0,"",IF(AND(G1135="OK",H1135="OK"),"OK","REVISAR"))</f>
      </c>
    </row>
    <row r="1136">
      <c r="A1136" s="5"/>
      <c r="B1136" s="5"/>
      <c r="C1136" s="4"/>
      <c r="D1136" s="4"/>
      <c r="E1136" s="5"/>
      <c r="F1136" s="4"/>
      <c r="G1136" s="6">
        <f>IF(AND(A1136="",B1136=""),"",IF(COUNTIFS($A$2:$A$2001,A1136,$B$2:$B$2001,B1136)&gt;1,"DUPLICADO","OK"))</f>
      </c>
      <c r="H1136" s="6">
        <f>IF(COUNTA(A1136:F1136)=0,"",IF(AND(A1136&lt;&gt;"",B1136&lt;&gt;"",E1136&lt;&gt;""),"OK","ERRO: faltam "&amp;IF(A1136="","Conta; ","")&amp;IF(B1136="","Oportunidade; ","")&amp;IF(E1136="","Novo gerente; ","")))</f>
      </c>
      <c r="I1136" s="6">
        <f>IF(COUNTA(A1136:F1136)=0,"",IF(AND(G1136="OK",H1136="OK"),"OK","REVISAR"))</f>
      </c>
    </row>
    <row r="1137">
      <c r="A1137" s="5"/>
      <c r="B1137" s="5"/>
      <c r="C1137" s="4"/>
      <c r="D1137" s="4"/>
      <c r="E1137" s="5"/>
      <c r="F1137" s="4"/>
      <c r="G1137" s="6">
        <f>IF(AND(A1137="",B1137=""),"",IF(COUNTIFS($A$2:$A$2001,A1137,$B$2:$B$2001,B1137)&gt;1,"DUPLICADO","OK"))</f>
      </c>
      <c r="H1137" s="6">
        <f>IF(COUNTA(A1137:F1137)=0,"",IF(AND(A1137&lt;&gt;"",B1137&lt;&gt;"",E1137&lt;&gt;""),"OK","ERRO: faltam "&amp;IF(A1137="","Conta; ","")&amp;IF(B1137="","Oportunidade; ","")&amp;IF(E1137="","Novo gerente; ","")))</f>
      </c>
      <c r="I1137" s="6">
        <f>IF(COUNTA(A1137:F1137)=0,"",IF(AND(G1137="OK",H1137="OK"),"OK","REVISAR"))</f>
      </c>
    </row>
    <row r="1138">
      <c r="A1138" s="5"/>
      <c r="B1138" s="5"/>
      <c r="C1138" s="4"/>
      <c r="D1138" s="4"/>
      <c r="E1138" s="5"/>
      <c r="F1138" s="4"/>
      <c r="G1138" s="6">
        <f>IF(AND(A1138="",B1138=""),"",IF(COUNTIFS($A$2:$A$2001,A1138,$B$2:$B$2001,B1138)&gt;1,"DUPLICADO","OK"))</f>
      </c>
      <c r="H1138" s="6">
        <f>IF(COUNTA(A1138:F1138)=0,"",IF(AND(A1138&lt;&gt;"",B1138&lt;&gt;"",E1138&lt;&gt;""),"OK","ERRO: faltam "&amp;IF(A1138="","Conta; ","")&amp;IF(B1138="","Oportunidade; ","")&amp;IF(E1138="","Novo gerente; ","")))</f>
      </c>
      <c r="I1138" s="6">
        <f>IF(COUNTA(A1138:F1138)=0,"",IF(AND(G1138="OK",H1138="OK"),"OK","REVISAR"))</f>
      </c>
    </row>
    <row r="1139">
      <c r="A1139" s="5"/>
      <c r="B1139" s="5"/>
      <c r="C1139" s="4"/>
      <c r="D1139" s="4"/>
      <c r="E1139" s="5"/>
      <c r="F1139" s="4"/>
      <c r="G1139" s="6">
        <f>IF(AND(A1139="",B1139=""),"",IF(COUNTIFS($A$2:$A$2001,A1139,$B$2:$B$2001,B1139)&gt;1,"DUPLICADO","OK"))</f>
      </c>
      <c r="H1139" s="6">
        <f>IF(COUNTA(A1139:F1139)=0,"",IF(AND(A1139&lt;&gt;"",B1139&lt;&gt;"",E1139&lt;&gt;""),"OK","ERRO: faltam "&amp;IF(A1139="","Conta; ","")&amp;IF(B1139="","Oportunidade; ","")&amp;IF(E1139="","Novo gerente; ","")))</f>
      </c>
      <c r="I1139" s="6">
        <f>IF(COUNTA(A1139:F1139)=0,"",IF(AND(G1139="OK",H1139="OK"),"OK","REVISAR"))</f>
      </c>
    </row>
    <row r="1140">
      <c r="A1140" s="5"/>
      <c r="B1140" s="5"/>
      <c r="C1140" s="4"/>
      <c r="D1140" s="4"/>
      <c r="E1140" s="5"/>
      <c r="F1140" s="4"/>
      <c r="G1140" s="6">
        <f>IF(AND(A1140="",B1140=""),"",IF(COUNTIFS($A$2:$A$2001,A1140,$B$2:$B$2001,B1140)&gt;1,"DUPLICADO","OK"))</f>
      </c>
      <c r="H1140" s="6">
        <f>IF(COUNTA(A1140:F1140)=0,"",IF(AND(A1140&lt;&gt;"",B1140&lt;&gt;"",E1140&lt;&gt;""),"OK","ERRO: faltam "&amp;IF(A1140="","Conta; ","")&amp;IF(B1140="","Oportunidade; ","")&amp;IF(E1140="","Novo gerente; ","")))</f>
      </c>
      <c r="I1140" s="6">
        <f>IF(COUNTA(A1140:F1140)=0,"",IF(AND(G1140="OK",H1140="OK"),"OK","REVISAR"))</f>
      </c>
    </row>
    <row r="1141">
      <c r="A1141" s="5"/>
      <c r="B1141" s="5"/>
      <c r="C1141" s="4"/>
      <c r="D1141" s="4"/>
      <c r="E1141" s="5"/>
      <c r="F1141" s="4"/>
      <c r="G1141" s="6">
        <f>IF(AND(A1141="",B1141=""),"",IF(COUNTIFS($A$2:$A$2001,A1141,$B$2:$B$2001,B1141)&gt;1,"DUPLICADO","OK"))</f>
      </c>
      <c r="H1141" s="6">
        <f>IF(COUNTA(A1141:F1141)=0,"",IF(AND(A1141&lt;&gt;"",B1141&lt;&gt;"",E1141&lt;&gt;""),"OK","ERRO: faltam "&amp;IF(A1141="","Conta; ","")&amp;IF(B1141="","Oportunidade; ","")&amp;IF(E1141="","Novo gerente; ","")))</f>
      </c>
      <c r="I1141" s="6">
        <f>IF(COUNTA(A1141:F1141)=0,"",IF(AND(G1141="OK",H1141="OK"),"OK","REVISAR"))</f>
      </c>
    </row>
    <row r="1142">
      <c r="A1142" s="5"/>
      <c r="B1142" s="5"/>
      <c r="C1142" s="4"/>
      <c r="D1142" s="4"/>
      <c r="E1142" s="5"/>
      <c r="F1142" s="4"/>
      <c r="G1142" s="6">
        <f>IF(AND(A1142="",B1142=""),"",IF(COUNTIFS($A$2:$A$2001,A1142,$B$2:$B$2001,B1142)&gt;1,"DUPLICADO","OK"))</f>
      </c>
      <c r="H1142" s="6">
        <f>IF(COUNTA(A1142:F1142)=0,"",IF(AND(A1142&lt;&gt;"",B1142&lt;&gt;"",E1142&lt;&gt;""),"OK","ERRO: faltam "&amp;IF(A1142="","Conta; ","")&amp;IF(B1142="","Oportunidade; ","")&amp;IF(E1142="","Novo gerente; ","")))</f>
      </c>
      <c r="I1142" s="6">
        <f>IF(COUNTA(A1142:F1142)=0,"",IF(AND(G1142="OK",H1142="OK"),"OK","REVISAR"))</f>
      </c>
    </row>
    <row r="1143">
      <c r="A1143" s="5"/>
      <c r="B1143" s="5"/>
      <c r="C1143" s="4"/>
      <c r="D1143" s="4"/>
      <c r="E1143" s="5"/>
      <c r="F1143" s="4"/>
      <c r="G1143" s="6">
        <f>IF(AND(A1143="",B1143=""),"",IF(COUNTIFS($A$2:$A$2001,A1143,$B$2:$B$2001,B1143)&gt;1,"DUPLICADO","OK"))</f>
      </c>
      <c r="H1143" s="6">
        <f>IF(COUNTA(A1143:F1143)=0,"",IF(AND(A1143&lt;&gt;"",B1143&lt;&gt;"",E1143&lt;&gt;""),"OK","ERRO: faltam "&amp;IF(A1143="","Conta; ","")&amp;IF(B1143="","Oportunidade; ","")&amp;IF(E1143="","Novo gerente; ","")))</f>
      </c>
      <c r="I1143" s="6">
        <f>IF(COUNTA(A1143:F1143)=0,"",IF(AND(G1143="OK",H1143="OK"),"OK","REVISAR"))</f>
      </c>
    </row>
    <row r="1144">
      <c r="A1144" s="5"/>
      <c r="B1144" s="5"/>
      <c r="C1144" s="4"/>
      <c r="D1144" s="4"/>
      <c r="E1144" s="5"/>
      <c r="F1144" s="4"/>
      <c r="G1144" s="6">
        <f>IF(AND(A1144="",B1144=""),"",IF(COUNTIFS($A$2:$A$2001,A1144,$B$2:$B$2001,B1144)&gt;1,"DUPLICADO","OK"))</f>
      </c>
      <c r="H1144" s="6">
        <f>IF(COUNTA(A1144:F1144)=0,"",IF(AND(A1144&lt;&gt;"",B1144&lt;&gt;"",E1144&lt;&gt;""),"OK","ERRO: faltam "&amp;IF(A1144="","Conta; ","")&amp;IF(B1144="","Oportunidade; ","")&amp;IF(E1144="","Novo gerente; ","")))</f>
      </c>
      <c r="I1144" s="6">
        <f>IF(COUNTA(A1144:F1144)=0,"",IF(AND(G1144="OK",H1144="OK"),"OK","REVISAR"))</f>
      </c>
    </row>
    <row r="1145">
      <c r="A1145" s="5"/>
      <c r="B1145" s="5"/>
      <c r="C1145" s="4"/>
      <c r="D1145" s="4"/>
      <c r="E1145" s="5"/>
      <c r="F1145" s="4"/>
      <c r="G1145" s="6">
        <f>IF(AND(A1145="",B1145=""),"",IF(COUNTIFS($A$2:$A$2001,A1145,$B$2:$B$2001,B1145)&gt;1,"DUPLICADO","OK"))</f>
      </c>
      <c r="H1145" s="6">
        <f>IF(COUNTA(A1145:F1145)=0,"",IF(AND(A1145&lt;&gt;"",B1145&lt;&gt;"",E1145&lt;&gt;""),"OK","ERRO: faltam "&amp;IF(A1145="","Conta; ","")&amp;IF(B1145="","Oportunidade; ","")&amp;IF(E1145="","Novo gerente; ","")))</f>
      </c>
      <c r="I1145" s="6">
        <f>IF(COUNTA(A1145:F1145)=0,"",IF(AND(G1145="OK",H1145="OK"),"OK","REVISAR"))</f>
      </c>
    </row>
    <row r="1146">
      <c r="A1146" s="5"/>
      <c r="B1146" s="5"/>
      <c r="C1146" s="4"/>
      <c r="D1146" s="4"/>
      <c r="E1146" s="5"/>
      <c r="F1146" s="4"/>
      <c r="G1146" s="6">
        <f>IF(AND(A1146="",B1146=""),"",IF(COUNTIFS($A$2:$A$2001,A1146,$B$2:$B$2001,B1146)&gt;1,"DUPLICADO","OK"))</f>
      </c>
      <c r="H1146" s="6">
        <f>IF(COUNTA(A1146:F1146)=0,"",IF(AND(A1146&lt;&gt;"",B1146&lt;&gt;"",E1146&lt;&gt;""),"OK","ERRO: faltam "&amp;IF(A1146="","Conta; ","")&amp;IF(B1146="","Oportunidade; ","")&amp;IF(E1146="","Novo gerente; ","")))</f>
      </c>
      <c r="I1146" s="6">
        <f>IF(COUNTA(A1146:F1146)=0,"",IF(AND(G1146="OK",H1146="OK"),"OK","REVISAR"))</f>
      </c>
    </row>
    <row r="1147">
      <c r="A1147" s="5"/>
      <c r="B1147" s="5"/>
      <c r="C1147" s="4"/>
      <c r="D1147" s="4"/>
      <c r="E1147" s="5"/>
      <c r="F1147" s="4"/>
      <c r="G1147" s="6">
        <f>IF(AND(A1147="",B1147=""),"",IF(COUNTIFS($A$2:$A$2001,A1147,$B$2:$B$2001,B1147)&gt;1,"DUPLICADO","OK"))</f>
      </c>
      <c r="H1147" s="6">
        <f>IF(COUNTA(A1147:F1147)=0,"",IF(AND(A1147&lt;&gt;"",B1147&lt;&gt;"",E1147&lt;&gt;""),"OK","ERRO: faltam "&amp;IF(A1147="","Conta; ","")&amp;IF(B1147="","Oportunidade; ","")&amp;IF(E1147="","Novo gerente; ","")))</f>
      </c>
      <c r="I1147" s="6">
        <f>IF(COUNTA(A1147:F1147)=0,"",IF(AND(G1147="OK",H1147="OK"),"OK","REVISAR"))</f>
      </c>
    </row>
    <row r="1148">
      <c r="A1148" s="5"/>
      <c r="B1148" s="5"/>
      <c r="C1148" s="4"/>
      <c r="D1148" s="4"/>
      <c r="E1148" s="5"/>
      <c r="F1148" s="4"/>
      <c r="G1148" s="6">
        <f>IF(AND(A1148="",B1148=""),"",IF(COUNTIFS($A$2:$A$2001,A1148,$B$2:$B$2001,B1148)&gt;1,"DUPLICADO","OK"))</f>
      </c>
      <c r="H1148" s="6">
        <f>IF(COUNTA(A1148:F1148)=0,"",IF(AND(A1148&lt;&gt;"",B1148&lt;&gt;"",E1148&lt;&gt;""),"OK","ERRO: faltam "&amp;IF(A1148="","Conta; ","")&amp;IF(B1148="","Oportunidade; ","")&amp;IF(E1148="","Novo gerente; ","")))</f>
      </c>
      <c r="I1148" s="6">
        <f>IF(COUNTA(A1148:F1148)=0,"",IF(AND(G1148="OK",H1148="OK"),"OK","REVISAR"))</f>
      </c>
    </row>
    <row r="1149">
      <c r="A1149" s="5"/>
      <c r="B1149" s="5"/>
      <c r="C1149" s="4"/>
      <c r="D1149" s="4"/>
      <c r="E1149" s="5"/>
      <c r="F1149" s="4"/>
      <c r="G1149" s="6">
        <f>IF(AND(A1149="",B1149=""),"",IF(COUNTIFS($A$2:$A$2001,A1149,$B$2:$B$2001,B1149)&gt;1,"DUPLICADO","OK"))</f>
      </c>
      <c r="H1149" s="6">
        <f>IF(COUNTA(A1149:F1149)=0,"",IF(AND(A1149&lt;&gt;"",B1149&lt;&gt;"",E1149&lt;&gt;""),"OK","ERRO: faltam "&amp;IF(A1149="","Conta; ","")&amp;IF(B1149="","Oportunidade; ","")&amp;IF(E1149="","Novo gerente; ","")))</f>
      </c>
      <c r="I1149" s="6">
        <f>IF(COUNTA(A1149:F1149)=0,"",IF(AND(G1149="OK",H1149="OK"),"OK","REVISAR"))</f>
      </c>
    </row>
    <row r="1150">
      <c r="A1150" s="5"/>
      <c r="B1150" s="5"/>
      <c r="C1150" s="4"/>
      <c r="D1150" s="4"/>
      <c r="E1150" s="5"/>
      <c r="F1150" s="4"/>
      <c r="G1150" s="6">
        <f>IF(AND(A1150="",B1150=""),"",IF(COUNTIFS($A$2:$A$2001,A1150,$B$2:$B$2001,B1150)&gt;1,"DUPLICADO","OK"))</f>
      </c>
      <c r="H1150" s="6">
        <f>IF(COUNTA(A1150:F1150)=0,"",IF(AND(A1150&lt;&gt;"",B1150&lt;&gt;"",E1150&lt;&gt;""),"OK","ERRO: faltam "&amp;IF(A1150="","Conta; ","")&amp;IF(B1150="","Oportunidade; ","")&amp;IF(E1150="","Novo gerente; ","")))</f>
      </c>
      <c r="I1150" s="6">
        <f>IF(COUNTA(A1150:F1150)=0,"",IF(AND(G1150="OK",H1150="OK"),"OK","REVISAR"))</f>
      </c>
    </row>
    <row r="1151">
      <c r="A1151" s="5"/>
      <c r="B1151" s="5"/>
      <c r="C1151" s="4"/>
      <c r="D1151" s="4"/>
      <c r="E1151" s="5"/>
      <c r="F1151" s="4"/>
      <c r="G1151" s="6">
        <f>IF(AND(A1151="",B1151=""),"",IF(COUNTIFS($A$2:$A$2001,A1151,$B$2:$B$2001,B1151)&gt;1,"DUPLICADO","OK"))</f>
      </c>
      <c r="H1151" s="6">
        <f>IF(COUNTA(A1151:F1151)=0,"",IF(AND(A1151&lt;&gt;"",B1151&lt;&gt;"",E1151&lt;&gt;""),"OK","ERRO: faltam "&amp;IF(A1151="","Conta; ","")&amp;IF(B1151="","Oportunidade; ","")&amp;IF(E1151="","Novo gerente; ","")))</f>
      </c>
      <c r="I1151" s="6">
        <f>IF(COUNTA(A1151:F1151)=0,"",IF(AND(G1151="OK",H1151="OK"),"OK","REVISAR"))</f>
      </c>
    </row>
    <row r="1152">
      <c r="A1152" s="5"/>
      <c r="B1152" s="5"/>
      <c r="C1152" s="4"/>
      <c r="D1152" s="4"/>
      <c r="E1152" s="5"/>
      <c r="F1152" s="4"/>
      <c r="G1152" s="6">
        <f>IF(AND(A1152="",B1152=""),"",IF(COUNTIFS($A$2:$A$2001,A1152,$B$2:$B$2001,B1152)&gt;1,"DUPLICADO","OK"))</f>
      </c>
      <c r="H1152" s="6">
        <f>IF(COUNTA(A1152:F1152)=0,"",IF(AND(A1152&lt;&gt;"",B1152&lt;&gt;"",E1152&lt;&gt;""),"OK","ERRO: faltam "&amp;IF(A1152="","Conta; ","")&amp;IF(B1152="","Oportunidade; ","")&amp;IF(E1152="","Novo gerente; ","")))</f>
      </c>
      <c r="I1152" s="6">
        <f>IF(COUNTA(A1152:F1152)=0,"",IF(AND(G1152="OK",H1152="OK"),"OK","REVISAR"))</f>
      </c>
    </row>
    <row r="1153">
      <c r="A1153" s="5"/>
      <c r="B1153" s="5"/>
      <c r="C1153" s="4"/>
      <c r="D1153" s="4"/>
      <c r="E1153" s="5"/>
      <c r="F1153" s="4"/>
      <c r="G1153" s="6">
        <f>IF(AND(A1153="",B1153=""),"",IF(COUNTIFS($A$2:$A$2001,A1153,$B$2:$B$2001,B1153)&gt;1,"DUPLICADO","OK"))</f>
      </c>
      <c r="H1153" s="6">
        <f>IF(COUNTA(A1153:F1153)=0,"",IF(AND(A1153&lt;&gt;"",B1153&lt;&gt;"",E1153&lt;&gt;""),"OK","ERRO: faltam "&amp;IF(A1153="","Conta; ","")&amp;IF(B1153="","Oportunidade; ","")&amp;IF(E1153="","Novo gerente; ","")))</f>
      </c>
      <c r="I1153" s="6">
        <f>IF(COUNTA(A1153:F1153)=0,"",IF(AND(G1153="OK",H1153="OK"),"OK","REVISAR"))</f>
      </c>
    </row>
    <row r="1154">
      <c r="A1154" s="5"/>
      <c r="B1154" s="5"/>
      <c r="C1154" s="4"/>
      <c r="D1154" s="4"/>
      <c r="E1154" s="5"/>
      <c r="F1154" s="4"/>
      <c r="G1154" s="6">
        <f>IF(AND(A1154="",B1154=""),"",IF(COUNTIFS($A$2:$A$2001,A1154,$B$2:$B$2001,B1154)&gt;1,"DUPLICADO","OK"))</f>
      </c>
      <c r="H1154" s="6">
        <f>IF(COUNTA(A1154:F1154)=0,"",IF(AND(A1154&lt;&gt;"",B1154&lt;&gt;"",E1154&lt;&gt;""),"OK","ERRO: faltam "&amp;IF(A1154="","Conta; ","")&amp;IF(B1154="","Oportunidade; ","")&amp;IF(E1154="","Novo gerente; ","")))</f>
      </c>
      <c r="I1154" s="6">
        <f>IF(COUNTA(A1154:F1154)=0,"",IF(AND(G1154="OK",H1154="OK"),"OK","REVISAR"))</f>
      </c>
    </row>
    <row r="1155">
      <c r="A1155" s="5"/>
      <c r="B1155" s="5"/>
      <c r="C1155" s="4"/>
      <c r="D1155" s="4"/>
      <c r="E1155" s="5"/>
      <c r="F1155" s="4"/>
      <c r="G1155" s="6">
        <f>IF(AND(A1155="",B1155=""),"",IF(COUNTIFS($A$2:$A$2001,A1155,$B$2:$B$2001,B1155)&gt;1,"DUPLICADO","OK"))</f>
      </c>
      <c r="H1155" s="6">
        <f>IF(COUNTA(A1155:F1155)=0,"",IF(AND(A1155&lt;&gt;"",B1155&lt;&gt;"",E1155&lt;&gt;""),"OK","ERRO: faltam "&amp;IF(A1155="","Conta; ","")&amp;IF(B1155="","Oportunidade; ","")&amp;IF(E1155="","Novo gerente; ","")))</f>
      </c>
      <c r="I1155" s="6">
        <f>IF(COUNTA(A1155:F1155)=0,"",IF(AND(G1155="OK",H1155="OK"),"OK","REVISAR"))</f>
      </c>
    </row>
    <row r="1156">
      <c r="A1156" s="5"/>
      <c r="B1156" s="5"/>
      <c r="C1156" s="4"/>
      <c r="D1156" s="4"/>
      <c r="E1156" s="5"/>
      <c r="F1156" s="4"/>
      <c r="G1156" s="6">
        <f>IF(AND(A1156="",B1156=""),"",IF(COUNTIFS($A$2:$A$2001,A1156,$B$2:$B$2001,B1156)&gt;1,"DUPLICADO","OK"))</f>
      </c>
      <c r="H1156" s="6">
        <f>IF(COUNTA(A1156:F1156)=0,"",IF(AND(A1156&lt;&gt;"",B1156&lt;&gt;"",E1156&lt;&gt;""),"OK","ERRO: faltam "&amp;IF(A1156="","Conta; ","")&amp;IF(B1156="","Oportunidade; ","")&amp;IF(E1156="","Novo gerente; ","")))</f>
      </c>
      <c r="I1156" s="6">
        <f>IF(COUNTA(A1156:F1156)=0,"",IF(AND(G1156="OK",H1156="OK"),"OK","REVISAR"))</f>
      </c>
    </row>
    <row r="1157">
      <c r="A1157" s="5"/>
      <c r="B1157" s="5"/>
      <c r="C1157" s="4"/>
      <c r="D1157" s="4"/>
      <c r="E1157" s="5"/>
      <c r="F1157" s="4"/>
      <c r="G1157" s="6">
        <f>IF(AND(A1157="",B1157=""),"",IF(COUNTIFS($A$2:$A$2001,A1157,$B$2:$B$2001,B1157)&gt;1,"DUPLICADO","OK"))</f>
      </c>
      <c r="H1157" s="6">
        <f>IF(COUNTA(A1157:F1157)=0,"",IF(AND(A1157&lt;&gt;"",B1157&lt;&gt;"",E1157&lt;&gt;""),"OK","ERRO: faltam "&amp;IF(A1157="","Conta; ","")&amp;IF(B1157="","Oportunidade; ","")&amp;IF(E1157="","Novo gerente; ","")))</f>
      </c>
      <c r="I1157" s="6">
        <f>IF(COUNTA(A1157:F1157)=0,"",IF(AND(G1157="OK",H1157="OK"),"OK","REVISAR"))</f>
      </c>
    </row>
    <row r="1158">
      <c r="A1158" s="5"/>
      <c r="B1158" s="5"/>
      <c r="C1158" s="4"/>
      <c r="D1158" s="4"/>
      <c r="E1158" s="5"/>
      <c r="F1158" s="4"/>
      <c r="G1158" s="6">
        <f>IF(AND(A1158="",B1158=""),"",IF(COUNTIFS($A$2:$A$2001,A1158,$B$2:$B$2001,B1158)&gt;1,"DUPLICADO","OK"))</f>
      </c>
      <c r="H1158" s="6">
        <f>IF(COUNTA(A1158:F1158)=0,"",IF(AND(A1158&lt;&gt;"",B1158&lt;&gt;"",E1158&lt;&gt;""),"OK","ERRO: faltam "&amp;IF(A1158="","Conta; ","")&amp;IF(B1158="","Oportunidade; ","")&amp;IF(E1158="","Novo gerente; ","")))</f>
      </c>
      <c r="I1158" s="6">
        <f>IF(COUNTA(A1158:F1158)=0,"",IF(AND(G1158="OK",H1158="OK"),"OK","REVISAR"))</f>
      </c>
    </row>
    <row r="1159">
      <c r="A1159" s="5"/>
      <c r="B1159" s="5"/>
      <c r="C1159" s="4"/>
      <c r="D1159" s="4"/>
      <c r="E1159" s="5"/>
      <c r="F1159" s="4"/>
      <c r="G1159" s="6">
        <f>IF(AND(A1159="",B1159=""),"",IF(COUNTIFS($A$2:$A$2001,A1159,$B$2:$B$2001,B1159)&gt;1,"DUPLICADO","OK"))</f>
      </c>
      <c r="H1159" s="6">
        <f>IF(COUNTA(A1159:F1159)=0,"",IF(AND(A1159&lt;&gt;"",B1159&lt;&gt;"",E1159&lt;&gt;""),"OK","ERRO: faltam "&amp;IF(A1159="","Conta; ","")&amp;IF(B1159="","Oportunidade; ","")&amp;IF(E1159="","Novo gerente; ","")))</f>
      </c>
      <c r="I1159" s="6">
        <f>IF(COUNTA(A1159:F1159)=0,"",IF(AND(G1159="OK",H1159="OK"),"OK","REVISAR"))</f>
      </c>
    </row>
    <row r="1160">
      <c r="A1160" s="5"/>
      <c r="B1160" s="5"/>
      <c r="C1160" s="4"/>
      <c r="D1160" s="4"/>
      <c r="E1160" s="5"/>
      <c r="F1160" s="4"/>
      <c r="G1160" s="6">
        <f>IF(AND(A1160="",B1160=""),"",IF(COUNTIFS($A$2:$A$2001,A1160,$B$2:$B$2001,B1160)&gt;1,"DUPLICADO","OK"))</f>
      </c>
      <c r="H1160" s="6">
        <f>IF(COUNTA(A1160:F1160)=0,"",IF(AND(A1160&lt;&gt;"",B1160&lt;&gt;"",E1160&lt;&gt;""),"OK","ERRO: faltam "&amp;IF(A1160="","Conta; ","")&amp;IF(B1160="","Oportunidade; ","")&amp;IF(E1160="","Novo gerente; ","")))</f>
      </c>
      <c r="I1160" s="6">
        <f>IF(COUNTA(A1160:F1160)=0,"",IF(AND(G1160="OK",H1160="OK"),"OK","REVISAR"))</f>
      </c>
    </row>
    <row r="1161">
      <c r="A1161" s="5"/>
      <c r="B1161" s="5"/>
      <c r="C1161" s="4"/>
      <c r="D1161" s="4"/>
      <c r="E1161" s="5"/>
      <c r="F1161" s="4"/>
      <c r="G1161" s="6">
        <f>IF(AND(A1161="",B1161=""),"",IF(COUNTIFS($A$2:$A$2001,A1161,$B$2:$B$2001,B1161)&gt;1,"DUPLICADO","OK"))</f>
      </c>
      <c r="H1161" s="6">
        <f>IF(COUNTA(A1161:F1161)=0,"",IF(AND(A1161&lt;&gt;"",B1161&lt;&gt;"",E1161&lt;&gt;""),"OK","ERRO: faltam "&amp;IF(A1161="","Conta; ","")&amp;IF(B1161="","Oportunidade; ","")&amp;IF(E1161="","Novo gerente; ","")))</f>
      </c>
      <c r="I1161" s="6">
        <f>IF(COUNTA(A1161:F1161)=0,"",IF(AND(G1161="OK",H1161="OK"),"OK","REVISAR"))</f>
      </c>
    </row>
    <row r="1162">
      <c r="A1162" s="5"/>
      <c r="B1162" s="5"/>
      <c r="C1162" s="4"/>
      <c r="D1162" s="4"/>
      <c r="E1162" s="5"/>
      <c r="F1162" s="4"/>
      <c r="G1162" s="6">
        <f>IF(AND(A1162="",B1162=""),"",IF(COUNTIFS($A$2:$A$2001,A1162,$B$2:$B$2001,B1162)&gt;1,"DUPLICADO","OK"))</f>
      </c>
      <c r="H1162" s="6">
        <f>IF(COUNTA(A1162:F1162)=0,"",IF(AND(A1162&lt;&gt;"",B1162&lt;&gt;"",E1162&lt;&gt;""),"OK","ERRO: faltam "&amp;IF(A1162="","Conta; ","")&amp;IF(B1162="","Oportunidade; ","")&amp;IF(E1162="","Novo gerente; ","")))</f>
      </c>
      <c r="I1162" s="6">
        <f>IF(COUNTA(A1162:F1162)=0,"",IF(AND(G1162="OK",H1162="OK"),"OK","REVISAR"))</f>
      </c>
    </row>
    <row r="1163">
      <c r="A1163" s="5"/>
      <c r="B1163" s="5"/>
      <c r="C1163" s="4"/>
      <c r="D1163" s="4"/>
      <c r="E1163" s="5"/>
      <c r="F1163" s="4"/>
      <c r="G1163" s="6">
        <f>IF(AND(A1163="",B1163=""),"",IF(COUNTIFS($A$2:$A$2001,A1163,$B$2:$B$2001,B1163)&gt;1,"DUPLICADO","OK"))</f>
      </c>
      <c r="H1163" s="6">
        <f>IF(COUNTA(A1163:F1163)=0,"",IF(AND(A1163&lt;&gt;"",B1163&lt;&gt;"",E1163&lt;&gt;""),"OK","ERRO: faltam "&amp;IF(A1163="","Conta; ","")&amp;IF(B1163="","Oportunidade; ","")&amp;IF(E1163="","Novo gerente; ","")))</f>
      </c>
      <c r="I1163" s="6">
        <f>IF(COUNTA(A1163:F1163)=0,"",IF(AND(G1163="OK",H1163="OK"),"OK","REVISAR"))</f>
      </c>
    </row>
    <row r="1164">
      <c r="A1164" s="5"/>
      <c r="B1164" s="5"/>
      <c r="C1164" s="4"/>
      <c r="D1164" s="4"/>
      <c r="E1164" s="5"/>
      <c r="F1164" s="4"/>
      <c r="G1164" s="6">
        <f>IF(AND(A1164="",B1164=""),"",IF(COUNTIFS($A$2:$A$2001,A1164,$B$2:$B$2001,B1164)&gt;1,"DUPLICADO","OK"))</f>
      </c>
      <c r="H1164" s="6">
        <f>IF(COUNTA(A1164:F1164)=0,"",IF(AND(A1164&lt;&gt;"",B1164&lt;&gt;"",E1164&lt;&gt;""),"OK","ERRO: faltam "&amp;IF(A1164="","Conta; ","")&amp;IF(B1164="","Oportunidade; ","")&amp;IF(E1164="","Novo gerente; ","")))</f>
      </c>
      <c r="I1164" s="6">
        <f>IF(COUNTA(A1164:F1164)=0,"",IF(AND(G1164="OK",H1164="OK"),"OK","REVISAR"))</f>
      </c>
    </row>
    <row r="1165">
      <c r="A1165" s="5"/>
      <c r="B1165" s="5"/>
      <c r="C1165" s="4"/>
      <c r="D1165" s="4"/>
      <c r="E1165" s="5"/>
      <c r="F1165" s="4"/>
      <c r="G1165" s="6">
        <f>IF(AND(A1165="",B1165=""),"",IF(COUNTIFS($A$2:$A$2001,A1165,$B$2:$B$2001,B1165)&gt;1,"DUPLICADO","OK"))</f>
      </c>
      <c r="H1165" s="6">
        <f>IF(COUNTA(A1165:F1165)=0,"",IF(AND(A1165&lt;&gt;"",B1165&lt;&gt;"",E1165&lt;&gt;""),"OK","ERRO: faltam "&amp;IF(A1165="","Conta; ","")&amp;IF(B1165="","Oportunidade; ","")&amp;IF(E1165="","Novo gerente; ","")))</f>
      </c>
      <c r="I1165" s="6">
        <f>IF(COUNTA(A1165:F1165)=0,"",IF(AND(G1165="OK",H1165="OK"),"OK","REVISAR"))</f>
      </c>
    </row>
    <row r="1166">
      <c r="A1166" s="5"/>
      <c r="B1166" s="5"/>
      <c r="C1166" s="4"/>
      <c r="D1166" s="4"/>
      <c r="E1166" s="5"/>
      <c r="F1166" s="4"/>
      <c r="G1166" s="6">
        <f>IF(AND(A1166="",B1166=""),"",IF(COUNTIFS($A$2:$A$2001,A1166,$B$2:$B$2001,B1166)&gt;1,"DUPLICADO","OK"))</f>
      </c>
      <c r="H1166" s="6">
        <f>IF(COUNTA(A1166:F1166)=0,"",IF(AND(A1166&lt;&gt;"",B1166&lt;&gt;"",E1166&lt;&gt;""),"OK","ERRO: faltam "&amp;IF(A1166="","Conta; ","")&amp;IF(B1166="","Oportunidade; ","")&amp;IF(E1166="","Novo gerente; ","")))</f>
      </c>
      <c r="I1166" s="6">
        <f>IF(COUNTA(A1166:F1166)=0,"",IF(AND(G1166="OK",H1166="OK"),"OK","REVISAR"))</f>
      </c>
    </row>
    <row r="1167">
      <c r="A1167" s="5"/>
      <c r="B1167" s="5"/>
      <c r="C1167" s="4"/>
      <c r="D1167" s="4"/>
      <c r="E1167" s="5"/>
      <c r="F1167" s="4"/>
      <c r="G1167" s="6">
        <f>IF(AND(A1167="",B1167=""),"",IF(COUNTIFS($A$2:$A$2001,A1167,$B$2:$B$2001,B1167)&gt;1,"DUPLICADO","OK"))</f>
      </c>
      <c r="H1167" s="6">
        <f>IF(COUNTA(A1167:F1167)=0,"",IF(AND(A1167&lt;&gt;"",B1167&lt;&gt;"",E1167&lt;&gt;""),"OK","ERRO: faltam "&amp;IF(A1167="","Conta; ","")&amp;IF(B1167="","Oportunidade; ","")&amp;IF(E1167="","Novo gerente; ","")))</f>
      </c>
      <c r="I1167" s="6">
        <f>IF(COUNTA(A1167:F1167)=0,"",IF(AND(G1167="OK",H1167="OK"),"OK","REVISAR"))</f>
      </c>
    </row>
    <row r="1168">
      <c r="A1168" s="5"/>
      <c r="B1168" s="5"/>
      <c r="C1168" s="4"/>
      <c r="D1168" s="4"/>
      <c r="E1168" s="5"/>
      <c r="F1168" s="4"/>
      <c r="G1168" s="6">
        <f>IF(AND(A1168="",B1168=""),"",IF(COUNTIFS($A$2:$A$2001,A1168,$B$2:$B$2001,B1168)&gt;1,"DUPLICADO","OK"))</f>
      </c>
      <c r="H1168" s="6">
        <f>IF(COUNTA(A1168:F1168)=0,"",IF(AND(A1168&lt;&gt;"",B1168&lt;&gt;"",E1168&lt;&gt;""),"OK","ERRO: faltam "&amp;IF(A1168="","Conta; ","")&amp;IF(B1168="","Oportunidade; ","")&amp;IF(E1168="","Novo gerente; ","")))</f>
      </c>
      <c r="I1168" s="6">
        <f>IF(COUNTA(A1168:F1168)=0,"",IF(AND(G1168="OK",H1168="OK"),"OK","REVISAR"))</f>
      </c>
    </row>
    <row r="1169">
      <c r="A1169" s="5"/>
      <c r="B1169" s="5"/>
      <c r="C1169" s="4"/>
      <c r="D1169" s="4"/>
      <c r="E1169" s="5"/>
      <c r="F1169" s="4"/>
      <c r="G1169" s="6">
        <f>IF(AND(A1169="",B1169=""),"",IF(COUNTIFS($A$2:$A$2001,A1169,$B$2:$B$2001,B1169)&gt;1,"DUPLICADO","OK"))</f>
      </c>
      <c r="H1169" s="6">
        <f>IF(COUNTA(A1169:F1169)=0,"",IF(AND(A1169&lt;&gt;"",B1169&lt;&gt;"",E1169&lt;&gt;""),"OK","ERRO: faltam "&amp;IF(A1169="","Conta; ","")&amp;IF(B1169="","Oportunidade; ","")&amp;IF(E1169="","Novo gerente; ","")))</f>
      </c>
      <c r="I1169" s="6">
        <f>IF(COUNTA(A1169:F1169)=0,"",IF(AND(G1169="OK",H1169="OK"),"OK","REVISAR"))</f>
      </c>
    </row>
    <row r="1170">
      <c r="A1170" s="5"/>
      <c r="B1170" s="5"/>
      <c r="C1170" s="4"/>
      <c r="D1170" s="4"/>
      <c r="E1170" s="5"/>
      <c r="F1170" s="4"/>
      <c r="G1170" s="6">
        <f>IF(AND(A1170="",B1170=""),"",IF(COUNTIFS($A$2:$A$2001,A1170,$B$2:$B$2001,B1170)&gt;1,"DUPLICADO","OK"))</f>
      </c>
      <c r="H1170" s="6">
        <f>IF(COUNTA(A1170:F1170)=0,"",IF(AND(A1170&lt;&gt;"",B1170&lt;&gt;"",E1170&lt;&gt;""),"OK","ERRO: faltam "&amp;IF(A1170="","Conta; ","")&amp;IF(B1170="","Oportunidade; ","")&amp;IF(E1170="","Novo gerente; ","")))</f>
      </c>
      <c r="I1170" s="6">
        <f>IF(COUNTA(A1170:F1170)=0,"",IF(AND(G1170="OK",H1170="OK"),"OK","REVISAR"))</f>
      </c>
    </row>
    <row r="1171">
      <c r="A1171" s="5"/>
      <c r="B1171" s="5"/>
      <c r="C1171" s="4"/>
      <c r="D1171" s="4"/>
      <c r="E1171" s="5"/>
      <c r="F1171" s="4"/>
      <c r="G1171" s="6">
        <f>IF(AND(A1171="",B1171=""),"",IF(COUNTIFS($A$2:$A$2001,A1171,$B$2:$B$2001,B1171)&gt;1,"DUPLICADO","OK"))</f>
      </c>
      <c r="H1171" s="6">
        <f>IF(COUNTA(A1171:F1171)=0,"",IF(AND(A1171&lt;&gt;"",B1171&lt;&gt;"",E1171&lt;&gt;""),"OK","ERRO: faltam "&amp;IF(A1171="","Conta; ","")&amp;IF(B1171="","Oportunidade; ","")&amp;IF(E1171="","Novo gerente; ","")))</f>
      </c>
      <c r="I1171" s="6">
        <f>IF(COUNTA(A1171:F1171)=0,"",IF(AND(G1171="OK",H1171="OK"),"OK","REVISAR"))</f>
      </c>
    </row>
    <row r="1172">
      <c r="A1172" s="5"/>
      <c r="B1172" s="5"/>
      <c r="C1172" s="4"/>
      <c r="D1172" s="4"/>
      <c r="E1172" s="5"/>
      <c r="F1172" s="4"/>
      <c r="G1172" s="6">
        <f>IF(AND(A1172="",B1172=""),"",IF(COUNTIFS($A$2:$A$2001,A1172,$B$2:$B$2001,B1172)&gt;1,"DUPLICADO","OK"))</f>
      </c>
      <c r="H1172" s="6">
        <f>IF(COUNTA(A1172:F1172)=0,"",IF(AND(A1172&lt;&gt;"",B1172&lt;&gt;"",E1172&lt;&gt;""),"OK","ERRO: faltam "&amp;IF(A1172="","Conta; ","")&amp;IF(B1172="","Oportunidade; ","")&amp;IF(E1172="","Novo gerente; ","")))</f>
      </c>
      <c r="I1172" s="6">
        <f>IF(COUNTA(A1172:F1172)=0,"",IF(AND(G1172="OK",H1172="OK"),"OK","REVISAR"))</f>
      </c>
    </row>
    <row r="1173">
      <c r="A1173" s="5"/>
      <c r="B1173" s="5"/>
      <c r="C1173" s="4"/>
      <c r="D1173" s="4"/>
      <c r="E1173" s="5"/>
      <c r="F1173" s="4"/>
      <c r="G1173" s="6">
        <f>IF(AND(A1173="",B1173=""),"",IF(COUNTIFS($A$2:$A$2001,A1173,$B$2:$B$2001,B1173)&gt;1,"DUPLICADO","OK"))</f>
      </c>
      <c r="H1173" s="6">
        <f>IF(COUNTA(A1173:F1173)=0,"",IF(AND(A1173&lt;&gt;"",B1173&lt;&gt;"",E1173&lt;&gt;""),"OK","ERRO: faltam "&amp;IF(A1173="","Conta; ","")&amp;IF(B1173="","Oportunidade; ","")&amp;IF(E1173="","Novo gerente; ","")))</f>
      </c>
      <c r="I1173" s="6">
        <f>IF(COUNTA(A1173:F1173)=0,"",IF(AND(G1173="OK",H1173="OK"),"OK","REVISAR"))</f>
      </c>
    </row>
    <row r="1174">
      <c r="A1174" s="5"/>
      <c r="B1174" s="5"/>
      <c r="C1174" s="4"/>
      <c r="D1174" s="4"/>
      <c r="E1174" s="5"/>
      <c r="F1174" s="4"/>
      <c r="G1174" s="6">
        <f>IF(AND(A1174="",B1174=""),"",IF(COUNTIFS($A$2:$A$2001,A1174,$B$2:$B$2001,B1174)&gt;1,"DUPLICADO","OK"))</f>
      </c>
      <c r="H1174" s="6">
        <f>IF(COUNTA(A1174:F1174)=0,"",IF(AND(A1174&lt;&gt;"",B1174&lt;&gt;"",E1174&lt;&gt;""),"OK","ERRO: faltam "&amp;IF(A1174="","Conta; ","")&amp;IF(B1174="","Oportunidade; ","")&amp;IF(E1174="","Novo gerente; ","")))</f>
      </c>
      <c r="I1174" s="6">
        <f>IF(COUNTA(A1174:F1174)=0,"",IF(AND(G1174="OK",H1174="OK"),"OK","REVISAR"))</f>
      </c>
    </row>
    <row r="1175">
      <c r="A1175" s="5"/>
      <c r="B1175" s="5"/>
      <c r="C1175" s="4"/>
      <c r="D1175" s="4"/>
      <c r="E1175" s="5"/>
      <c r="F1175" s="4"/>
      <c r="G1175" s="6">
        <f>IF(AND(A1175="",B1175=""),"",IF(COUNTIFS($A$2:$A$2001,A1175,$B$2:$B$2001,B1175)&gt;1,"DUPLICADO","OK"))</f>
      </c>
      <c r="H1175" s="6">
        <f>IF(COUNTA(A1175:F1175)=0,"",IF(AND(A1175&lt;&gt;"",B1175&lt;&gt;"",E1175&lt;&gt;""),"OK","ERRO: faltam "&amp;IF(A1175="","Conta; ","")&amp;IF(B1175="","Oportunidade; ","")&amp;IF(E1175="","Novo gerente; ","")))</f>
      </c>
      <c r="I1175" s="6">
        <f>IF(COUNTA(A1175:F1175)=0,"",IF(AND(G1175="OK",H1175="OK"),"OK","REVISAR"))</f>
      </c>
    </row>
    <row r="1176">
      <c r="A1176" s="5"/>
      <c r="B1176" s="5"/>
      <c r="C1176" s="4"/>
      <c r="D1176" s="4"/>
      <c r="E1176" s="5"/>
      <c r="F1176" s="4"/>
      <c r="G1176" s="6">
        <f>IF(AND(A1176="",B1176=""),"",IF(COUNTIFS($A$2:$A$2001,A1176,$B$2:$B$2001,B1176)&gt;1,"DUPLICADO","OK"))</f>
      </c>
      <c r="H1176" s="6">
        <f>IF(COUNTA(A1176:F1176)=0,"",IF(AND(A1176&lt;&gt;"",B1176&lt;&gt;"",E1176&lt;&gt;""),"OK","ERRO: faltam "&amp;IF(A1176="","Conta; ","")&amp;IF(B1176="","Oportunidade; ","")&amp;IF(E1176="","Novo gerente; ","")))</f>
      </c>
      <c r="I1176" s="6">
        <f>IF(COUNTA(A1176:F1176)=0,"",IF(AND(G1176="OK",H1176="OK"),"OK","REVISAR"))</f>
      </c>
    </row>
    <row r="1177">
      <c r="A1177" s="5"/>
      <c r="B1177" s="5"/>
      <c r="C1177" s="4"/>
      <c r="D1177" s="4"/>
      <c r="E1177" s="5"/>
      <c r="F1177" s="4"/>
      <c r="G1177" s="6">
        <f>IF(AND(A1177="",B1177=""),"",IF(COUNTIFS($A$2:$A$2001,A1177,$B$2:$B$2001,B1177)&gt;1,"DUPLICADO","OK"))</f>
      </c>
      <c r="H1177" s="6">
        <f>IF(COUNTA(A1177:F1177)=0,"",IF(AND(A1177&lt;&gt;"",B1177&lt;&gt;"",E1177&lt;&gt;""),"OK","ERRO: faltam "&amp;IF(A1177="","Conta; ","")&amp;IF(B1177="","Oportunidade; ","")&amp;IF(E1177="","Novo gerente; ","")))</f>
      </c>
      <c r="I1177" s="6">
        <f>IF(COUNTA(A1177:F1177)=0,"",IF(AND(G1177="OK",H1177="OK"),"OK","REVISAR"))</f>
      </c>
    </row>
    <row r="1178">
      <c r="A1178" s="5"/>
      <c r="B1178" s="5"/>
      <c r="C1178" s="4"/>
      <c r="D1178" s="4"/>
      <c r="E1178" s="5"/>
      <c r="F1178" s="4"/>
      <c r="G1178" s="6">
        <f>IF(AND(A1178="",B1178=""),"",IF(COUNTIFS($A$2:$A$2001,A1178,$B$2:$B$2001,B1178)&gt;1,"DUPLICADO","OK"))</f>
      </c>
      <c r="H1178" s="6">
        <f>IF(COUNTA(A1178:F1178)=0,"",IF(AND(A1178&lt;&gt;"",B1178&lt;&gt;"",E1178&lt;&gt;""),"OK","ERRO: faltam "&amp;IF(A1178="","Conta; ","")&amp;IF(B1178="","Oportunidade; ","")&amp;IF(E1178="","Novo gerente; ","")))</f>
      </c>
      <c r="I1178" s="6">
        <f>IF(COUNTA(A1178:F1178)=0,"",IF(AND(G1178="OK",H1178="OK"),"OK","REVISAR"))</f>
      </c>
    </row>
    <row r="1179">
      <c r="A1179" s="5"/>
      <c r="B1179" s="5"/>
      <c r="C1179" s="4"/>
      <c r="D1179" s="4"/>
      <c r="E1179" s="5"/>
      <c r="F1179" s="4"/>
      <c r="G1179" s="6">
        <f>IF(AND(A1179="",B1179=""),"",IF(COUNTIFS($A$2:$A$2001,A1179,$B$2:$B$2001,B1179)&gt;1,"DUPLICADO","OK"))</f>
      </c>
      <c r="H1179" s="6">
        <f>IF(COUNTA(A1179:F1179)=0,"",IF(AND(A1179&lt;&gt;"",B1179&lt;&gt;"",E1179&lt;&gt;""),"OK","ERRO: faltam "&amp;IF(A1179="","Conta; ","")&amp;IF(B1179="","Oportunidade; ","")&amp;IF(E1179="","Novo gerente; ","")))</f>
      </c>
      <c r="I1179" s="6">
        <f>IF(COUNTA(A1179:F1179)=0,"",IF(AND(G1179="OK",H1179="OK"),"OK","REVISAR"))</f>
      </c>
    </row>
    <row r="1180">
      <c r="A1180" s="5"/>
      <c r="B1180" s="5"/>
      <c r="C1180" s="4"/>
      <c r="D1180" s="4"/>
      <c r="E1180" s="5"/>
      <c r="F1180" s="4"/>
      <c r="G1180" s="6">
        <f>IF(AND(A1180="",B1180=""),"",IF(COUNTIFS($A$2:$A$2001,A1180,$B$2:$B$2001,B1180)&gt;1,"DUPLICADO","OK"))</f>
      </c>
      <c r="H1180" s="6">
        <f>IF(COUNTA(A1180:F1180)=0,"",IF(AND(A1180&lt;&gt;"",B1180&lt;&gt;"",E1180&lt;&gt;""),"OK","ERRO: faltam "&amp;IF(A1180="","Conta; ","")&amp;IF(B1180="","Oportunidade; ","")&amp;IF(E1180="","Novo gerente; ","")))</f>
      </c>
      <c r="I1180" s="6">
        <f>IF(COUNTA(A1180:F1180)=0,"",IF(AND(G1180="OK",H1180="OK"),"OK","REVISAR"))</f>
      </c>
    </row>
    <row r="1181">
      <c r="A1181" s="5"/>
      <c r="B1181" s="5"/>
      <c r="C1181" s="4"/>
      <c r="D1181" s="4"/>
      <c r="E1181" s="5"/>
      <c r="F1181" s="4"/>
      <c r="G1181" s="6">
        <f>IF(AND(A1181="",B1181=""),"",IF(COUNTIFS($A$2:$A$2001,A1181,$B$2:$B$2001,B1181)&gt;1,"DUPLICADO","OK"))</f>
      </c>
      <c r="H1181" s="6">
        <f>IF(COUNTA(A1181:F1181)=0,"",IF(AND(A1181&lt;&gt;"",B1181&lt;&gt;"",E1181&lt;&gt;""),"OK","ERRO: faltam "&amp;IF(A1181="","Conta; ","")&amp;IF(B1181="","Oportunidade; ","")&amp;IF(E1181="","Novo gerente; ","")))</f>
      </c>
      <c r="I1181" s="6">
        <f>IF(COUNTA(A1181:F1181)=0,"",IF(AND(G1181="OK",H1181="OK"),"OK","REVISAR"))</f>
      </c>
    </row>
    <row r="1182">
      <c r="A1182" s="5"/>
      <c r="B1182" s="5"/>
      <c r="C1182" s="4"/>
      <c r="D1182" s="4"/>
      <c r="E1182" s="5"/>
      <c r="F1182" s="4"/>
      <c r="G1182" s="6">
        <f>IF(AND(A1182="",B1182=""),"",IF(COUNTIFS($A$2:$A$2001,A1182,$B$2:$B$2001,B1182)&gt;1,"DUPLICADO","OK"))</f>
      </c>
      <c r="H1182" s="6">
        <f>IF(COUNTA(A1182:F1182)=0,"",IF(AND(A1182&lt;&gt;"",B1182&lt;&gt;"",E1182&lt;&gt;""),"OK","ERRO: faltam "&amp;IF(A1182="","Conta; ","")&amp;IF(B1182="","Oportunidade; ","")&amp;IF(E1182="","Novo gerente; ","")))</f>
      </c>
      <c r="I1182" s="6">
        <f>IF(COUNTA(A1182:F1182)=0,"",IF(AND(G1182="OK",H1182="OK"),"OK","REVISAR"))</f>
      </c>
    </row>
    <row r="1183">
      <c r="A1183" s="5"/>
      <c r="B1183" s="5"/>
      <c r="C1183" s="4"/>
      <c r="D1183" s="4"/>
      <c r="E1183" s="5"/>
      <c r="F1183" s="4"/>
      <c r="G1183" s="6">
        <f>IF(AND(A1183="",B1183=""),"",IF(COUNTIFS($A$2:$A$2001,A1183,$B$2:$B$2001,B1183)&gt;1,"DUPLICADO","OK"))</f>
      </c>
      <c r="H1183" s="6">
        <f>IF(COUNTA(A1183:F1183)=0,"",IF(AND(A1183&lt;&gt;"",B1183&lt;&gt;"",E1183&lt;&gt;""),"OK","ERRO: faltam "&amp;IF(A1183="","Conta; ","")&amp;IF(B1183="","Oportunidade; ","")&amp;IF(E1183="","Novo gerente; ","")))</f>
      </c>
      <c r="I1183" s="6">
        <f>IF(COUNTA(A1183:F1183)=0,"",IF(AND(G1183="OK",H1183="OK"),"OK","REVISAR"))</f>
      </c>
    </row>
    <row r="1184">
      <c r="A1184" s="5"/>
      <c r="B1184" s="5"/>
      <c r="C1184" s="4"/>
      <c r="D1184" s="4"/>
      <c r="E1184" s="5"/>
      <c r="F1184" s="4"/>
      <c r="G1184" s="6">
        <f>IF(AND(A1184="",B1184=""),"",IF(COUNTIFS($A$2:$A$2001,A1184,$B$2:$B$2001,B1184)&gt;1,"DUPLICADO","OK"))</f>
      </c>
      <c r="H1184" s="6">
        <f>IF(COUNTA(A1184:F1184)=0,"",IF(AND(A1184&lt;&gt;"",B1184&lt;&gt;"",E1184&lt;&gt;""),"OK","ERRO: faltam "&amp;IF(A1184="","Conta; ","")&amp;IF(B1184="","Oportunidade; ","")&amp;IF(E1184="","Novo gerente; ","")))</f>
      </c>
      <c r="I1184" s="6">
        <f>IF(COUNTA(A1184:F1184)=0,"",IF(AND(G1184="OK",H1184="OK"),"OK","REVISAR"))</f>
      </c>
    </row>
    <row r="1185">
      <c r="A1185" s="5"/>
      <c r="B1185" s="5"/>
      <c r="C1185" s="4"/>
      <c r="D1185" s="4"/>
      <c r="E1185" s="5"/>
      <c r="F1185" s="4"/>
      <c r="G1185" s="6">
        <f>IF(AND(A1185="",B1185=""),"",IF(COUNTIFS($A$2:$A$2001,A1185,$B$2:$B$2001,B1185)&gt;1,"DUPLICADO","OK"))</f>
      </c>
      <c r="H1185" s="6">
        <f>IF(COUNTA(A1185:F1185)=0,"",IF(AND(A1185&lt;&gt;"",B1185&lt;&gt;"",E1185&lt;&gt;""),"OK","ERRO: faltam "&amp;IF(A1185="","Conta; ","")&amp;IF(B1185="","Oportunidade; ","")&amp;IF(E1185="","Novo gerente; ","")))</f>
      </c>
      <c r="I1185" s="6">
        <f>IF(COUNTA(A1185:F1185)=0,"",IF(AND(G1185="OK",H1185="OK"),"OK","REVISAR"))</f>
      </c>
    </row>
    <row r="1186">
      <c r="A1186" s="5"/>
      <c r="B1186" s="5"/>
      <c r="C1186" s="4"/>
      <c r="D1186" s="4"/>
      <c r="E1186" s="5"/>
      <c r="F1186" s="4"/>
      <c r="G1186" s="6">
        <f>IF(AND(A1186="",B1186=""),"",IF(COUNTIFS($A$2:$A$2001,A1186,$B$2:$B$2001,B1186)&gt;1,"DUPLICADO","OK"))</f>
      </c>
      <c r="H1186" s="6">
        <f>IF(COUNTA(A1186:F1186)=0,"",IF(AND(A1186&lt;&gt;"",B1186&lt;&gt;"",E1186&lt;&gt;""),"OK","ERRO: faltam "&amp;IF(A1186="","Conta; ","")&amp;IF(B1186="","Oportunidade; ","")&amp;IF(E1186="","Novo gerente; ","")))</f>
      </c>
      <c r="I1186" s="6">
        <f>IF(COUNTA(A1186:F1186)=0,"",IF(AND(G1186="OK",H1186="OK"),"OK","REVISAR"))</f>
      </c>
    </row>
    <row r="1187">
      <c r="A1187" s="5"/>
      <c r="B1187" s="5"/>
      <c r="C1187" s="4"/>
      <c r="D1187" s="4"/>
      <c r="E1187" s="5"/>
      <c r="F1187" s="4"/>
      <c r="G1187" s="6">
        <f>IF(AND(A1187="",B1187=""),"",IF(COUNTIFS($A$2:$A$2001,A1187,$B$2:$B$2001,B1187)&gt;1,"DUPLICADO","OK"))</f>
      </c>
      <c r="H1187" s="6">
        <f>IF(COUNTA(A1187:F1187)=0,"",IF(AND(A1187&lt;&gt;"",B1187&lt;&gt;"",E1187&lt;&gt;""),"OK","ERRO: faltam "&amp;IF(A1187="","Conta; ","")&amp;IF(B1187="","Oportunidade; ","")&amp;IF(E1187="","Novo gerente; ","")))</f>
      </c>
      <c r="I1187" s="6">
        <f>IF(COUNTA(A1187:F1187)=0,"",IF(AND(G1187="OK",H1187="OK"),"OK","REVISAR"))</f>
      </c>
    </row>
    <row r="1188">
      <c r="A1188" s="5"/>
      <c r="B1188" s="5"/>
      <c r="C1188" s="4"/>
      <c r="D1188" s="4"/>
      <c r="E1188" s="5"/>
      <c r="F1188" s="4"/>
      <c r="G1188" s="6">
        <f>IF(AND(A1188="",B1188=""),"",IF(COUNTIFS($A$2:$A$2001,A1188,$B$2:$B$2001,B1188)&gt;1,"DUPLICADO","OK"))</f>
      </c>
      <c r="H1188" s="6">
        <f>IF(COUNTA(A1188:F1188)=0,"",IF(AND(A1188&lt;&gt;"",B1188&lt;&gt;"",E1188&lt;&gt;""),"OK","ERRO: faltam "&amp;IF(A1188="","Conta; ","")&amp;IF(B1188="","Oportunidade; ","")&amp;IF(E1188="","Novo gerente; ","")))</f>
      </c>
      <c r="I1188" s="6">
        <f>IF(COUNTA(A1188:F1188)=0,"",IF(AND(G1188="OK",H1188="OK"),"OK","REVISAR"))</f>
      </c>
    </row>
    <row r="1189">
      <c r="A1189" s="5"/>
      <c r="B1189" s="5"/>
      <c r="C1189" s="4"/>
      <c r="D1189" s="4"/>
      <c r="E1189" s="5"/>
      <c r="F1189" s="4"/>
      <c r="G1189" s="6">
        <f>IF(AND(A1189="",B1189=""),"",IF(COUNTIFS($A$2:$A$2001,A1189,$B$2:$B$2001,B1189)&gt;1,"DUPLICADO","OK"))</f>
      </c>
      <c r="H1189" s="6">
        <f>IF(COUNTA(A1189:F1189)=0,"",IF(AND(A1189&lt;&gt;"",B1189&lt;&gt;"",E1189&lt;&gt;""),"OK","ERRO: faltam "&amp;IF(A1189="","Conta; ","")&amp;IF(B1189="","Oportunidade; ","")&amp;IF(E1189="","Novo gerente; ","")))</f>
      </c>
      <c r="I1189" s="6">
        <f>IF(COUNTA(A1189:F1189)=0,"",IF(AND(G1189="OK",H1189="OK"),"OK","REVISAR"))</f>
      </c>
    </row>
    <row r="1190">
      <c r="A1190" s="5"/>
      <c r="B1190" s="5"/>
      <c r="C1190" s="4"/>
      <c r="D1190" s="4"/>
      <c r="E1190" s="5"/>
      <c r="F1190" s="4"/>
      <c r="G1190" s="6">
        <f>IF(AND(A1190="",B1190=""),"",IF(COUNTIFS($A$2:$A$2001,A1190,$B$2:$B$2001,B1190)&gt;1,"DUPLICADO","OK"))</f>
      </c>
      <c r="H1190" s="6">
        <f>IF(COUNTA(A1190:F1190)=0,"",IF(AND(A1190&lt;&gt;"",B1190&lt;&gt;"",E1190&lt;&gt;""),"OK","ERRO: faltam "&amp;IF(A1190="","Conta; ","")&amp;IF(B1190="","Oportunidade; ","")&amp;IF(E1190="","Novo gerente; ","")))</f>
      </c>
      <c r="I1190" s="6">
        <f>IF(COUNTA(A1190:F1190)=0,"",IF(AND(G1190="OK",H1190="OK"),"OK","REVISAR"))</f>
      </c>
    </row>
    <row r="1191">
      <c r="A1191" s="5"/>
      <c r="B1191" s="5"/>
      <c r="C1191" s="4"/>
      <c r="D1191" s="4"/>
      <c r="E1191" s="5"/>
      <c r="F1191" s="4"/>
      <c r="G1191" s="6">
        <f>IF(AND(A1191="",B1191=""),"",IF(COUNTIFS($A$2:$A$2001,A1191,$B$2:$B$2001,B1191)&gt;1,"DUPLICADO","OK"))</f>
      </c>
      <c r="H1191" s="6">
        <f>IF(COUNTA(A1191:F1191)=0,"",IF(AND(A1191&lt;&gt;"",B1191&lt;&gt;"",E1191&lt;&gt;""),"OK","ERRO: faltam "&amp;IF(A1191="","Conta; ","")&amp;IF(B1191="","Oportunidade; ","")&amp;IF(E1191="","Novo gerente; ","")))</f>
      </c>
      <c r="I1191" s="6">
        <f>IF(COUNTA(A1191:F1191)=0,"",IF(AND(G1191="OK",H1191="OK"),"OK","REVISAR"))</f>
      </c>
    </row>
    <row r="1192">
      <c r="A1192" s="5"/>
      <c r="B1192" s="5"/>
      <c r="C1192" s="4"/>
      <c r="D1192" s="4"/>
      <c r="E1192" s="5"/>
      <c r="F1192" s="4"/>
      <c r="G1192" s="6">
        <f>IF(AND(A1192="",B1192=""),"",IF(COUNTIFS($A$2:$A$2001,A1192,$B$2:$B$2001,B1192)&gt;1,"DUPLICADO","OK"))</f>
      </c>
      <c r="H1192" s="6">
        <f>IF(COUNTA(A1192:F1192)=0,"",IF(AND(A1192&lt;&gt;"",B1192&lt;&gt;"",E1192&lt;&gt;""),"OK","ERRO: faltam "&amp;IF(A1192="","Conta; ","")&amp;IF(B1192="","Oportunidade; ","")&amp;IF(E1192="","Novo gerente; ","")))</f>
      </c>
      <c r="I1192" s="6">
        <f>IF(COUNTA(A1192:F1192)=0,"",IF(AND(G1192="OK",H1192="OK"),"OK","REVISAR"))</f>
      </c>
    </row>
    <row r="1193">
      <c r="A1193" s="5"/>
      <c r="B1193" s="5"/>
      <c r="C1193" s="4"/>
      <c r="D1193" s="4"/>
      <c r="E1193" s="5"/>
      <c r="F1193" s="4"/>
      <c r="G1193" s="6">
        <f>IF(AND(A1193="",B1193=""),"",IF(COUNTIFS($A$2:$A$2001,A1193,$B$2:$B$2001,B1193)&gt;1,"DUPLICADO","OK"))</f>
      </c>
      <c r="H1193" s="6">
        <f>IF(COUNTA(A1193:F1193)=0,"",IF(AND(A1193&lt;&gt;"",B1193&lt;&gt;"",E1193&lt;&gt;""),"OK","ERRO: faltam "&amp;IF(A1193="","Conta; ","")&amp;IF(B1193="","Oportunidade; ","")&amp;IF(E1193="","Novo gerente; ","")))</f>
      </c>
      <c r="I1193" s="6">
        <f>IF(COUNTA(A1193:F1193)=0,"",IF(AND(G1193="OK",H1193="OK"),"OK","REVISAR"))</f>
      </c>
    </row>
    <row r="1194">
      <c r="A1194" s="5"/>
      <c r="B1194" s="5"/>
      <c r="C1194" s="4"/>
      <c r="D1194" s="4"/>
      <c r="E1194" s="5"/>
      <c r="F1194" s="4"/>
      <c r="G1194" s="6">
        <f>IF(AND(A1194="",B1194=""),"",IF(COUNTIFS($A$2:$A$2001,A1194,$B$2:$B$2001,B1194)&gt;1,"DUPLICADO","OK"))</f>
      </c>
      <c r="H1194" s="6">
        <f>IF(COUNTA(A1194:F1194)=0,"",IF(AND(A1194&lt;&gt;"",B1194&lt;&gt;"",E1194&lt;&gt;""),"OK","ERRO: faltam "&amp;IF(A1194="","Conta; ","")&amp;IF(B1194="","Oportunidade; ","")&amp;IF(E1194="","Novo gerente; ","")))</f>
      </c>
      <c r="I1194" s="6">
        <f>IF(COUNTA(A1194:F1194)=0,"",IF(AND(G1194="OK",H1194="OK"),"OK","REVISAR"))</f>
      </c>
    </row>
    <row r="1195">
      <c r="A1195" s="5"/>
      <c r="B1195" s="5"/>
      <c r="C1195" s="4"/>
      <c r="D1195" s="4"/>
      <c r="E1195" s="5"/>
      <c r="F1195" s="4"/>
      <c r="G1195" s="6">
        <f>IF(AND(A1195="",B1195=""),"",IF(COUNTIFS($A$2:$A$2001,A1195,$B$2:$B$2001,B1195)&gt;1,"DUPLICADO","OK"))</f>
      </c>
      <c r="H1195" s="6">
        <f>IF(COUNTA(A1195:F1195)=0,"",IF(AND(A1195&lt;&gt;"",B1195&lt;&gt;"",E1195&lt;&gt;""),"OK","ERRO: faltam "&amp;IF(A1195="","Conta; ","")&amp;IF(B1195="","Oportunidade; ","")&amp;IF(E1195="","Novo gerente; ","")))</f>
      </c>
      <c r="I1195" s="6">
        <f>IF(COUNTA(A1195:F1195)=0,"",IF(AND(G1195="OK",H1195="OK"),"OK","REVISAR"))</f>
      </c>
    </row>
    <row r="1196">
      <c r="A1196" s="5"/>
      <c r="B1196" s="5"/>
      <c r="C1196" s="4"/>
      <c r="D1196" s="4"/>
      <c r="E1196" s="5"/>
      <c r="F1196" s="4"/>
      <c r="G1196" s="6">
        <f>IF(AND(A1196="",B1196=""),"",IF(COUNTIFS($A$2:$A$2001,A1196,$B$2:$B$2001,B1196)&gt;1,"DUPLICADO","OK"))</f>
      </c>
      <c r="H1196" s="6">
        <f>IF(COUNTA(A1196:F1196)=0,"",IF(AND(A1196&lt;&gt;"",B1196&lt;&gt;"",E1196&lt;&gt;""),"OK","ERRO: faltam "&amp;IF(A1196="","Conta; ","")&amp;IF(B1196="","Oportunidade; ","")&amp;IF(E1196="","Novo gerente; ","")))</f>
      </c>
      <c r="I1196" s="6">
        <f>IF(COUNTA(A1196:F1196)=0,"",IF(AND(G1196="OK",H1196="OK"),"OK","REVISAR"))</f>
      </c>
    </row>
    <row r="1197">
      <c r="A1197" s="5"/>
      <c r="B1197" s="5"/>
      <c r="C1197" s="4"/>
      <c r="D1197" s="4"/>
      <c r="E1197" s="5"/>
      <c r="F1197" s="4"/>
      <c r="G1197" s="6">
        <f>IF(AND(A1197="",B1197=""),"",IF(COUNTIFS($A$2:$A$2001,A1197,$B$2:$B$2001,B1197)&gt;1,"DUPLICADO","OK"))</f>
      </c>
      <c r="H1197" s="6">
        <f>IF(COUNTA(A1197:F1197)=0,"",IF(AND(A1197&lt;&gt;"",B1197&lt;&gt;"",E1197&lt;&gt;""),"OK","ERRO: faltam "&amp;IF(A1197="","Conta; ","")&amp;IF(B1197="","Oportunidade; ","")&amp;IF(E1197="","Novo gerente; ","")))</f>
      </c>
      <c r="I1197" s="6">
        <f>IF(COUNTA(A1197:F1197)=0,"",IF(AND(G1197="OK",H1197="OK"),"OK","REVISAR"))</f>
      </c>
    </row>
    <row r="1198">
      <c r="A1198" s="5"/>
      <c r="B1198" s="5"/>
      <c r="C1198" s="4"/>
      <c r="D1198" s="4"/>
      <c r="E1198" s="5"/>
      <c r="F1198" s="4"/>
      <c r="G1198" s="6">
        <f>IF(AND(A1198="",B1198=""),"",IF(COUNTIFS($A$2:$A$2001,A1198,$B$2:$B$2001,B1198)&gt;1,"DUPLICADO","OK"))</f>
      </c>
      <c r="H1198" s="6">
        <f>IF(COUNTA(A1198:F1198)=0,"",IF(AND(A1198&lt;&gt;"",B1198&lt;&gt;"",E1198&lt;&gt;""),"OK","ERRO: faltam "&amp;IF(A1198="","Conta; ","")&amp;IF(B1198="","Oportunidade; ","")&amp;IF(E1198="","Novo gerente; ","")))</f>
      </c>
      <c r="I1198" s="6">
        <f>IF(COUNTA(A1198:F1198)=0,"",IF(AND(G1198="OK",H1198="OK"),"OK","REVISAR"))</f>
      </c>
    </row>
    <row r="1199">
      <c r="A1199" s="5"/>
      <c r="B1199" s="5"/>
      <c r="C1199" s="4"/>
      <c r="D1199" s="4"/>
      <c r="E1199" s="5"/>
      <c r="F1199" s="4"/>
      <c r="G1199" s="6">
        <f>IF(AND(A1199="",B1199=""),"",IF(COUNTIFS($A$2:$A$2001,A1199,$B$2:$B$2001,B1199)&gt;1,"DUPLICADO","OK"))</f>
      </c>
      <c r="H1199" s="6">
        <f>IF(COUNTA(A1199:F1199)=0,"",IF(AND(A1199&lt;&gt;"",B1199&lt;&gt;"",E1199&lt;&gt;""),"OK","ERRO: faltam "&amp;IF(A1199="","Conta; ","")&amp;IF(B1199="","Oportunidade; ","")&amp;IF(E1199="","Novo gerente; ","")))</f>
      </c>
      <c r="I1199" s="6">
        <f>IF(COUNTA(A1199:F1199)=0,"",IF(AND(G1199="OK",H1199="OK"),"OK","REVISAR"))</f>
      </c>
    </row>
    <row r="1200">
      <c r="A1200" s="5"/>
      <c r="B1200" s="5"/>
      <c r="C1200" s="4"/>
      <c r="D1200" s="4"/>
      <c r="E1200" s="5"/>
      <c r="F1200" s="4"/>
      <c r="G1200" s="6">
        <f>IF(AND(A1200="",B1200=""),"",IF(COUNTIFS($A$2:$A$2001,A1200,$B$2:$B$2001,B1200)&gt;1,"DUPLICADO","OK"))</f>
      </c>
      <c r="H1200" s="6">
        <f>IF(COUNTA(A1200:F1200)=0,"",IF(AND(A1200&lt;&gt;"",B1200&lt;&gt;"",E1200&lt;&gt;""),"OK","ERRO: faltam "&amp;IF(A1200="","Conta; ","")&amp;IF(B1200="","Oportunidade; ","")&amp;IF(E1200="","Novo gerente; ","")))</f>
      </c>
      <c r="I1200" s="6">
        <f>IF(COUNTA(A1200:F1200)=0,"",IF(AND(G1200="OK",H1200="OK"),"OK","REVISAR"))</f>
      </c>
    </row>
    <row r="1201">
      <c r="A1201" s="5"/>
      <c r="B1201" s="5"/>
      <c r="C1201" s="4"/>
      <c r="D1201" s="4"/>
      <c r="E1201" s="5"/>
      <c r="F1201" s="4"/>
      <c r="G1201" s="6">
        <f>IF(AND(A1201="",B1201=""),"",IF(COUNTIFS($A$2:$A$2001,A1201,$B$2:$B$2001,B1201)&gt;1,"DUPLICADO","OK"))</f>
      </c>
      <c r="H1201" s="6">
        <f>IF(COUNTA(A1201:F1201)=0,"",IF(AND(A1201&lt;&gt;"",B1201&lt;&gt;"",E1201&lt;&gt;""),"OK","ERRO: faltam "&amp;IF(A1201="","Conta; ","")&amp;IF(B1201="","Oportunidade; ","")&amp;IF(E1201="","Novo gerente; ","")))</f>
      </c>
      <c r="I1201" s="6">
        <f>IF(COUNTA(A1201:F1201)=0,"",IF(AND(G1201="OK",H1201="OK"),"OK","REVISAR"))</f>
      </c>
    </row>
    <row r="1202">
      <c r="A1202" s="5"/>
      <c r="B1202" s="5"/>
      <c r="C1202" s="4"/>
      <c r="D1202" s="4"/>
      <c r="E1202" s="5"/>
      <c r="F1202" s="4"/>
      <c r="G1202" s="6">
        <f>IF(AND(A1202="",B1202=""),"",IF(COUNTIFS($A$2:$A$2001,A1202,$B$2:$B$2001,B1202)&gt;1,"DUPLICADO","OK"))</f>
      </c>
      <c r="H1202" s="6">
        <f>IF(COUNTA(A1202:F1202)=0,"",IF(AND(A1202&lt;&gt;"",B1202&lt;&gt;"",E1202&lt;&gt;""),"OK","ERRO: faltam "&amp;IF(A1202="","Conta; ","")&amp;IF(B1202="","Oportunidade; ","")&amp;IF(E1202="","Novo gerente; ","")))</f>
      </c>
      <c r="I1202" s="6">
        <f>IF(COUNTA(A1202:F1202)=0,"",IF(AND(G1202="OK",H1202="OK"),"OK","REVISAR"))</f>
      </c>
    </row>
    <row r="1203">
      <c r="A1203" s="5"/>
      <c r="B1203" s="5"/>
      <c r="C1203" s="4"/>
      <c r="D1203" s="4"/>
      <c r="E1203" s="5"/>
      <c r="F1203" s="4"/>
      <c r="G1203" s="6">
        <f>IF(AND(A1203="",B1203=""),"",IF(COUNTIFS($A$2:$A$2001,A1203,$B$2:$B$2001,B1203)&gt;1,"DUPLICADO","OK"))</f>
      </c>
      <c r="H1203" s="6">
        <f>IF(COUNTA(A1203:F1203)=0,"",IF(AND(A1203&lt;&gt;"",B1203&lt;&gt;"",E1203&lt;&gt;""),"OK","ERRO: faltam "&amp;IF(A1203="","Conta; ","")&amp;IF(B1203="","Oportunidade; ","")&amp;IF(E1203="","Novo gerente; ","")))</f>
      </c>
      <c r="I1203" s="6">
        <f>IF(COUNTA(A1203:F1203)=0,"",IF(AND(G1203="OK",H1203="OK"),"OK","REVISAR"))</f>
      </c>
    </row>
    <row r="1204">
      <c r="A1204" s="5"/>
      <c r="B1204" s="5"/>
      <c r="C1204" s="4"/>
      <c r="D1204" s="4"/>
      <c r="E1204" s="5"/>
      <c r="F1204" s="4"/>
      <c r="G1204" s="6">
        <f>IF(AND(A1204="",B1204=""),"",IF(COUNTIFS($A$2:$A$2001,A1204,$B$2:$B$2001,B1204)&gt;1,"DUPLICADO","OK"))</f>
      </c>
      <c r="H1204" s="6">
        <f>IF(COUNTA(A1204:F1204)=0,"",IF(AND(A1204&lt;&gt;"",B1204&lt;&gt;"",E1204&lt;&gt;""),"OK","ERRO: faltam "&amp;IF(A1204="","Conta; ","")&amp;IF(B1204="","Oportunidade; ","")&amp;IF(E1204="","Novo gerente; ","")))</f>
      </c>
      <c r="I1204" s="6">
        <f>IF(COUNTA(A1204:F1204)=0,"",IF(AND(G1204="OK",H1204="OK"),"OK","REVISAR"))</f>
      </c>
    </row>
    <row r="1205">
      <c r="A1205" s="5"/>
      <c r="B1205" s="5"/>
      <c r="C1205" s="4"/>
      <c r="D1205" s="4"/>
      <c r="E1205" s="5"/>
      <c r="F1205" s="4"/>
      <c r="G1205" s="6">
        <f>IF(AND(A1205="",B1205=""),"",IF(COUNTIFS($A$2:$A$2001,A1205,$B$2:$B$2001,B1205)&gt;1,"DUPLICADO","OK"))</f>
      </c>
      <c r="H1205" s="6">
        <f>IF(COUNTA(A1205:F1205)=0,"",IF(AND(A1205&lt;&gt;"",B1205&lt;&gt;"",E1205&lt;&gt;""),"OK","ERRO: faltam "&amp;IF(A1205="","Conta; ","")&amp;IF(B1205="","Oportunidade; ","")&amp;IF(E1205="","Novo gerente; ","")))</f>
      </c>
      <c r="I1205" s="6">
        <f>IF(COUNTA(A1205:F1205)=0,"",IF(AND(G1205="OK",H1205="OK"),"OK","REVISAR"))</f>
      </c>
    </row>
    <row r="1206">
      <c r="A1206" s="5"/>
      <c r="B1206" s="5"/>
      <c r="C1206" s="4"/>
      <c r="D1206" s="4"/>
      <c r="E1206" s="5"/>
      <c r="F1206" s="4"/>
      <c r="G1206" s="6">
        <f>IF(AND(A1206="",B1206=""),"",IF(COUNTIFS($A$2:$A$2001,A1206,$B$2:$B$2001,B1206)&gt;1,"DUPLICADO","OK"))</f>
      </c>
      <c r="H1206" s="6">
        <f>IF(COUNTA(A1206:F1206)=0,"",IF(AND(A1206&lt;&gt;"",B1206&lt;&gt;"",E1206&lt;&gt;""),"OK","ERRO: faltam "&amp;IF(A1206="","Conta; ","")&amp;IF(B1206="","Oportunidade; ","")&amp;IF(E1206="","Novo gerente; ","")))</f>
      </c>
      <c r="I1206" s="6">
        <f>IF(COUNTA(A1206:F1206)=0,"",IF(AND(G1206="OK",H1206="OK"),"OK","REVISAR"))</f>
      </c>
    </row>
    <row r="1207">
      <c r="A1207" s="5"/>
      <c r="B1207" s="5"/>
      <c r="C1207" s="4"/>
      <c r="D1207" s="4"/>
      <c r="E1207" s="5"/>
      <c r="F1207" s="4"/>
      <c r="G1207" s="6">
        <f>IF(AND(A1207="",B1207=""),"",IF(COUNTIFS($A$2:$A$2001,A1207,$B$2:$B$2001,B1207)&gt;1,"DUPLICADO","OK"))</f>
      </c>
      <c r="H1207" s="6">
        <f>IF(COUNTA(A1207:F1207)=0,"",IF(AND(A1207&lt;&gt;"",B1207&lt;&gt;"",E1207&lt;&gt;""),"OK","ERRO: faltam "&amp;IF(A1207="","Conta; ","")&amp;IF(B1207="","Oportunidade; ","")&amp;IF(E1207="","Novo gerente; ","")))</f>
      </c>
      <c r="I1207" s="6">
        <f>IF(COUNTA(A1207:F1207)=0,"",IF(AND(G1207="OK",H1207="OK"),"OK","REVISAR"))</f>
      </c>
    </row>
    <row r="1208">
      <c r="A1208" s="5"/>
      <c r="B1208" s="5"/>
      <c r="C1208" s="4"/>
      <c r="D1208" s="4"/>
      <c r="E1208" s="5"/>
      <c r="F1208" s="4"/>
      <c r="G1208" s="6">
        <f>IF(AND(A1208="",B1208=""),"",IF(COUNTIFS($A$2:$A$2001,A1208,$B$2:$B$2001,B1208)&gt;1,"DUPLICADO","OK"))</f>
      </c>
      <c r="H1208" s="6">
        <f>IF(COUNTA(A1208:F1208)=0,"",IF(AND(A1208&lt;&gt;"",B1208&lt;&gt;"",E1208&lt;&gt;""),"OK","ERRO: faltam "&amp;IF(A1208="","Conta; ","")&amp;IF(B1208="","Oportunidade; ","")&amp;IF(E1208="","Novo gerente; ","")))</f>
      </c>
      <c r="I1208" s="6">
        <f>IF(COUNTA(A1208:F1208)=0,"",IF(AND(G1208="OK",H1208="OK"),"OK","REVISAR"))</f>
      </c>
    </row>
    <row r="1209">
      <c r="A1209" s="5"/>
      <c r="B1209" s="5"/>
      <c r="C1209" s="4"/>
      <c r="D1209" s="4"/>
      <c r="E1209" s="5"/>
      <c r="F1209" s="4"/>
      <c r="G1209" s="6">
        <f>IF(AND(A1209="",B1209=""),"",IF(COUNTIFS($A$2:$A$2001,A1209,$B$2:$B$2001,B1209)&gt;1,"DUPLICADO","OK"))</f>
      </c>
      <c r="H1209" s="6">
        <f>IF(COUNTA(A1209:F1209)=0,"",IF(AND(A1209&lt;&gt;"",B1209&lt;&gt;"",E1209&lt;&gt;""),"OK","ERRO: faltam "&amp;IF(A1209="","Conta; ","")&amp;IF(B1209="","Oportunidade; ","")&amp;IF(E1209="","Novo gerente; ","")))</f>
      </c>
      <c r="I1209" s="6">
        <f>IF(COUNTA(A1209:F1209)=0,"",IF(AND(G1209="OK",H1209="OK"),"OK","REVISAR"))</f>
      </c>
    </row>
    <row r="1210">
      <c r="A1210" s="5"/>
      <c r="B1210" s="5"/>
      <c r="C1210" s="4"/>
      <c r="D1210" s="4"/>
      <c r="E1210" s="5"/>
      <c r="F1210" s="4"/>
      <c r="G1210" s="6">
        <f>IF(AND(A1210="",B1210=""),"",IF(COUNTIFS($A$2:$A$2001,A1210,$B$2:$B$2001,B1210)&gt;1,"DUPLICADO","OK"))</f>
      </c>
      <c r="H1210" s="6">
        <f>IF(COUNTA(A1210:F1210)=0,"",IF(AND(A1210&lt;&gt;"",B1210&lt;&gt;"",E1210&lt;&gt;""),"OK","ERRO: faltam "&amp;IF(A1210="","Conta; ","")&amp;IF(B1210="","Oportunidade; ","")&amp;IF(E1210="","Novo gerente; ","")))</f>
      </c>
      <c r="I1210" s="6">
        <f>IF(COUNTA(A1210:F1210)=0,"",IF(AND(G1210="OK",H1210="OK"),"OK","REVISAR"))</f>
      </c>
    </row>
    <row r="1211">
      <c r="A1211" s="5"/>
      <c r="B1211" s="5"/>
      <c r="C1211" s="4"/>
      <c r="D1211" s="4"/>
      <c r="E1211" s="5"/>
      <c r="F1211" s="4"/>
      <c r="G1211" s="6">
        <f>IF(AND(A1211="",B1211=""),"",IF(COUNTIFS($A$2:$A$2001,A1211,$B$2:$B$2001,B1211)&gt;1,"DUPLICADO","OK"))</f>
      </c>
      <c r="H1211" s="6">
        <f>IF(COUNTA(A1211:F1211)=0,"",IF(AND(A1211&lt;&gt;"",B1211&lt;&gt;"",E1211&lt;&gt;""),"OK","ERRO: faltam "&amp;IF(A1211="","Conta; ","")&amp;IF(B1211="","Oportunidade; ","")&amp;IF(E1211="","Novo gerente; ","")))</f>
      </c>
      <c r="I1211" s="6">
        <f>IF(COUNTA(A1211:F1211)=0,"",IF(AND(G1211="OK",H1211="OK"),"OK","REVISAR"))</f>
      </c>
    </row>
    <row r="1212">
      <c r="A1212" s="5"/>
      <c r="B1212" s="5"/>
      <c r="C1212" s="4"/>
      <c r="D1212" s="4"/>
      <c r="E1212" s="5"/>
      <c r="F1212" s="4"/>
      <c r="G1212" s="6">
        <f>IF(AND(A1212="",B1212=""),"",IF(COUNTIFS($A$2:$A$2001,A1212,$B$2:$B$2001,B1212)&gt;1,"DUPLICADO","OK"))</f>
      </c>
      <c r="H1212" s="6">
        <f>IF(COUNTA(A1212:F1212)=0,"",IF(AND(A1212&lt;&gt;"",B1212&lt;&gt;"",E1212&lt;&gt;""),"OK","ERRO: faltam "&amp;IF(A1212="","Conta; ","")&amp;IF(B1212="","Oportunidade; ","")&amp;IF(E1212="","Novo gerente; ","")))</f>
      </c>
      <c r="I1212" s="6">
        <f>IF(COUNTA(A1212:F1212)=0,"",IF(AND(G1212="OK",H1212="OK"),"OK","REVISAR"))</f>
      </c>
    </row>
    <row r="1213">
      <c r="A1213" s="5"/>
      <c r="B1213" s="5"/>
      <c r="C1213" s="4"/>
      <c r="D1213" s="4"/>
      <c r="E1213" s="5"/>
      <c r="F1213" s="4"/>
      <c r="G1213" s="6">
        <f>IF(AND(A1213="",B1213=""),"",IF(COUNTIFS($A$2:$A$2001,A1213,$B$2:$B$2001,B1213)&gt;1,"DUPLICADO","OK"))</f>
      </c>
      <c r="H1213" s="6">
        <f>IF(COUNTA(A1213:F1213)=0,"",IF(AND(A1213&lt;&gt;"",B1213&lt;&gt;"",E1213&lt;&gt;""),"OK","ERRO: faltam "&amp;IF(A1213="","Conta; ","")&amp;IF(B1213="","Oportunidade; ","")&amp;IF(E1213="","Novo gerente; ","")))</f>
      </c>
      <c r="I1213" s="6">
        <f>IF(COUNTA(A1213:F1213)=0,"",IF(AND(G1213="OK",H1213="OK"),"OK","REVISAR"))</f>
      </c>
    </row>
    <row r="1214">
      <c r="A1214" s="5"/>
      <c r="B1214" s="5"/>
      <c r="C1214" s="4"/>
      <c r="D1214" s="4"/>
      <c r="E1214" s="5"/>
      <c r="F1214" s="4"/>
      <c r="G1214" s="6">
        <f>IF(AND(A1214="",B1214=""),"",IF(COUNTIFS($A$2:$A$2001,A1214,$B$2:$B$2001,B1214)&gt;1,"DUPLICADO","OK"))</f>
      </c>
      <c r="H1214" s="6">
        <f>IF(COUNTA(A1214:F1214)=0,"",IF(AND(A1214&lt;&gt;"",B1214&lt;&gt;"",E1214&lt;&gt;""),"OK","ERRO: faltam "&amp;IF(A1214="","Conta; ","")&amp;IF(B1214="","Oportunidade; ","")&amp;IF(E1214="","Novo gerente; ","")))</f>
      </c>
      <c r="I1214" s="6">
        <f>IF(COUNTA(A1214:F1214)=0,"",IF(AND(G1214="OK",H1214="OK"),"OK","REVISAR"))</f>
      </c>
    </row>
    <row r="1215">
      <c r="A1215" s="5"/>
      <c r="B1215" s="5"/>
      <c r="C1215" s="4"/>
      <c r="D1215" s="4"/>
      <c r="E1215" s="5"/>
      <c r="F1215" s="4"/>
      <c r="G1215" s="6">
        <f>IF(AND(A1215="",B1215=""),"",IF(COUNTIFS($A$2:$A$2001,A1215,$B$2:$B$2001,B1215)&gt;1,"DUPLICADO","OK"))</f>
      </c>
      <c r="H1215" s="6">
        <f>IF(COUNTA(A1215:F1215)=0,"",IF(AND(A1215&lt;&gt;"",B1215&lt;&gt;"",E1215&lt;&gt;""),"OK","ERRO: faltam "&amp;IF(A1215="","Conta; ","")&amp;IF(B1215="","Oportunidade; ","")&amp;IF(E1215="","Novo gerente; ","")))</f>
      </c>
      <c r="I1215" s="6">
        <f>IF(COUNTA(A1215:F1215)=0,"",IF(AND(G1215="OK",H1215="OK"),"OK","REVISAR"))</f>
      </c>
    </row>
    <row r="1216">
      <c r="A1216" s="5"/>
      <c r="B1216" s="5"/>
      <c r="C1216" s="4"/>
      <c r="D1216" s="4"/>
      <c r="E1216" s="5"/>
      <c r="F1216" s="4"/>
      <c r="G1216" s="6">
        <f>IF(AND(A1216="",B1216=""),"",IF(COUNTIFS($A$2:$A$2001,A1216,$B$2:$B$2001,B1216)&gt;1,"DUPLICADO","OK"))</f>
      </c>
      <c r="H1216" s="6">
        <f>IF(COUNTA(A1216:F1216)=0,"",IF(AND(A1216&lt;&gt;"",B1216&lt;&gt;"",E1216&lt;&gt;""),"OK","ERRO: faltam "&amp;IF(A1216="","Conta; ","")&amp;IF(B1216="","Oportunidade; ","")&amp;IF(E1216="","Novo gerente; ","")))</f>
      </c>
      <c r="I1216" s="6">
        <f>IF(COUNTA(A1216:F1216)=0,"",IF(AND(G1216="OK",H1216="OK"),"OK","REVISAR"))</f>
      </c>
    </row>
    <row r="1217">
      <c r="A1217" s="5"/>
      <c r="B1217" s="5"/>
      <c r="C1217" s="4"/>
      <c r="D1217" s="4"/>
      <c r="E1217" s="5"/>
      <c r="F1217" s="4"/>
      <c r="G1217" s="6">
        <f>IF(AND(A1217="",B1217=""),"",IF(COUNTIFS($A$2:$A$2001,A1217,$B$2:$B$2001,B1217)&gt;1,"DUPLICADO","OK"))</f>
      </c>
      <c r="H1217" s="6">
        <f>IF(COUNTA(A1217:F1217)=0,"",IF(AND(A1217&lt;&gt;"",B1217&lt;&gt;"",E1217&lt;&gt;""),"OK","ERRO: faltam "&amp;IF(A1217="","Conta; ","")&amp;IF(B1217="","Oportunidade; ","")&amp;IF(E1217="","Novo gerente; ","")))</f>
      </c>
      <c r="I1217" s="6">
        <f>IF(COUNTA(A1217:F1217)=0,"",IF(AND(G1217="OK",H1217="OK"),"OK","REVISAR"))</f>
      </c>
    </row>
    <row r="1218">
      <c r="A1218" s="5"/>
      <c r="B1218" s="5"/>
      <c r="C1218" s="4"/>
      <c r="D1218" s="4"/>
      <c r="E1218" s="5"/>
      <c r="F1218" s="4"/>
      <c r="G1218" s="6">
        <f>IF(AND(A1218="",B1218=""),"",IF(COUNTIFS($A$2:$A$2001,A1218,$B$2:$B$2001,B1218)&gt;1,"DUPLICADO","OK"))</f>
      </c>
      <c r="H1218" s="6">
        <f>IF(COUNTA(A1218:F1218)=0,"",IF(AND(A1218&lt;&gt;"",B1218&lt;&gt;"",E1218&lt;&gt;""),"OK","ERRO: faltam "&amp;IF(A1218="","Conta; ","")&amp;IF(B1218="","Oportunidade; ","")&amp;IF(E1218="","Novo gerente; ","")))</f>
      </c>
      <c r="I1218" s="6">
        <f>IF(COUNTA(A1218:F1218)=0,"",IF(AND(G1218="OK",H1218="OK"),"OK","REVISAR"))</f>
      </c>
    </row>
    <row r="1219">
      <c r="A1219" s="5"/>
      <c r="B1219" s="5"/>
      <c r="C1219" s="4"/>
      <c r="D1219" s="4"/>
      <c r="E1219" s="5"/>
      <c r="F1219" s="4"/>
      <c r="G1219" s="6">
        <f>IF(AND(A1219="",B1219=""),"",IF(COUNTIFS($A$2:$A$2001,A1219,$B$2:$B$2001,B1219)&gt;1,"DUPLICADO","OK"))</f>
      </c>
      <c r="H1219" s="6">
        <f>IF(COUNTA(A1219:F1219)=0,"",IF(AND(A1219&lt;&gt;"",B1219&lt;&gt;"",E1219&lt;&gt;""),"OK","ERRO: faltam "&amp;IF(A1219="","Conta; ","")&amp;IF(B1219="","Oportunidade; ","")&amp;IF(E1219="","Novo gerente; ","")))</f>
      </c>
      <c r="I1219" s="6">
        <f>IF(COUNTA(A1219:F1219)=0,"",IF(AND(G1219="OK",H1219="OK"),"OK","REVISAR"))</f>
      </c>
    </row>
    <row r="1220">
      <c r="A1220" s="5"/>
      <c r="B1220" s="5"/>
      <c r="C1220" s="4"/>
      <c r="D1220" s="4"/>
      <c r="E1220" s="5"/>
      <c r="F1220" s="4"/>
      <c r="G1220" s="6">
        <f>IF(AND(A1220="",B1220=""),"",IF(COUNTIFS($A$2:$A$2001,A1220,$B$2:$B$2001,B1220)&gt;1,"DUPLICADO","OK"))</f>
      </c>
      <c r="H1220" s="6">
        <f>IF(COUNTA(A1220:F1220)=0,"",IF(AND(A1220&lt;&gt;"",B1220&lt;&gt;"",E1220&lt;&gt;""),"OK","ERRO: faltam "&amp;IF(A1220="","Conta; ","")&amp;IF(B1220="","Oportunidade; ","")&amp;IF(E1220="","Novo gerente; ","")))</f>
      </c>
      <c r="I1220" s="6">
        <f>IF(COUNTA(A1220:F1220)=0,"",IF(AND(G1220="OK",H1220="OK"),"OK","REVISAR"))</f>
      </c>
    </row>
    <row r="1221">
      <c r="A1221" s="5"/>
      <c r="B1221" s="5"/>
      <c r="C1221" s="4"/>
      <c r="D1221" s="4"/>
      <c r="E1221" s="5"/>
      <c r="F1221" s="4"/>
      <c r="G1221" s="6">
        <f>IF(AND(A1221="",B1221=""),"",IF(COUNTIFS($A$2:$A$2001,A1221,$B$2:$B$2001,B1221)&gt;1,"DUPLICADO","OK"))</f>
      </c>
      <c r="H1221" s="6">
        <f>IF(COUNTA(A1221:F1221)=0,"",IF(AND(A1221&lt;&gt;"",B1221&lt;&gt;"",E1221&lt;&gt;""),"OK","ERRO: faltam "&amp;IF(A1221="","Conta; ","")&amp;IF(B1221="","Oportunidade; ","")&amp;IF(E1221="","Novo gerente; ","")))</f>
      </c>
      <c r="I1221" s="6">
        <f>IF(COUNTA(A1221:F1221)=0,"",IF(AND(G1221="OK",H1221="OK"),"OK","REVISAR"))</f>
      </c>
    </row>
    <row r="1222">
      <c r="A1222" s="5"/>
      <c r="B1222" s="5"/>
      <c r="C1222" s="4"/>
      <c r="D1222" s="4"/>
      <c r="E1222" s="5"/>
      <c r="F1222" s="4"/>
      <c r="G1222" s="6">
        <f>IF(AND(A1222="",B1222=""),"",IF(COUNTIFS($A$2:$A$2001,A1222,$B$2:$B$2001,B1222)&gt;1,"DUPLICADO","OK"))</f>
      </c>
      <c r="H1222" s="6">
        <f>IF(COUNTA(A1222:F1222)=0,"",IF(AND(A1222&lt;&gt;"",B1222&lt;&gt;"",E1222&lt;&gt;""),"OK","ERRO: faltam "&amp;IF(A1222="","Conta; ","")&amp;IF(B1222="","Oportunidade; ","")&amp;IF(E1222="","Novo gerente; ","")))</f>
      </c>
      <c r="I1222" s="6">
        <f>IF(COUNTA(A1222:F1222)=0,"",IF(AND(G1222="OK",H1222="OK"),"OK","REVISAR"))</f>
      </c>
    </row>
    <row r="1223">
      <c r="A1223" s="5"/>
      <c r="B1223" s="5"/>
      <c r="C1223" s="4"/>
      <c r="D1223" s="4"/>
      <c r="E1223" s="5"/>
      <c r="F1223" s="4"/>
      <c r="G1223" s="6">
        <f>IF(AND(A1223="",B1223=""),"",IF(COUNTIFS($A$2:$A$2001,A1223,$B$2:$B$2001,B1223)&gt;1,"DUPLICADO","OK"))</f>
      </c>
      <c r="H1223" s="6">
        <f>IF(COUNTA(A1223:F1223)=0,"",IF(AND(A1223&lt;&gt;"",B1223&lt;&gt;"",E1223&lt;&gt;""),"OK","ERRO: faltam "&amp;IF(A1223="","Conta; ","")&amp;IF(B1223="","Oportunidade; ","")&amp;IF(E1223="","Novo gerente; ","")))</f>
      </c>
      <c r="I1223" s="6">
        <f>IF(COUNTA(A1223:F1223)=0,"",IF(AND(G1223="OK",H1223="OK"),"OK","REVISAR"))</f>
      </c>
    </row>
    <row r="1224">
      <c r="A1224" s="5"/>
      <c r="B1224" s="5"/>
      <c r="C1224" s="4"/>
      <c r="D1224" s="4"/>
      <c r="E1224" s="5"/>
      <c r="F1224" s="4"/>
      <c r="G1224" s="6">
        <f>IF(AND(A1224="",B1224=""),"",IF(COUNTIFS($A$2:$A$2001,A1224,$B$2:$B$2001,B1224)&gt;1,"DUPLICADO","OK"))</f>
      </c>
      <c r="H1224" s="6">
        <f>IF(COUNTA(A1224:F1224)=0,"",IF(AND(A1224&lt;&gt;"",B1224&lt;&gt;"",E1224&lt;&gt;""),"OK","ERRO: faltam "&amp;IF(A1224="","Conta; ","")&amp;IF(B1224="","Oportunidade; ","")&amp;IF(E1224="","Novo gerente; ","")))</f>
      </c>
      <c r="I1224" s="6">
        <f>IF(COUNTA(A1224:F1224)=0,"",IF(AND(G1224="OK",H1224="OK"),"OK","REVISAR"))</f>
      </c>
    </row>
    <row r="1225">
      <c r="A1225" s="5"/>
      <c r="B1225" s="5"/>
      <c r="C1225" s="4"/>
      <c r="D1225" s="4"/>
      <c r="E1225" s="5"/>
      <c r="F1225" s="4"/>
      <c r="G1225" s="6">
        <f>IF(AND(A1225="",B1225=""),"",IF(COUNTIFS($A$2:$A$2001,A1225,$B$2:$B$2001,B1225)&gt;1,"DUPLICADO","OK"))</f>
      </c>
      <c r="H1225" s="6">
        <f>IF(COUNTA(A1225:F1225)=0,"",IF(AND(A1225&lt;&gt;"",B1225&lt;&gt;"",E1225&lt;&gt;""),"OK","ERRO: faltam "&amp;IF(A1225="","Conta; ","")&amp;IF(B1225="","Oportunidade; ","")&amp;IF(E1225="","Novo gerente; ","")))</f>
      </c>
      <c r="I1225" s="6">
        <f>IF(COUNTA(A1225:F1225)=0,"",IF(AND(G1225="OK",H1225="OK"),"OK","REVISAR"))</f>
      </c>
    </row>
    <row r="1226">
      <c r="A1226" s="5"/>
      <c r="B1226" s="5"/>
      <c r="C1226" s="4"/>
      <c r="D1226" s="4"/>
      <c r="E1226" s="5"/>
      <c r="F1226" s="4"/>
      <c r="G1226" s="6">
        <f>IF(AND(A1226="",B1226=""),"",IF(COUNTIFS($A$2:$A$2001,A1226,$B$2:$B$2001,B1226)&gt;1,"DUPLICADO","OK"))</f>
      </c>
      <c r="H1226" s="6">
        <f>IF(COUNTA(A1226:F1226)=0,"",IF(AND(A1226&lt;&gt;"",B1226&lt;&gt;"",E1226&lt;&gt;""),"OK","ERRO: faltam "&amp;IF(A1226="","Conta; ","")&amp;IF(B1226="","Oportunidade; ","")&amp;IF(E1226="","Novo gerente; ","")))</f>
      </c>
      <c r="I1226" s="6">
        <f>IF(COUNTA(A1226:F1226)=0,"",IF(AND(G1226="OK",H1226="OK"),"OK","REVISAR"))</f>
      </c>
    </row>
    <row r="1227">
      <c r="A1227" s="5"/>
      <c r="B1227" s="5"/>
      <c r="C1227" s="4"/>
      <c r="D1227" s="4"/>
      <c r="E1227" s="5"/>
      <c r="F1227" s="4"/>
      <c r="G1227" s="6">
        <f>IF(AND(A1227="",B1227=""),"",IF(COUNTIFS($A$2:$A$2001,A1227,$B$2:$B$2001,B1227)&gt;1,"DUPLICADO","OK"))</f>
      </c>
      <c r="H1227" s="6">
        <f>IF(COUNTA(A1227:F1227)=0,"",IF(AND(A1227&lt;&gt;"",B1227&lt;&gt;"",E1227&lt;&gt;""),"OK","ERRO: faltam "&amp;IF(A1227="","Conta; ","")&amp;IF(B1227="","Oportunidade; ","")&amp;IF(E1227="","Novo gerente; ","")))</f>
      </c>
      <c r="I1227" s="6">
        <f>IF(COUNTA(A1227:F1227)=0,"",IF(AND(G1227="OK",H1227="OK"),"OK","REVISAR"))</f>
      </c>
    </row>
    <row r="1228">
      <c r="A1228" s="5"/>
      <c r="B1228" s="5"/>
      <c r="C1228" s="4"/>
      <c r="D1228" s="4"/>
      <c r="E1228" s="5"/>
      <c r="F1228" s="4"/>
      <c r="G1228" s="6">
        <f>IF(AND(A1228="",B1228=""),"",IF(COUNTIFS($A$2:$A$2001,A1228,$B$2:$B$2001,B1228)&gt;1,"DUPLICADO","OK"))</f>
      </c>
      <c r="H1228" s="6">
        <f>IF(COUNTA(A1228:F1228)=0,"",IF(AND(A1228&lt;&gt;"",B1228&lt;&gt;"",E1228&lt;&gt;""),"OK","ERRO: faltam "&amp;IF(A1228="","Conta; ","")&amp;IF(B1228="","Oportunidade; ","")&amp;IF(E1228="","Novo gerente; ","")))</f>
      </c>
      <c r="I1228" s="6">
        <f>IF(COUNTA(A1228:F1228)=0,"",IF(AND(G1228="OK",H1228="OK"),"OK","REVISAR"))</f>
      </c>
    </row>
    <row r="1229">
      <c r="A1229" s="5"/>
      <c r="B1229" s="5"/>
      <c r="C1229" s="4"/>
      <c r="D1229" s="4"/>
      <c r="E1229" s="5"/>
      <c r="F1229" s="4"/>
      <c r="G1229" s="6">
        <f>IF(AND(A1229="",B1229=""),"",IF(COUNTIFS($A$2:$A$2001,A1229,$B$2:$B$2001,B1229)&gt;1,"DUPLICADO","OK"))</f>
      </c>
      <c r="H1229" s="6">
        <f>IF(COUNTA(A1229:F1229)=0,"",IF(AND(A1229&lt;&gt;"",B1229&lt;&gt;"",E1229&lt;&gt;""),"OK","ERRO: faltam "&amp;IF(A1229="","Conta; ","")&amp;IF(B1229="","Oportunidade; ","")&amp;IF(E1229="","Novo gerente; ","")))</f>
      </c>
      <c r="I1229" s="6">
        <f>IF(COUNTA(A1229:F1229)=0,"",IF(AND(G1229="OK",H1229="OK"),"OK","REVISAR"))</f>
      </c>
    </row>
    <row r="1230">
      <c r="A1230" s="5"/>
      <c r="B1230" s="5"/>
      <c r="C1230" s="4"/>
      <c r="D1230" s="4"/>
      <c r="E1230" s="5"/>
      <c r="F1230" s="4"/>
      <c r="G1230" s="6">
        <f>IF(AND(A1230="",B1230=""),"",IF(COUNTIFS($A$2:$A$2001,A1230,$B$2:$B$2001,B1230)&gt;1,"DUPLICADO","OK"))</f>
      </c>
      <c r="H1230" s="6">
        <f>IF(COUNTA(A1230:F1230)=0,"",IF(AND(A1230&lt;&gt;"",B1230&lt;&gt;"",E1230&lt;&gt;""),"OK","ERRO: faltam "&amp;IF(A1230="","Conta; ","")&amp;IF(B1230="","Oportunidade; ","")&amp;IF(E1230="","Novo gerente; ","")))</f>
      </c>
      <c r="I1230" s="6">
        <f>IF(COUNTA(A1230:F1230)=0,"",IF(AND(G1230="OK",H1230="OK"),"OK","REVISAR"))</f>
      </c>
    </row>
    <row r="1231">
      <c r="A1231" s="5"/>
      <c r="B1231" s="5"/>
      <c r="C1231" s="4"/>
      <c r="D1231" s="4"/>
      <c r="E1231" s="5"/>
      <c r="F1231" s="4"/>
      <c r="G1231" s="6">
        <f>IF(AND(A1231="",B1231=""),"",IF(COUNTIFS($A$2:$A$2001,A1231,$B$2:$B$2001,B1231)&gt;1,"DUPLICADO","OK"))</f>
      </c>
      <c r="H1231" s="6">
        <f>IF(COUNTA(A1231:F1231)=0,"",IF(AND(A1231&lt;&gt;"",B1231&lt;&gt;"",E1231&lt;&gt;""),"OK","ERRO: faltam "&amp;IF(A1231="","Conta; ","")&amp;IF(B1231="","Oportunidade; ","")&amp;IF(E1231="","Novo gerente; ","")))</f>
      </c>
      <c r="I1231" s="6">
        <f>IF(COUNTA(A1231:F1231)=0,"",IF(AND(G1231="OK",H1231="OK"),"OK","REVISAR"))</f>
      </c>
    </row>
    <row r="1232">
      <c r="A1232" s="5"/>
      <c r="B1232" s="5"/>
      <c r="C1232" s="4"/>
      <c r="D1232" s="4"/>
      <c r="E1232" s="5"/>
      <c r="F1232" s="4"/>
      <c r="G1232" s="6">
        <f>IF(AND(A1232="",B1232=""),"",IF(COUNTIFS($A$2:$A$2001,A1232,$B$2:$B$2001,B1232)&gt;1,"DUPLICADO","OK"))</f>
      </c>
      <c r="H1232" s="6">
        <f>IF(COUNTA(A1232:F1232)=0,"",IF(AND(A1232&lt;&gt;"",B1232&lt;&gt;"",E1232&lt;&gt;""),"OK","ERRO: faltam "&amp;IF(A1232="","Conta; ","")&amp;IF(B1232="","Oportunidade; ","")&amp;IF(E1232="","Novo gerente; ","")))</f>
      </c>
      <c r="I1232" s="6">
        <f>IF(COUNTA(A1232:F1232)=0,"",IF(AND(G1232="OK",H1232="OK"),"OK","REVISAR"))</f>
      </c>
    </row>
    <row r="1233">
      <c r="A1233" s="5"/>
      <c r="B1233" s="5"/>
      <c r="C1233" s="4"/>
      <c r="D1233" s="4"/>
      <c r="E1233" s="5"/>
      <c r="F1233" s="4"/>
      <c r="G1233" s="6">
        <f>IF(AND(A1233="",B1233=""),"",IF(COUNTIFS($A$2:$A$2001,A1233,$B$2:$B$2001,B1233)&gt;1,"DUPLICADO","OK"))</f>
      </c>
      <c r="H1233" s="6">
        <f>IF(COUNTA(A1233:F1233)=0,"",IF(AND(A1233&lt;&gt;"",B1233&lt;&gt;"",E1233&lt;&gt;""),"OK","ERRO: faltam "&amp;IF(A1233="","Conta; ","")&amp;IF(B1233="","Oportunidade; ","")&amp;IF(E1233="","Novo gerente; ","")))</f>
      </c>
      <c r="I1233" s="6">
        <f>IF(COUNTA(A1233:F1233)=0,"",IF(AND(G1233="OK",H1233="OK"),"OK","REVISAR"))</f>
      </c>
    </row>
    <row r="1234">
      <c r="A1234" s="5"/>
      <c r="B1234" s="5"/>
      <c r="C1234" s="4"/>
      <c r="D1234" s="4"/>
      <c r="E1234" s="5"/>
      <c r="F1234" s="4"/>
      <c r="G1234" s="6">
        <f>IF(AND(A1234="",B1234=""),"",IF(COUNTIFS($A$2:$A$2001,A1234,$B$2:$B$2001,B1234)&gt;1,"DUPLICADO","OK"))</f>
      </c>
      <c r="H1234" s="6">
        <f>IF(COUNTA(A1234:F1234)=0,"",IF(AND(A1234&lt;&gt;"",B1234&lt;&gt;"",E1234&lt;&gt;""),"OK","ERRO: faltam "&amp;IF(A1234="","Conta; ","")&amp;IF(B1234="","Oportunidade; ","")&amp;IF(E1234="","Novo gerente; ","")))</f>
      </c>
      <c r="I1234" s="6">
        <f>IF(COUNTA(A1234:F1234)=0,"",IF(AND(G1234="OK",H1234="OK"),"OK","REVISAR"))</f>
      </c>
    </row>
    <row r="1235">
      <c r="A1235" s="5"/>
      <c r="B1235" s="5"/>
      <c r="C1235" s="4"/>
      <c r="D1235" s="4"/>
      <c r="E1235" s="5"/>
      <c r="F1235" s="4"/>
      <c r="G1235" s="6">
        <f>IF(AND(A1235="",B1235=""),"",IF(COUNTIFS($A$2:$A$2001,A1235,$B$2:$B$2001,B1235)&gt;1,"DUPLICADO","OK"))</f>
      </c>
      <c r="H1235" s="6">
        <f>IF(COUNTA(A1235:F1235)=0,"",IF(AND(A1235&lt;&gt;"",B1235&lt;&gt;"",E1235&lt;&gt;""),"OK","ERRO: faltam "&amp;IF(A1235="","Conta; ","")&amp;IF(B1235="","Oportunidade; ","")&amp;IF(E1235="","Novo gerente; ","")))</f>
      </c>
      <c r="I1235" s="6">
        <f>IF(COUNTA(A1235:F1235)=0,"",IF(AND(G1235="OK",H1235="OK"),"OK","REVISAR"))</f>
      </c>
    </row>
    <row r="1236">
      <c r="A1236" s="5"/>
      <c r="B1236" s="5"/>
      <c r="C1236" s="4"/>
      <c r="D1236" s="4"/>
      <c r="E1236" s="5"/>
      <c r="F1236" s="4"/>
      <c r="G1236" s="6">
        <f>IF(AND(A1236="",B1236=""),"",IF(COUNTIFS($A$2:$A$2001,A1236,$B$2:$B$2001,B1236)&gt;1,"DUPLICADO","OK"))</f>
      </c>
      <c r="H1236" s="6">
        <f>IF(COUNTA(A1236:F1236)=0,"",IF(AND(A1236&lt;&gt;"",B1236&lt;&gt;"",E1236&lt;&gt;""),"OK","ERRO: faltam "&amp;IF(A1236="","Conta; ","")&amp;IF(B1236="","Oportunidade; ","")&amp;IF(E1236="","Novo gerente; ","")))</f>
      </c>
      <c r="I1236" s="6">
        <f>IF(COUNTA(A1236:F1236)=0,"",IF(AND(G1236="OK",H1236="OK"),"OK","REVISAR"))</f>
      </c>
    </row>
    <row r="1237">
      <c r="A1237" s="5"/>
      <c r="B1237" s="5"/>
      <c r="C1237" s="4"/>
      <c r="D1237" s="4"/>
      <c r="E1237" s="5"/>
      <c r="F1237" s="4"/>
      <c r="G1237" s="6">
        <f>IF(AND(A1237="",B1237=""),"",IF(COUNTIFS($A$2:$A$2001,A1237,$B$2:$B$2001,B1237)&gt;1,"DUPLICADO","OK"))</f>
      </c>
      <c r="H1237" s="6">
        <f>IF(COUNTA(A1237:F1237)=0,"",IF(AND(A1237&lt;&gt;"",B1237&lt;&gt;"",E1237&lt;&gt;""),"OK","ERRO: faltam "&amp;IF(A1237="","Conta; ","")&amp;IF(B1237="","Oportunidade; ","")&amp;IF(E1237="","Novo gerente; ","")))</f>
      </c>
      <c r="I1237" s="6">
        <f>IF(COUNTA(A1237:F1237)=0,"",IF(AND(G1237="OK",H1237="OK"),"OK","REVISAR"))</f>
      </c>
    </row>
    <row r="1238">
      <c r="A1238" s="5"/>
      <c r="B1238" s="5"/>
      <c r="C1238" s="4"/>
      <c r="D1238" s="4"/>
      <c r="E1238" s="5"/>
      <c r="F1238" s="4"/>
      <c r="G1238" s="6">
        <f>IF(AND(A1238="",B1238=""),"",IF(COUNTIFS($A$2:$A$2001,A1238,$B$2:$B$2001,B1238)&gt;1,"DUPLICADO","OK"))</f>
      </c>
      <c r="H1238" s="6">
        <f>IF(COUNTA(A1238:F1238)=0,"",IF(AND(A1238&lt;&gt;"",B1238&lt;&gt;"",E1238&lt;&gt;""),"OK","ERRO: faltam "&amp;IF(A1238="","Conta; ","")&amp;IF(B1238="","Oportunidade; ","")&amp;IF(E1238="","Novo gerente; ","")))</f>
      </c>
      <c r="I1238" s="6">
        <f>IF(COUNTA(A1238:F1238)=0,"",IF(AND(G1238="OK",H1238="OK"),"OK","REVISAR"))</f>
      </c>
    </row>
    <row r="1239">
      <c r="A1239" s="5"/>
      <c r="B1239" s="5"/>
      <c r="C1239" s="4"/>
      <c r="D1239" s="4"/>
      <c r="E1239" s="5"/>
      <c r="F1239" s="4"/>
      <c r="G1239" s="6">
        <f>IF(AND(A1239="",B1239=""),"",IF(COUNTIFS($A$2:$A$2001,A1239,$B$2:$B$2001,B1239)&gt;1,"DUPLICADO","OK"))</f>
      </c>
      <c r="H1239" s="6">
        <f>IF(COUNTA(A1239:F1239)=0,"",IF(AND(A1239&lt;&gt;"",B1239&lt;&gt;"",E1239&lt;&gt;""),"OK","ERRO: faltam "&amp;IF(A1239="","Conta; ","")&amp;IF(B1239="","Oportunidade; ","")&amp;IF(E1239="","Novo gerente; ","")))</f>
      </c>
      <c r="I1239" s="6">
        <f>IF(COUNTA(A1239:F1239)=0,"",IF(AND(G1239="OK",H1239="OK"),"OK","REVISAR"))</f>
      </c>
    </row>
    <row r="1240">
      <c r="A1240" s="5"/>
      <c r="B1240" s="5"/>
      <c r="C1240" s="4"/>
      <c r="D1240" s="4"/>
      <c r="E1240" s="5"/>
      <c r="F1240" s="4"/>
      <c r="G1240" s="6">
        <f>IF(AND(A1240="",B1240=""),"",IF(COUNTIFS($A$2:$A$2001,A1240,$B$2:$B$2001,B1240)&gt;1,"DUPLICADO","OK"))</f>
      </c>
      <c r="H1240" s="6">
        <f>IF(COUNTA(A1240:F1240)=0,"",IF(AND(A1240&lt;&gt;"",B1240&lt;&gt;"",E1240&lt;&gt;""),"OK","ERRO: faltam "&amp;IF(A1240="","Conta; ","")&amp;IF(B1240="","Oportunidade; ","")&amp;IF(E1240="","Novo gerente; ","")))</f>
      </c>
      <c r="I1240" s="6">
        <f>IF(COUNTA(A1240:F1240)=0,"",IF(AND(G1240="OK",H1240="OK"),"OK","REVISAR"))</f>
      </c>
    </row>
    <row r="1241">
      <c r="A1241" s="5"/>
      <c r="B1241" s="5"/>
      <c r="C1241" s="4"/>
      <c r="D1241" s="4"/>
      <c r="E1241" s="5"/>
      <c r="F1241" s="4"/>
      <c r="G1241" s="6">
        <f>IF(AND(A1241="",B1241=""),"",IF(COUNTIFS($A$2:$A$2001,A1241,$B$2:$B$2001,B1241)&gt;1,"DUPLICADO","OK"))</f>
      </c>
      <c r="H1241" s="6">
        <f>IF(COUNTA(A1241:F1241)=0,"",IF(AND(A1241&lt;&gt;"",B1241&lt;&gt;"",E1241&lt;&gt;""),"OK","ERRO: faltam "&amp;IF(A1241="","Conta; ","")&amp;IF(B1241="","Oportunidade; ","")&amp;IF(E1241="","Novo gerente; ","")))</f>
      </c>
      <c r="I1241" s="6">
        <f>IF(COUNTA(A1241:F1241)=0,"",IF(AND(G1241="OK",H1241="OK"),"OK","REVISAR"))</f>
      </c>
    </row>
    <row r="1242">
      <c r="A1242" s="5"/>
      <c r="B1242" s="5"/>
      <c r="C1242" s="4"/>
      <c r="D1242" s="4"/>
      <c r="E1242" s="5"/>
      <c r="F1242" s="4"/>
      <c r="G1242" s="6">
        <f>IF(AND(A1242="",B1242=""),"",IF(COUNTIFS($A$2:$A$2001,A1242,$B$2:$B$2001,B1242)&gt;1,"DUPLICADO","OK"))</f>
      </c>
      <c r="H1242" s="6">
        <f>IF(COUNTA(A1242:F1242)=0,"",IF(AND(A1242&lt;&gt;"",B1242&lt;&gt;"",E1242&lt;&gt;""),"OK","ERRO: faltam "&amp;IF(A1242="","Conta; ","")&amp;IF(B1242="","Oportunidade; ","")&amp;IF(E1242="","Novo gerente; ","")))</f>
      </c>
      <c r="I1242" s="6">
        <f>IF(COUNTA(A1242:F1242)=0,"",IF(AND(G1242="OK",H1242="OK"),"OK","REVISAR"))</f>
      </c>
    </row>
    <row r="1243">
      <c r="A1243" s="5"/>
      <c r="B1243" s="5"/>
      <c r="C1243" s="4"/>
      <c r="D1243" s="4"/>
      <c r="E1243" s="5"/>
      <c r="F1243" s="4"/>
      <c r="G1243" s="6">
        <f>IF(AND(A1243="",B1243=""),"",IF(COUNTIFS($A$2:$A$2001,A1243,$B$2:$B$2001,B1243)&gt;1,"DUPLICADO","OK"))</f>
      </c>
      <c r="H1243" s="6">
        <f>IF(COUNTA(A1243:F1243)=0,"",IF(AND(A1243&lt;&gt;"",B1243&lt;&gt;"",E1243&lt;&gt;""),"OK","ERRO: faltam "&amp;IF(A1243="","Conta; ","")&amp;IF(B1243="","Oportunidade; ","")&amp;IF(E1243="","Novo gerente; ","")))</f>
      </c>
      <c r="I1243" s="6">
        <f>IF(COUNTA(A1243:F1243)=0,"",IF(AND(G1243="OK",H1243="OK"),"OK","REVISAR"))</f>
      </c>
    </row>
    <row r="1244">
      <c r="A1244" s="5"/>
      <c r="B1244" s="5"/>
      <c r="C1244" s="4"/>
      <c r="D1244" s="4"/>
      <c r="E1244" s="5"/>
      <c r="F1244" s="4"/>
      <c r="G1244" s="6">
        <f>IF(AND(A1244="",B1244=""),"",IF(COUNTIFS($A$2:$A$2001,A1244,$B$2:$B$2001,B1244)&gt;1,"DUPLICADO","OK"))</f>
      </c>
      <c r="H1244" s="6">
        <f>IF(COUNTA(A1244:F1244)=0,"",IF(AND(A1244&lt;&gt;"",B1244&lt;&gt;"",E1244&lt;&gt;""),"OK","ERRO: faltam "&amp;IF(A1244="","Conta; ","")&amp;IF(B1244="","Oportunidade; ","")&amp;IF(E1244="","Novo gerente; ","")))</f>
      </c>
      <c r="I1244" s="6">
        <f>IF(COUNTA(A1244:F1244)=0,"",IF(AND(G1244="OK",H1244="OK"),"OK","REVISAR"))</f>
      </c>
    </row>
    <row r="1245">
      <c r="A1245" s="5"/>
      <c r="B1245" s="5"/>
      <c r="C1245" s="4"/>
      <c r="D1245" s="4"/>
      <c r="E1245" s="5"/>
      <c r="F1245" s="4"/>
      <c r="G1245" s="6">
        <f>IF(AND(A1245="",B1245=""),"",IF(COUNTIFS($A$2:$A$2001,A1245,$B$2:$B$2001,B1245)&gt;1,"DUPLICADO","OK"))</f>
      </c>
      <c r="H1245" s="6">
        <f>IF(COUNTA(A1245:F1245)=0,"",IF(AND(A1245&lt;&gt;"",B1245&lt;&gt;"",E1245&lt;&gt;""),"OK","ERRO: faltam "&amp;IF(A1245="","Conta; ","")&amp;IF(B1245="","Oportunidade; ","")&amp;IF(E1245="","Novo gerente; ","")))</f>
      </c>
      <c r="I1245" s="6">
        <f>IF(COUNTA(A1245:F1245)=0,"",IF(AND(G1245="OK",H1245="OK"),"OK","REVISAR"))</f>
      </c>
    </row>
    <row r="1246">
      <c r="A1246" s="5"/>
      <c r="B1246" s="5"/>
      <c r="C1246" s="4"/>
      <c r="D1246" s="4"/>
      <c r="E1246" s="5"/>
      <c r="F1246" s="4"/>
      <c r="G1246" s="6">
        <f>IF(AND(A1246="",B1246=""),"",IF(COUNTIFS($A$2:$A$2001,A1246,$B$2:$B$2001,B1246)&gt;1,"DUPLICADO","OK"))</f>
      </c>
      <c r="H1246" s="6">
        <f>IF(COUNTA(A1246:F1246)=0,"",IF(AND(A1246&lt;&gt;"",B1246&lt;&gt;"",E1246&lt;&gt;""),"OK","ERRO: faltam "&amp;IF(A1246="","Conta; ","")&amp;IF(B1246="","Oportunidade; ","")&amp;IF(E1246="","Novo gerente; ","")))</f>
      </c>
      <c r="I1246" s="6">
        <f>IF(COUNTA(A1246:F1246)=0,"",IF(AND(G1246="OK",H1246="OK"),"OK","REVISAR"))</f>
      </c>
    </row>
    <row r="1247">
      <c r="A1247" s="5"/>
      <c r="B1247" s="5"/>
      <c r="C1247" s="4"/>
      <c r="D1247" s="4"/>
      <c r="E1247" s="5"/>
      <c r="F1247" s="4"/>
      <c r="G1247" s="6">
        <f>IF(AND(A1247="",B1247=""),"",IF(COUNTIFS($A$2:$A$2001,A1247,$B$2:$B$2001,B1247)&gt;1,"DUPLICADO","OK"))</f>
      </c>
      <c r="H1247" s="6">
        <f>IF(COUNTA(A1247:F1247)=0,"",IF(AND(A1247&lt;&gt;"",B1247&lt;&gt;"",E1247&lt;&gt;""),"OK","ERRO: faltam "&amp;IF(A1247="","Conta; ","")&amp;IF(B1247="","Oportunidade; ","")&amp;IF(E1247="","Novo gerente; ","")))</f>
      </c>
      <c r="I1247" s="6">
        <f>IF(COUNTA(A1247:F1247)=0,"",IF(AND(G1247="OK",H1247="OK"),"OK","REVISAR"))</f>
      </c>
    </row>
    <row r="1248">
      <c r="A1248" s="5"/>
      <c r="B1248" s="5"/>
      <c r="C1248" s="4"/>
      <c r="D1248" s="4"/>
      <c r="E1248" s="5"/>
      <c r="F1248" s="4"/>
      <c r="G1248" s="6">
        <f>IF(AND(A1248="",B1248=""),"",IF(COUNTIFS($A$2:$A$2001,A1248,$B$2:$B$2001,B1248)&gt;1,"DUPLICADO","OK"))</f>
      </c>
      <c r="H1248" s="6">
        <f>IF(COUNTA(A1248:F1248)=0,"",IF(AND(A1248&lt;&gt;"",B1248&lt;&gt;"",E1248&lt;&gt;""),"OK","ERRO: faltam "&amp;IF(A1248="","Conta; ","")&amp;IF(B1248="","Oportunidade; ","")&amp;IF(E1248="","Novo gerente; ","")))</f>
      </c>
      <c r="I1248" s="6">
        <f>IF(COUNTA(A1248:F1248)=0,"",IF(AND(G1248="OK",H1248="OK"),"OK","REVISAR"))</f>
      </c>
    </row>
    <row r="1249">
      <c r="A1249" s="5"/>
      <c r="B1249" s="5"/>
      <c r="C1249" s="4"/>
      <c r="D1249" s="4"/>
      <c r="E1249" s="5"/>
      <c r="F1249" s="4"/>
      <c r="G1249" s="6">
        <f>IF(AND(A1249="",B1249=""),"",IF(COUNTIFS($A$2:$A$2001,A1249,$B$2:$B$2001,B1249)&gt;1,"DUPLICADO","OK"))</f>
      </c>
      <c r="H1249" s="6">
        <f>IF(COUNTA(A1249:F1249)=0,"",IF(AND(A1249&lt;&gt;"",B1249&lt;&gt;"",E1249&lt;&gt;""),"OK","ERRO: faltam "&amp;IF(A1249="","Conta; ","")&amp;IF(B1249="","Oportunidade; ","")&amp;IF(E1249="","Novo gerente; ","")))</f>
      </c>
      <c r="I1249" s="6">
        <f>IF(COUNTA(A1249:F1249)=0,"",IF(AND(G1249="OK",H1249="OK"),"OK","REVISAR"))</f>
      </c>
    </row>
    <row r="1250">
      <c r="A1250" s="5"/>
      <c r="B1250" s="5"/>
      <c r="C1250" s="4"/>
      <c r="D1250" s="4"/>
      <c r="E1250" s="5"/>
      <c r="F1250" s="4"/>
      <c r="G1250" s="6">
        <f>IF(AND(A1250="",B1250=""),"",IF(COUNTIFS($A$2:$A$2001,A1250,$B$2:$B$2001,B1250)&gt;1,"DUPLICADO","OK"))</f>
      </c>
      <c r="H1250" s="6">
        <f>IF(COUNTA(A1250:F1250)=0,"",IF(AND(A1250&lt;&gt;"",B1250&lt;&gt;"",E1250&lt;&gt;""),"OK","ERRO: faltam "&amp;IF(A1250="","Conta; ","")&amp;IF(B1250="","Oportunidade; ","")&amp;IF(E1250="","Novo gerente; ","")))</f>
      </c>
      <c r="I1250" s="6">
        <f>IF(COUNTA(A1250:F1250)=0,"",IF(AND(G1250="OK",H1250="OK"),"OK","REVISAR"))</f>
      </c>
    </row>
    <row r="1251">
      <c r="A1251" s="5"/>
      <c r="B1251" s="5"/>
      <c r="C1251" s="4"/>
      <c r="D1251" s="4"/>
      <c r="E1251" s="5"/>
      <c r="F1251" s="4"/>
      <c r="G1251" s="6">
        <f>IF(AND(A1251="",B1251=""),"",IF(COUNTIFS($A$2:$A$2001,A1251,$B$2:$B$2001,B1251)&gt;1,"DUPLICADO","OK"))</f>
      </c>
      <c r="H1251" s="6">
        <f>IF(COUNTA(A1251:F1251)=0,"",IF(AND(A1251&lt;&gt;"",B1251&lt;&gt;"",E1251&lt;&gt;""),"OK","ERRO: faltam "&amp;IF(A1251="","Conta; ","")&amp;IF(B1251="","Oportunidade; ","")&amp;IF(E1251="","Novo gerente; ","")))</f>
      </c>
      <c r="I1251" s="6">
        <f>IF(COUNTA(A1251:F1251)=0,"",IF(AND(G1251="OK",H1251="OK"),"OK","REVISAR"))</f>
      </c>
    </row>
    <row r="1252">
      <c r="A1252" s="5"/>
      <c r="B1252" s="5"/>
      <c r="C1252" s="4"/>
      <c r="D1252" s="4"/>
      <c r="E1252" s="5"/>
      <c r="F1252" s="4"/>
      <c r="G1252" s="6">
        <f>IF(AND(A1252="",B1252=""),"",IF(COUNTIFS($A$2:$A$2001,A1252,$B$2:$B$2001,B1252)&gt;1,"DUPLICADO","OK"))</f>
      </c>
      <c r="H1252" s="6">
        <f>IF(COUNTA(A1252:F1252)=0,"",IF(AND(A1252&lt;&gt;"",B1252&lt;&gt;"",E1252&lt;&gt;""),"OK","ERRO: faltam "&amp;IF(A1252="","Conta; ","")&amp;IF(B1252="","Oportunidade; ","")&amp;IF(E1252="","Novo gerente; ","")))</f>
      </c>
      <c r="I1252" s="6">
        <f>IF(COUNTA(A1252:F1252)=0,"",IF(AND(G1252="OK",H1252="OK"),"OK","REVISAR"))</f>
      </c>
    </row>
    <row r="1253">
      <c r="A1253" s="5"/>
      <c r="B1253" s="5"/>
      <c r="C1253" s="4"/>
      <c r="D1253" s="4"/>
      <c r="E1253" s="5"/>
      <c r="F1253" s="4"/>
      <c r="G1253" s="6">
        <f>IF(AND(A1253="",B1253=""),"",IF(COUNTIFS($A$2:$A$2001,A1253,$B$2:$B$2001,B1253)&gt;1,"DUPLICADO","OK"))</f>
      </c>
      <c r="H1253" s="6">
        <f>IF(COUNTA(A1253:F1253)=0,"",IF(AND(A1253&lt;&gt;"",B1253&lt;&gt;"",E1253&lt;&gt;""),"OK","ERRO: faltam "&amp;IF(A1253="","Conta; ","")&amp;IF(B1253="","Oportunidade; ","")&amp;IF(E1253="","Novo gerente; ","")))</f>
      </c>
      <c r="I1253" s="6">
        <f>IF(COUNTA(A1253:F1253)=0,"",IF(AND(G1253="OK",H1253="OK"),"OK","REVISAR"))</f>
      </c>
    </row>
    <row r="1254">
      <c r="A1254" s="5"/>
      <c r="B1254" s="5"/>
      <c r="C1254" s="4"/>
      <c r="D1254" s="4"/>
      <c r="E1254" s="5"/>
      <c r="F1254" s="4"/>
      <c r="G1254" s="6">
        <f>IF(AND(A1254="",B1254=""),"",IF(COUNTIFS($A$2:$A$2001,A1254,$B$2:$B$2001,B1254)&gt;1,"DUPLICADO","OK"))</f>
      </c>
      <c r="H1254" s="6">
        <f>IF(COUNTA(A1254:F1254)=0,"",IF(AND(A1254&lt;&gt;"",B1254&lt;&gt;"",E1254&lt;&gt;""),"OK","ERRO: faltam "&amp;IF(A1254="","Conta; ","")&amp;IF(B1254="","Oportunidade; ","")&amp;IF(E1254="","Novo gerente; ","")))</f>
      </c>
      <c r="I1254" s="6">
        <f>IF(COUNTA(A1254:F1254)=0,"",IF(AND(G1254="OK",H1254="OK"),"OK","REVISAR"))</f>
      </c>
    </row>
    <row r="1255">
      <c r="A1255" s="5"/>
      <c r="B1255" s="5"/>
      <c r="C1255" s="4"/>
      <c r="D1255" s="4"/>
      <c r="E1255" s="5"/>
      <c r="F1255" s="4"/>
      <c r="G1255" s="6">
        <f>IF(AND(A1255="",B1255=""),"",IF(COUNTIFS($A$2:$A$2001,A1255,$B$2:$B$2001,B1255)&gt;1,"DUPLICADO","OK"))</f>
      </c>
      <c r="H1255" s="6">
        <f>IF(COUNTA(A1255:F1255)=0,"",IF(AND(A1255&lt;&gt;"",B1255&lt;&gt;"",E1255&lt;&gt;""),"OK","ERRO: faltam "&amp;IF(A1255="","Conta; ","")&amp;IF(B1255="","Oportunidade; ","")&amp;IF(E1255="","Novo gerente; ","")))</f>
      </c>
      <c r="I1255" s="6">
        <f>IF(COUNTA(A1255:F1255)=0,"",IF(AND(G1255="OK",H1255="OK"),"OK","REVISAR"))</f>
      </c>
    </row>
    <row r="1256">
      <c r="A1256" s="5"/>
      <c r="B1256" s="5"/>
      <c r="C1256" s="4"/>
      <c r="D1256" s="4"/>
      <c r="E1256" s="5"/>
      <c r="F1256" s="4"/>
      <c r="G1256" s="6">
        <f>IF(AND(A1256="",B1256=""),"",IF(COUNTIFS($A$2:$A$2001,A1256,$B$2:$B$2001,B1256)&gt;1,"DUPLICADO","OK"))</f>
      </c>
      <c r="H1256" s="6">
        <f>IF(COUNTA(A1256:F1256)=0,"",IF(AND(A1256&lt;&gt;"",B1256&lt;&gt;"",E1256&lt;&gt;""),"OK","ERRO: faltam "&amp;IF(A1256="","Conta; ","")&amp;IF(B1256="","Oportunidade; ","")&amp;IF(E1256="","Novo gerente; ","")))</f>
      </c>
      <c r="I1256" s="6">
        <f>IF(COUNTA(A1256:F1256)=0,"",IF(AND(G1256="OK",H1256="OK"),"OK","REVISAR"))</f>
      </c>
    </row>
    <row r="1257">
      <c r="A1257" s="5"/>
      <c r="B1257" s="5"/>
      <c r="C1257" s="4"/>
      <c r="D1257" s="4"/>
      <c r="E1257" s="5"/>
      <c r="F1257" s="4"/>
      <c r="G1257" s="6">
        <f>IF(AND(A1257="",B1257=""),"",IF(COUNTIFS($A$2:$A$2001,A1257,$B$2:$B$2001,B1257)&gt;1,"DUPLICADO","OK"))</f>
      </c>
      <c r="H1257" s="6">
        <f>IF(COUNTA(A1257:F1257)=0,"",IF(AND(A1257&lt;&gt;"",B1257&lt;&gt;"",E1257&lt;&gt;""),"OK","ERRO: faltam "&amp;IF(A1257="","Conta; ","")&amp;IF(B1257="","Oportunidade; ","")&amp;IF(E1257="","Novo gerente; ","")))</f>
      </c>
      <c r="I1257" s="6">
        <f>IF(COUNTA(A1257:F1257)=0,"",IF(AND(G1257="OK",H1257="OK"),"OK","REVISAR"))</f>
      </c>
    </row>
    <row r="1258">
      <c r="A1258" s="5"/>
      <c r="B1258" s="5"/>
      <c r="C1258" s="4"/>
      <c r="D1258" s="4"/>
      <c r="E1258" s="5"/>
      <c r="F1258" s="4"/>
      <c r="G1258" s="6">
        <f>IF(AND(A1258="",B1258=""),"",IF(COUNTIFS($A$2:$A$2001,A1258,$B$2:$B$2001,B1258)&gt;1,"DUPLICADO","OK"))</f>
      </c>
      <c r="H1258" s="6">
        <f>IF(COUNTA(A1258:F1258)=0,"",IF(AND(A1258&lt;&gt;"",B1258&lt;&gt;"",E1258&lt;&gt;""),"OK","ERRO: faltam "&amp;IF(A1258="","Conta; ","")&amp;IF(B1258="","Oportunidade; ","")&amp;IF(E1258="","Novo gerente; ","")))</f>
      </c>
      <c r="I1258" s="6">
        <f>IF(COUNTA(A1258:F1258)=0,"",IF(AND(G1258="OK",H1258="OK"),"OK","REVISAR"))</f>
      </c>
    </row>
    <row r="1259">
      <c r="A1259" s="5"/>
      <c r="B1259" s="5"/>
      <c r="C1259" s="4"/>
      <c r="D1259" s="4"/>
      <c r="E1259" s="5"/>
      <c r="F1259" s="4"/>
      <c r="G1259" s="6">
        <f>IF(AND(A1259="",B1259=""),"",IF(COUNTIFS($A$2:$A$2001,A1259,$B$2:$B$2001,B1259)&gt;1,"DUPLICADO","OK"))</f>
      </c>
      <c r="H1259" s="6">
        <f>IF(COUNTA(A1259:F1259)=0,"",IF(AND(A1259&lt;&gt;"",B1259&lt;&gt;"",E1259&lt;&gt;""),"OK","ERRO: faltam "&amp;IF(A1259="","Conta; ","")&amp;IF(B1259="","Oportunidade; ","")&amp;IF(E1259="","Novo gerente; ","")))</f>
      </c>
      <c r="I1259" s="6">
        <f>IF(COUNTA(A1259:F1259)=0,"",IF(AND(G1259="OK",H1259="OK"),"OK","REVISAR"))</f>
      </c>
    </row>
    <row r="1260">
      <c r="A1260" s="5"/>
      <c r="B1260" s="5"/>
      <c r="C1260" s="4"/>
      <c r="D1260" s="4"/>
      <c r="E1260" s="5"/>
      <c r="F1260" s="4"/>
      <c r="G1260" s="6">
        <f>IF(AND(A1260="",B1260=""),"",IF(COUNTIFS($A$2:$A$2001,A1260,$B$2:$B$2001,B1260)&gt;1,"DUPLICADO","OK"))</f>
      </c>
      <c r="H1260" s="6">
        <f>IF(COUNTA(A1260:F1260)=0,"",IF(AND(A1260&lt;&gt;"",B1260&lt;&gt;"",E1260&lt;&gt;""),"OK","ERRO: faltam "&amp;IF(A1260="","Conta; ","")&amp;IF(B1260="","Oportunidade; ","")&amp;IF(E1260="","Novo gerente; ","")))</f>
      </c>
      <c r="I1260" s="6">
        <f>IF(COUNTA(A1260:F1260)=0,"",IF(AND(G1260="OK",H1260="OK"),"OK","REVISAR"))</f>
      </c>
    </row>
    <row r="1261">
      <c r="A1261" s="5"/>
      <c r="B1261" s="5"/>
      <c r="C1261" s="4"/>
      <c r="D1261" s="4"/>
      <c r="E1261" s="5"/>
      <c r="F1261" s="4"/>
      <c r="G1261" s="6">
        <f>IF(AND(A1261="",B1261=""),"",IF(COUNTIFS($A$2:$A$2001,A1261,$B$2:$B$2001,B1261)&gt;1,"DUPLICADO","OK"))</f>
      </c>
      <c r="H1261" s="6">
        <f>IF(COUNTA(A1261:F1261)=0,"",IF(AND(A1261&lt;&gt;"",B1261&lt;&gt;"",E1261&lt;&gt;""),"OK","ERRO: faltam "&amp;IF(A1261="","Conta; ","")&amp;IF(B1261="","Oportunidade; ","")&amp;IF(E1261="","Novo gerente; ","")))</f>
      </c>
      <c r="I1261" s="6">
        <f>IF(COUNTA(A1261:F1261)=0,"",IF(AND(G1261="OK",H1261="OK"),"OK","REVISAR"))</f>
      </c>
    </row>
    <row r="1262">
      <c r="A1262" s="5"/>
      <c r="B1262" s="5"/>
      <c r="C1262" s="4"/>
      <c r="D1262" s="4"/>
      <c r="E1262" s="5"/>
      <c r="F1262" s="4"/>
      <c r="G1262" s="6">
        <f>IF(AND(A1262="",B1262=""),"",IF(COUNTIFS($A$2:$A$2001,A1262,$B$2:$B$2001,B1262)&gt;1,"DUPLICADO","OK"))</f>
      </c>
      <c r="H1262" s="6">
        <f>IF(COUNTA(A1262:F1262)=0,"",IF(AND(A1262&lt;&gt;"",B1262&lt;&gt;"",E1262&lt;&gt;""),"OK","ERRO: faltam "&amp;IF(A1262="","Conta; ","")&amp;IF(B1262="","Oportunidade; ","")&amp;IF(E1262="","Novo gerente; ","")))</f>
      </c>
      <c r="I1262" s="6">
        <f>IF(COUNTA(A1262:F1262)=0,"",IF(AND(G1262="OK",H1262="OK"),"OK","REVISAR"))</f>
      </c>
    </row>
    <row r="1263">
      <c r="A1263" s="5"/>
      <c r="B1263" s="5"/>
      <c r="C1263" s="4"/>
      <c r="D1263" s="4"/>
      <c r="E1263" s="5"/>
      <c r="F1263" s="4"/>
      <c r="G1263" s="6">
        <f>IF(AND(A1263="",B1263=""),"",IF(COUNTIFS($A$2:$A$2001,A1263,$B$2:$B$2001,B1263)&gt;1,"DUPLICADO","OK"))</f>
      </c>
      <c r="H1263" s="6">
        <f>IF(COUNTA(A1263:F1263)=0,"",IF(AND(A1263&lt;&gt;"",B1263&lt;&gt;"",E1263&lt;&gt;""),"OK","ERRO: faltam "&amp;IF(A1263="","Conta; ","")&amp;IF(B1263="","Oportunidade; ","")&amp;IF(E1263="","Novo gerente; ","")))</f>
      </c>
      <c r="I1263" s="6">
        <f>IF(COUNTA(A1263:F1263)=0,"",IF(AND(G1263="OK",H1263="OK"),"OK","REVISAR"))</f>
      </c>
    </row>
    <row r="1264">
      <c r="A1264" s="5"/>
      <c r="B1264" s="5"/>
      <c r="C1264" s="4"/>
      <c r="D1264" s="4"/>
      <c r="E1264" s="5"/>
      <c r="F1264" s="4"/>
      <c r="G1264" s="6">
        <f>IF(AND(A1264="",B1264=""),"",IF(COUNTIFS($A$2:$A$2001,A1264,$B$2:$B$2001,B1264)&gt;1,"DUPLICADO","OK"))</f>
      </c>
      <c r="H1264" s="6">
        <f>IF(COUNTA(A1264:F1264)=0,"",IF(AND(A1264&lt;&gt;"",B1264&lt;&gt;"",E1264&lt;&gt;""),"OK","ERRO: faltam "&amp;IF(A1264="","Conta; ","")&amp;IF(B1264="","Oportunidade; ","")&amp;IF(E1264="","Novo gerente; ","")))</f>
      </c>
      <c r="I1264" s="6">
        <f>IF(COUNTA(A1264:F1264)=0,"",IF(AND(G1264="OK",H1264="OK"),"OK","REVISAR"))</f>
      </c>
    </row>
    <row r="1265">
      <c r="A1265" s="5"/>
      <c r="B1265" s="5"/>
      <c r="C1265" s="4"/>
      <c r="D1265" s="4"/>
      <c r="E1265" s="5"/>
      <c r="F1265" s="4"/>
      <c r="G1265" s="6">
        <f>IF(AND(A1265="",B1265=""),"",IF(COUNTIFS($A$2:$A$2001,A1265,$B$2:$B$2001,B1265)&gt;1,"DUPLICADO","OK"))</f>
      </c>
      <c r="H1265" s="6">
        <f>IF(COUNTA(A1265:F1265)=0,"",IF(AND(A1265&lt;&gt;"",B1265&lt;&gt;"",E1265&lt;&gt;""),"OK","ERRO: faltam "&amp;IF(A1265="","Conta; ","")&amp;IF(B1265="","Oportunidade; ","")&amp;IF(E1265="","Novo gerente; ","")))</f>
      </c>
      <c r="I1265" s="6">
        <f>IF(COUNTA(A1265:F1265)=0,"",IF(AND(G1265="OK",H1265="OK"),"OK","REVISAR"))</f>
      </c>
    </row>
    <row r="1266">
      <c r="A1266" s="5"/>
      <c r="B1266" s="5"/>
      <c r="C1266" s="4"/>
      <c r="D1266" s="4"/>
      <c r="E1266" s="5"/>
      <c r="F1266" s="4"/>
      <c r="G1266" s="6">
        <f>IF(AND(A1266="",B1266=""),"",IF(COUNTIFS($A$2:$A$2001,A1266,$B$2:$B$2001,B1266)&gt;1,"DUPLICADO","OK"))</f>
      </c>
      <c r="H1266" s="6">
        <f>IF(COUNTA(A1266:F1266)=0,"",IF(AND(A1266&lt;&gt;"",B1266&lt;&gt;"",E1266&lt;&gt;""),"OK","ERRO: faltam "&amp;IF(A1266="","Conta; ","")&amp;IF(B1266="","Oportunidade; ","")&amp;IF(E1266="","Novo gerente; ","")))</f>
      </c>
      <c r="I1266" s="6">
        <f>IF(COUNTA(A1266:F1266)=0,"",IF(AND(G1266="OK",H1266="OK"),"OK","REVISAR"))</f>
      </c>
    </row>
    <row r="1267">
      <c r="A1267" s="5"/>
      <c r="B1267" s="5"/>
      <c r="C1267" s="4"/>
      <c r="D1267" s="4"/>
      <c r="E1267" s="5"/>
      <c r="F1267" s="4"/>
      <c r="G1267" s="6">
        <f>IF(AND(A1267="",B1267=""),"",IF(COUNTIFS($A$2:$A$2001,A1267,$B$2:$B$2001,B1267)&gt;1,"DUPLICADO","OK"))</f>
      </c>
      <c r="H1267" s="6">
        <f>IF(COUNTA(A1267:F1267)=0,"",IF(AND(A1267&lt;&gt;"",B1267&lt;&gt;"",E1267&lt;&gt;""),"OK","ERRO: faltam "&amp;IF(A1267="","Conta; ","")&amp;IF(B1267="","Oportunidade; ","")&amp;IF(E1267="","Novo gerente; ","")))</f>
      </c>
      <c r="I1267" s="6">
        <f>IF(COUNTA(A1267:F1267)=0,"",IF(AND(G1267="OK",H1267="OK"),"OK","REVISAR"))</f>
      </c>
    </row>
    <row r="1268">
      <c r="A1268" s="5"/>
      <c r="B1268" s="5"/>
      <c r="C1268" s="4"/>
      <c r="D1268" s="4"/>
      <c r="E1268" s="5"/>
      <c r="F1268" s="4"/>
      <c r="G1268" s="6">
        <f>IF(AND(A1268="",B1268=""),"",IF(COUNTIFS($A$2:$A$2001,A1268,$B$2:$B$2001,B1268)&gt;1,"DUPLICADO","OK"))</f>
      </c>
      <c r="H1268" s="6">
        <f>IF(COUNTA(A1268:F1268)=0,"",IF(AND(A1268&lt;&gt;"",B1268&lt;&gt;"",E1268&lt;&gt;""),"OK","ERRO: faltam "&amp;IF(A1268="","Conta; ","")&amp;IF(B1268="","Oportunidade; ","")&amp;IF(E1268="","Novo gerente; ","")))</f>
      </c>
      <c r="I1268" s="6">
        <f>IF(COUNTA(A1268:F1268)=0,"",IF(AND(G1268="OK",H1268="OK"),"OK","REVISAR"))</f>
      </c>
    </row>
    <row r="1269">
      <c r="A1269" s="5"/>
      <c r="B1269" s="5"/>
      <c r="C1269" s="4"/>
      <c r="D1269" s="4"/>
      <c r="E1269" s="5"/>
      <c r="F1269" s="4"/>
      <c r="G1269" s="6">
        <f>IF(AND(A1269="",B1269=""),"",IF(COUNTIFS($A$2:$A$2001,A1269,$B$2:$B$2001,B1269)&gt;1,"DUPLICADO","OK"))</f>
      </c>
      <c r="H1269" s="6">
        <f>IF(COUNTA(A1269:F1269)=0,"",IF(AND(A1269&lt;&gt;"",B1269&lt;&gt;"",E1269&lt;&gt;""),"OK","ERRO: faltam "&amp;IF(A1269="","Conta; ","")&amp;IF(B1269="","Oportunidade; ","")&amp;IF(E1269="","Novo gerente; ","")))</f>
      </c>
      <c r="I1269" s="6">
        <f>IF(COUNTA(A1269:F1269)=0,"",IF(AND(G1269="OK",H1269="OK"),"OK","REVISAR"))</f>
      </c>
    </row>
    <row r="1270">
      <c r="A1270" s="5"/>
      <c r="B1270" s="5"/>
      <c r="C1270" s="4"/>
      <c r="D1270" s="4"/>
      <c r="E1270" s="5"/>
      <c r="F1270" s="4"/>
      <c r="G1270" s="6">
        <f>IF(AND(A1270="",B1270=""),"",IF(COUNTIFS($A$2:$A$2001,A1270,$B$2:$B$2001,B1270)&gt;1,"DUPLICADO","OK"))</f>
      </c>
      <c r="H1270" s="6">
        <f>IF(COUNTA(A1270:F1270)=0,"",IF(AND(A1270&lt;&gt;"",B1270&lt;&gt;"",E1270&lt;&gt;""),"OK","ERRO: faltam "&amp;IF(A1270="","Conta; ","")&amp;IF(B1270="","Oportunidade; ","")&amp;IF(E1270="","Novo gerente; ","")))</f>
      </c>
      <c r="I1270" s="6">
        <f>IF(COUNTA(A1270:F1270)=0,"",IF(AND(G1270="OK",H1270="OK"),"OK","REVISAR"))</f>
      </c>
    </row>
    <row r="1271">
      <c r="A1271" s="5"/>
      <c r="B1271" s="5"/>
      <c r="C1271" s="4"/>
      <c r="D1271" s="4"/>
      <c r="E1271" s="5"/>
      <c r="F1271" s="4"/>
      <c r="G1271" s="6">
        <f>IF(AND(A1271="",B1271=""),"",IF(COUNTIFS($A$2:$A$2001,A1271,$B$2:$B$2001,B1271)&gt;1,"DUPLICADO","OK"))</f>
      </c>
      <c r="H1271" s="6">
        <f>IF(COUNTA(A1271:F1271)=0,"",IF(AND(A1271&lt;&gt;"",B1271&lt;&gt;"",E1271&lt;&gt;""),"OK","ERRO: faltam "&amp;IF(A1271="","Conta; ","")&amp;IF(B1271="","Oportunidade; ","")&amp;IF(E1271="","Novo gerente; ","")))</f>
      </c>
      <c r="I1271" s="6">
        <f>IF(COUNTA(A1271:F1271)=0,"",IF(AND(G1271="OK",H1271="OK"),"OK","REVISAR"))</f>
      </c>
    </row>
    <row r="1272">
      <c r="A1272" s="5"/>
      <c r="B1272" s="5"/>
      <c r="C1272" s="4"/>
      <c r="D1272" s="4"/>
      <c r="E1272" s="5"/>
      <c r="F1272" s="4"/>
      <c r="G1272" s="6">
        <f>IF(AND(A1272="",B1272=""),"",IF(COUNTIFS($A$2:$A$2001,A1272,$B$2:$B$2001,B1272)&gt;1,"DUPLICADO","OK"))</f>
      </c>
      <c r="H1272" s="6">
        <f>IF(COUNTA(A1272:F1272)=0,"",IF(AND(A1272&lt;&gt;"",B1272&lt;&gt;"",E1272&lt;&gt;""),"OK","ERRO: faltam "&amp;IF(A1272="","Conta; ","")&amp;IF(B1272="","Oportunidade; ","")&amp;IF(E1272="","Novo gerente; ","")))</f>
      </c>
      <c r="I1272" s="6">
        <f>IF(COUNTA(A1272:F1272)=0,"",IF(AND(G1272="OK",H1272="OK"),"OK","REVISAR"))</f>
      </c>
    </row>
    <row r="1273">
      <c r="A1273" s="5"/>
      <c r="B1273" s="5"/>
      <c r="C1273" s="4"/>
      <c r="D1273" s="4"/>
      <c r="E1273" s="5"/>
      <c r="F1273" s="4"/>
      <c r="G1273" s="6">
        <f>IF(AND(A1273="",B1273=""),"",IF(COUNTIFS($A$2:$A$2001,A1273,$B$2:$B$2001,B1273)&gt;1,"DUPLICADO","OK"))</f>
      </c>
      <c r="H1273" s="6">
        <f>IF(COUNTA(A1273:F1273)=0,"",IF(AND(A1273&lt;&gt;"",B1273&lt;&gt;"",E1273&lt;&gt;""),"OK","ERRO: faltam "&amp;IF(A1273="","Conta; ","")&amp;IF(B1273="","Oportunidade; ","")&amp;IF(E1273="","Novo gerente; ","")))</f>
      </c>
      <c r="I1273" s="6">
        <f>IF(COUNTA(A1273:F1273)=0,"",IF(AND(G1273="OK",H1273="OK"),"OK","REVISAR"))</f>
      </c>
    </row>
    <row r="1274">
      <c r="A1274" s="5"/>
      <c r="B1274" s="5"/>
      <c r="C1274" s="4"/>
      <c r="D1274" s="4"/>
      <c r="E1274" s="5"/>
      <c r="F1274" s="4"/>
      <c r="G1274" s="6">
        <f>IF(AND(A1274="",B1274=""),"",IF(COUNTIFS($A$2:$A$2001,A1274,$B$2:$B$2001,B1274)&gt;1,"DUPLICADO","OK"))</f>
      </c>
      <c r="H1274" s="6">
        <f>IF(COUNTA(A1274:F1274)=0,"",IF(AND(A1274&lt;&gt;"",B1274&lt;&gt;"",E1274&lt;&gt;""),"OK","ERRO: faltam "&amp;IF(A1274="","Conta; ","")&amp;IF(B1274="","Oportunidade; ","")&amp;IF(E1274="","Novo gerente; ","")))</f>
      </c>
      <c r="I1274" s="6">
        <f>IF(COUNTA(A1274:F1274)=0,"",IF(AND(G1274="OK",H1274="OK"),"OK","REVISAR"))</f>
      </c>
    </row>
    <row r="1275">
      <c r="A1275" s="5"/>
      <c r="B1275" s="5"/>
      <c r="C1275" s="4"/>
      <c r="D1275" s="4"/>
      <c r="E1275" s="5"/>
      <c r="F1275" s="4"/>
      <c r="G1275" s="6">
        <f>IF(AND(A1275="",B1275=""),"",IF(COUNTIFS($A$2:$A$2001,A1275,$B$2:$B$2001,B1275)&gt;1,"DUPLICADO","OK"))</f>
      </c>
      <c r="H1275" s="6">
        <f>IF(COUNTA(A1275:F1275)=0,"",IF(AND(A1275&lt;&gt;"",B1275&lt;&gt;"",E1275&lt;&gt;""),"OK","ERRO: faltam "&amp;IF(A1275="","Conta; ","")&amp;IF(B1275="","Oportunidade; ","")&amp;IF(E1275="","Novo gerente; ","")))</f>
      </c>
      <c r="I1275" s="6">
        <f>IF(COUNTA(A1275:F1275)=0,"",IF(AND(G1275="OK",H1275="OK"),"OK","REVISAR"))</f>
      </c>
    </row>
    <row r="1276">
      <c r="A1276" s="5"/>
      <c r="B1276" s="5"/>
      <c r="C1276" s="4"/>
      <c r="D1276" s="4"/>
      <c r="E1276" s="5"/>
      <c r="F1276" s="4"/>
      <c r="G1276" s="6">
        <f>IF(AND(A1276="",B1276=""),"",IF(COUNTIFS($A$2:$A$2001,A1276,$B$2:$B$2001,B1276)&gt;1,"DUPLICADO","OK"))</f>
      </c>
      <c r="H1276" s="6">
        <f>IF(COUNTA(A1276:F1276)=0,"",IF(AND(A1276&lt;&gt;"",B1276&lt;&gt;"",E1276&lt;&gt;""),"OK","ERRO: faltam "&amp;IF(A1276="","Conta; ","")&amp;IF(B1276="","Oportunidade; ","")&amp;IF(E1276="","Novo gerente; ","")))</f>
      </c>
      <c r="I1276" s="6">
        <f>IF(COUNTA(A1276:F1276)=0,"",IF(AND(G1276="OK",H1276="OK"),"OK","REVISAR"))</f>
      </c>
    </row>
    <row r="1277">
      <c r="A1277" s="5"/>
      <c r="B1277" s="5"/>
      <c r="C1277" s="4"/>
      <c r="D1277" s="4"/>
      <c r="E1277" s="5"/>
      <c r="F1277" s="4"/>
      <c r="G1277" s="6">
        <f>IF(AND(A1277="",B1277=""),"",IF(COUNTIFS($A$2:$A$2001,A1277,$B$2:$B$2001,B1277)&gt;1,"DUPLICADO","OK"))</f>
      </c>
      <c r="H1277" s="6">
        <f>IF(COUNTA(A1277:F1277)=0,"",IF(AND(A1277&lt;&gt;"",B1277&lt;&gt;"",E1277&lt;&gt;""),"OK","ERRO: faltam "&amp;IF(A1277="","Conta; ","")&amp;IF(B1277="","Oportunidade; ","")&amp;IF(E1277="","Novo gerente; ","")))</f>
      </c>
      <c r="I1277" s="6">
        <f>IF(COUNTA(A1277:F1277)=0,"",IF(AND(G1277="OK",H1277="OK"),"OK","REVISAR"))</f>
      </c>
    </row>
    <row r="1278">
      <c r="A1278" s="5"/>
      <c r="B1278" s="5"/>
      <c r="C1278" s="4"/>
      <c r="D1278" s="4"/>
      <c r="E1278" s="5"/>
      <c r="F1278" s="4"/>
      <c r="G1278" s="6">
        <f>IF(AND(A1278="",B1278=""),"",IF(COUNTIFS($A$2:$A$2001,A1278,$B$2:$B$2001,B1278)&gt;1,"DUPLICADO","OK"))</f>
      </c>
      <c r="H1278" s="6">
        <f>IF(COUNTA(A1278:F1278)=0,"",IF(AND(A1278&lt;&gt;"",B1278&lt;&gt;"",E1278&lt;&gt;""),"OK","ERRO: faltam "&amp;IF(A1278="","Conta; ","")&amp;IF(B1278="","Oportunidade; ","")&amp;IF(E1278="","Novo gerente; ","")))</f>
      </c>
      <c r="I1278" s="6">
        <f>IF(COUNTA(A1278:F1278)=0,"",IF(AND(G1278="OK",H1278="OK"),"OK","REVISAR"))</f>
      </c>
    </row>
    <row r="1279">
      <c r="A1279" s="5"/>
      <c r="B1279" s="5"/>
      <c r="C1279" s="4"/>
      <c r="D1279" s="4"/>
      <c r="E1279" s="5"/>
      <c r="F1279" s="4"/>
      <c r="G1279" s="6">
        <f>IF(AND(A1279="",B1279=""),"",IF(COUNTIFS($A$2:$A$2001,A1279,$B$2:$B$2001,B1279)&gt;1,"DUPLICADO","OK"))</f>
      </c>
      <c r="H1279" s="6">
        <f>IF(COUNTA(A1279:F1279)=0,"",IF(AND(A1279&lt;&gt;"",B1279&lt;&gt;"",E1279&lt;&gt;""),"OK","ERRO: faltam "&amp;IF(A1279="","Conta; ","")&amp;IF(B1279="","Oportunidade; ","")&amp;IF(E1279="","Novo gerente; ","")))</f>
      </c>
      <c r="I1279" s="6">
        <f>IF(COUNTA(A1279:F1279)=0,"",IF(AND(G1279="OK",H1279="OK"),"OK","REVISAR"))</f>
      </c>
    </row>
    <row r="1280">
      <c r="A1280" s="5"/>
      <c r="B1280" s="5"/>
      <c r="C1280" s="4"/>
      <c r="D1280" s="4"/>
      <c r="E1280" s="5"/>
      <c r="F1280" s="4"/>
      <c r="G1280" s="6">
        <f>IF(AND(A1280="",B1280=""),"",IF(COUNTIFS($A$2:$A$2001,A1280,$B$2:$B$2001,B1280)&gt;1,"DUPLICADO","OK"))</f>
      </c>
      <c r="H1280" s="6">
        <f>IF(COUNTA(A1280:F1280)=0,"",IF(AND(A1280&lt;&gt;"",B1280&lt;&gt;"",E1280&lt;&gt;""),"OK","ERRO: faltam "&amp;IF(A1280="","Conta; ","")&amp;IF(B1280="","Oportunidade; ","")&amp;IF(E1280="","Novo gerente; ","")))</f>
      </c>
      <c r="I1280" s="6">
        <f>IF(COUNTA(A1280:F1280)=0,"",IF(AND(G1280="OK",H1280="OK"),"OK","REVISAR"))</f>
      </c>
    </row>
    <row r="1281">
      <c r="A1281" s="5"/>
      <c r="B1281" s="5"/>
      <c r="C1281" s="4"/>
      <c r="D1281" s="4"/>
      <c r="E1281" s="5"/>
      <c r="F1281" s="4"/>
      <c r="G1281" s="6">
        <f>IF(AND(A1281="",B1281=""),"",IF(COUNTIFS($A$2:$A$2001,A1281,$B$2:$B$2001,B1281)&gt;1,"DUPLICADO","OK"))</f>
      </c>
      <c r="H1281" s="6">
        <f>IF(COUNTA(A1281:F1281)=0,"",IF(AND(A1281&lt;&gt;"",B1281&lt;&gt;"",E1281&lt;&gt;""),"OK","ERRO: faltam "&amp;IF(A1281="","Conta; ","")&amp;IF(B1281="","Oportunidade; ","")&amp;IF(E1281="","Novo gerente; ","")))</f>
      </c>
      <c r="I1281" s="6">
        <f>IF(COUNTA(A1281:F1281)=0,"",IF(AND(G1281="OK",H1281="OK"),"OK","REVISAR"))</f>
      </c>
    </row>
    <row r="1282">
      <c r="A1282" s="5"/>
      <c r="B1282" s="5"/>
      <c r="C1282" s="4"/>
      <c r="D1282" s="4"/>
      <c r="E1282" s="5"/>
      <c r="F1282" s="4"/>
      <c r="G1282" s="6">
        <f>IF(AND(A1282="",B1282=""),"",IF(COUNTIFS($A$2:$A$2001,A1282,$B$2:$B$2001,B1282)&gt;1,"DUPLICADO","OK"))</f>
      </c>
      <c r="H1282" s="6">
        <f>IF(COUNTA(A1282:F1282)=0,"",IF(AND(A1282&lt;&gt;"",B1282&lt;&gt;"",E1282&lt;&gt;""),"OK","ERRO: faltam "&amp;IF(A1282="","Conta; ","")&amp;IF(B1282="","Oportunidade; ","")&amp;IF(E1282="","Novo gerente; ","")))</f>
      </c>
      <c r="I1282" s="6">
        <f>IF(COUNTA(A1282:F1282)=0,"",IF(AND(G1282="OK",H1282="OK"),"OK","REVISAR"))</f>
      </c>
    </row>
    <row r="1283">
      <c r="A1283" s="5"/>
      <c r="B1283" s="5"/>
      <c r="C1283" s="4"/>
      <c r="D1283" s="4"/>
      <c r="E1283" s="5"/>
      <c r="F1283" s="4"/>
      <c r="G1283" s="6">
        <f>IF(AND(A1283="",B1283=""),"",IF(COUNTIFS($A$2:$A$2001,A1283,$B$2:$B$2001,B1283)&gt;1,"DUPLICADO","OK"))</f>
      </c>
      <c r="H1283" s="6">
        <f>IF(COUNTA(A1283:F1283)=0,"",IF(AND(A1283&lt;&gt;"",B1283&lt;&gt;"",E1283&lt;&gt;""),"OK","ERRO: faltam "&amp;IF(A1283="","Conta; ","")&amp;IF(B1283="","Oportunidade; ","")&amp;IF(E1283="","Novo gerente; ","")))</f>
      </c>
      <c r="I1283" s="6">
        <f>IF(COUNTA(A1283:F1283)=0,"",IF(AND(G1283="OK",H1283="OK"),"OK","REVISAR"))</f>
      </c>
    </row>
    <row r="1284">
      <c r="A1284" s="5"/>
      <c r="B1284" s="5"/>
      <c r="C1284" s="4"/>
      <c r="D1284" s="4"/>
      <c r="E1284" s="5"/>
      <c r="F1284" s="4"/>
      <c r="G1284" s="6">
        <f>IF(AND(A1284="",B1284=""),"",IF(COUNTIFS($A$2:$A$2001,A1284,$B$2:$B$2001,B1284)&gt;1,"DUPLICADO","OK"))</f>
      </c>
      <c r="H1284" s="6">
        <f>IF(COUNTA(A1284:F1284)=0,"",IF(AND(A1284&lt;&gt;"",B1284&lt;&gt;"",E1284&lt;&gt;""),"OK","ERRO: faltam "&amp;IF(A1284="","Conta; ","")&amp;IF(B1284="","Oportunidade; ","")&amp;IF(E1284="","Novo gerente; ","")))</f>
      </c>
      <c r="I1284" s="6">
        <f>IF(COUNTA(A1284:F1284)=0,"",IF(AND(G1284="OK",H1284="OK"),"OK","REVISAR"))</f>
      </c>
    </row>
    <row r="1285">
      <c r="A1285" s="5"/>
      <c r="B1285" s="5"/>
      <c r="C1285" s="4"/>
      <c r="D1285" s="4"/>
      <c r="E1285" s="5"/>
      <c r="F1285" s="4"/>
      <c r="G1285" s="6">
        <f>IF(AND(A1285="",B1285=""),"",IF(COUNTIFS($A$2:$A$2001,A1285,$B$2:$B$2001,B1285)&gt;1,"DUPLICADO","OK"))</f>
      </c>
      <c r="H1285" s="6">
        <f>IF(COUNTA(A1285:F1285)=0,"",IF(AND(A1285&lt;&gt;"",B1285&lt;&gt;"",E1285&lt;&gt;""),"OK","ERRO: faltam "&amp;IF(A1285="","Conta; ","")&amp;IF(B1285="","Oportunidade; ","")&amp;IF(E1285="","Novo gerente; ","")))</f>
      </c>
      <c r="I1285" s="6">
        <f>IF(COUNTA(A1285:F1285)=0,"",IF(AND(G1285="OK",H1285="OK"),"OK","REVISAR"))</f>
      </c>
    </row>
    <row r="1286">
      <c r="A1286" s="5"/>
      <c r="B1286" s="5"/>
      <c r="C1286" s="4"/>
      <c r="D1286" s="4"/>
      <c r="E1286" s="5"/>
      <c r="F1286" s="4"/>
      <c r="G1286" s="6">
        <f>IF(AND(A1286="",B1286=""),"",IF(COUNTIFS($A$2:$A$2001,A1286,$B$2:$B$2001,B1286)&gt;1,"DUPLICADO","OK"))</f>
      </c>
      <c r="H1286" s="6">
        <f>IF(COUNTA(A1286:F1286)=0,"",IF(AND(A1286&lt;&gt;"",B1286&lt;&gt;"",E1286&lt;&gt;""),"OK","ERRO: faltam "&amp;IF(A1286="","Conta; ","")&amp;IF(B1286="","Oportunidade; ","")&amp;IF(E1286="","Novo gerente; ","")))</f>
      </c>
      <c r="I1286" s="6">
        <f>IF(COUNTA(A1286:F1286)=0,"",IF(AND(G1286="OK",H1286="OK"),"OK","REVISAR"))</f>
      </c>
    </row>
    <row r="1287">
      <c r="A1287" s="5"/>
      <c r="B1287" s="5"/>
      <c r="C1287" s="4"/>
      <c r="D1287" s="4"/>
      <c r="E1287" s="5"/>
      <c r="F1287" s="4"/>
      <c r="G1287" s="6">
        <f>IF(AND(A1287="",B1287=""),"",IF(COUNTIFS($A$2:$A$2001,A1287,$B$2:$B$2001,B1287)&gt;1,"DUPLICADO","OK"))</f>
      </c>
      <c r="H1287" s="6">
        <f>IF(COUNTA(A1287:F1287)=0,"",IF(AND(A1287&lt;&gt;"",B1287&lt;&gt;"",E1287&lt;&gt;""),"OK","ERRO: faltam "&amp;IF(A1287="","Conta; ","")&amp;IF(B1287="","Oportunidade; ","")&amp;IF(E1287="","Novo gerente; ","")))</f>
      </c>
      <c r="I1287" s="6">
        <f>IF(COUNTA(A1287:F1287)=0,"",IF(AND(G1287="OK",H1287="OK"),"OK","REVISAR"))</f>
      </c>
    </row>
    <row r="1288">
      <c r="A1288" s="5"/>
      <c r="B1288" s="5"/>
      <c r="C1288" s="4"/>
      <c r="D1288" s="4"/>
      <c r="E1288" s="5"/>
      <c r="F1288" s="4"/>
      <c r="G1288" s="6">
        <f>IF(AND(A1288="",B1288=""),"",IF(COUNTIFS($A$2:$A$2001,A1288,$B$2:$B$2001,B1288)&gt;1,"DUPLICADO","OK"))</f>
      </c>
      <c r="H1288" s="6">
        <f>IF(COUNTA(A1288:F1288)=0,"",IF(AND(A1288&lt;&gt;"",B1288&lt;&gt;"",E1288&lt;&gt;""),"OK","ERRO: faltam "&amp;IF(A1288="","Conta; ","")&amp;IF(B1288="","Oportunidade; ","")&amp;IF(E1288="","Novo gerente; ","")))</f>
      </c>
      <c r="I1288" s="6">
        <f>IF(COUNTA(A1288:F1288)=0,"",IF(AND(G1288="OK",H1288="OK"),"OK","REVISAR"))</f>
      </c>
    </row>
    <row r="1289">
      <c r="A1289" s="5"/>
      <c r="B1289" s="5"/>
      <c r="C1289" s="4"/>
      <c r="D1289" s="4"/>
      <c r="E1289" s="5"/>
      <c r="F1289" s="4"/>
      <c r="G1289" s="6">
        <f>IF(AND(A1289="",B1289=""),"",IF(COUNTIFS($A$2:$A$2001,A1289,$B$2:$B$2001,B1289)&gt;1,"DUPLICADO","OK"))</f>
      </c>
      <c r="H1289" s="6">
        <f>IF(COUNTA(A1289:F1289)=0,"",IF(AND(A1289&lt;&gt;"",B1289&lt;&gt;"",E1289&lt;&gt;""),"OK","ERRO: faltam "&amp;IF(A1289="","Conta; ","")&amp;IF(B1289="","Oportunidade; ","")&amp;IF(E1289="","Novo gerente; ","")))</f>
      </c>
      <c r="I1289" s="6">
        <f>IF(COUNTA(A1289:F1289)=0,"",IF(AND(G1289="OK",H1289="OK"),"OK","REVISAR"))</f>
      </c>
    </row>
    <row r="1290">
      <c r="A1290" s="5"/>
      <c r="B1290" s="5"/>
      <c r="C1290" s="4"/>
      <c r="D1290" s="4"/>
      <c r="E1290" s="5"/>
      <c r="F1290" s="4"/>
      <c r="G1290" s="6">
        <f>IF(AND(A1290="",B1290=""),"",IF(COUNTIFS($A$2:$A$2001,A1290,$B$2:$B$2001,B1290)&gt;1,"DUPLICADO","OK"))</f>
      </c>
      <c r="H1290" s="6">
        <f>IF(COUNTA(A1290:F1290)=0,"",IF(AND(A1290&lt;&gt;"",B1290&lt;&gt;"",E1290&lt;&gt;""),"OK","ERRO: faltam "&amp;IF(A1290="","Conta; ","")&amp;IF(B1290="","Oportunidade; ","")&amp;IF(E1290="","Novo gerente; ","")))</f>
      </c>
      <c r="I1290" s="6">
        <f>IF(COUNTA(A1290:F1290)=0,"",IF(AND(G1290="OK",H1290="OK"),"OK","REVISAR"))</f>
      </c>
    </row>
    <row r="1291">
      <c r="A1291" s="5"/>
      <c r="B1291" s="5"/>
      <c r="C1291" s="4"/>
      <c r="D1291" s="4"/>
      <c r="E1291" s="5"/>
      <c r="F1291" s="4"/>
      <c r="G1291" s="6">
        <f>IF(AND(A1291="",B1291=""),"",IF(COUNTIFS($A$2:$A$2001,A1291,$B$2:$B$2001,B1291)&gt;1,"DUPLICADO","OK"))</f>
      </c>
      <c r="H1291" s="6">
        <f>IF(COUNTA(A1291:F1291)=0,"",IF(AND(A1291&lt;&gt;"",B1291&lt;&gt;"",E1291&lt;&gt;""),"OK","ERRO: faltam "&amp;IF(A1291="","Conta; ","")&amp;IF(B1291="","Oportunidade; ","")&amp;IF(E1291="","Novo gerente; ","")))</f>
      </c>
      <c r="I1291" s="6">
        <f>IF(COUNTA(A1291:F1291)=0,"",IF(AND(G1291="OK",H1291="OK"),"OK","REVISAR"))</f>
      </c>
    </row>
    <row r="1292">
      <c r="A1292" s="5"/>
      <c r="B1292" s="5"/>
      <c r="C1292" s="4"/>
      <c r="D1292" s="4"/>
      <c r="E1292" s="5"/>
      <c r="F1292" s="4"/>
      <c r="G1292" s="6">
        <f>IF(AND(A1292="",B1292=""),"",IF(COUNTIFS($A$2:$A$2001,A1292,$B$2:$B$2001,B1292)&gt;1,"DUPLICADO","OK"))</f>
      </c>
      <c r="H1292" s="6">
        <f>IF(COUNTA(A1292:F1292)=0,"",IF(AND(A1292&lt;&gt;"",B1292&lt;&gt;"",E1292&lt;&gt;""),"OK","ERRO: faltam "&amp;IF(A1292="","Conta; ","")&amp;IF(B1292="","Oportunidade; ","")&amp;IF(E1292="","Novo gerente; ","")))</f>
      </c>
      <c r="I1292" s="6">
        <f>IF(COUNTA(A1292:F1292)=0,"",IF(AND(G1292="OK",H1292="OK"),"OK","REVISAR"))</f>
      </c>
    </row>
    <row r="1293">
      <c r="A1293" s="5"/>
      <c r="B1293" s="5"/>
      <c r="C1293" s="4"/>
      <c r="D1293" s="4"/>
      <c r="E1293" s="5"/>
      <c r="F1293" s="4"/>
      <c r="G1293" s="6">
        <f>IF(AND(A1293="",B1293=""),"",IF(COUNTIFS($A$2:$A$2001,A1293,$B$2:$B$2001,B1293)&gt;1,"DUPLICADO","OK"))</f>
      </c>
      <c r="H1293" s="6">
        <f>IF(COUNTA(A1293:F1293)=0,"",IF(AND(A1293&lt;&gt;"",B1293&lt;&gt;"",E1293&lt;&gt;""),"OK","ERRO: faltam "&amp;IF(A1293="","Conta; ","")&amp;IF(B1293="","Oportunidade; ","")&amp;IF(E1293="","Novo gerente; ","")))</f>
      </c>
      <c r="I1293" s="6">
        <f>IF(COUNTA(A1293:F1293)=0,"",IF(AND(G1293="OK",H1293="OK"),"OK","REVISAR"))</f>
      </c>
    </row>
    <row r="1294">
      <c r="A1294" s="5"/>
      <c r="B1294" s="5"/>
      <c r="C1294" s="4"/>
      <c r="D1294" s="4"/>
      <c r="E1294" s="5"/>
      <c r="F1294" s="4"/>
      <c r="G1294" s="6">
        <f>IF(AND(A1294="",B1294=""),"",IF(COUNTIFS($A$2:$A$2001,A1294,$B$2:$B$2001,B1294)&gt;1,"DUPLICADO","OK"))</f>
      </c>
      <c r="H1294" s="6">
        <f>IF(COUNTA(A1294:F1294)=0,"",IF(AND(A1294&lt;&gt;"",B1294&lt;&gt;"",E1294&lt;&gt;""),"OK","ERRO: faltam "&amp;IF(A1294="","Conta; ","")&amp;IF(B1294="","Oportunidade; ","")&amp;IF(E1294="","Novo gerente; ","")))</f>
      </c>
      <c r="I1294" s="6">
        <f>IF(COUNTA(A1294:F1294)=0,"",IF(AND(G1294="OK",H1294="OK"),"OK","REVISAR"))</f>
      </c>
    </row>
    <row r="1295">
      <c r="A1295" s="5"/>
      <c r="B1295" s="5"/>
      <c r="C1295" s="4"/>
      <c r="D1295" s="4"/>
      <c r="E1295" s="5"/>
      <c r="F1295" s="4"/>
      <c r="G1295" s="6">
        <f>IF(AND(A1295="",B1295=""),"",IF(COUNTIFS($A$2:$A$2001,A1295,$B$2:$B$2001,B1295)&gt;1,"DUPLICADO","OK"))</f>
      </c>
      <c r="H1295" s="6">
        <f>IF(COUNTA(A1295:F1295)=0,"",IF(AND(A1295&lt;&gt;"",B1295&lt;&gt;"",E1295&lt;&gt;""),"OK","ERRO: faltam "&amp;IF(A1295="","Conta; ","")&amp;IF(B1295="","Oportunidade; ","")&amp;IF(E1295="","Novo gerente; ","")))</f>
      </c>
      <c r="I1295" s="6">
        <f>IF(COUNTA(A1295:F1295)=0,"",IF(AND(G1295="OK",H1295="OK"),"OK","REVISAR"))</f>
      </c>
    </row>
    <row r="1296">
      <c r="A1296" s="5"/>
      <c r="B1296" s="5"/>
      <c r="C1296" s="4"/>
      <c r="D1296" s="4"/>
      <c r="E1296" s="5"/>
      <c r="F1296" s="4"/>
      <c r="G1296" s="6">
        <f>IF(AND(A1296="",B1296=""),"",IF(COUNTIFS($A$2:$A$2001,A1296,$B$2:$B$2001,B1296)&gt;1,"DUPLICADO","OK"))</f>
      </c>
      <c r="H1296" s="6">
        <f>IF(COUNTA(A1296:F1296)=0,"",IF(AND(A1296&lt;&gt;"",B1296&lt;&gt;"",E1296&lt;&gt;""),"OK","ERRO: faltam "&amp;IF(A1296="","Conta; ","")&amp;IF(B1296="","Oportunidade; ","")&amp;IF(E1296="","Novo gerente; ","")))</f>
      </c>
      <c r="I1296" s="6">
        <f>IF(COUNTA(A1296:F1296)=0,"",IF(AND(G1296="OK",H1296="OK"),"OK","REVISAR"))</f>
      </c>
    </row>
    <row r="1297">
      <c r="A1297" s="5"/>
      <c r="B1297" s="5"/>
      <c r="C1297" s="4"/>
      <c r="D1297" s="4"/>
      <c r="E1297" s="5"/>
      <c r="F1297" s="4"/>
      <c r="G1297" s="6">
        <f>IF(AND(A1297="",B1297=""),"",IF(COUNTIFS($A$2:$A$2001,A1297,$B$2:$B$2001,B1297)&gt;1,"DUPLICADO","OK"))</f>
      </c>
      <c r="H1297" s="6">
        <f>IF(COUNTA(A1297:F1297)=0,"",IF(AND(A1297&lt;&gt;"",B1297&lt;&gt;"",E1297&lt;&gt;""),"OK","ERRO: faltam "&amp;IF(A1297="","Conta; ","")&amp;IF(B1297="","Oportunidade; ","")&amp;IF(E1297="","Novo gerente; ","")))</f>
      </c>
      <c r="I1297" s="6">
        <f>IF(COUNTA(A1297:F1297)=0,"",IF(AND(G1297="OK",H1297="OK"),"OK","REVISAR"))</f>
      </c>
    </row>
    <row r="1298">
      <c r="A1298" s="5"/>
      <c r="B1298" s="5"/>
      <c r="C1298" s="4"/>
      <c r="D1298" s="4"/>
      <c r="E1298" s="5"/>
      <c r="F1298" s="4"/>
      <c r="G1298" s="6">
        <f>IF(AND(A1298="",B1298=""),"",IF(COUNTIFS($A$2:$A$2001,A1298,$B$2:$B$2001,B1298)&gt;1,"DUPLICADO","OK"))</f>
      </c>
      <c r="H1298" s="6">
        <f>IF(COUNTA(A1298:F1298)=0,"",IF(AND(A1298&lt;&gt;"",B1298&lt;&gt;"",E1298&lt;&gt;""),"OK","ERRO: faltam "&amp;IF(A1298="","Conta; ","")&amp;IF(B1298="","Oportunidade; ","")&amp;IF(E1298="","Novo gerente; ","")))</f>
      </c>
      <c r="I1298" s="6">
        <f>IF(COUNTA(A1298:F1298)=0,"",IF(AND(G1298="OK",H1298="OK"),"OK","REVISAR"))</f>
      </c>
    </row>
    <row r="1299">
      <c r="A1299" s="5"/>
      <c r="B1299" s="5"/>
      <c r="C1299" s="4"/>
      <c r="D1299" s="4"/>
      <c r="E1299" s="5"/>
      <c r="F1299" s="4"/>
      <c r="G1299" s="6">
        <f>IF(AND(A1299="",B1299=""),"",IF(COUNTIFS($A$2:$A$2001,A1299,$B$2:$B$2001,B1299)&gt;1,"DUPLICADO","OK"))</f>
      </c>
      <c r="H1299" s="6">
        <f>IF(COUNTA(A1299:F1299)=0,"",IF(AND(A1299&lt;&gt;"",B1299&lt;&gt;"",E1299&lt;&gt;""),"OK","ERRO: faltam "&amp;IF(A1299="","Conta; ","")&amp;IF(B1299="","Oportunidade; ","")&amp;IF(E1299="","Novo gerente; ","")))</f>
      </c>
      <c r="I1299" s="6">
        <f>IF(COUNTA(A1299:F1299)=0,"",IF(AND(G1299="OK",H1299="OK"),"OK","REVISAR"))</f>
      </c>
    </row>
    <row r="1300">
      <c r="A1300" s="5"/>
      <c r="B1300" s="5"/>
      <c r="C1300" s="4"/>
      <c r="D1300" s="4"/>
      <c r="E1300" s="5"/>
      <c r="F1300" s="4"/>
      <c r="G1300" s="6">
        <f>IF(AND(A1300="",B1300=""),"",IF(COUNTIFS($A$2:$A$2001,A1300,$B$2:$B$2001,B1300)&gt;1,"DUPLICADO","OK"))</f>
      </c>
      <c r="H1300" s="6">
        <f>IF(COUNTA(A1300:F1300)=0,"",IF(AND(A1300&lt;&gt;"",B1300&lt;&gt;"",E1300&lt;&gt;""),"OK","ERRO: faltam "&amp;IF(A1300="","Conta; ","")&amp;IF(B1300="","Oportunidade; ","")&amp;IF(E1300="","Novo gerente; ","")))</f>
      </c>
      <c r="I1300" s="6">
        <f>IF(COUNTA(A1300:F1300)=0,"",IF(AND(G1300="OK",H1300="OK"),"OK","REVISAR"))</f>
      </c>
    </row>
    <row r="1301">
      <c r="A1301" s="5"/>
      <c r="B1301" s="5"/>
      <c r="C1301" s="4"/>
      <c r="D1301" s="4"/>
      <c r="E1301" s="5"/>
      <c r="F1301" s="4"/>
      <c r="G1301" s="6">
        <f>IF(AND(A1301="",B1301=""),"",IF(COUNTIFS($A$2:$A$2001,A1301,$B$2:$B$2001,B1301)&gt;1,"DUPLICADO","OK"))</f>
      </c>
      <c r="H1301" s="6">
        <f>IF(COUNTA(A1301:F1301)=0,"",IF(AND(A1301&lt;&gt;"",B1301&lt;&gt;"",E1301&lt;&gt;""),"OK","ERRO: faltam "&amp;IF(A1301="","Conta; ","")&amp;IF(B1301="","Oportunidade; ","")&amp;IF(E1301="","Novo gerente; ","")))</f>
      </c>
      <c r="I1301" s="6">
        <f>IF(COUNTA(A1301:F1301)=0,"",IF(AND(G1301="OK",H1301="OK"),"OK","REVISAR"))</f>
      </c>
    </row>
    <row r="1302">
      <c r="A1302" s="5"/>
      <c r="B1302" s="5"/>
      <c r="C1302" s="4"/>
      <c r="D1302" s="4"/>
      <c r="E1302" s="5"/>
      <c r="F1302" s="4"/>
      <c r="G1302" s="6">
        <f>IF(AND(A1302="",B1302=""),"",IF(COUNTIFS($A$2:$A$2001,A1302,$B$2:$B$2001,B1302)&gt;1,"DUPLICADO","OK"))</f>
      </c>
      <c r="H1302" s="6">
        <f>IF(COUNTA(A1302:F1302)=0,"",IF(AND(A1302&lt;&gt;"",B1302&lt;&gt;"",E1302&lt;&gt;""),"OK","ERRO: faltam "&amp;IF(A1302="","Conta; ","")&amp;IF(B1302="","Oportunidade; ","")&amp;IF(E1302="","Novo gerente; ","")))</f>
      </c>
      <c r="I1302" s="6">
        <f>IF(COUNTA(A1302:F1302)=0,"",IF(AND(G1302="OK",H1302="OK"),"OK","REVISAR"))</f>
      </c>
    </row>
    <row r="1303">
      <c r="A1303" s="5"/>
      <c r="B1303" s="5"/>
      <c r="C1303" s="4"/>
      <c r="D1303" s="4"/>
      <c r="E1303" s="5"/>
      <c r="F1303" s="4"/>
      <c r="G1303" s="6">
        <f>IF(AND(A1303="",B1303=""),"",IF(COUNTIFS($A$2:$A$2001,A1303,$B$2:$B$2001,B1303)&gt;1,"DUPLICADO","OK"))</f>
      </c>
      <c r="H1303" s="6">
        <f>IF(COUNTA(A1303:F1303)=0,"",IF(AND(A1303&lt;&gt;"",B1303&lt;&gt;"",E1303&lt;&gt;""),"OK","ERRO: faltam "&amp;IF(A1303="","Conta; ","")&amp;IF(B1303="","Oportunidade; ","")&amp;IF(E1303="","Novo gerente; ","")))</f>
      </c>
      <c r="I1303" s="6">
        <f>IF(COUNTA(A1303:F1303)=0,"",IF(AND(G1303="OK",H1303="OK"),"OK","REVISAR"))</f>
      </c>
    </row>
    <row r="1304">
      <c r="A1304" s="5"/>
      <c r="B1304" s="5"/>
      <c r="C1304" s="4"/>
      <c r="D1304" s="4"/>
      <c r="E1304" s="5"/>
      <c r="F1304" s="4"/>
      <c r="G1304" s="6">
        <f>IF(AND(A1304="",B1304=""),"",IF(COUNTIFS($A$2:$A$2001,A1304,$B$2:$B$2001,B1304)&gt;1,"DUPLICADO","OK"))</f>
      </c>
      <c r="H1304" s="6">
        <f>IF(COUNTA(A1304:F1304)=0,"",IF(AND(A1304&lt;&gt;"",B1304&lt;&gt;"",E1304&lt;&gt;""),"OK","ERRO: faltam "&amp;IF(A1304="","Conta; ","")&amp;IF(B1304="","Oportunidade; ","")&amp;IF(E1304="","Novo gerente; ","")))</f>
      </c>
      <c r="I1304" s="6">
        <f>IF(COUNTA(A1304:F1304)=0,"",IF(AND(G1304="OK",H1304="OK"),"OK","REVISAR"))</f>
      </c>
    </row>
    <row r="1305">
      <c r="A1305" s="5"/>
      <c r="B1305" s="5"/>
      <c r="C1305" s="4"/>
      <c r="D1305" s="4"/>
      <c r="E1305" s="5"/>
      <c r="F1305" s="4"/>
      <c r="G1305" s="6">
        <f>IF(AND(A1305="",B1305=""),"",IF(COUNTIFS($A$2:$A$2001,A1305,$B$2:$B$2001,B1305)&gt;1,"DUPLICADO","OK"))</f>
      </c>
      <c r="H1305" s="6">
        <f>IF(COUNTA(A1305:F1305)=0,"",IF(AND(A1305&lt;&gt;"",B1305&lt;&gt;"",E1305&lt;&gt;""),"OK","ERRO: faltam "&amp;IF(A1305="","Conta; ","")&amp;IF(B1305="","Oportunidade; ","")&amp;IF(E1305="","Novo gerente; ","")))</f>
      </c>
      <c r="I1305" s="6">
        <f>IF(COUNTA(A1305:F1305)=0,"",IF(AND(G1305="OK",H1305="OK"),"OK","REVISAR"))</f>
      </c>
    </row>
    <row r="1306">
      <c r="A1306" s="5"/>
      <c r="B1306" s="5"/>
      <c r="C1306" s="4"/>
      <c r="D1306" s="4"/>
      <c r="E1306" s="5"/>
      <c r="F1306" s="4"/>
      <c r="G1306" s="6">
        <f>IF(AND(A1306="",B1306=""),"",IF(COUNTIFS($A$2:$A$2001,A1306,$B$2:$B$2001,B1306)&gt;1,"DUPLICADO","OK"))</f>
      </c>
      <c r="H1306" s="6">
        <f>IF(COUNTA(A1306:F1306)=0,"",IF(AND(A1306&lt;&gt;"",B1306&lt;&gt;"",E1306&lt;&gt;""),"OK","ERRO: faltam "&amp;IF(A1306="","Conta; ","")&amp;IF(B1306="","Oportunidade; ","")&amp;IF(E1306="","Novo gerente; ","")))</f>
      </c>
      <c r="I1306" s="6">
        <f>IF(COUNTA(A1306:F1306)=0,"",IF(AND(G1306="OK",H1306="OK"),"OK","REVISAR"))</f>
      </c>
    </row>
    <row r="1307">
      <c r="A1307" s="5"/>
      <c r="B1307" s="5"/>
      <c r="C1307" s="4"/>
      <c r="D1307" s="4"/>
      <c r="E1307" s="5"/>
      <c r="F1307" s="4"/>
      <c r="G1307" s="6">
        <f>IF(AND(A1307="",B1307=""),"",IF(COUNTIFS($A$2:$A$2001,A1307,$B$2:$B$2001,B1307)&gt;1,"DUPLICADO","OK"))</f>
      </c>
      <c r="H1307" s="6">
        <f>IF(COUNTA(A1307:F1307)=0,"",IF(AND(A1307&lt;&gt;"",B1307&lt;&gt;"",E1307&lt;&gt;""),"OK","ERRO: faltam "&amp;IF(A1307="","Conta; ","")&amp;IF(B1307="","Oportunidade; ","")&amp;IF(E1307="","Novo gerente; ","")))</f>
      </c>
      <c r="I1307" s="6">
        <f>IF(COUNTA(A1307:F1307)=0,"",IF(AND(G1307="OK",H1307="OK"),"OK","REVISAR"))</f>
      </c>
    </row>
    <row r="1308">
      <c r="A1308" s="5"/>
      <c r="B1308" s="5"/>
      <c r="C1308" s="4"/>
      <c r="D1308" s="4"/>
      <c r="E1308" s="5"/>
      <c r="F1308" s="4"/>
      <c r="G1308" s="6">
        <f>IF(AND(A1308="",B1308=""),"",IF(COUNTIFS($A$2:$A$2001,A1308,$B$2:$B$2001,B1308)&gt;1,"DUPLICADO","OK"))</f>
      </c>
      <c r="H1308" s="6">
        <f>IF(COUNTA(A1308:F1308)=0,"",IF(AND(A1308&lt;&gt;"",B1308&lt;&gt;"",E1308&lt;&gt;""),"OK","ERRO: faltam "&amp;IF(A1308="","Conta; ","")&amp;IF(B1308="","Oportunidade; ","")&amp;IF(E1308="","Novo gerente; ","")))</f>
      </c>
      <c r="I1308" s="6">
        <f>IF(COUNTA(A1308:F1308)=0,"",IF(AND(G1308="OK",H1308="OK"),"OK","REVISAR"))</f>
      </c>
    </row>
    <row r="1309">
      <c r="A1309" s="5"/>
      <c r="B1309" s="5"/>
      <c r="C1309" s="4"/>
      <c r="D1309" s="4"/>
      <c r="E1309" s="5"/>
      <c r="F1309" s="4"/>
      <c r="G1309" s="6">
        <f>IF(AND(A1309="",B1309=""),"",IF(COUNTIFS($A$2:$A$2001,A1309,$B$2:$B$2001,B1309)&gt;1,"DUPLICADO","OK"))</f>
      </c>
      <c r="H1309" s="6">
        <f>IF(COUNTA(A1309:F1309)=0,"",IF(AND(A1309&lt;&gt;"",B1309&lt;&gt;"",E1309&lt;&gt;""),"OK","ERRO: faltam "&amp;IF(A1309="","Conta; ","")&amp;IF(B1309="","Oportunidade; ","")&amp;IF(E1309="","Novo gerente; ","")))</f>
      </c>
      <c r="I1309" s="6">
        <f>IF(COUNTA(A1309:F1309)=0,"",IF(AND(G1309="OK",H1309="OK"),"OK","REVISAR"))</f>
      </c>
    </row>
    <row r="1310">
      <c r="A1310" s="5"/>
      <c r="B1310" s="5"/>
      <c r="C1310" s="4"/>
      <c r="D1310" s="4"/>
      <c r="E1310" s="5"/>
      <c r="F1310" s="4"/>
      <c r="G1310" s="6">
        <f>IF(AND(A1310="",B1310=""),"",IF(COUNTIFS($A$2:$A$2001,A1310,$B$2:$B$2001,B1310)&gt;1,"DUPLICADO","OK"))</f>
      </c>
      <c r="H1310" s="6">
        <f>IF(COUNTA(A1310:F1310)=0,"",IF(AND(A1310&lt;&gt;"",B1310&lt;&gt;"",E1310&lt;&gt;""),"OK","ERRO: faltam "&amp;IF(A1310="","Conta; ","")&amp;IF(B1310="","Oportunidade; ","")&amp;IF(E1310="","Novo gerente; ","")))</f>
      </c>
      <c r="I1310" s="6">
        <f>IF(COUNTA(A1310:F1310)=0,"",IF(AND(G1310="OK",H1310="OK"),"OK","REVISAR"))</f>
      </c>
    </row>
    <row r="1311">
      <c r="A1311" s="5"/>
      <c r="B1311" s="5"/>
      <c r="C1311" s="4"/>
      <c r="D1311" s="4"/>
      <c r="E1311" s="5"/>
      <c r="F1311" s="4"/>
      <c r="G1311" s="6">
        <f>IF(AND(A1311="",B1311=""),"",IF(COUNTIFS($A$2:$A$2001,A1311,$B$2:$B$2001,B1311)&gt;1,"DUPLICADO","OK"))</f>
      </c>
      <c r="H1311" s="6">
        <f>IF(COUNTA(A1311:F1311)=0,"",IF(AND(A1311&lt;&gt;"",B1311&lt;&gt;"",E1311&lt;&gt;""),"OK","ERRO: faltam "&amp;IF(A1311="","Conta; ","")&amp;IF(B1311="","Oportunidade; ","")&amp;IF(E1311="","Novo gerente; ","")))</f>
      </c>
      <c r="I1311" s="6">
        <f>IF(COUNTA(A1311:F1311)=0,"",IF(AND(G1311="OK",H1311="OK"),"OK","REVISAR"))</f>
      </c>
    </row>
    <row r="1312">
      <c r="A1312" s="5"/>
      <c r="B1312" s="5"/>
      <c r="C1312" s="4"/>
      <c r="D1312" s="4"/>
      <c r="E1312" s="5"/>
      <c r="F1312" s="4"/>
      <c r="G1312" s="6">
        <f>IF(AND(A1312="",B1312=""),"",IF(COUNTIFS($A$2:$A$2001,A1312,$B$2:$B$2001,B1312)&gt;1,"DUPLICADO","OK"))</f>
      </c>
      <c r="H1312" s="6">
        <f>IF(COUNTA(A1312:F1312)=0,"",IF(AND(A1312&lt;&gt;"",B1312&lt;&gt;"",E1312&lt;&gt;""),"OK","ERRO: faltam "&amp;IF(A1312="","Conta; ","")&amp;IF(B1312="","Oportunidade; ","")&amp;IF(E1312="","Novo gerente; ","")))</f>
      </c>
      <c r="I1312" s="6">
        <f>IF(COUNTA(A1312:F1312)=0,"",IF(AND(G1312="OK",H1312="OK"),"OK","REVISAR"))</f>
      </c>
    </row>
    <row r="1313">
      <c r="A1313" s="5"/>
      <c r="B1313" s="5"/>
      <c r="C1313" s="4"/>
      <c r="D1313" s="4"/>
      <c r="E1313" s="5"/>
      <c r="F1313" s="4"/>
      <c r="G1313" s="6">
        <f>IF(AND(A1313="",B1313=""),"",IF(COUNTIFS($A$2:$A$2001,A1313,$B$2:$B$2001,B1313)&gt;1,"DUPLICADO","OK"))</f>
      </c>
      <c r="H1313" s="6">
        <f>IF(COUNTA(A1313:F1313)=0,"",IF(AND(A1313&lt;&gt;"",B1313&lt;&gt;"",E1313&lt;&gt;""),"OK","ERRO: faltam "&amp;IF(A1313="","Conta; ","")&amp;IF(B1313="","Oportunidade; ","")&amp;IF(E1313="","Novo gerente; ","")))</f>
      </c>
      <c r="I1313" s="6">
        <f>IF(COUNTA(A1313:F1313)=0,"",IF(AND(G1313="OK",H1313="OK"),"OK","REVISAR"))</f>
      </c>
    </row>
    <row r="1314">
      <c r="A1314" s="5"/>
      <c r="B1314" s="5"/>
      <c r="C1314" s="4"/>
      <c r="D1314" s="4"/>
      <c r="E1314" s="5"/>
      <c r="F1314" s="4"/>
      <c r="G1314" s="6">
        <f>IF(AND(A1314="",B1314=""),"",IF(COUNTIFS($A$2:$A$2001,A1314,$B$2:$B$2001,B1314)&gt;1,"DUPLICADO","OK"))</f>
      </c>
      <c r="H1314" s="6">
        <f>IF(COUNTA(A1314:F1314)=0,"",IF(AND(A1314&lt;&gt;"",B1314&lt;&gt;"",E1314&lt;&gt;""),"OK","ERRO: faltam "&amp;IF(A1314="","Conta; ","")&amp;IF(B1314="","Oportunidade; ","")&amp;IF(E1314="","Novo gerente; ","")))</f>
      </c>
      <c r="I1314" s="6">
        <f>IF(COUNTA(A1314:F1314)=0,"",IF(AND(G1314="OK",H1314="OK"),"OK","REVISAR"))</f>
      </c>
    </row>
    <row r="1315">
      <c r="A1315" s="5"/>
      <c r="B1315" s="5"/>
      <c r="C1315" s="4"/>
      <c r="D1315" s="4"/>
      <c r="E1315" s="5"/>
      <c r="F1315" s="4"/>
      <c r="G1315" s="6">
        <f>IF(AND(A1315="",B1315=""),"",IF(COUNTIFS($A$2:$A$2001,A1315,$B$2:$B$2001,B1315)&gt;1,"DUPLICADO","OK"))</f>
      </c>
      <c r="H1315" s="6">
        <f>IF(COUNTA(A1315:F1315)=0,"",IF(AND(A1315&lt;&gt;"",B1315&lt;&gt;"",E1315&lt;&gt;""),"OK","ERRO: faltam "&amp;IF(A1315="","Conta; ","")&amp;IF(B1315="","Oportunidade; ","")&amp;IF(E1315="","Novo gerente; ","")))</f>
      </c>
      <c r="I1315" s="6">
        <f>IF(COUNTA(A1315:F1315)=0,"",IF(AND(G1315="OK",H1315="OK"),"OK","REVISAR"))</f>
      </c>
    </row>
    <row r="1316">
      <c r="A1316" s="5"/>
      <c r="B1316" s="5"/>
      <c r="C1316" s="4"/>
      <c r="D1316" s="4"/>
      <c r="E1316" s="5"/>
      <c r="F1316" s="4"/>
      <c r="G1316" s="6">
        <f>IF(AND(A1316="",B1316=""),"",IF(COUNTIFS($A$2:$A$2001,A1316,$B$2:$B$2001,B1316)&gt;1,"DUPLICADO","OK"))</f>
      </c>
      <c r="H1316" s="6">
        <f>IF(COUNTA(A1316:F1316)=0,"",IF(AND(A1316&lt;&gt;"",B1316&lt;&gt;"",E1316&lt;&gt;""),"OK","ERRO: faltam "&amp;IF(A1316="","Conta; ","")&amp;IF(B1316="","Oportunidade; ","")&amp;IF(E1316="","Novo gerente; ","")))</f>
      </c>
      <c r="I1316" s="6">
        <f>IF(COUNTA(A1316:F1316)=0,"",IF(AND(G1316="OK",H1316="OK"),"OK","REVISAR"))</f>
      </c>
    </row>
    <row r="1317">
      <c r="A1317" s="5"/>
      <c r="B1317" s="5"/>
      <c r="C1317" s="4"/>
      <c r="D1317" s="4"/>
      <c r="E1317" s="5"/>
      <c r="F1317" s="4"/>
      <c r="G1317" s="6">
        <f>IF(AND(A1317="",B1317=""),"",IF(COUNTIFS($A$2:$A$2001,A1317,$B$2:$B$2001,B1317)&gt;1,"DUPLICADO","OK"))</f>
      </c>
      <c r="H1317" s="6">
        <f>IF(COUNTA(A1317:F1317)=0,"",IF(AND(A1317&lt;&gt;"",B1317&lt;&gt;"",E1317&lt;&gt;""),"OK","ERRO: faltam "&amp;IF(A1317="","Conta; ","")&amp;IF(B1317="","Oportunidade; ","")&amp;IF(E1317="","Novo gerente; ","")))</f>
      </c>
      <c r="I1317" s="6">
        <f>IF(COUNTA(A1317:F1317)=0,"",IF(AND(G1317="OK",H1317="OK"),"OK","REVISAR"))</f>
      </c>
    </row>
    <row r="1318">
      <c r="A1318" s="5"/>
      <c r="B1318" s="5"/>
      <c r="C1318" s="4"/>
      <c r="D1318" s="4"/>
      <c r="E1318" s="5"/>
      <c r="F1318" s="4"/>
      <c r="G1318" s="6">
        <f>IF(AND(A1318="",B1318=""),"",IF(COUNTIFS($A$2:$A$2001,A1318,$B$2:$B$2001,B1318)&gt;1,"DUPLICADO","OK"))</f>
      </c>
      <c r="H1318" s="6">
        <f>IF(COUNTA(A1318:F1318)=0,"",IF(AND(A1318&lt;&gt;"",B1318&lt;&gt;"",E1318&lt;&gt;""),"OK","ERRO: faltam "&amp;IF(A1318="","Conta; ","")&amp;IF(B1318="","Oportunidade; ","")&amp;IF(E1318="","Novo gerente; ","")))</f>
      </c>
      <c r="I1318" s="6">
        <f>IF(COUNTA(A1318:F1318)=0,"",IF(AND(G1318="OK",H1318="OK"),"OK","REVISAR"))</f>
      </c>
    </row>
    <row r="1319">
      <c r="A1319" s="5"/>
      <c r="B1319" s="5"/>
      <c r="C1319" s="4"/>
      <c r="D1319" s="4"/>
      <c r="E1319" s="5"/>
      <c r="F1319" s="4"/>
      <c r="G1319" s="6">
        <f>IF(AND(A1319="",B1319=""),"",IF(COUNTIFS($A$2:$A$2001,A1319,$B$2:$B$2001,B1319)&gt;1,"DUPLICADO","OK"))</f>
      </c>
      <c r="H1319" s="6">
        <f>IF(COUNTA(A1319:F1319)=0,"",IF(AND(A1319&lt;&gt;"",B1319&lt;&gt;"",E1319&lt;&gt;""),"OK","ERRO: faltam "&amp;IF(A1319="","Conta; ","")&amp;IF(B1319="","Oportunidade; ","")&amp;IF(E1319="","Novo gerente; ","")))</f>
      </c>
      <c r="I1319" s="6">
        <f>IF(COUNTA(A1319:F1319)=0,"",IF(AND(G1319="OK",H1319="OK"),"OK","REVISAR"))</f>
      </c>
    </row>
    <row r="1320">
      <c r="A1320" s="5"/>
      <c r="B1320" s="5"/>
      <c r="C1320" s="4"/>
      <c r="D1320" s="4"/>
      <c r="E1320" s="5"/>
      <c r="F1320" s="4"/>
      <c r="G1320" s="6">
        <f>IF(AND(A1320="",B1320=""),"",IF(COUNTIFS($A$2:$A$2001,A1320,$B$2:$B$2001,B1320)&gt;1,"DUPLICADO","OK"))</f>
      </c>
      <c r="H1320" s="6">
        <f>IF(COUNTA(A1320:F1320)=0,"",IF(AND(A1320&lt;&gt;"",B1320&lt;&gt;"",E1320&lt;&gt;""),"OK","ERRO: faltam "&amp;IF(A1320="","Conta; ","")&amp;IF(B1320="","Oportunidade; ","")&amp;IF(E1320="","Novo gerente; ","")))</f>
      </c>
      <c r="I1320" s="6">
        <f>IF(COUNTA(A1320:F1320)=0,"",IF(AND(G1320="OK",H1320="OK"),"OK","REVISAR"))</f>
      </c>
    </row>
    <row r="1321">
      <c r="A1321" s="5"/>
      <c r="B1321" s="5"/>
      <c r="C1321" s="4"/>
      <c r="D1321" s="4"/>
      <c r="E1321" s="5"/>
      <c r="F1321" s="4"/>
      <c r="G1321" s="6">
        <f>IF(AND(A1321="",B1321=""),"",IF(COUNTIFS($A$2:$A$2001,A1321,$B$2:$B$2001,B1321)&gt;1,"DUPLICADO","OK"))</f>
      </c>
      <c r="H1321" s="6">
        <f>IF(COUNTA(A1321:F1321)=0,"",IF(AND(A1321&lt;&gt;"",B1321&lt;&gt;"",E1321&lt;&gt;""),"OK","ERRO: faltam "&amp;IF(A1321="","Conta; ","")&amp;IF(B1321="","Oportunidade; ","")&amp;IF(E1321="","Novo gerente; ","")))</f>
      </c>
      <c r="I1321" s="6">
        <f>IF(COUNTA(A1321:F1321)=0,"",IF(AND(G1321="OK",H1321="OK"),"OK","REVISAR"))</f>
      </c>
    </row>
    <row r="1322">
      <c r="A1322" s="5"/>
      <c r="B1322" s="5"/>
      <c r="C1322" s="4"/>
      <c r="D1322" s="4"/>
      <c r="E1322" s="5"/>
      <c r="F1322" s="4"/>
      <c r="G1322" s="6">
        <f>IF(AND(A1322="",B1322=""),"",IF(COUNTIFS($A$2:$A$2001,A1322,$B$2:$B$2001,B1322)&gt;1,"DUPLICADO","OK"))</f>
      </c>
      <c r="H1322" s="6">
        <f>IF(COUNTA(A1322:F1322)=0,"",IF(AND(A1322&lt;&gt;"",B1322&lt;&gt;"",E1322&lt;&gt;""),"OK","ERRO: faltam "&amp;IF(A1322="","Conta; ","")&amp;IF(B1322="","Oportunidade; ","")&amp;IF(E1322="","Novo gerente; ","")))</f>
      </c>
      <c r="I1322" s="6">
        <f>IF(COUNTA(A1322:F1322)=0,"",IF(AND(G1322="OK",H1322="OK"),"OK","REVISAR"))</f>
      </c>
    </row>
    <row r="1323">
      <c r="A1323" s="5"/>
      <c r="B1323" s="5"/>
      <c r="C1323" s="4"/>
      <c r="D1323" s="4"/>
      <c r="E1323" s="5"/>
      <c r="F1323" s="4"/>
      <c r="G1323" s="6">
        <f>IF(AND(A1323="",B1323=""),"",IF(COUNTIFS($A$2:$A$2001,A1323,$B$2:$B$2001,B1323)&gt;1,"DUPLICADO","OK"))</f>
      </c>
      <c r="H1323" s="6">
        <f>IF(COUNTA(A1323:F1323)=0,"",IF(AND(A1323&lt;&gt;"",B1323&lt;&gt;"",E1323&lt;&gt;""),"OK","ERRO: faltam "&amp;IF(A1323="","Conta; ","")&amp;IF(B1323="","Oportunidade; ","")&amp;IF(E1323="","Novo gerente; ","")))</f>
      </c>
      <c r="I1323" s="6">
        <f>IF(COUNTA(A1323:F1323)=0,"",IF(AND(G1323="OK",H1323="OK"),"OK","REVISAR"))</f>
      </c>
    </row>
    <row r="1324">
      <c r="A1324" s="5"/>
      <c r="B1324" s="5"/>
      <c r="C1324" s="4"/>
      <c r="D1324" s="4"/>
      <c r="E1324" s="5"/>
      <c r="F1324" s="4"/>
      <c r="G1324" s="6">
        <f>IF(AND(A1324="",B1324=""),"",IF(COUNTIFS($A$2:$A$2001,A1324,$B$2:$B$2001,B1324)&gt;1,"DUPLICADO","OK"))</f>
      </c>
      <c r="H1324" s="6">
        <f>IF(COUNTA(A1324:F1324)=0,"",IF(AND(A1324&lt;&gt;"",B1324&lt;&gt;"",E1324&lt;&gt;""),"OK","ERRO: faltam "&amp;IF(A1324="","Conta; ","")&amp;IF(B1324="","Oportunidade; ","")&amp;IF(E1324="","Novo gerente; ","")))</f>
      </c>
      <c r="I1324" s="6">
        <f>IF(COUNTA(A1324:F1324)=0,"",IF(AND(G1324="OK",H1324="OK"),"OK","REVISAR"))</f>
      </c>
    </row>
    <row r="1325">
      <c r="A1325" s="5"/>
      <c r="B1325" s="5"/>
      <c r="C1325" s="4"/>
      <c r="D1325" s="4"/>
      <c r="E1325" s="5"/>
      <c r="F1325" s="4"/>
      <c r="G1325" s="6">
        <f>IF(AND(A1325="",B1325=""),"",IF(COUNTIFS($A$2:$A$2001,A1325,$B$2:$B$2001,B1325)&gt;1,"DUPLICADO","OK"))</f>
      </c>
      <c r="H1325" s="6">
        <f>IF(COUNTA(A1325:F1325)=0,"",IF(AND(A1325&lt;&gt;"",B1325&lt;&gt;"",E1325&lt;&gt;""),"OK","ERRO: faltam "&amp;IF(A1325="","Conta; ","")&amp;IF(B1325="","Oportunidade; ","")&amp;IF(E1325="","Novo gerente; ","")))</f>
      </c>
      <c r="I1325" s="6">
        <f>IF(COUNTA(A1325:F1325)=0,"",IF(AND(G1325="OK",H1325="OK"),"OK","REVISAR"))</f>
      </c>
    </row>
    <row r="1326">
      <c r="A1326" s="5"/>
      <c r="B1326" s="5"/>
      <c r="C1326" s="4"/>
      <c r="D1326" s="4"/>
      <c r="E1326" s="5"/>
      <c r="F1326" s="4"/>
      <c r="G1326" s="6">
        <f>IF(AND(A1326="",B1326=""),"",IF(COUNTIFS($A$2:$A$2001,A1326,$B$2:$B$2001,B1326)&gt;1,"DUPLICADO","OK"))</f>
      </c>
      <c r="H1326" s="6">
        <f>IF(COUNTA(A1326:F1326)=0,"",IF(AND(A1326&lt;&gt;"",B1326&lt;&gt;"",E1326&lt;&gt;""),"OK","ERRO: faltam "&amp;IF(A1326="","Conta; ","")&amp;IF(B1326="","Oportunidade; ","")&amp;IF(E1326="","Novo gerente; ","")))</f>
      </c>
      <c r="I1326" s="6">
        <f>IF(COUNTA(A1326:F1326)=0,"",IF(AND(G1326="OK",H1326="OK"),"OK","REVISAR"))</f>
      </c>
    </row>
    <row r="1327">
      <c r="A1327" s="5"/>
      <c r="B1327" s="5"/>
      <c r="C1327" s="4"/>
      <c r="D1327" s="4"/>
      <c r="E1327" s="5"/>
      <c r="F1327" s="4"/>
      <c r="G1327" s="6">
        <f>IF(AND(A1327="",B1327=""),"",IF(COUNTIFS($A$2:$A$2001,A1327,$B$2:$B$2001,B1327)&gt;1,"DUPLICADO","OK"))</f>
      </c>
      <c r="H1327" s="6">
        <f>IF(COUNTA(A1327:F1327)=0,"",IF(AND(A1327&lt;&gt;"",B1327&lt;&gt;"",E1327&lt;&gt;""),"OK","ERRO: faltam "&amp;IF(A1327="","Conta; ","")&amp;IF(B1327="","Oportunidade; ","")&amp;IF(E1327="","Novo gerente; ","")))</f>
      </c>
      <c r="I1327" s="6">
        <f>IF(COUNTA(A1327:F1327)=0,"",IF(AND(G1327="OK",H1327="OK"),"OK","REVISAR"))</f>
      </c>
    </row>
    <row r="1328">
      <c r="A1328" s="5"/>
      <c r="B1328" s="5"/>
      <c r="C1328" s="4"/>
      <c r="D1328" s="4"/>
      <c r="E1328" s="5"/>
      <c r="F1328" s="4"/>
      <c r="G1328" s="6">
        <f>IF(AND(A1328="",B1328=""),"",IF(COUNTIFS($A$2:$A$2001,A1328,$B$2:$B$2001,B1328)&gt;1,"DUPLICADO","OK"))</f>
      </c>
      <c r="H1328" s="6">
        <f>IF(COUNTA(A1328:F1328)=0,"",IF(AND(A1328&lt;&gt;"",B1328&lt;&gt;"",E1328&lt;&gt;""),"OK","ERRO: faltam "&amp;IF(A1328="","Conta; ","")&amp;IF(B1328="","Oportunidade; ","")&amp;IF(E1328="","Novo gerente; ","")))</f>
      </c>
      <c r="I1328" s="6">
        <f>IF(COUNTA(A1328:F1328)=0,"",IF(AND(G1328="OK",H1328="OK"),"OK","REVISAR"))</f>
      </c>
    </row>
    <row r="1329">
      <c r="A1329" s="5"/>
      <c r="B1329" s="5"/>
      <c r="C1329" s="4"/>
      <c r="D1329" s="4"/>
      <c r="E1329" s="5"/>
      <c r="F1329" s="4"/>
      <c r="G1329" s="6">
        <f>IF(AND(A1329="",B1329=""),"",IF(COUNTIFS($A$2:$A$2001,A1329,$B$2:$B$2001,B1329)&gt;1,"DUPLICADO","OK"))</f>
      </c>
      <c r="H1329" s="6">
        <f>IF(COUNTA(A1329:F1329)=0,"",IF(AND(A1329&lt;&gt;"",B1329&lt;&gt;"",E1329&lt;&gt;""),"OK","ERRO: faltam "&amp;IF(A1329="","Conta; ","")&amp;IF(B1329="","Oportunidade; ","")&amp;IF(E1329="","Novo gerente; ","")))</f>
      </c>
      <c r="I1329" s="6">
        <f>IF(COUNTA(A1329:F1329)=0,"",IF(AND(G1329="OK",H1329="OK"),"OK","REVISAR"))</f>
      </c>
    </row>
    <row r="1330">
      <c r="A1330" s="5"/>
      <c r="B1330" s="5"/>
      <c r="C1330" s="4"/>
      <c r="D1330" s="4"/>
      <c r="E1330" s="5"/>
      <c r="F1330" s="4"/>
      <c r="G1330" s="6">
        <f>IF(AND(A1330="",B1330=""),"",IF(COUNTIFS($A$2:$A$2001,A1330,$B$2:$B$2001,B1330)&gt;1,"DUPLICADO","OK"))</f>
      </c>
      <c r="H1330" s="6">
        <f>IF(COUNTA(A1330:F1330)=0,"",IF(AND(A1330&lt;&gt;"",B1330&lt;&gt;"",E1330&lt;&gt;""),"OK","ERRO: faltam "&amp;IF(A1330="","Conta; ","")&amp;IF(B1330="","Oportunidade; ","")&amp;IF(E1330="","Novo gerente; ","")))</f>
      </c>
      <c r="I1330" s="6">
        <f>IF(COUNTA(A1330:F1330)=0,"",IF(AND(G1330="OK",H1330="OK"),"OK","REVISAR"))</f>
      </c>
    </row>
    <row r="1331">
      <c r="A1331" s="5"/>
      <c r="B1331" s="5"/>
      <c r="C1331" s="4"/>
      <c r="D1331" s="4"/>
      <c r="E1331" s="5"/>
      <c r="F1331" s="4"/>
      <c r="G1331" s="6">
        <f>IF(AND(A1331="",B1331=""),"",IF(COUNTIFS($A$2:$A$2001,A1331,$B$2:$B$2001,B1331)&gt;1,"DUPLICADO","OK"))</f>
      </c>
      <c r="H1331" s="6">
        <f>IF(COUNTA(A1331:F1331)=0,"",IF(AND(A1331&lt;&gt;"",B1331&lt;&gt;"",E1331&lt;&gt;""),"OK","ERRO: faltam "&amp;IF(A1331="","Conta; ","")&amp;IF(B1331="","Oportunidade; ","")&amp;IF(E1331="","Novo gerente; ","")))</f>
      </c>
      <c r="I1331" s="6">
        <f>IF(COUNTA(A1331:F1331)=0,"",IF(AND(G1331="OK",H1331="OK"),"OK","REVISAR"))</f>
      </c>
    </row>
    <row r="1332">
      <c r="A1332" s="5"/>
      <c r="B1332" s="5"/>
      <c r="C1332" s="4"/>
      <c r="D1332" s="4"/>
      <c r="E1332" s="5"/>
      <c r="F1332" s="4"/>
      <c r="G1332" s="6">
        <f>IF(AND(A1332="",B1332=""),"",IF(COUNTIFS($A$2:$A$2001,A1332,$B$2:$B$2001,B1332)&gt;1,"DUPLICADO","OK"))</f>
      </c>
      <c r="H1332" s="6">
        <f>IF(COUNTA(A1332:F1332)=0,"",IF(AND(A1332&lt;&gt;"",B1332&lt;&gt;"",E1332&lt;&gt;""),"OK","ERRO: faltam "&amp;IF(A1332="","Conta; ","")&amp;IF(B1332="","Oportunidade; ","")&amp;IF(E1332="","Novo gerente; ","")))</f>
      </c>
      <c r="I1332" s="6">
        <f>IF(COUNTA(A1332:F1332)=0,"",IF(AND(G1332="OK",H1332="OK"),"OK","REVISAR"))</f>
      </c>
    </row>
    <row r="1333">
      <c r="A1333" s="5"/>
      <c r="B1333" s="5"/>
      <c r="C1333" s="4"/>
      <c r="D1333" s="4"/>
      <c r="E1333" s="5"/>
      <c r="F1333" s="4"/>
      <c r="G1333" s="6">
        <f>IF(AND(A1333="",B1333=""),"",IF(COUNTIFS($A$2:$A$2001,A1333,$B$2:$B$2001,B1333)&gt;1,"DUPLICADO","OK"))</f>
      </c>
      <c r="H1333" s="6">
        <f>IF(COUNTA(A1333:F1333)=0,"",IF(AND(A1333&lt;&gt;"",B1333&lt;&gt;"",E1333&lt;&gt;""),"OK","ERRO: faltam "&amp;IF(A1333="","Conta; ","")&amp;IF(B1333="","Oportunidade; ","")&amp;IF(E1333="","Novo gerente; ","")))</f>
      </c>
      <c r="I1333" s="6">
        <f>IF(COUNTA(A1333:F1333)=0,"",IF(AND(G1333="OK",H1333="OK"),"OK","REVISAR"))</f>
      </c>
    </row>
    <row r="1334">
      <c r="A1334" s="5"/>
      <c r="B1334" s="5"/>
      <c r="C1334" s="4"/>
      <c r="D1334" s="4"/>
      <c r="E1334" s="5"/>
      <c r="F1334" s="4"/>
      <c r="G1334" s="6">
        <f>IF(AND(A1334="",B1334=""),"",IF(COUNTIFS($A$2:$A$2001,A1334,$B$2:$B$2001,B1334)&gt;1,"DUPLICADO","OK"))</f>
      </c>
      <c r="H1334" s="6">
        <f>IF(COUNTA(A1334:F1334)=0,"",IF(AND(A1334&lt;&gt;"",B1334&lt;&gt;"",E1334&lt;&gt;""),"OK","ERRO: faltam "&amp;IF(A1334="","Conta; ","")&amp;IF(B1334="","Oportunidade; ","")&amp;IF(E1334="","Novo gerente; ","")))</f>
      </c>
      <c r="I1334" s="6">
        <f>IF(COUNTA(A1334:F1334)=0,"",IF(AND(G1334="OK",H1334="OK"),"OK","REVISAR"))</f>
      </c>
    </row>
    <row r="1335">
      <c r="A1335" s="5"/>
      <c r="B1335" s="5"/>
      <c r="C1335" s="4"/>
      <c r="D1335" s="4"/>
      <c r="E1335" s="5"/>
      <c r="F1335" s="4"/>
      <c r="G1335" s="6">
        <f>IF(AND(A1335="",B1335=""),"",IF(COUNTIFS($A$2:$A$2001,A1335,$B$2:$B$2001,B1335)&gt;1,"DUPLICADO","OK"))</f>
      </c>
      <c r="H1335" s="6">
        <f>IF(COUNTA(A1335:F1335)=0,"",IF(AND(A1335&lt;&gt;"",B1335&lt;&gt;"",E1335&lt;&gt;""),"OK","ERRO: faltam "&amp;IF(A1335="","Conta; ","")&amp;IF(B1335="","Oportunidade; ","")&amp;IF(E1335="","Novo gerente; ","")))</f>
      </c>
      <c r="I1335" s="6">
        <f>IF(COUNTA(A1335:F1335)=0,"",IF(AND(G1335="OK",H1335="OK"),"OK","REVISAR"))</f>
      </c>
    </row>
    <row r="1336">
      <c r="A1336" s="5"/>
      <c r="B1336" s="5"/>
      <c r="C1336" s="4"/>
      <c r="D1336" s="4"/>
      <c r="E1336" s="5"/>
      <c r="F1336" s="4"/>
      <c r="G1336" s="6">
        <f>IF(AND(A1336="",B1336=""),"",IF(COUNTIFS($A$2:$A$2001,A1336,$B$2:$B$2001,B1336)&gt;1,"DUPLICADO","OK"))</f>
      </c>
      <c r="H1336" s="6">
        <f>IF(COUNTA(A1336:F1336)=0,"",IF(AND(A1336&lt;&gt;"",B1336&lt;&gt;"",E1336&lt;&gt;""),"OK","ERRO: faltam "&amp;IF(A1336="","Conta; ","")&amp;IF(B1336="","Oportunidade; ","")&amp;IF(E1336="","Novo gerente; ","")))</f>
      </c>
      <c r="I1336" s="6">
        <f>IF(COUNTA(A1336:F1336)=0,"",IF(AND(G1336="OK",H1336="OK"),"OK","REVISAR"))</f>
      </c>
    </row>
    <row r="1337">
      <c r="A1337" s="5"/>
      <c r="B1337" s="5"/>
      <c r="C1337" s="4"/>
      <c r="D1337" s="4"/>
      <c r="E1337" s="5"/>
      <c r="F1337" s="4"/>
      <c r="G1337" s="6">
        <f>IF(AND(A1337="",B1337=""),"",IF(COUNTIFS($A$2:$A$2001,A1337,$B$2:$B$2001,B1337)&gt;1,"DUPLICADO","OK"))</f>
      </c>
      <c r="H1337" s="6">
        <f>IF(COUNTA(A1337:F1337)=0,"",IF(AND(A1337&lt;&gt;"",B1337&lt;&gt;"",E1337&lt;&gt;""),"OK","ERRO: faltam "&amp;IF(A1337="","Conta; ","")&amp;IF(B1337="","Oportunidade; ","")&amp;IF(E1337="","Novo gerente; ","")))</f>
      </c>
      <c r="I1337" s="6">
        <f>IF(COUNTA(A1337:F1337)=0,"",IF(AND(G1337="OK",H1337="OK"),"OK","REVISAR"))</f>
      </c>
    </row>
    <row r="1338">
      <c r="A1338" s="5"/>
      <c r="B1338" s="5"/>
      <c r="C1338" s="4"/>
      <c r="D1338" s="4"/>
      <c r="E1338" s="5"/>
      <c r="F1338" s="4"/>
      <c r="G1338" s="6">
        <f>IF(AND(A1338="",B1338=""),"",IF(COUNTIFS($A$2:$A$2001,A1338,$B$2:$B$2001,B1338)&gt;1,"DUPLICADO","OK"))</f>
      </c>
      <c r="H1338" s="6">
        <f>IF(COUNTA(A1338:F1338)=0,"",IF(AND(A1338&lt;&gt;"",B1338&lt;&gt;"",E1338&lt;&gt;""),"OK","ERRO: faltam "&amp;IF(A1338="","Conta; ","")&amp;IF(B1338="","Oportunidade; ","")&amp;IF(E1338="","Novo gerente; ","")))</f>
      </c>
      <c r="I1338" s="6">
        <f>IF(COUNTA(A1338:F1338)=0,"",IF(AND(G1338="OK",H1338="OK"),"OK","REVISAR"))</f>
      </c>
    </row>
    <row r="1339">
      <c r="A1339" s="5"/>
      <c r="B1339" s="5"/>
      <c r="C1339" s="4"/>
      <c r="D1339" s="4"/>
      <c r="E1339" s="5"/>
      <c r="F1339" s="4"/>
      <c r="G1339" s="6">
        <f>IF(AND(A1339="",B1339=""),"",IF(COUNTIFS($A$2:$A$2001,A1339,$B$2:$B$2001,B1339)&gt;1,"DUPLICADO","OK"))</f>
      </c>
      <c r="H1339" s="6">
        <f>IF(COUNTA(A1339:F1339)=0,"",IF(AND(A1339&lt;&gt;"",B1339&lt;&gt;"",E1339&lt;&gt;""),"OK","ERRO: faltam "&amp;IF(A1339="","Conta; ","")&amp;IF(B1339="","Oportunidade; ","")&amp;IF(E1339="","Novo gerente; ","")))</f>
      </c>
      <c r="I1339" s="6">
        <f>IF(COUNTA(A1339:F1339)=0,"",IF(AND(G1339="OK",H1339="OK"),"OK","REVISAR"))</f>
      </c>
    </row>
    <row r="1340">
      <c r="A1340" s="5"/>
      <c r="B1340" s="5"/>
      <c r="C1340" s="4"/>
      <c r="D1340" s="4"/>
      <c r="E1340" s="5"/>
      <c r="F1340" s="4"/>
      <c r="G1340" s="6">
        <f>IF(AND(A1340="",B1340=""),"",IF(COUNTIFS($A$2:$A$2001,A1340,$B$2:$B$2001,B1340)&gt;1,"DUPLICADO","OK"))</f>
      </c>
      <c r="H1340" s="6">
        <f>IF(COUNTA(A1340:F1340)=0,"",IF(AND(A1340&lt;&gt;"",B1340&lt;&gt;"",E1340&lt;&gt;""),"OK","ERRO: faltam "&amp;IF(A1340="","Conta; ","")&amp;IF(B1340="","Oportunidade; ","")&amp;IF(E1340="","Novo gerente; ","")))</f>
      </c>
      <c r="I1340" s="6">
        <f>IF(COUNTA(A1340:F1340)=0,"",IF(AND(G1340="OK",H1340="OK"),"OK","REVISAR"))</f>
      </c>
    </row>
    <row r="1341">
      <c r="A1341" s="5"/>
      <c r="B1341" s="5"/>
      <c r="C1341" s="4"/>
      <c r="D1341" s="4"/>
      <c r="E1341" s="5"/>
      <c r="F1341" s="4"/>
      <c r="G1341" s="6">
        <f>IF(AND(A1341="",B1341=""),"",IF(COUNTIFS($A$2:$A$2001,A1341,$B$2:$B$2001,B1341)&gt;1,"DUPLICADO","OK"))</f>
      </c>
      <c r="H1341" s="6">
        <f>IF(COUNTA(A1341:F1341)=0,"",IF(AND(A1341&lt;&gt;"",B1341&lt;&gt;"",E1341&lt;&gt;""),"OK","ERRO: faltam "&amp;IF(A1341="","Conta; ","")&amp;IF(B1341="","Oportunidade; ","")&amp;IF(E1341="","Novo gerente; ","")))</f>
      </c>
      <c r="I1341" s="6">
        <f>IF(COUNTA(A1341:F1341)=0,"",IF(AND(G1341="OK",H1341="OK"),"OK","REVISAR"))</f>
      </c>
    </row>
    <row r="1342">
      <c r="A1342" s="5"/>
      <c r="B1342" s="5"/>
      <c r="C1342" s="4"/>
      <c r="D1342" s="4"/>
      <c r="E1342" s="5"/>
      <c r="F1342" s="4"/>
      <c r="G1342" s="6">
        <f>IF(AND(A1342="",B1342=""),"",IF(COUNTIFS($A$2:$A$2001,A1342,$B$2:$B$2001,B1342)&gt;1,"DUPLICADO","OK"))</f>
      </c>
      <c r="H1342" s="6">
        <f>IF(COUNTA(A1342:F1342)=0,"",IF(AND(A1342&lt;&gt;"",B1342&lt;&gt;"",E1342&lt;&gt;""),"OK","ERRO: faltam "&amp;IF(A1342="","Conta; ","")&amp;IF(B1342="","Oportunidade; ","")&amp;IF(E1342="","Novo gerente; ","")))</f>
      </c>
      <c r="I1342" s="6">
        <f>IF(COUNTA(A1342:F1342)=0,"",IF(AND(G1342="OK",H1342="OK"),"OK","REVISAR"))</f>
      </c>
    </row>
    <row r="1343">
      <c r="A1343" s="5"/>
      <c r="B1343" s="5"/>
      <c r="C1343" s="4"/>
      <c r="D1343" s="4"/>
      <c r="E1343" s="5"/>
      <c r="F1343" s="4"/>
      <c r="G1343" s="6">
        <f>IF(AND(A1343="",B1343=""),"",IF(COUNTIFS($A$2:$A$2001,A1343,$B$2:$B$2001,B1343)&gt;1,"DUPLICADO","OK"))</f>
      </c>
      <c r="H1343" s="6">
        <f>IF(COUNTA(A1343:F1343)=0,"",IF(AND(A1343&lt;&gt;"",B1343&lt;&gt;"",E1343&lt;&gt;""),"OK","ERRO: faltam "&amp;IF(A1343="","Conta; ","")&amp;IF(B1343="","Oportunidade; ","")&amp;IF(E1343="","Novo gerente; ","")))</f>
      </c>
      <c r="I1343" s="6">
        <f>IF(COUNTA(A1343:F1343)=0,"",IF(AND(G1343="OK",H1343="OK"),"OK","REVISAR"))</f>
      </c>
    </row>
    <row r="1344">
      <c r="A1344" s="5"/>
      <c r="B1344" s="5"/>
      <c r="C1344" s="4"/>
      <c r="D1344" s="4"/>
      <c r="E1344" s="5"/>
      <c r="F1344" s="4"/>
      <c r="G1344" s="6">
        <f>IF(AND(A1344="",B1344=""),"",IF(COUNTIFS($A$2:$A$2001,A1344,$B$2:$B$2001,B1344)&gt;1,"DUPLICADO","OK"))</f>
      </c>
      <c r="H1344" s="6">
        <f>IF(COUNTA(A1344:F1344)=0,"",IF(AND(A1344&lt;&gt;"",B1344&lt;&gt;"",E1344&lt;&gt;""),"OK","ERRO: faltam "&amp;IF(A1344="","Conta; ","")&amp;IF(B1344="","Oportunidade; ","")&amp;IF(E1344="","Novo gerente; ","")))</f>
      </c>
      <c r="I1344" s="6">
        <f>IF(COUNTA(A1344:F1344)=0,"",IF(AND(G1344="OK",H1344="OK"),"OK","REVISAR"))</f>
      </c>
    </row>
    <row r="1345">
      <c r="A1345" s="5"/>
      <c r="B1345" s="5"/>
      <c r="C1345" s="4"/>
      <c r="D1345" s="4"/>
      <c r="E1345" s="5"/>
      <c r="F1345" s="4"/>
      <c r="G1345" s="6">
        <f>IF(AND(A1345="",B1345=""),"",IF(COUNTIFS($A$2:$A$2001,A1345,$B$2:$B$2001,B1345)&gt;1,"DUPLICADO","OK"))</f>
      </c>
      <c r="H1345" s="6">
        <f>IF(COUNTA(A1345:F1345)=0,"",IF(AND(A1345&lt;&gt;"",B1345&lt;&gt;"",E1345&lt;&gt;""),"OK","ERRO: faltam "&amp;IF(A1345="","Conta; ","")&amp;IF(B1345="","Oportunidade; ","")&amp;IF(E1345="","Novo gerente; ","")))</f>
      </c>
      <c r="I1345" s="6">
        <f>IF(COUNTA(A1345:F1345)=0,"",IF(AND(G1345="OK",H1345="OK"),"OK","REVISAR"))</f>
      </c>
    </row>
    <row r="1346">
      <c r="A1346" s="5"/>
      <c r="B1346" s="5"/>
      <c r="C1346" s="4"/>
      <c r="D1346" s="4"/>
      <c r="E1346" s="5"/>
      <c r="F1346" s="4"/>
      <c r="G1346" s="6">
        <f>IF(AND(A1346="",B1346=""),"",IF(COUNTIFS($A$2:$A$2001,A1346,$B$2:$B$2001,B1346)&gt;1,"DUPLICADO","OK"))</f>
      </c>
      <c r="H1346" s="6">
        <f>IF(COUNTA(A1346:F1346)=0,"",IF(AND(A1346&lt;&gt;"",B1346&lt;&gt;"",E1346&lt;&gt;""),"OK","ERRO: faltam "&amp;IF(A1346="","Conta; ","")&amp;IF(B1346="","Oportunidade; ","")&amp;IF(E1346="","Novo gerente; ","")))</f>
      </c>
      <c r="I1346" s="6">
        <f>IF(COUNTA(A1346:F1346)=0,"",IF(AND(G1346="OK",H1346="OK"),"OK","REVISAR"))</f>
      </c>
    </row>
    <row r="1347">
      <c r="A1347" s="5"/>
      <c r="B1347" s="5"/>
      <c r="C1347" s="4"/>
      <c r="D1347" s="4"/>
      <c r="E1347" s="5"/>
      <c r="F1347" s="4"/>
      <c r="G1347" s="6">
        <f>IF(AND(A1347="",B1347=""),"",IF(COUNTIFS($A$2:$A$2001,A1347,$B$2:$B$2001,B1347)&gt;1,"DUPLICADO","OK"))</f>
      </c>
      <c r="H1347" s="6">
        <f>IF(COUNTA(A1347:F1347)=0,"",IF(AND(A1347&lt;&gt;"",B1347&lt;&gt;"",E1347&lt;&gt;""),"OK","ERRO: faltam "&amp;IF(A1347="","Conta; ","")&amp;IF(B1347="","Oportunidade; ","")&amp;IF(E1347="","Novo gerente; ","")))</f>
      </c>
      <c r="I1347" s="6">
        <f>IF(COUNTA(A1347:F1347)=0,"",IF(AND(G1347="OK",H1347="OK"),"OK","REVISAR"))</f>
      </c>
    </row>
    <row r="1348">
      <c r="A1348" s="5"/>
      <c r="B1348" s="5"/>
      <c r="C1348" s="4"/>
      <c r="D1348" s="4"/>
      <c r="E1348" s="5"/>
      <c r="F1348" s="4"/>
      <c r="G1348" s="6">
        <f>IF(AND(A1348="",B1348=""),"",IF(COUNTIFS($A$2:$A$2001,A1348,$B$2:$B$2001,B1348)&gt;1,"DUPLICADO","OK"))</f>
      </c>
      <c r="H1348" s="6">
        <f>IF(COUNTA(A1348:F1348)=0,"",IF(AND(A1348&lt;&gt;"",B1348&lt;&gt;"",E1348&lt;&gt;""),"OK","ERRO: faltam "&amp;IF(A1348="","Conta; ","")&amp;IF(B1348="","Oportunidade; ","")&amp;IF(E1348="","Novo gerente; ","")))</f>
      </c>
      <c r="I1348" s="6">
        <f>IF(COUNTA(A1348:F1348)=0,"",IF(AND(G1348="OK",H1348="OK"),"OK","REVISAR"))</f>
      </c>
    </row>
    <row r="1349">
      <c r="A1349" s="5"/>
      <c r="B1349" s="5"/>
      <c r="C1349" s="4"/>
      <c r="D1349" s="4"/>
      <c r="E1349" s="5"/>
      <c r="F1349" s="4"/>
      <c r="G1349" s="6">
        <f>IF(AND(A1349="",B1349=""),"",IF(COUNTIFS($A$2:$A$2001,A1349,$B$2:$B$2001,B1349)&gt;1,"DUPLICADO","OK"))</f>
      </c>
      <c r="H1349" s="6">
        <f>IF(COUNTA(A1349:F1349)=0,"",IF(AND(A1349&lt;&gt;"",B1349&lt;&gt;"",E1349&lt;&gt;""),"OK","ERRO: faltam "&amp;IF(A1349="","Conta; ","")&amp;IF(B1349="","Oportunidade; ","")&amp;IF(E1349="","Novo gerente; ","")))</f>
      </c>
      <c r="I1349" s="6">
        <f>IF(COUNTA(A1349:F1349)=0,"",IF(AND(G1349="OK",H1349="OK"),"OK","REVISAR"))</f>
      </c>
    </row>
    <row r="1350">
      <c r="A1350" s="5"/>
      <c r="B1350" s="5"/>
      <c r="C1350" s="4"/>
      <c r="D1350" s="4"/>
      <c r="E1350" s="5"/>
      <c r="F1350" s="4"/>
      <c r="G1350" s="6">
        <f>IF(AND(A1350="",B1350=""),"",IF(COUNTIFS($A$2:$A$2001,A1350,$B$2:$B$2001,B1350)&gt;1,"DUPLICADO","OK"))</f>
      </c>
      <c r="H1350" s="6">
        <f>IF(COUNTA(A1350:F1350)=0,"",IF(AND(A1350&lt;&gt;"",B1350&lt;&gt;"",E1350&lt;&gt;""),"OK","ERRO: faltam "&amp;IF(A1350="","Conta; ","")&amp;IF(B1350="","Oportunidade; ","")&amp;IF(E1350="","Novo gerente; ","")))</f>
      </c>
      <c r="I1350" s="6">
        <f>IF(COUNTA(A1350:F1350)=0,"",IF(AND(G1350="OK",H1350="OK"),"OK","REVISAR"))</f>
      </c>
    </row>
    <row r="1351">
      <c r="A1351" s="5"/>
      <c r="B1351" s="5"/>
      <c r="C1351" s="4"/>
      <c r="D1351" s="4"/>
      <c r="E1351" s="5"/>
      <c r="F1351" s="4"/>
      <c r="G1351" s="6">
        <f>IF(AND(A1351="",B1351=""),"",IF(COUNTIFS($A$2:$A$2001,A1351,$B$2:$B$2001,B1351)&gt;1,"DUPLICADO","OK"))</f>
      </c>
      <c r="H1351" s="6">
        <f>IF(COUNTA(A1351:F1351)=0,"",IF(AND(A1351&lt;&gt;"",B1351&lt;&gt;"",E1351&lt;&gt;""),"OK","ERRO: faltam "&amp;IF(A1351="","Conta; ","")&amp;IF(B1351="","Oportunidade; ","")&amp;IF(E1351="","Novo gerente; ","")))</f>
      </c>
      <c r="I1351" s="6">
        <f>IF(COUNTA(A1351:F1351)=0,"",IF(AND(G1351="OK",H1351="OK"),"OK","REVISAR"))</f>
      </c>
    </row>
    <row r="1352">
      <c r="A1352" s="5"/>
      <c r="B1352" s="5"/>
      <c r="C1352" s="4"/>
      <c r="D1352" s="4"/>
      <c r="E1352" s="5"/>
      <c r="F1352" s="4"/>
      <c r="G1352" s="6">
        <f>IF(AND(A1352="",B1352=""),"",IF(COUNTIFS($A$2:$A$2001,A1352,$B$2:$B$2001,B1352)&gt;1,"DUPLICADO","OK"))</f>
      </c>
      <c r="H1352" s="6">
        <f>IF(COUNTA(A1352:F1352)=0,"",IF(AND(A1352&lt;&gt;"",B1352&lt;&gt;"",E1352&lt;&gt;""),"OK","ERRO: faltam "&amp;IF(A1352="","Conta; ","")&amp;IF(B1352="","Oportunidade; ","")&amp;IF(E1352="","Novo gerente; ","")))</f>
      </c>
      <c r="I1352" s="6">
        <f>IF(COUNTA(A1352:F1352)=0,"",IF(AND(G1352="OK",H1352="OK"),"OK","REVISAR"))</f>
      </c>
    </row>
    <row r="1353">
      <c r="A1353" s="5"/>
      <c r="B1353" s="5"/>
      <c r="C1353" s="4"/>
      <c r="D1353" s="4"/>
      <c r="E1353" s="5"/>
      <c r="F1353" s="4"/>
      <c r="G1353" s="6">
        <f>IF(AND(A1353="",B1353=""),"",IF(COUNTIFS($A$2:$A$2001,A1353,$B$2:$B$2001,B1353)&gt;1,"DUPLICADO","OK"))</f>
      </c>
      <c r="H1353" s="6">
        <f>IF(COUNTA(A1353:F1353)=0,"",IF(AND(A1353&lt;&gt;"",B1353&lt;&gt;"",E1353&lt;&gt;""),"OK","ERRO: faltam "&amp;IF(A1353="","Conta; ","")&amp;IF(B1353="","Oportunidade; ","")&amp;IF(E1353="","Novo gerente; ","")))</f>
      </c>
      <c r="I1353" s="6">
        <f>IF(COUNTA(A1353:F1353)=0,"",IF(AND(G1353="OK",H1353="OK"),"OK","REVISAR"))</f>
      </c>
    </row>
    <row r="1354">
      <c r="A1354" s="5"/>
      <c r="B1354" s="5"/>
      <c r="C1354" s="4"/>
      <c r="D1354" s="4"/>
      <c r="E1354" s="5"/>
      <c r="F1354" s="4"/>
      <c r="G1354" s="6">
        <f>IF(AND(A1354="",B1354=""),"",IF(COUNTIFS($A$2:$A$2001,A1354,$B$2:$B$2001,B1354)&gt;1,"DUPLICADO","OK"))</f>
      </c>
      <c r="H1354" s="6">
        <f>IF(COUNTA(A1354:F1354)=0,"",IF(AND(A1354&lt;&gt;"",B1354&lt;&gt;"",E1354&lt;&gt;""),"OK","ERRO: faltam "&amp;IF(A1354="","Conta; ","")&amp;IF(B1354="","Oportunidade; ","")&amp;IF(E1354="","Novo gerente; ","")))</f>
      </c>
      <c r="I1354" s="6">
        <f>IF(COUNTA(A1354:F1354)=0,"",IF(AND(G1354="OK",H1354="OK"),"OK","REVISAR"))</f>
      </c>
    </row>
    <row r="1355">
      <c r="A1355" s="5"/>
      <c r="B1355" s="5"/>
      <c r="C1355" s="4"/>
      <c r="D1355" s="4"/>
      <c r="E1355" s="5"/>
      <c r="F1355" s="4"/>
      <c r="G1355" s="6">
        <f>IF(AND(A1355="",B1355=""),"",IF(COUNTIFS($A$2:$A$2001,A1355,$B$2:$B$2001,B1355)&gt;1,"DUPLICADO","OK"))</f>
      </c>
      <c r="H1355" s="6">
        <f>IF(COUNTA(A1355:F1355)=0,"",IF(AND(A1355&lt;&gt;"",B1355&lt;&gt;"",E1355&lt;&gt;""),"OK","ERRO: faltam "&amp;IF(A1355="","Conta; ","")&amp;IF(B1355="","Oportunidade; ","")&amp;IF(E1355="","Novo gerente; ","")))</f>
      </c>
      <c r="I1355" s="6">
        <f>IF(COUNTA(A1355:F1355)=0,"",IF(AND(G1355="OK",H1355="OK"),"OK","REVISAR"))</f>
      </c>
    </row>
    <row r="1356">
      <c r="A1356" s="5"/>
      <c r="B1356" s="5"/>
      <c r="C1356" s="4"/>
      <c r="D1356" s="4"/>
      <c r="E1356" s="5"/>
      <c r="F1356" s="4"/>
      <c r="G1356" s="6">
        <f>IF(AND(A1356="",B1356=""),"",IF(COUNTIFS($A$2:$A$2001,A1356,$B$2:$B$2001,B1356)&gt;1,"DUPLICADO","OK"))</f>
      </c>
      <c r="H1356" s="6">
        <f>IF(COUNTA(A1356:F1356)=0,"",IF(AND(A1356&lt;&gt;"",B1356&lt;&gt;"",E1356&lt;&gt;""),"OK","ERRO: faltam "&amp;IF(A1356="","Conta; ","")&amp;IF(B1356="","Oportunidade; ","")&amp;IF(E1356="","Novo gerente; ","")))</f>
      </c>
      <c r="I1356" s="6">
        <f>IF(COUNTA(A1356:F1356)=0,"",IF(AND(G1356="OK",H1356="OK"),"OK","REVISAR"))</f>
      </c>
    </row>
    <row r="1357">
      <c r="A1357" s="5"/>
      <c r="B1357" s="5"/>
      <c r="C1357" s="4"/>
      <c r="D1357" s="4"/>
      <c r="E1357" s="5"/>
      <c r="F1357" s="4"/>
      <c r="G1357" s="6">
        <f>IF(AND(A1357="",B1357=""),"",IF(COUNTIFS($A$2:$A$2001,A1357,$B$2:$B$2001,B1357)&gt;1,"DUPLICADO","OK"))</f>
      </c>
      <c r="H1357" s="6">
        <f>IF(COUNTA(A1357:F1357)=0,"",IF(AND(A1357&lt;&gt;"",B1357&lt;&gt;"",E1357&lt;&gt;""),"OK","ERRO: faltam "&amp;IF(A1357="","Conta; ","")&amp;IF(B1357="","Oportunidade; ","")&amp;IF(E1357="","Novo gerente; ","")))</f>
      </c>
      <c r="I1357" s="6">
        <f>IF(COUNTA(A1357:F1357)=0,"",IF(AND(G1357="OK",H1357="OK"),"OK","REVISAR"))</f>
      </c>
    </row>
    <row r="1358">
      <c r="A1358" s="5"/>
      <c r="B1358" s="5"/>
      <c r="C1358" s="4"/>
      <c r="D1358" s="4"/>
      <c r="E1358" s="5"/>
      <c r="F1358" s="4"/>
      <c r="G1358" s="6">
        <f>IF(AND(A1358="",B1358=""),"",IF(COUNTIFS($A$2:$A$2001,A1358,$B$2:$B$2001,B1358)&gt;1,"DUPLICADO","OK"))</f>
      </c>
      <c r="H1358" s="6">
        <f>IF(COUNTA(A1358:F1358)=0,"",IF(AND(A1358&lt;&gt;"",B1358&lt;&gt;"",E1358&lt;&gt;""),"OK","ERRO: faltam "&amp;IF(A1358="","Conta; ","")&amp;IF(B1358="","Oportunidade; ","")&amp;IF(E1358="","Novo gerente; ","")))</f>
      </c>
      <c r="I1358" s="6">
        <f>IF(COUNTA(A1358:F1358)=0,"",IF(AND(G1358="OK",H1358="OK"),"OK","REVISAR"))</f>
      </c>
    </row>
    <row r="1359">
      <c r="A1359" s="5"/>
      <c r="B1359" s="5"/>
      <c r="C1359" s="4"/>
      <c r="D1359" s="4"/>
      <c r="E1359" s="5"/>
      <c r="F1359" s="4"/>
      <c r="G1359" s="6">
        <f>IF(AND(A1359="",B1359=""),"",IF(COUNTIFS($A$2:$A$2001,A1359,$B$2:$B$2001,B1359)&gt;1,"DUPLICADO","OK"))</f>
      </c>
      <c r="H1359" s="6">
        <f>IF(COUNTA(A1359:F1359)=0,"",IF(AND(A1359&lt;&gt;"",B1359&lt;&gt;"",E1359&lt;&gt;""),"OK","ERRO: faltam "&amp;IF(A1359="","Conta; ","")&amp;IF(B1359="","Oportunidade; ","")&amp;IF(E1359="","Novo gerente; ","")))</f>
      </c>
      <c r="I1359" s="6">
        <f>IF(COUNTA(A1359:F1359)=0,"",IF(AND(G1359="OK",H1359="OK"),"OK","REVISAR"))</f>
      </c>
    </row>
    <row r="1360">
      <c r="A1360" s="5"/>
      <c r="B1360" s="5"/>
      <c r="C1360" s="4"/>
      <c r="D1360" s="4"/>
      <c r="E1360" s="5"/>
      <c r="F1360" s="4"/>
      <c r="G1360" s="6">
        <f>IF(AND(A1360="",B1360=""),"",IF(COUNTIFS($A$2:$A$2001,A1360,$B$2:$B$2001,B1360)&gt;1,"DUPLICADO","OK"))</f>
      </c>
      <c r="H1360" s="6">
        <f>IF(COUNTA(A1360:F1360)=0,"",IF(AND(A1360&lt;&gt;"",B1360&lt;&gt;"",E1360&lt;&gt;""),"OK","ERRO: faltam "&amp;IF(A1360="","Conta; ","")&amp;IF(B1360="","Oportunidade; ","")&amp;IF(E1360="","Novo gerente; ","")))</f>
      </c>
      <c r="I1360" s="6">
        <f>IF(COUNTA(A1360:F1360)=0,"",IF(AND(G1360="OK",H1360="OK"),"OK","REVISAR"))</f>
      </c>
    </row>
    <row r="1361">
      <c r="A1361" s="5"/>
      <c r="B1361" s="5"/>
      <c r="C1361" s="4"/>
      <c r="D1361" s="4"/>
      <c r="E1361" s="5"/>
      <c r="F1361" s="4"/>
      <c r="G1361" s="6">
        <f>IF(AND(A1361="",B1361=""),"",IF(COUNTIFS($A$2:$A$2001,A1361,$B$2:$B$2001,B1361)&gt;1,"DUPLICADO","OK"))</f>
      </c>
      <c r="H1361" s="6">
        <f>IF(COUNTA(A1361:F1361)=0,"",IF(AND(A1361&lt;&gt;"",B1361&lt;&gt;"",E1361&lt;&gt;""),"OK","ERRO: faltam "&amp;IF(A1361="","Conta; ","")&amp;IF(B1361="","Oportunidade; ","")&amp;IF(E1361="","Novo gerente; ","")))</f>
      </c>
      <c r="I1361" s="6">
        <f>IF(COUNTA(A1361:F1361)=0,"",IF(AND(G1361="OK",H1361="OK"),"OK","REVISAR"))</f>
      </c>
    </row>
    <row r="1362">
      <c r="A1362" s="5"/>
      <c r="B1362" s="5"/>
      <c r="C1362" s="4"/>
      <c r="D1362" s="4"/>
      <c r="E1362" s="5"/>
      <c r="F1362" s="4"/>
      <c r="G1362" s="6">
        <f>IF(AND(A1362="",B1362=""),"",IF(COUNTIFS($A$2:$A$2001,A1362,$B$2:$B$2001,B1362)&gt;1,"DUPLICADO","OK"))</f>
      </c>
      <c r="H1362" s="6">
        <f>IF(COUNTA(A1362:F1362)=0,"",IF(AND(A1362&lt;&gt;"",B1362&lt;&gt;"",E1362&lt;&gt;""),"OK","ERRO: faltam "&amp;IF(A1362="","Conta; ","")&amp;IF(B1362="","Oportunidade; ","")&amp;IF(E1362="","Novo gerente; ","")))</f>
      </c>
      <c r="I1362" s="6">
        <f>IF(COUNTA(A1362:F1362)=0,"",IF(AND(G1362="OK",H1362="OK"),"OK","REVISAR"))</f>
      </c>
    </row>
    <row r="1363">
      <c r="A1363" s="5"/>
      <c r="B1363" s="5"/>
      <c r="C1363" s="4"/>
      <c r="D1363" s="4"/>
      <c r="E1363" s="5"/>
      <c r="F1363" s="4"/>
      <c r="G1363" s="6">
        <f>IF(AND(A1363="",B1363=""),"",IF(COUNTIFS($A$2:$A$2001,A1363,$B$2:$B$2001,B1363)&gt;1,"DUPLICADO","OK"))</f>
      </c>
      <c r="H1363" s="6">
        <f>IF(COUNTA(A1363:F1363)=0,"",IF(AND(A1363&lt;&gt;"",B1363&lt;&gt;"",E1363&lt;&gt;""),"OK","ERRO: faltam "&amp;IF(A1363="","Conta; ","")&amp;IF(B1363="","Oportunidade; ","")&amp;IF(E1363="","Novo gerente; ","")))</f>
      </c>
      <c r="I1363" s="6">
        <f>IF(COUNTA(A1363:F1363)=0,"",IF(AND(G1363="OK",H1363="OK"),"OK","REVISAR"))</f>
      </c>
    </row>
    <row r="1364">
      <c r="A1364" s="5"/>
      <c r="B1364" s="5"/>
      <c r="C1364" s="4"/>
      <c r="D1364" s="4"/>
      <c r="E1364" s="5"/>
      <c r="F1364" s="4"/>
      <c r="G1364" s="6">
        <f>IF(AND(A1364="",B1364=""),"",IF(COUNTIFS($A$2:$A$2001,A1364,$B$2:$B$2001,B1364)&gt;1,"DUPLICADO","OK"))</f>
      </c>
      <c r="H1364" s="6">
        <f>IF(COUNTA(A1364:F1364)=0,"",IF(AND(A1364&lt;&gt;"",B1364&lt;&gt;"",E1364&lt;&gt;""),"OK","ERRO: faltam "&amp;IF(A1364="","Conta; ","")&amp;IF(B1364="","Oportunidade; ","")&amp;IF(E1364="","Novo gerente; ","")))</f>
      </c>
      <c r="I1364" s="6">
        <f>IF(COUNTA(A1364:F1364)=0,"",IF(AND(G1364="OK",H1364="OK"),"OK","REVISAR"))</f>
      </c>
    </row>
    <row r="1365">
      <c r="A1365" s="5"/>
      <c r="B1365" s="5"/>
      <c r="C1365" s="4"/>
      <c r="D1365" s="4"/>
      <c r="E1365" s="5"/>
      <c r="F1365" s="4"/>
      <c r="G1365" s="6">
        <f>IF(AND(A1365="",B1365=""),"",IF(COUNTIFS($A$2:$A$2001,A1365,$B$2:$B$2001,B1365)&gt;1,"DUPLICADO","OK"))</f>
      </c>
      <c r="H1365" s="6">
        <f>IF(COUNTA(A1365:F1365)=0,"",IF(AND(A1365&lt;&gt;"",B1365&lt;&gt;"",E1365&lt;&gt;""),"OK","ERRO: faltam "&amp;IF(A1365="","Conta; ","")&amp;IF(B1365="","Oportunidade; ","")&amp;IF(E1365="","Novo gerente; ","")))</f>
      </c>
      <c r="I1365" s="6">
        <f>IF(COUNTA(A1365:F1365)=0,"",IF(AND(G1365="OK",H1365="OK"),"OK","REVISAR"))</f>
      </c>
    </row>
    <row r="1366">
      <c r="A1366" s="5"/>
      <c r="B1366" s="5"/>
      <c r="C1366" s="4"/>
      <c r="D1366" s="4"/>
      <c r="E1366" s="5"/>
      <c r="F1366" s="4"/>
      <c r="G1366" s="6">
        <f>IF(AND(A1366="",B1366=""),"",IF(COUNTIFS($A$2:$A$2001,A1366,$B$2:$B$2001,B1366)&gt;1,"DUPLICADO","OK"))</f>
      </c>
      <c r="H1366" s="6">
        <f>IF(COUNTA(A1366:F1366)=0,"",IF(AND(A1366&lt;&gt;"",B1366&lt;&gt;"",E1366&lt;&gt;""),"OK","ERRO: faltam "&amp;IF(A1366="","Conta; ","")&amp;IF(B1366="","Oportunidade; ","")&amp;IF(E1366="","Novo gerente; ","")))</f>
      </c>
      <c r="I1366" s="6">
        <f>IF(COUNTA(A1366:F1366)=0,"",IF(AND(G1366="OK",H1366="OK"),"OK","REVISAR"))</f>
      </c>
    </row>
    <row r="1367">
      <c r="A1367" s="5"/>
      <c r="B1367" s="5"/>
      <c r="C1367" s="4"/>
      <c r="D1367" s="4"/>
      <c r="E1367" s="5"/>
      <c r="F1367" s="4"/>
      <c r="G1367" s="6">
        <f>IF(AND(A1367="",B1367=""),"",IF(COUNTIFS($A$2:$A$2001,A1367,$B$2:$B$2001,B1367)&gt;1,"DUPLICADO","OK"))</f>
      </c>
      <c r="H1367" s="6">
        <f>IF(COUNTA(A1367:F1367)=0,"",IF(AND(A1367&lt;&gt;"",B1367&lt;&gt;"",E1367&lt;&gt;""),"OK","ERRO: faltam "&amp;IF(A1367="","Conta; ","")&amp;IF(B1367="","Oportunidade; ","")&amp;IF(E1367="","Novo gerente; ","")))</f>
      </c>
      <c r="I1367" s="6">
        <f>IF(COUNTA(A1367:F1367)=0,"",IF(AND(G1367="OK",H1367="OK"),"OK","REVISAR"))</f>
      </c>
    </row>
    <row r="1368">
      <c r="A1368" s="5"/>
      <c r="B1368" s="5"/>
      <c r="C1368" s="4"/>
      <c r="D1368" s="4"/>
      <c r="E1368" s="5"/>
      <c r="F1368" s="4"/>
      <c r="G1368" s="6">
        <f>IF(AND(A1368="",B1368=""),"",IF(COUNTIFS($A$2:$A$2001,A1368,$B$2:$B$2001,B1368)&gt;1,"DUPLICADO","OK"))</f>
      </c>
      <c r="H1368" s="6">
        <f>IF(COUNTA(A1368:F1368)=0,"",IF(AND(A1368&lt;&gt;"",B1368&lt;&gt;"",E1368&lt;&gt;""),"OK","ERRO: faltam "&amp;IF(A1368="","Conta; ","")&amp;IF(B1368="","Oportunidade; ","")&amp;IF(E1368="","Novo gerente; ","")))</f>
      </c>
      <c r="I1368" s="6">
        <f>IF(COUNTA(A1368:F1368)=0,"",IF(AND(G1368="OK",H1368="OK"),"OK","REVISAR"))</f>
      </c>
    </row>
    <row r="1369">
      <c r="A1369" s="5"/>
      <c r="B1369" s="5"/>
      <c r="C1369" s="4"/>
      <c r="D1369" s="4"/>
      <c r="E1369" s="5"/>
      <c r="F1369" s="4"/>
      <c r="G1369" s="6">
        <f>IF(AND(A1369="",B1369=""),"",IF(COUNTIFS($A$2:$A$2001,A1369,$B$2:$B$2001,B1369)&gt;1,"DUPLICADO","OK"))</f>
      </c>
      <c r="H1369" s="6">
        <f>IF(COUNTA(A1369:F1369)=0,"",IF(AND(A1369&lt;&gt;"",B1369&lt;&gt;"",E1369&lt;&gt;""),"OK","ERRO: faltam "&amp;IF(A1369="","Conta; ","")&amp;IF(B1369="","Oportunidade; ","")&amp;IF(E1369="","Novo gerente; ","")))</f>
      </c>
      <c r="I1369" s="6">
        <f>IF(COUNTA(A1369:F1369)=0,"",IF(AND(G1369="OK",H1369="OK"),"OK","REVISAR"))</f>
      </c>
    </row>
    <row r="1370">
      <c r="A1370" s="5"/>
      <c r="B1370" s="5"/>
      <c r="C1370" s="4"/>
      <c r="D1370" s="4"/>
      <c r="E1370" s="5"/>
      <c r="F1370" s="4"/>
      <c r="G1370" s="6">
        <f>IF(AND(A1370="",B1370=""),"",IF(COUNTIFS($A$2:$A$2001,A1370,$B$2:$B$2001,B1370)&gt;1,"DUPLICADO","OK"))</f>
      </c>
      <c r="H1370" s="6">
        <f>IF(COUNTA(A1370:F1370)=0,"",IF(AND(A1370&lt;&gt;"",B1370&lt;&gt;"",E1370&lt;&gt;""),"OK","ERRO: faltam "&amp;IF(A1370="","Conta; ","")&amp;IF(B1370="","Oportunidade; ","")&amp;IF(E1370="","Novo gerente; ","")))</f>
      </c>
      <c r="I1370" s="6">
        <f>IF(COUNTA(A1370:F1370)=0,"",IF(AND(G1370="OK",H1370="OK"),"OK","REVISAR"))</f>
      </c>
    </row>
    <row r="1371">
      <c r="A1371" s="5"/>
      <c r="B1371" s="5"/>
      <c r="C1371" s="4"/>
      <c r="D1371" s="4"/>
      <c r="E1371" s="5"/>
      <c r="F1371" s="4"/>
      <c r="G1371" s="6">
        <f>IF(AND(A1371="",B1371=""),"",IF(COUNTIFS($A$2:$A$2001,A1371,$B$2:$B$2001,B1371)&gt;1,"DUPLICADO","OK"))</f>
      </c>
      <c r="H1371" s="6">
        <f>IF(COUNTA(A1371:F1371)=0,"",IF(AND(A1371&lt;&gt;"",B1371&lt;&gt;"",E1371&lt;&gt;""),"OK","ERRO: faltam "&amp;IF(A1371="","Conta; ","")&amp;IF(B1371="","Oportunidade; ","")&amp;IF(E1371="","Novo gerente; ","")))</f>
      </c>
      <c r="I1371" s="6">
        <f>IF(COUNTA(A1371:F1371)=0,"",IF(AND(G1371="OK",H1371="OK"),"OK","REVISAR"))</f>
      </c>
    </row>
    <row r="1372">
      <c r="A1372" s="5"/>
      <c r="B1372" s="5"/>
      <c r="C1372" s="4"/>
      <c r="D1372" s="4"/>
      <c r="E1372" s="5"/>
      <c r="F1372" s="4"/>
      <c r="G1372" s="6">
        <f>IF(AND(A1372="",B1372=""),"",IF(COUNTIFS($A$2:$A$2001,A1372,$B$2:$B$2001,B1372)&gt;1,"DUPLICADO","OK"))</f>
      </c>
      <c r="H1372" s="6">
        <f>IF(COUNTA(A1372:F1372)=0,"",IF(AND(A1372&lt;&gt;"",B1372&lt;&gt;"",E1372&lt;&gt;""),"OK","ERRO: faltam "&amp;IF(A1372="","Conta; ","")&amp;IF(B1372="","Oportunidade; ","")&amp;IF(E1372="","Novo gerente; ","")))</f>
      </c>
      <c r="I1372" s="6">
        <f>IF(COUNTA(A1372:F1372)=0,"",IF(AND(G1372="OK",H1372="OK"),"OK","REVISAR"))</f>
      </c>
    </row>
    <row r="1373">
      <c r="A1373" s="5"/>
      <c r="B1373" s="5"/>
      <c r="C1373" s="4"/>
      <c r="D1373" s="4"/>
      <c r="E1373" s="5"/>
      <c r="F1373" s="4"/>
      <c r="G1373" s="6">
        <f>IF(AND(A1373="",B1373=""),"",IF(COUNTIFS($A$2:$A$2001,A1373,$B$2:$B$2001,B1373)&gt;1,"DUPLICADO","OK"))</f>
      </c>
      <c r="H1373" s="6">
        <f>IF(COUNTA(A1373:F1373)=0,"",IF(AND(A1373&lt;&gt;"",B1373&lt;&gt;"",E1373&lt;&gt;""),"OK","ERRO: faltam "&amp;IF(A1373="","Conta; ","")&amp;IF(B1373="","Oportunidade; ","")&amp;IF(E1373="","Novo gerente; ","")))</f>
      </c>
      <c r="I1373" s="6">
        <f>IF(COUNTA(A1373:F1373)=0,"",IF(AND(G1373="OK",H1373="OK"),"OK","REVISAR"))</f>
      </c>
    </row>
    <row r="1374">
      <c r="A1374" s="5"/>
      <c r="B1374" s="5"/>
      <c r="C1374" s="4"/>
      <c r="D1374" s="4"/>
      <c r="E1374" s="5"/>
      <c r="F1374" s="4"/>
      <c r="G1374" s="6">
        <f>IF(AND(A1374="",B1374=""),"",IF(COUNTIFS($A$2:$A$2001,A1374,$B$2:$B$2001,B1374)&gt;1,"DUPLICADO","OK"))</f>
      </c>
      <c r="H1374" s="6">
        <f>IF(COUNTA(A1374:F1374)=0,"",IF(AND(A1374&lt;&gt;"",B1374&lt;&gt;"",E1374&lt;&gt;""),"OK","ERRO: faltam "&amp;IF(A1374="","Conta; ","")&amp;IF(B1374="","Oportunidade; ","")&amp;IF(E1374="","Novo gerente; ","")))</f>
      </c>
      <c r="I1374" s="6">
        <f>IF(COUNTA(A1374:F1374)=0,"",IF(AND(G1374="OK",H1374="OK"),"OK","REVISAR"))</f>
      </c>
    </row>
    <row r="1375">
      <c r="A1375" s="5"/>
      <c r="B1375" s="5"/>
      <c r="C1375" s="4"/>
      <c r="D1375" s="4"/>
      <c r="E1375" s="5"/>
      <c r="F1375" s="4"/>
      <c r="G1375" s="6">
        <f>IF(AND(A1375="",B1375=""),"",IF(COUNTIFS($A$2:$A$2001,A1375,$B$2:$B$2001,B1375)&gt;1,"DUPLICADO","OK"))</f>
      </c>
      <c r="H1375" s="6">
        <f>IF(COUNTA(A1375:F1375)=0,"",IF(AND(A1375&lt;&gt;"",B1375&lt;&gt;"",E1375&lt;&gt;""),"OK","ERRO: faltam "&amp;IF(A1375="","Conta; ","")&amp;IF(B1375="","Oportunidade; ","")&amp;IF(E1375="","Novo gerente; ","")))</f>
      </c>
      <c r="I1375" s="6">
        <f>IF(COUNTA(A1375:F1375)=0,"",IF(AND(G1375="OK",H1375="OK"),"OK","REVISAR"))</f>
      </c>
    </row>
    <row r="1376">
      <c r="A1376" s="5"/>
      <c r="B1376" s="5"/>
      <c r="C1376" s="4"/>
      <c r="D1376" s="4"/>
      <c r="E1376" s="5"/>
      <c r="F1376" s="4"/>
      <c r="G1376" s="6">
        <f>IF(AND(A1376="",B1376=""),"",IF(COUNTIFS($A$2:$A$2001,A1376,$B$2:$B$2001,B1376)&gt;1,"DUPLICADO","OK"))</f>
      </c>
      <c r="H1376" s="6">
        <f>IF(COUNTA(A1376:F1376)=0,"",IF(AND(A1376&lt;&gt;"",B1376&lt;&gt;"",E1376&lt;&gt;""),"OK","ERRO: faltam "&amp;IF(A1376="","Conta; ","")&amp;IF(B1376="","Oportunidade; ","")&amp;IF(E1376="","Novo gerente; ","")))</f>
      </c>
      <c r="I1376" s="6">
        <f>IF(COUNTA(A1376:F1376)=0,"",IF(AND(G1376="OK",H1376="OK"),"OK","REVISAR"))</f>
      </c>
    </row>
    <row r="1377">
      <c r="A1377" s="5"/>
      <c r="B1377" s="5"/>
      <c r="C1377" s="4"/>
      <c r="D1377" s="4"/>
      <c r="E1377" s="5"/>
      <c r="F1377" s="4"/>
      <c r="G1377" s="6">
        <f>IF(AND(A1377="",B1377=""),"",IF(COUNTIFS($A$2:$A$2001,A1377,$B$2:$B$2001,B1377)&gt;1,"DUPLICADO","OK"))</f>
      </c>
      <c r="H1377" s="6">
        <f>IF(COUNTA(A1377:F1377)=0,"",IF(AND(A1377&lt;&gt;"",B1377&lt;&gt;"",E1377&lt;&gt;""),"OK","ERRO: faltam "&amp;IF(A1377="","Conta; ","")&amp;IF(B1377="","Oportunidade; ","")&amp;IF(E1377="","Novo gerente; ","")))</f>
      </c>
      <c r="I1377" s="6">
        <f>IF(COUNTA(A1377:F1377)=0,"",IF(AND(G1377="OK",H1377="OK"),"OK","REVISAR"))</f>
      </c>
    </row>
    <row r="1378">
      <c r="A1378" s="5"/>
      <c r="B1378" s="5"/>
      <c r="C1378" s="4"/>
      <c r="D1378" s="4"/>
      <c r="E1378" s="5"/>
      <c r="F1378" s="4"/>
      <c r="G1378" s="6">
        <f>IF(AND(A1378="",B1378=""),"",IF(COUNTIFS($A$2:$A$2001,A1378,$B$2:$B$2001,B1378)&gt;1,"DUPLICADO","OK"))</f>
      </c>
      <c r="H1378" s="6">
        <f>IF(COUNTA(A1378:F1378)=0,"",IF(AND(A1378&lt;&gt;"",B1378&lt;&gt;"",E1378&lt;&gt;""),"OK","ERRO: faltam "&amp;IF(A1378="","Conta; ","")&amp;IF(B1378="","Oportunidade; ","")&amp;IF(E1378="","Novo gerente; ","")))</f>
      </c>
      <c r="I1378" s="6">
        <f>IF(COUNTA(A1378:F1378)=0,"",IF(AND(G1378="OK",H1378="OK"),"OK","REVISAR"))</f>
      </c>
    </row>
    <row r="1379">
      <c r="A1379" s="5"/>
      <c r="B1379" s="5"/>
      <c r="C1379" s="4"/>
      <c r="D1379" s="4"/>
      <c r="E1379" s="5"/>
      <c r="F1379" s="4"/>
      <c r="G1379" s="6">
        <f>IF(AND(A1379="",B1379=""),"",IF(COUNTIFS($A$2:$A$2001,A1379,$B$2:$B$2001,B1379)&gt;1,"DUPLICADO","OK"))</f>
      </c>
      <c r="H1379" s="6">
        <f>IF(COUNTA(A1379:F1379)=0,"",IF(AND(A1379&lt;&gt;"",B1379&lt;&gt;"",E1379&lt;&gt;""),"OK","ERRO: faltam "&amp;IF(A1379="","Conta; ","")&amp;IF(B1379="","Oportunidade; ","")&amp;IF(E1379="","Novo gerente; ","")))</f>
      </c>
      <c r="I1379" s="6">
        <f>IF(COUNTA(A1379:F1379)=0,"",IF(AND(G1379="OK",H1379="OK"),"OK","REVISAR"))</f>
      </c>
    </row>
    <row r="1380">
      <c r="A1380" s="5"/>
      <c r="B1380" s="5"/>
      <c r="C1380" s="4"/>
      <c r="D1380" s="4"/>
      <c r="E1380" s="5"/>
      <c r="F1380" s="4"/>
      <c r="G1380" s="6">
        <f>IF(AND(A1380="",B1380=""),"",IF(COUNTIFS($A$2:$A$2001,A1380,$B$2:$B$2001,B1380)&gt;1,"DUPLICADO","OK"))</f>
      </c>
      <c r="H1380" s="6">
        <f>IF(COUNTA(A1380:F1380)=0,"",IF(AND(A1380&lt;&gt;"",B1380&lt;&gt;"",E1380&lt;&gt;""),"OK","ERRO: faltam "&amp;IF(A1380="","Conta; ","")&amp;IF(B1380="","Oportunidade; ","")&amp;IF(E1380="","Novo gerente; ","")))</f>
      </c>
      <c r="I1380" s="6">
        <f>IF(COUNTA(A1380:F1380)=0,"",IF(AND(G1380="OK",H1380="OK"),"OK","REVISAR"))</f>
      </c>
    </row>
    <row r="1381">
      <c r="A1381" s="5"/>
      <c r="B1381" s="5"/>
      <c r="C1381" s="4"/>
      <c r="D1381" s="4"/>
      <c r="E1381" s="5"/>
      <c r="F1381" s="4"/>
      <c r="G1381" s="6">
        <f>IF(AND(A1381="",B1381=""),"",IF(COUNTIFS($A$2:$A$2001,A1381,$B$2:$B$2001,B1381)&gt;1,"DUPLICADO","OK"))</f>
      </c>
      <c r="H1381" s="6">
        <f>IF(COUNTA(A1381:F1381)=0,"",IF(AND(A1381&lt;&gt;"",B1381&lt;&gt;"",E1381&lt;&gt;""),"OK","ERRO: faltam "&amp;IF(A1381="","Conta; ","")&amp;IF(B1381="","Oportunidade; ","")&amp;IF(E1381="","Novo gerente; ","")))</f>
      </c>
      <c r="I1381" s="6">
        <f>IF(COUNTA(A1381:F1381)=0,"",IF(AND(G1381="OK",H1381="OK"),"OK","REVISAR"))</f>
      </c>
    </row>
    <row r="1382">
      <c r="A1382" s="5"/>
      <c r="B1382" s="5"/>
      <c r="C1382" s="4"/>
      <c r="D1382" s="4"/>
      <c r="E1382" s="5"/>
      <c r="F1382" s="4"/>
      <c r="G1382" s="6">
        <f>IF(AND(A1382="",B1382=""),"",IF(COUNTIFS($A$2:$A$2001,A1382,$B$2:$B$2001,B1382)&gt;1,"DUPLICADO","OK"))</f>
      </c>
      <c r="H1382" s="6">
        <f>IF(COUNTA(A1382:F1382)=0,"",IF(AND(A1382&lt;&gt;"",B1382&lt;&gt;"",E1382&lt;&gt;""),"OK","ERRO: faltam "&amp;IF(A1382="","Conta; ","")&amp;IF(B1382="","Oportunidade; ","")&amp;IF(E1382="","Novo gerente; ","")))</f>
      </c>
      <c r="I1382" s="6">
        <f>IF(COUNTA(A1382:F1382)=0,"",IF(AND(G1382="OK",H1382="OK"),"OK","REVISAR"))</f>
      </c>
    </row>
    <row r="1383">
      <c r="A1383" s="5"/>
      <c r="B1383" s="5"/>
      <c r="C1383" s="4"/>
      <c r="D1383" s="4"/>
      <c r="E1383" s="5"/>
      <c r="F1383" s="4"/>
      <c r="G1383" s="6">
        <f>IF(AND(A1383="",B1383=""),"",IF(COUNTIFS($A$2:$A$2001,A1383,$B$2:$B$2001,B1383)&gt;1,"DUPLICADO","OK"))</f>
      </c>
      <c r="H1383" s="6">
        <f>IF(COUNTA(A1383:F1383)=0,"",IF(AND(A1383&lt;&gt;"",B1383&lt;&gt;"",E1383&lt;&gt;""),"OK","ERRO: faltam "&amp;IF(A1383="","Conta; ","")&amp;IF(B1383="","Oportunidade; ","")&amp;IF(E1383="","Novo gerente; ","")))</f>
      </c>
      <c r="I1383" s="6">
        <f>IF(COUNTA(A1383:F1383)=0,"",IF(AND(G1383="OK",H1383="OK"),"OK","REVISAR"))</f>
      </c>
    </row>
    <row r="1384">
      <c r="A1384" s="5"/>
      <c r="B1384" s="5"/>
      <c r="C1384" s="4"/>
      <c r="D1384" s="4"/>
      <c r="E1384" s="5"/>
      <c r="F1384" s="4"/>
      <c r="G1384" s="6">
        <f>IF(AND(A1384="",B1384=""),"",IF(COUNTIFS($A$2:$A$2001,A1384,$B$2:$B$2001,B1384)&gt;1,"DUPLICADO","OK"))</f>
      </c>
      <c r="H1384" s="6">
        <f>IF(COUNTA(A1384:F1384)=0,"",IF(AND(A1384&lt;&gt;"",B1384&lt;&gt;"",E1384&lt;&gt;""),"OK","ERRO: faltam "&amp;IF(A1384="","Conta; ","")&amp;IF(B1384="","Oportunidade; ","")&amp;IF(E1384="","Novo gerente; ","")))</f>
      </c>
      <c r="I1384" s="6">
        <f>IF(COUNTA(A1384:F1384)=0,"",IF(AND(G1384="OK",H1384="OK"),"OK","REVISAR"))</f>
      </c>
    </row>
    <row r="1385">
      <c r="A1385" s="5"/>
      <c r="B1385" s="5"/>
      <c r="C1385" s="4"/>
      <c r="D1385" s="4"/>
      <c r="E1385" s="5"/>
      <c r="F1385" s="4"/>
      <c r="G1385" s="6">
        <f>IF(AND(A1385="",B1385=""),"",IF(COUNTIFS($A$2:$A$2001,A1385,$B$2:$B$2001,B1385)&gt;1,"DUPLICADO","OK"))</f>
      </c>
      <c r="H1385" s="6">
        <f>IF(COUNTA(A1385:F1385)=0,"",IF(AND(A1385&lt;&gt;"",B1385&lt;&gt;"",E1385&lt;&gt;""),"OK","ERRO: faltam "&amp;IF(A1385="","Conta; ","")&amp;IF(B1385="","Oportunidade; ","")&amp;IF(E1385="","Novo gerente; ","")))</f>
      </c>
      <c r="I1385" s="6">
        <f>IF(COUNTA(A1385:F1385)=0,"",IF(AND(G1385="OK",H1385="OK"),"OK","REVISAR"))</f>
      </c>
    </row>
    <row r="1386">
      <c r="A1386" s="5"/>
      <c r="B1386" s="5"/>
      <c r="C1386" s="4"/>
      <c r="D1386" s="4"/>
      <c r="E1386" s="5"/>
      <c r="F1386" s="4"/>
      <c r="G1386" s="6">
        <f>IF(AND(A1386="",B1386=""),"",IF(COUNTIFS($A$2:$A$2001,A1386,$B$2:$B$2001,B1386)&gt;1,"DUPLICADO","OK"))</f>
      </c>
      <c r="H1386" s="6">
        <f>IF(COUNTA(A1386:F1386)=0,"",IF(AND(A1386&lt;&gt;"",B1386&lt;&gt;"",E1386&lt;&gt;""),"OK","ERRO: faltam "&amp;IF(A1386="","Conta; ","")&amp;IF(B1386="","Oportunidade; ","")&amp;IF(E1386="","Novo gerente; ","")))</f>
      </c>
      <c r="I1386" s="6">
        <f>IF(COUNTA(A1386:F1386)=0,"",IF(AND(G1386="OK",H1386="OK"),"OK","REVISAR"))</f>
      </c>
    </row>
    <row r="1387">
      <c r="A1387" s="5"/>
      <c r="B1387" s="5"/>
      <c r="C1387" s="4"/>
      <c r="D1387" s="4"/>
      <c r="E1387" s="5"/>
      <c r="F1387" s="4"/>
      <c r="G1387" s="6">
        <f>IF(AND(A1387="",B1387=""),"",IF(COUNTIFS($A$2:$A$2001,A1387,$B$2:$B$2001,B1387)&gt;1,"DUPLICADO","OK"))</f>
      </c>
      <c r="H1387" s="6">
        <f>IF(COUNTA(A1387:F1387)=0,"",IF(AND(A1387&lt;&gt;"",B1387&lt;&gt;"",E1387&lt;&gt;""),"OK","ERRO: faltam "&amp;IF(A1387="","Conta; ","")&amp;IF(B1387="","Oportunidade; ","")&amp;IF(E1387="","Novo gerente; ","")))</f>
      </c>
      <c r="I1387" s="6">
        <f>IF(COUNTA(A1387:F1387)=0,"",IF(AND(G1387="OK",H1387="OK"),"OK","REVISAR"))</f>
      </c>
    </row>
    <row r="1388">
      <c r="A1388" s="5"/>
      <c r="B1388" s="5"/>
      <c r="C1388" s="4"/>
      <c r="D1388" s="4"/>
      <c r="E1388" s="5"/>
      <c r="F1388" s="4"/>
      <c r="G1388" s="6">
        <f>IF(AND(A1388="",B1388=""),"",IF(COUNTIFS($A$2:$A$2001,A1388,$B$2:$B$2001,B1388)&gt;1,"DUPLICADO","OK"))</f>
      </c>
      <c r="H1388" s="6">
        <f>IF(COUNTA(A1388:F1388)=0,"",IF(AND(A1388&lt;&gt;"",B1388&lt;&gt;"",E1388&lt;&gt;""),"OK","ERRO: faltam "&amp;IF(A1388="","Conta; ","")&amp;IF(B1388="","Oportunidade; ","")&amp;IF(E1388="","Novo gerente; ","")))</f>
      </c>
      <c r="I1388" s="6">
        <f>IF(COUNTA(A1388:F1388)=0,"",IF(AND(G1388="OK",H1388="OK"),"OK","REVISAR"))</f>
      </c>
    </row>
    <row r="1389">
      <c r="A1389" s="5"/>
      <c r="B1389" s="5"/>
      <c r="C1389" s="4"/>
      <c r="D1389" s="4"/>
      <c r="E1389" s="5"/>
      <c r="F1389" s="4"/>
      <c r="G1389" s="6">
        <f>IF(AND(A1389="",B1389=""),"",IF(COUNTIFS($A$2:$A$2001,A1389,$B$2:$B$2001,B1389)&gt;1,"DUPLICADO","OK"))</f>
      </c>
      <c r="H1389" s="6">
        <f>IF(COUNTA(A1389:F1389)=0,"",IF(AND(A1389&lt;&gt;"",B1389&lt;&gt;"",E1389&lt;&gt;""),"OK","ERRO: faltam "&amp;IF(A1389="","Conta; ","")&amp;IF(B1389="","Oportunidade; ","")&amp;IF(E1389="","Novo gerente; ","")))</f>
      </c>
      <c r="I1389" s="6">
        <f>IF(COUNTA(A1389:F1389)=0,"",IF(AND(G1389="OK",H1389="OK"),"OK","REVISAR"))</f>
      </c>
    </row>
    <row r="1390">
      <c r="A1390" s="5"/>
      <c r="B1390" s="5"/>
      <c r="C1390" s="4"/>
      <c r="D1390" s="4"/>
      <c r="E1390" s="5"/>
      <c r="F1390" s="4"/>
      <c r="G1390" s="6">
        <f>IF(AND(A1390="",B1390=""),"",IF(COUNTIFS($A$2:$A$2001,A1390,$B$2:$B$2001,B1390)&gt;1,"DUPLICADO","OK"))</f>
      </c>
      <c r="H1390" s="6">
        <f>IF(COUNTA(A1390:F1390)=0,"",IF(AND(A1390&lt;&gt;"",B1390&lt;&gt;"",E1390&lt;&gt;""),"OK","ERRO: faltam "&amp;IF(A1390="","Conta; ","")&amp;IF(B1390="","Oportunidade; ","")&amp;IF(E1390="","Novo gerente; ","")))</f>
      </c>
      <c r="I1390" s="6">
        <f>IF(COUNTA(A1390:F1390)=0,"",IF(AND(G1390="OK",H1390="OK"),"OK","REVISAR"))</f>
      </c>
    </row>
    <row r="1391">
      <c r="A1391" s="5"/>
      <c r="B1391" s="5"/>
      <c r="C1391" s="4"/>
      <c r="D1391" s="4"/>
      <c r="E1391" s="5"/>
      <c r="F1391" s="4"/>
      <c r="G1391" s="6">
        <f>IF(AND(A1391="",B1391=""),"",IF(COUNTIFS($A$2:$A$2001,A1391,$B$2:$B$2001,B1391)&gt;1,"DUPLICADO","OK"))</f>
      </c>
      <c r="H1391" s="6">
        <f>IF(COUNTA(A1391:F1391)=0,"",IF(AND(A1391&lt;&gt;"",B1391&lt;&gt;"",E1391&lt;&gt;""),"OK","ERRO: faltam "&amp;IF(A1391="","Conta; ","")&amp;IF(B1391="","Oportunidade; ","")&amp;IF(E1391="","Novo gerente; ","")))</f>
      </c>
      <c r="I1391" s="6">
        <f>IF(COUNTA(A1391:F1391)=0,"",IF(AND(G1391="OK",H1391="OK"),"OK","REVISAR"))</f>
      </c>
    </row>
    <row r="1392">
      <c r="A1392" s="5"/>
      <c r="B1392" s="5"/>
      <c r="C1392" s="4"/>
      <c r="D1392" s="4"/>
      <c r="E1392" s="5"/>
      <c r="F1392" s="4"/>
      <c r="G1392" s="6">
        <f>IF(AND(A1392="",B1392=""),"",IF(COUNTIFS($A$2:$A$2001,A1392,$B$2:$B$2001,B1392)&gt;1,"DUPLICADO","OK"))</f>
      </c>
      <c r="H1392" s="6">
        <f>IF(COUNTA(A1392:F1392)=0,"",IF(AND(A1392&lt;&gt;"",B1392&lt;&gt;"",E1392&lt;&gt;""),"OK","ERRO: faltam "&amp;IF(A1392="","Conta; ","")&amp;IF(B1392="","Oportunidade; ","")&amp;IF(E1392="","Novo gerente; ","")))</f>
      </c>
      <c r="I1392" s="6">
        <f>IF(COUNTA(A1392:F1392)=0,"",IF(AND(G1392="OK",H1392="OK"),"OK","REVISAR"))</f>
      </c>
    </row>
    <row r="1393">
      <c r="A1393" s="5"/>
      <c r="B1393" s="5"/>
      <c r="C1393" s="4"/>
      <c r="D1393" s="4"/>
      <c r="E1393" s="5"/>
      <c r="F1393" s="4"/>
      <c r="G1393" s="6">
        <f>IF(AND(A1393="",B1393=""),"",IF(COUNTIFS($A$2:$A$2001,A1393,$B$2:$B$2001,B1393)&gt;1,"DUPLICADO","OK"))</f>
      </c>
      <c r="H1393" s="6">
        <f>IF(COUNTA(A1393:F1393)=0,"",IF(AND(A1393&lt;&gt;"",B1393&lt;&gt;"",E1393&lt;&gt;""),"OK","ERRO: faltam "&amp;IF(A1393="","Conta; ","")&amp;IF(B1393="","Oportunidade; ","")&amp;IF(E1393="","Novo gerente; ","")))</f>
      </c>
      <c r="I1393" s="6">
        <f>IF(COUNTA(A1393:F1393)=0,"",IF(AND(G1393="OK",H1393="OK"),"OK","REVISAR"))</f>
      </c>
    </row>
    <row r="1394">
      <c r="A1394" s="5"/>
      <c r="B1394" s="5"/>
      <c r="C1394" s="4"/>
      <c r="D1394" s="4"/>
      <c r="E1394" s="5"/>
      <c r="F1394" s="4"/>
      <c r="G1394" s="6">
        <f>IF(AND(A1394="",B1394=""),"",IF(COUNTIFS($A$2:$A$2001,A1394,$B$2:$B$2001,B1394)&gt;1,"DUPLICADO","OK"))</f>
      </c>
      <c r="H1394" s="6">
        <f>IF(COUNTA(A1394:F1394)=0,"",IF(AND(A1394&lt;&gt;"",B1394&lt;&gt;"",E1394&lt;&gt;""),"OK","ERRO: faltam "&amp;IF(A1394="","Conta; ","")&amp;IF(B1394="","Oportunidade; ","")&amp;IF(E1394="","Novo gerente; ","")))</f>
      </c>
      <c r="I1394" s="6">
        <f>IF(COUNTA(A1394:F1394)=0,"",IF(AND(G1394="OK",H1394="OK"),"OK","REVISAR"))</f>
      </c>
    </row>
    <row r="1395">
      <c r="A1395" s="5"/>
      <c r="B1395" s="5"/>
      <c r="C1395" s="4"/>
      <c r="D1395" s="4"/>
      <c r="E1395" s="5"/>
      <c r="F1395" s="4"/>
      <c r="G1395" s="6">
        <f>IF(AND(A1395="",B1395=""),"",IF(COUNTIFS($A$2:$A$2001,A1395,$B$2:$B$2001,B1395)&gt;1,"DUPLICADO","OK"))</f>
      </c>
      <c r="H1395" s="6">
        <f>IF(COUNTA(A1395:F1395)=0,"",IF(AND(A1395&lt;&gt;"",B1395&lt;&gt;"",E1395&lt;&gt;""),"OK","ERRO: faltam "&amp;IF(A1395="","Conta; ","")&amp;IF(B1395="","Oportunidade; ","")&amp;IF(E1395="","Novo gerente; ","")))</f>
      </c>
      <c r="I1395" s="6">
        <f>IF(COUNTA(A1395:F1395)=0,"",IF(AND(G1395="OK",H1395="OK"),"OK","REVISAR"))</f>
      </c>
    </row>
    <row r="1396">
      <c r="A1396" s="5"/>
      <c r="B1396" s="5"/>
      <c r="C1396" s="4"/>
      <c r="D1396" s="4"/>
      <c r="E1396" s="5"/>
      <c r="F1396" s="4"/>
      <c r="G1396" s="6">
        <f>IF(AND(A1396="",B1396=""),"",IF(COUNTIFS($A$2:$A$2001,A1396,$B$2:$B$2001,B1396)&gt;1,"DUPLICADO","OK"))</f>
      </c>
      <c r="H1396" s="6">
        <f>IF(COUNTA(A1396:F1396)=0,"",IF(AND(A1396&lt;&gt;"",B1396&lt;&gt;"",E1396&lt;&gt;""),"OK","ERRO: faltam "&amp;IF(A1396="","Conta; ","")&amp;IF(B1396="","Oportunidade; ","")&amp;IF(E1396="","Novo gerente; ","")))</f>
      </c>
      <c r="I1396" s="6">
        <f>IF(COUNTA(A1396:F1396)=0,"",IF(AND(G1396="OK",H1396="OK"),"OK","REVISAR"))</f>
      </c>
    </row>
    <row r="1397">
      <c r="A1397" s="5"/>
      <c r="B1397" s="5"/>
      <c r="C1397" s="4"/>
      <c r="D1397" s="4"/>
      <c r="E1397" s="5"/>
      <c r="F1397" s="4"/>
      <c r="G1397" s="6">
        <f>IF(AND(A1397="",B1397=""),"",IF(COUNTIFS($A$2:$A$2001,A1397,$B$2:$B$2001,B1397)&gt;1,"DUPLICADO","OK"))</f>
      </c>
      <c r="H1397" s="6">
        <f>IF(COUNTA(A1397:F1397)=0,"",IF(AND(A1397&lt;&gt;"",B1397&lt;&gt;"",E1397&lt;&gt;""),"OK","ERRO: faltam "&amp;IF(A1397="","Conta; ","")&amp;IF(B1397="","Oportunidade; ","")&amp;IF(E1397="","Novo gerente; ","")))</f>
      </c>
      <c r="I1397" s="6">
        <f>IF(COUNTA(A1397:F1397)=0,"",IF(AND(G1397="OK",H1397="OK"),"OK","REVISAR"))</f>
      </c>
    </row>
    <row r="1398">
      <c r="A1398" s="5"/>
      <c r="B1398" s="5"/>
      <c r="C1398" s="4"/>
      <c r="D1398" s="4"/>
      <c r="E1398" s="5"/>
      <c r="F1398" s="4"/>
      <c r="G1398" s="6">
        <f>IF(AND(A1398="",B1398=""),"",IF(COUNTIFS($A$2:$A$2001,A1398,$B$2:$B$2001,B1398)&gt;1,"DUPLICADO","OK"))</f>
      </c>
      <c r="H1398" s="6">
        <f>IF(COUNTA(A1398:F1398)=0,"",IF(AND(A1398&lt;&gt;"",B1398&lt;&gt;"",E1398&lt;&gt;""),"OK","ERRO: faltam "&amp;IF(A1398="","Conta; ","")&amp;IF(B1398="","Oportunidade; ","")&amp;IF(E1398="","Novo gerente; ","")))</f>
      </c>
      <c r="I1398" s="6">
        <f>IF(COUNTA(A1398:F1398)=0,"",IF(AND(G1398="OK",H1398="OK"),"OK","REVISAR"))</f>
      </c>
    </row>
    <row r="1399">
      <c r="A1399" s="5"/>
      <c r="B1399" s="5"/>
      <c r="C1399" s="4"/>
      <c r="D1399" s="4"/>
      <c r="E1399" s="5"/>
      <c r="F1399" s="4"/>
      <c r="G1399" s="6">
        <f>IF(AND(A1399="",B1399=""),"",IF(COUNTIFS($A$2:$A$2001,A1399,$B$2:$B$2001,B1399)&gt;1,"DUPLICADO","OK"))</f>
      </c>
      <c r="H1399" s="6">
        <f>IF(COUNTA(A1399:F1399)=0,"",IF(AND(A1399&lt;&gt;"",B1399&lt;&gt;"",E1399&lt;&gt;""),"OK","ERRO: faltam "&amp;IF(A1399="","Conta; ","")&amp;IF(B1399="","Oportunidade; ","")&amp;IF(E1399="","Novo gerente; ","")))</f>
      </c>
      <c r="I1399" s="6">
        <f>IF(COUNTA(A1399:F1399)=0,"",IF(AND(G1399="OK",H1399="OK"),"OK","REVISAR"))</f>
      </c>
    </row>
    <row r="1400">
      <c r="A1400" s="5"/>
      <c r="B1400" s="5"/>
      <c r="C1400" s="4"/>
      <c r="D1400" s="4"/>
      <c r="E1400" s="5"/>
      <c r="F1400" s="4"/>
      <c r="G1400" s="6">
        <f>IF(AND(A1400="",B1400=""),"",IF(COUNTIFS($A$2:$A$2001,A1400,$B$2:$B$2001,B1400)&gt;1,"DUPLICADO","OK"))</f>
      </c>
      <c r="H1400" s="6">
        <f>IF(COUNTA(A1400:F1400)=0,"",IF(AND(A1400&lt;&gt;"",B1400&lt;&gt;"",E1400&lt;&gt;""),"OK","ERRO: faltam "&amp;IF(A1400="","Conta; ","")&amp;IF(B1400="","Oportunidade; ","")&amp;IF(E1400="","Novo gerente; ","")))</f>
      </c>
      <c r="I1400" s="6">
        <f>IF(COUNTA(A1400:F1400)=0,"",IF(AND(G1400="OK",H1400="OK"),"OK","REVISAR"))</f>
      </c>
    </row>
    <row r="1401">
      <c r="A1401" s="5"/>
      <c r="B1401" s="5"/>
      <c r="C1401" s="4"/>
      <c r="D1401" s="4"/>
      <c r="E1401" s="5"/>
      <c r="F1401" s="4"/>
      <c r="G1401" s="6">
        <f>IF(AND(A1401="",B1401=""),"",IF(COUNTIFS($A$2:$A$2001,A1401,$B$2:$B$2001,B1401)&gt;1,"DUPLICADO","OK"))</f>
      </c>
      <c r="H1401" s="6">
        <f>IF(COUNTA(A1401:F1401)=0,"",IF(AND(A1401&lt;&gt;"",B1401&lt;&gt;"",E1401&lt;&gt;""),"OK","ERRO: faltam "&amp;IF(A1401="","Conta; ","")&amp;IF(B1401="","Oportunidade; ","")&amp;IF(E1401="","Novo gerente; ","")))</f>
      </c>
      <c r="I1401" s="6">
        <f>IF(COUNTA(A1401:F1401)=0,"",IF(AND(G1401="OK",H1401="OK"),"OK","REVISAR"))</f>
      </c>
    </row>
    <row r="1402">
      <c r="A1402" s="5"/>
      <c r="B1402" s="5"/>
      <c r="C1402" s="4"/>
      <c r="D1402" s="4"/>
      <c r="E1402" s="5"/>
      <c r="F1402" s="4"/>
      <c r="G1402" s="6">
        <f>IF(AND(A1402="",B1402=""),"",IF(COUNTIFS($A$2:$A$2001,A1402,$B$2:$B$2001,B1402)&gt;1,"DUPLICADO","OK"))</f>
      </c>
      <c r="H1402" s="6">
        <f>IF(COUNTA(A1402:F1402)=0,"",IF(AND(A1402&lt;&gt;"",B1402&lt;&gt;"",E1402&lt;&gt;""),"OK","ERRO: faltam "&amp;IF(A1402="","Conta; ","")&amp;IF(B1402="","Oportunidade; ","")&amp;IF(E1402="","Novo gerente; ","")))</f>
      </c>
      <c r="I1402" s="6">
        <f>IF(COUNTA(A1402:F1402)=0,"",IF(AND(G1402="OK",H1402="OK"),"OK","REVISAR"))</f>
      </c>
    </row>
    <row r="1403">
      <c r="A1403" s="5"/>
      <c r="B1403" s="5"/>
      <c r="C1403" s="4"/>
      <c r="D1403" s="4"/>
      <c r="E1403" s="5"/>
      <c r="F1403" s="4"/>
      <c r="G1403" s="6">
        <f>IF(AND(A1403="",B1403=""),"",IF(COUNTIFS($A$2:$A$2001,A1403,$B$2:$B$2001,B1403)&gt;1,"DUPLICADO","OK"))</f>
      </c>
      <c r="H1403" s="6">
        <f>IF(COUNTA(A1403:F1403)=0,"",IF(AND(A1403&lt;&gt;"",B1403&lt;&gt;"",E1403&lt;&gt;""),"OK","ERRO: faltam "&amp;IF(A1403="","Conta; ","")&amp;IF(B1403="","Oportunidade; ","")&amp;IF(E1403="","Novo gerente; ","")))</f>
      </c>
      <c r="I1403" s="6">
        <f>IF(COUNTA(A1403:F1403)=0,"",IF(AND(G1403="OK",H1403="OK"),"OK","REVISAR"))</f>
      </c>
    </row>
    <row r="1404">
      <c r="A1404" s="5"/>
      <c r="B1404" s="5"/>
      <c r="C1404" s="4"/>
      <c r="D1404" s="4"/>
      <c r="E1404" s="5"/>
      <c r="F1404" s="4"/>
      <c r="G1404" s="6">
        <f>IF(AND(A1404="",B1404=""),"",IF(COUNTIFS($A$2:$A$2001,A1404,$B$2:$B$2001,B1404)&gt;1,"DUPLICADO","OK"))</f>
      </c>
      <c r="H1404" s="6">
        <f>IF(COUNTA(A1404:F1404)=0,"",IF(AND(A1404&lt;&gt;"",B1404&lt;&gt;"",E1404&lt;&gt;""),"OK","ERRO: faltam "&amp;IF(A1404="","Conta; ","")&amp;IF(B1404="","Oportunidade; ","")&amp;IF(E1404="","Novo gerente; ","")))</f>
      </c>
      <c r="I1404" s="6">
        <f>IF(COUNTA(A1404:F1404)=0,"",IF(AND(G1404="OK",H1404="OK"),"OK","REVISAR"))</f>
      </c>
    </row>
    <row r="1405">
      <c r="A1405" s="5"/>
      <c r="B1405" s="5"/>
      <c r="C1405" s="4"/>
      <c r="D1405" s="4"/>
      <c r="E1405" s="5"/>
      <c r="F1405" s="4"/>
      <c r="G1405" s="6">
        <f>IF(AND(A1405="",B1405=""),"",IF(COUNTIFS($A$2:$A$2001,A1405,$B$2:$B$2001,B1405)&gt;1,"DUPLICADO","OK"))</f>
      </c>
      <c r="H1405" s="6">
        <f>IF(COUNTA(A1405:F1405)=0,"",IF(AND(A1405&lt;&gt;"",B1405&lt;&gt;"",E1405&lt;&gt;""),"OK","ERRO: faltam "&amp;IF(A1405="","Conta; ","")&amp;IF(B1405="","Oportunidade; ","")&amp;IF(E1405="","Novo gerente; ","")))</f>
      </c>
      <c r="I1405" s="6">
        <f>IF(COUNTA(A1405:F1405)=0,"",IF(AND(G1405="OK",H1405="OK"),"OK","REVISAR"))</f>
      </c>
    </row>
    <row r="1406">
      <c r="A1406" s="5"/>
      <c r="B1406" s="5"/>
      <c r="C1406" s="4"/>
      <c r="D1406" s="4"/>
      <c r="E1406" s="5"/>
      <c r="F1406" s="4"/>
      <c r="G1406" s="6">
        <f>IF(AND(A1406="",B1406=""),"",IF(COUNTIFS($A$2:$A$2001,A1406,$B$2:$B$2001,B1406)&gt;1,"DUPLICADO","OK"))</f>
      </c>
      <c r="H1406" s="6">
        <f>IF(COUNTA(A1406:F1406)=0,"",IF(AND(A1406&lt;&gt;"",B1406&lt;&gt;"",E1406&lt;&gt;""),"OK","ERRO: faltam "&amp;IF(A1406="","Conta; ","")&amp;IF(B1406="","Oportunidade; ","")&amp;IF(E1406="","Novo gerente; ","")))</f>
      </c>
      <c r="I1406" s="6">
        <f>IF(COUNTA(A1406:F1406)=0,"",IF(AND(G1406="OK",H1406="OK"),"OK","REVISAR"))</f>
      </c>
    </row>
    <row r="1407">
      <c r="A1407" s="5"/>
      <c r="B1407" s="5"/>
      <c r="C1407" s="4"/>
      <c r="D1407" s="4"/>
      <c r="E1407" s="5"/>
      <c r="F1407" s="4"/>
      <c r="G1407" s="6">
        <f>IF(AND(A1407="",B1407=""),"",IF(COUNTIFS($A$2:$A$2001,A1407,$B$2:$B$2001,B1407)&gt;1,"DUPLICADO","OK"))</f>
      </c>
      <c r="H1407" s="6">
        <f>IF(COUNTA(A1407:F1407)=0,"",IF(AND(A1407&lt;&gt;"",B1407&lt;&gt;"",E1407&lt;&gt;""),"OK","ERRO: faltam "&amp;IF(A1407="","Conta; ","")&amp;IF(B1407="","Oportunidade; ","")&amp;IF(E1407="","Novo gerente; ","")))</f>
      </c>
      <c r="I1407" s="6">
        <f>IF(COUNTA(A1407:F1407)=0,"",IF(AND(G1407="OK",H1407="OK"),"OK","REVISAR"))</f>
      </c>
    </row>
    <row r="1408">
      <c r="A1408" s="5"/>
      <c r="B1408" s="5"/>
      <c r="C1408" s="4"/>
      <c r="D1408" s="4"/>
      <c r="E1408" s="5"/>
      <c r="F1408" s="4"/>
      <c r="G1408" s="6">
        <f>IF(AND(A1408="",B1408=""),"",IF(COUNTIFS($A$2:$A$2001,A1408,$B$2:$B$2001,B1408)&gt;1,"DUPLICADO","OK"))</f>
      </c>
      <c r="H1408" s="6">
        <f>IF(COUNTA(A1408:F1408)=0,"",IF(AND(A1408&lt;&gt;"",B1408&lt;&gt;"",E1408&lt;&gt;""),"OK","ERRO: faltam "&amp;IF(A1408="","Conta; ","")&amp;IF(B1408="","Oportunidade; ","")&amp;IF(E1408="","Novo gerente; ","")))</f>
      </c>
      <c r="I1408" s="6">
        <f>IF(COUNTA(A1408:F1408)=0,"",IF(AND(G1408="OK",H1408="OK"),"OK","REVISAR"))</f>
      </c>
    </row>
    <row r="1409">
      <c r="A1409" s="5"/>
      <c r="B1409" s="5"/>
      <c r="C1409" s="4"/>
      <c r="D1409" s="4"/>
      <c r="E1409" s="5"/>
      <c r="F1409" s="4"/>
      <c r="G1409" s="6">
        <f>IF(AND(A1409="",B1409=""),"",IF(COUNTIFS($A$2:$A$2001,A1409,$B$2:$B$2001,B1409)&gt;1,"DUPLICADO","OK"))</f>
      </c>
      <c r="H1409" s="6">
        <f>IF(COUNTA(A1409:F1409)=0,"",IF(AND(A1409&lt;&gt;"",B1409&lt;&gt;"",E1409&lt;&gt;""),"OK","ERRO: faltam "&amp;IF(A1409="","Conta; ","")&amp;IF(B1409="","Oportunidade; ","")&amp;IF(E1409="","Novo gerente; ","")))</f>
      </c>
      <c r="I1409" s="6">
        <f>IF(COUNTA(A1409:F1409)=0,"",IF(AND(G1409="OK",H1409="OK"),"OK","REVISAR"))</f>
      </c>
    </row>
    <row r="1410">
      <c r="A1410" s="5"/>
      <c r="B1410" s="5"/>
      <c r="C1410" s="4"/>
      <c r="D1410" s="4"/>
      <c r="E1410" s="5"/>
      <c r="F1410" s="4"/>
      <c r="G1410" s="6">
        <f>IF(AND(A1410="",B1410=""),"",IF(COUNTIFS($A$2:$A$2001,A1410,$B$2:$B$2001,B1410)&gt;1,"DUPLICADO","OK"))</f>
      </c>
      <c r="H1410" s="6">
        <f>IF(COUNTA(A1410:F1410)=0,"",IF(AND(A1410&lt;&gt;"",B1410&lt;&gt;"",E1410&lt;&gt;""),"OK","ERRO: faltam "&amp;IF(A1410="","Conta; ","")&amp;IF(B1410="","Oportunidade; ","")&amp;IF(E1410="","Novo gerente; ","")))</f>
      </c>
      <c r="I1410" s="6">
        <f>IF(COUNTA(A1410:F1410)=0,"",IF(AND(G1410="OK",H1410="OK"),"OK","REVISAR"))</f>
      </c>
    </row>
    <row r="1411">
      <c r="A1411" s="5"/>
      <c r="B1411" s="5"/>
      <c r="C1411" s="4"/>
      <c r="D1411" s="4"/>
      <c r="E1411" s="5"/>
      <c r="F1411" s="4"/>
      <c r="G1411" s="6">
        <f>IF(AND(A1411="",B1411=""),"",IF(COUNTIFS($A$2:$A$2001,A1411,$B$2:$B$2001,B1411)&gt;1,"DUPLICADO","OK"))</f>
      </c>
      <c r="H1411" s="6">
        <f>IF(COUNTA(A1411:F1411)=0,"",IF(AND(A1411&lt;&gt;"",B1411&lt;&gt;"",E1411&lt;&gt;""),"OK","ERRO: faltam "&amp;IF(A1411="","Conta; ","")&amp;IF(B1411="","Oportunidade; ","")&amp;IF(E1411="","Novo gerente; ","")))</f>
      </c>
      <c r="I1411" s="6">
        <f>IF(COUNTA(A1411:F1411)=0,"",IF(AND(G1411="OK",H1411="OK"),"OK","REVISAR"))</f>
      </c>
    </row>
    <row r="1412">
      <c r="A1412" s="5"/>
      <c r="B1412" s="5"/>
      <c r="C1412" s="4"/>
      <c r="D1412" s="4"/>
      <c r="E1412" s="5"/>
      <c r="F1412" s="4"/>
      <c r="G1412" s="6">
        <f>IF(AND(A1412="",B1412=""),"",IF(COUNTIFS($A$2:$A$2001,A1412,$B$2:$B$2001,B1412)&gt;1,"DUPLICADO","OK"))</f>
      </c>
      <c r="H1412" s="6">
        <f>IF(COUNTA(A1412:F1412)=0,"",IF(AND(A1412&lt;&gt;"",B1412&lt;&gt;"",E1412&lt;&gt;""),"OK","ERRO: faltam "&amp;IF(A1412="","Conta; ","")&amp;IF(B1412="","Oportunidade; ","")&amp;IF(E1412="","Novo gerente; ","")))</f>
      </c>
      <c r="I1412" s="6">
        <f>IF(COUNTA(A1412:F1412)=0,"",IF(AND(G1412="OK",H1412="OK"),"OK","REVISAR"))</f>
      </c>
    </row>
    <row r="1413">
      <c r="A1413" s="5"/>
      <c r="B1413" s="5"/>
      <c r="C1413" s="4"/>
      <c r="D1413" s="4"/>
      <c r="E1413" s="5"/>
      <c r="F1413" s="4"/>
      <c r="G1413" s="6">
        <f>IF(AND(A1413="",B1413=""),"",IF(COUNTIFS($A$2:$A$2001,A1413,$B$2:$B$2001,B1413)&gt;1,"DUPLICADO","OK"))</f>
      </c>
      <c r="H1413" s="6">
        <f>IF(COUNTA(A1413:F1413)=0,"",IF(AND(A1413&lt;&gt;"",B1413&lt;&gt;"",E1413&lt;&gt;""),"OK","ERRO: faltam "&amp;IF(A1413="","Conta; ","")&amp;IF(B1413="","Oportunidade; ","")&amp;IF(E1413="","Novo gerente; ","")))</f>
      </c>
      <c r="I1413" s="6">
        <f>IF(COUNTA(A1413:F1413)=0,"",IF(AND(G1413="OK",H1413="OK"),"OK","REVISAR"))</f>
      </c>
    </row>
    <row r="1414">
      <c r="A1414" s="5"/>
      <c r="B1414" s="5"/>
      <c r="C1414" s="4"/>
      <c r="D1414" s="4"/>
      <c r="E1414" s="5"/>
      <c r="F1414" s="4"/>
      <c r="G1414" s="6">
        <f>IF(AND(A1414="",B1414=""),"",IF(COUNTIFS($A$2:$A$2001,A1414,$B$2:$B$2001,B1414)&gt;1,"DUPLICADO","OK"))</f>
      </c>
      <c r="H1414" s="6">
        <f>IF(COUNTA(A1414:F1414)=0,"",IF(AND(A1414&lt;&gt;"",B1414&lt;&gt;"",E1414&lt;&gt;""),"OK","ERRO: faltam "&amp;IF(A1414="","Conta; ","")&amp;IF(B1414="","Oportunidade; ","")&amp;IF(E1414="","Novo gerente; ","")))</f>
      </c>
      <c r="I1414" s="6">
        <f>IF(COUNTA(A1414:F1414)=0,"",IF(AND(G1414="OK",H1414="OK"),"OK","REVISAR"))</f>
      </c>
    </row>
    <row r="1415">
      <c r="A1415" s="5"/>
      <c r="B1415" s="5"/>
      <c r="C1415" s="4"/>
      <c r="D1415" s="4"/>
      <c r="E1415" s="5"/>
      <c r="F1415" s="4"/>
      <c r="G1415" s="6">
        <f>IF(AND(A1415="",B1415=""),"",IF(COUNTIFS($A$2:$A$2001,A1415,$B$2:$B$2001,B1415)&gt;1,"DUPLICADO","OK"))</f>
      </c>
      <c r="H1415" s="6">
        <f>IF(COUNTA(A1415:F1415)=0,"",IF(AND(A1415&lt;&gt;"",B1415&lt;&gt;"",E1415&lt;&gt;""),"OK","ERRO: faltam "&amp;IF(A1415="","Conta; ","")&amp;IF(B1415="","Oportunidade; ","")&amp;IF(E1415="","Novo gerente; ","")))</f>
      </c>
      <c r="I1415" s="6">
        <f>IF(COUNTA(A1415:F1415)=0,"",IF(AND(G1415="OK",H1415="OK"),"OK","REVISAR"))</f>
      </c>
    </row>
    <row r="1416">
      <c r="A1416" s="5"/>
      <c r="B1416" s="5"/>
      <c r="C1416" s="4"/>
      <c r="D1416" s="4"/>
      <c r="E1416" s="5"/>
      <c r="F1416" s="4"/>
      <c r="G1416" s="6">
        <f>IF(AND(A1416="",B1416=""),"",IF(COUNTIFS($A$2:$A$2001,A1416,$B$2:$B$2001,B1416)&gt;1,"DUPLICADO","OK"))</f>
      </c>
      <c r="H1416" s="6">
        <f>IF(COUNTA(A1416:F1416)=0,"",IF(AND(A1416&lt;&gt;"",B1416&lt;&gt;"",E1416&lt;&gt;""),"OK","ERRO: faltam "&amp;IF(A1416="","Conta; ","")&amp;IF(B1416="","Oportunidade; ","")&amp;IF(E1416="","Novo gerente; ","")))</f>
      </c>
      <c r="I1416" s="6">
        <f>IF(COUNTA(A1416:F1416)=0,"",IF(AND(G1416="OK",H1416="OK"),"OK","REVISAR"))</f>
      </c>
    </row>
    <row r="1417">
      <c r="A1417" s="5"/>
      <c r="B1417" s="5"/>
      <c r="C1417" s="4"/>
      <c r="D1417" s="4"/>
      <c r="E1417" s="5"/>
      <c r="F1417" s="4"/>
      <c r="G1417" s="6">
        <f>IF(AND(A1417="",B1417=""),"",IF(COUNTIFS($A$2:$A$2001,A1417,$B$2:$B$2001,B1417)&gt;1,"DUPLICADO","OK"))</f>
      </c>
      <c r="H1417" s="6">
        <f>IF(COUNTA(A1417:F1417)=0,"",IF(AND(A1417&lt;&gt;"",B1417&lt;&gt;"",E1417&lt;&gt;""),"OK","ERRO: faltam "&amp;IF(A1417="","Conta; ","")&amp;IF(B1417="","Oportunidade; ","")&amp;IF(E1417="","Novo gerente; ","")))</f>
      </c>
      <c r="I1417" s="6">
        <f>IF(COUNTA(A1417:F1417)=0,"",IF(AND(G1417="OK",H1417="OK"),"OK","REVISAR"))</f>
      </c>
    </row>
    <row r="1418">
      <c r="A1418" s="5"/>
      <c r="B1418" s="5"/>
      <c r="C1418" s="4"/>
      <c r="D1418" s="4"/>
      <c r="E1418" s="5"/>
      <c r="F1418" s="4"/>
      <c r="G1418" s="6">
        <f>IF(AND(A1418="",B1418=""),"",IF(COUNTIFS($A$2:$A$2001,A1418,$B$2:$B$2001,B1418)&gt;1,"DUPLICADO","OK"))</f>
      </c>
      <c r="H1418" s="6">
        <f>IF(COUNTA(A1418:F1418)=0,"",IF(AND(A1418&lt;&gt;"",B1418&lt;&gt;"",E1418&lt;&gt;""),"OK","ERRO: faltam "&amp;IF(A1418="","Conta; ","")&amp;IF(B1418="","Oportunidade; ","")&amp;IF(E1418="","Novo gerente; ","")))</f>
      </c>
      <c r="I1418" s="6">
        <f>IF(COUNTA(A1418:F1418)=0,"",IF(AND(G1418="OK",H1418="OK"),"OK","REVISAR"))</f>
      </c>
    </row>
    <row r="1419">
      <c r="A1419" s="5"/>
      <c r="B1419" s="5"/>
      <c r="C1419" s="4"/>
      <c r="D1419" s="4"/>
      <c r="E1419" s="5"/>
      <c r="F1419" s="4"/>
      <c r="G1419" s="6">
        <f>IF(AND(A1419="",B1419=""),"",IF(COUNTIFS($A$2:$A$2001,A1419,$B$2:$B$2001,B1419)&gt;1,"DUPLICADO","OK"))</f>
      </c>
      <c r="H1419" s="6">
        <f>IF(COUNTA(A1419:F1419)=0,"",IF(AND(A1419&lt;&gt;"",B1419&lt;&gt;"",E1419&lt;&gt;""),"OK","ERRO: faltam "&amp;IF(A1419="","Conta; ","")&amp;IF(B1419="","Oportunidade; ","")&amp;IF(E1419="","Novo gerente; ","")))</f>
      </c>
      <c r="I1419" s="6">
        <f>IF(COUNTA(A1419:F1419)=0,"",IF(AND(G1419="OK",H1419="OK"),"OK","REVISAR"))</f>
      </c>
    </row>
    <row r="1420">
      <c r="A1420" s="5"/>
      <c r="B1420" s="5"/>
      <c r="C1420" s="4"/>
      <c r="D1420" s="4"/>
      <c r="E1420" s="5"/>
      <c r="F1420" s="4"/>
      <c r="G1420" s="6">
        <f>IF(AND(A1420="",B1420=""),"",IF(COUNTIFS($A$2:$A$2001,A1420,$B$2:$B$2001,B1420)&gt;1,"DUPLICADO","OK"))</f>
      </c>
      <c r="H1420" s="6">
        <f>IF(COUNTA(A1420:F1420)=0,"",IF(AND(A1420&lt;&gt;"",B1420&lt;&gt;"",E1420&lt;&gt;""),"OK","ERRO: faltam "&amp;IF(A1420="","Conta; ","")&amp;IF(B1420="","Oportunidade; ","")&amp;IF(E1420="","Novo gerente; ","")))</f>
      </c>
      <c r="I1420" s="6">
        <f>IF(COUNTA(A1420:F1420)=0,"",IF(AND(G1420="OK",H1420="OK"),"OK","REVISAR"))</f>
      </c>
    </row>
    <row r="1421">
      <c r="A1421" s="5"/>
      <c r="B1421" s="5"/>
      <c r="C1421" s="4"/>
      <c r="D1421" s="4"/>
      <c r="E1421" s="5"/>
      <c r="F1421" s="4"/>
      <c r="G1421" s="6">
        <f>IF(AND(A1421="",B1421=""),"",IF(COUNTIFS($A$2:$A$2001,A1421,$B$2:$B$2001,B1421)&gt;1,"DUPLICADO","OK"))</f>
      </c>
      <c r="H1421" s="6">
        <f>IF(COUNTA(A1421:F1421)=0,"",IF(AND(A1421&lt;&gt;"",B1421&lt;&gt;"",E1421&lt;&gt;""),"OK","ERRO: faltam "&amp;IF(A1421="","Conta; ","")&amp;IF(B1421="","Oportunidade; ","")&amp;IF(E1421="","Novo gerente; ","")))</f>
      </c>
      <c r="I1421" s="6">
        <f>IF(COUNTA(A1421:F1421)=0,"",IF(AND(G1421="OK",H1421="OK"),"OK","REVISAR"))</f>
      </c>
    </row>
    <row r="1422">
      <c r="A1422" s="5"/>
      <c r="B1422" s="5"/>
      <c r="C1422" s="4"/>
      <c r="D1422" s="4"/>
      <c r="E1422" s="5"/>
      <c r="F1422" s="4"/>
      <c r="G1422" s="6">
        <f>IF(AND(A1422="",B1422=""),"",IF(COUNTIFS($A$2:$A$2001,A1422,$B$2:$B$2001,B1422)&gt;1,"DUPLICADO","OK"))</f>
      </c>
      <c r="H1422" s="6">
        <f>IF(COUNTA(A1422:F1422)=0,"",IF(AND(A1422&lt;&gt;"",B1422&lt;&gt;"",E1422&lt;&gt;""),"OK","ERRO: faltam "&amp;IF(A1422="","Conta; ","")&amp;IF(B1422="","Oportunidade; ","")&amp;IF(E1422="","Novo gerente; ","")))</f>
      </c>
      <c r="I1422" s="6">
        <f>IF(COUNTA(A1422:F1422)=0,"",IF(AND(G1422="OK",H1422="OK"),"OK","REVISAR"))</f>
      </c>
    </row>
    <row r="1423">
      <c r="A1423" s="5"/>
      <c r="B1423" s="5"/>
      <c r="C1423" s="4"/>
      <c r="D1423" s="4"/>
      <c r="E1423" s="5"/>
      <c r="F1423" s="4"/>
      <c r="G1423" s="6">
        <f>IF(AND(A1423="",B1423=""),"",IF(COUNTIFS($A$2:$A$2001,A1423,$B$2:$B$2001,B1423)&gt;1,"DUPLICADO","OK"))</f>
      </c>
      <c r="H1423" s="6">
        <f>IF(COUNTA(A1423:F1423)=0,"",IF(AND(A1423&lt;&gt;"",B1423&lt;&gt;"",E1423&lt;&gt;""),"OK","ERRO: faltam "&amp;IF(A1423="","Conta; ","")&amp;IF(B1423="","Oportunidade; ","")&amp;IF(E1423="","Novo gerente; ","")))</f>
      </c>
      <c r="I1423" s="6">
        <f>IF(COUNTA(A1423:F1423)=0,"",IF(AND(G1423="OK",H1423="OK"),"OK","REVISAR"))</f>
      </c>
    </row>
    <row r="1424">
      <c r="A1424" s="5"/>
      <c r="B1424" s="5"/>
      <c r="C1424" s="4"/>
      <c r="D1424" s="4"/>
      <c r="E1424" s="5"/>
      <c r="F1424" s="4"/>
      <c r="G1424" s="6">
        <f>IF(AND(A1424="",B1424=""),"",IF(COUNTIFS($A$2:$A$2001,A1424,$B$2:$B$2001,B1424)&gt;1,"DUPLICADO","OK"))</f>
      </c>
      <c r="H1424" s="6">
        <f>IF(COUNTA(A1424:F1424)=0,"",IF(AND(A1424&lt;&gt;"",B1424&lt;&gt;"",E1424&lt;&gt;""),"OK","ERRO: faltam "&amp;IF(A1424="","Conta; ","")&amp;IF(B1424="","Oportunidade; ","")&amp;IF(E1424="","Novo gerente; ","")))</f>
      </c>
      <c r="I1424" s="6">
        <f>IF(COUNTA(A1424:F1424)=0,"",IF(AND(G1424="OK",H1424="OK"),"OK","REVISAR"))</f>
      </c>
    </row>
    <row r="1425">
      <c r="A1425" s="5"/>
      <c r="B1425" s="5"/>
      <c r="C1425" s="4"/>
      <c r="D1425" s="4"/>
      <c r="E1425" s="5"/>
      <c r="F1425" s="4"/>
      <c r="G1425" s="6">
        <f>IF(AND(A1425="",B1425=""),"",IF(COUNTIFS($A$2:$A$2001,A1425,$B$2:$B$2001,B1425)&gt;1,"DUPLICADO","OK"))</f>
      </c>
      <c r="H1425" s="6">
        <f>IF(COUNTA(A1425:F1425)=0,"",IF(AND(A1425&lt;&gt;"",B1425&lt;&gt;"",E1425&lt;&gt;""),"OK","ERRO: faltam "&amp;IF(A1425="","Conta; ","")&amp;IF(B1425="","Oportunidade; ","")&amp;IF(E1425="","Novo gerente; ","")))</f>
      </c>
      <c r="I1425" s="6">
        <f>IF(COUNTA(A1425:F1425)=0,"",IF(AND(G1425="OK",H1425="OK"),"OK","REVISAR"))</f>
      </c>
    </row>
    <row r="1426">
      <c r="A1426" s="5"/>
      <c r="B1426" s="5"/>
      <c r="C1426" s="4"/>
      <c r="D1426" s="4"/>
      <c r="E1426" s="5"/>
      <c r="F1426" s="4"/>
      <c r="G1426" s="6">
        <f>IF(AND(A1426="",B1426=""),"",IF(COUNTIFS($A$2:$A$2001,A1426,$B$2:$B$2001,B1426)&gt;1,"DUPLICADO","OK"))</f>
      </c>
      <c r="H1426" s="6">
        <f>IF(COUNTA(A1426:F1426)=0,"",IF(AND(A1426&lt;&gt;"",B1426&lt;&gt;"",E1426&lt;&gt;""),"OK","ERRO: faltam "&amp;IF(A1426="","Conta; ","")&amp;IF(B1426="","Oportunidade; ","")&amp;IF(E1426="","Novo gerente; ","")))</f>
      </c>
      <c r="I1426" s="6">
        <f>IF(COUNTA(A1426:F1426)=0,"",IF(AND(G1426="OK",H1426="OK"),"OK","REVISAR"))</f>
      </c>
    </row>
    <row r="1427">
      <c r="A1427" s="5"/>
      <c r="B1427" s="5"/>
      <c r="C1427" s="4"/>
      <c r="D1427" s="4"/>
      <c r="E1427" s="5"/>
      <c r="F1427" s="4"/>
      <c r="G1427" s="6">
        <f>IF(AND(A1427="",B1427=""),"",IF(COUNTIFS($A$2:$A$2001,A1427,$B$2:$B$2001,B1427)&gt;1,"DUPLICADO","OK"))</f>
      </c>
      <c r="H1427" s="6">
        <f>IF(COUNTA(A1427:F1427)=0,"",IF(AND(A1427&lt;&gt;"",B1427&lt;&gt;"",E1427&lt;&gt;""),"OK","ERRO: faltam "&amp;IF(A1427="","Conta; ","")&amp;IF(B1427="","Oportunidade; ","")&amp;IF(E1427="","Novo gerente; ","")))</f>
      </c>
      <c r="I1427" s="6">
        <f>IF(COUNTA(A1427:F1427)=0,"",IF(AND(G1427="OK",H1427="OK"),"OK","REVISAR"))</f>
      </c>
    </row>
    <row r="1428">
      <c r="A1428" s="5"/>
      <c r="B1428" s="5"/>
      <c r="C1428" s="4"/>
      <c r="D1428" s="4"/>
      <c r="E1428" s="5"/>
      <c r="F1428" s="4"/>
      <c r="G1428" s="6">
        <f>IF(AND(A1428="",B1428=""),"",IF(COUNTIFS($A$2:$A$2001,A1428,$B$2:$B$2001,B1428)&gt;1,"DUPLICADO","OK"))</f>
      </c>
      <c r="H1428" s="6">
        <f>IF(COUNTA(A1428:F1428)=0,"",IF(AND(A1428&lt;&gt;"",B1428&lt;&gt;"",E1428&lt;&gt;""),"OK","ERRO: faltam "&amp;IF(A1428="","Conta; ","")&amp;IF(B1428="","Oportunidade; ","")&amp;IF(E1428="","Novo gerente; ","")))</f>
      </c>
      <c r="I1428" s="6">
        <f>IF(COUNTA(A1428:F1428)=0,"",IF(AND(G1428="OK",H1428="OK"),"OK","REVISAR"))</f>
      </c>
    </row>
    <row r="1429">
      <c r="A1429" s="5"/>
      <c r="B1429" s="5"/>
      <c r="C1429" s="4"/>
      <c r="D1429" s="4"/>
      <c r="E1429" s="5"/>
      <c r="F1429" s="4"/>
      <c r="G1429" s="6">
        <f>IF(AND(A1429="",B1429=""),"",IF(COUNTIFS($A$2:$A$2001,A1429,$B$2:$B$2001,B1429)&gt;1,"DUPLICADO","OK"))</f>
      </c>
      <c r="H1429" s="6">
        <f>IF(COUNTA(A1429:F1429)=0,"",IF(AND(A1429&lt;&gt;"",B1429&lt;&gt;"",E1429&lt;&gt;""),"OK","ERRO: faltam "&amp;IF(A1429="","Conta; ","")&amp;IF(B1429="","Oportunidade; ","")&amp;IF(E1429="","Novo gerente; ","")))</f>
      </c>
      <c r="I1429" s="6">
        <f>IF(COUNTA(A1429:F1429)=0,"",IF(AND(G1429="OK",H1429="OK"),"OK","REVISAR"))</f>
      </c>
    </row>
    <row r="1430">
      <c r="A1430" s="5"/>
      <c r="B1430" s="5"/>
      <c r="C1430" s="4"/>
      <c r="D1430" s="4"/>
      <c r="E1430" s="5"/>
      <c r="F1430" s="4"/>
      <c r="G1430" s="6">
        <f>IF(AND(A1430="",B1430=""),"",IF(COUNTIFS($A$2:$A$2001,A1430,$B$2:$B$2001,B1430)&gt;1,"DUPLICADO","OK"))</f>
      </c>
      <c r="H1430" s="6">
        <f>IF(COUNTA(A1430:F1430)=0,"",IF(AND(A1430&lt;&gt;"",B1430&lt;&gt;"",E1430&lt;&gt;""),"OK","ERRO: faltam "&amp;IF(A1430="","Conta; ","")&amp;IF(B1430="","Oportunidade; ","")&amp;IF(E1430="","Novo gerente; ","")))</f>
      </c>
      <c r="I1430" s="6">
        <f>IF(COUNTA(A1430:F1430)=0,"",IF(AND(G1430="OK",H1430="OK"),"OK","REVISAR"))</f>
      </c>
    </row>
    <row r="1431">
      <c r="A1431" s="5"/>
      <c r="B1431" s="5"/>
      <c r="C1431" s="4"/>
      <c r="D1431" s="4"/>
      <c r="E1431" s="5"/>
      <c r="F1431" s="4"/>
      <c r="G1431" s="6">
        <f>IF(AND(A1431="",B1431=""),"",IF(COUNTIFS($A$2:$A$2001,A1431,$B$2:$B$2001,B1431)&gt;1,"DUPLICADO","OK"))</f>
      </c>
      <c r="H1431" s="6">
        <f>IF(COUNTA(A1431:F1431)=0,"",IF(AND(A1431&lt;&gt;"",B1431&lt;&gt;"",E1431&lt;&gt;""),"OK","ERRO: faltam "&amp;IF(A1431="","Conta; ","")&amp;IF(B1431="","Oportunidade; ","")&amp;IF(E1431="","Novo gerente; ","")))</f>
      </c>
      <c r="I1431" s="6">
        <f>IF(COUNTA(A1431:F1431)=0,"",IF(AND(G1431="OK",H1431="OK"),"OK","REVISAR"))</f>
      </c>
    </row>
    <row r="1432">
      <c r="A1432" s="5"/>
      <c r="B1432" s="5"/>
      <c r="C1432" s="4"/>
      <c r="D1432" s="4"/>
      <c r="E1432" s="5"/>
      <c r="F1432" s="4"/>
      <c r="G1432" s="6">
        <f>IF(AND(A1432="",B1432=""),"",IF(COUNTIFS($A$2:$A$2001,A1432,$B$2:$B$2001,B1432)&gt;1,"DUPLICADO","OK"))</f>
      </c>
      <c r="H1432" s="6">
        <f>IF(COUNTA(A1432:F1432)=0,"",IF(AND(A1432&lt;&gt;"",B1432&lt;&gt;"",E1432&lt;&gt;""),"OK","ERRO: faltam "&amp;IF(A1432="","Conta; ","")&amp;IF(B1432="","Oportunidade; ","")&amp;IF(E1432="","Novo gerente; ","")))</f>
      </c>
      <c r="I1432" s="6">
        <f>IF(COUNTA(A1432:F1432)=0,"",IF(AND(G1432="OK",H1432="OK"),"OK","REVISAR"))</f>
      </c>
    </row>
    <row r="1433">
      <c r="A1433" s="5"/>
      <c r="B1433" s="5"/>
      <c r="C1433" s="4"/>
      <c r="D1433" s="4"/>
      <c r="E1433" s="5"/>
      <c r="F1433" s="4"/>
      <c r="G1433" s="6">
        <f>IF(AND(A1433="",B1433=""),"",IF(COUNTIFS($A$2:$A$2001,A1433,$B$2:$B$2001,B1433)&gt;1,"DUPLICADO","OK"))</f>
      </c>
      <c r="H1433" s="6">
        <f>IF(COUNTA(A1433:F1433)=0,"",IF(AND(A1433&lt;&gt;"",B1433&lt;&gt;"",E1433&lt;&gt;""),"OK","ERRO: faltam "&amp;IF(A1433="","Conta; ","")&amp;IF(B1433="","Oportunidade; ","")&amp;IF(E1433="","Novo gerente; ","")))</f>
      </c>
      <c r="I1433" s="6">
        <f>IF(COUNTA(A1433:F1433)=0,"",IF(AND(G1433="OK",H1433="OK"),"OK","REVISAR"))</f>
      </c>
    </row>
    <row r="1434">
      <c r="A1434" s="5"/>
      <c r="B1434" s="5"/>
      <c r="C1434" s="4"/>
      <c r="D1434" s="4"/>
      <c r="E1434" s="5"/>
      <c r="F1434" s="4"/>
      <c r="G1434" s="6">
        <f>IF(AND(A1434="",B1434=""),"",IF(COUNTIFS($A$2:$A$2001,A1434,$B$2:$B$2001,B1434)&gt;1,"DUPLICADO","OK"))</f>
      </c>
      <c r="H1434" s="6">
        <f>IF(COUNTA(A1434:F1434)=0,"",IF(AND(A1434&lt;&gt;"",B1434&lt;&gt;"",E1434&lt;&gt;""),"OK","ERRO: faltam "&amp;IF(A1434="","Conta; ","")&amp;IF(B1434="","Oportunidade; ","")&amp;IF(E1434="","Novo gerente; ","")))</f>
      </c>
      <c r="I1434" s="6">
        <f>IF(COUNTA(A1434:F1434)=0,"",IF(AND(G1434="OK",H1434="OK"),"OK","REVISAR"))</f>
      </c>
    </row>
    <row r="1435">
      <c r="A1435" s="5"/>
      <c r="B1435" s="5"/>
      <c r="C1435" s="4"/>
      <c r="D1435" s="4"/>
      <c r="E1435" s="5"/>
      <c r="F1435" s="4"/>
      <c r="G1435" s="6">
        <f>IF(AND(A1435="",B1435=""),"",IF(COUNTIFS($A$2:$A$2001,A1435,$B$2:$B$2001,B1435)&gt;1,"DUPLICADO","OK"))</f>
      </c>
      <c r="H1435" s="6">
        <f>IF(COUNTA(A1435:F1435)=0,"",IF(AND(A1435&lt;&gt;"",B1435&lt;&gt;"",E1435&lt;&gt;""),"OK","ERRO: faltam "&amp;IF(A1435="","Conta; ","")&amp;IF(B1435="","Oportunidade; ","")&amp;IF(E1435="","Novo gerente; ","")))</f>
      </c>
      <c r="I1435" s="6">
        <f>IF(COUNTA(A1435:F1435)=0,"",IF(AND(G1435="OK",H1435="OK"),"OK","REVISAR"))</f>
      </c>
    </row>
    <row r="1436">
      <c r="A1436" s="5"/>
      <c r="B1436" s="5"/>
      <c r="C1436" s="4"/>
      <c r="D1436" s="4"/>
      <c r="E1436" s="5"/>
      <c r="F1436" s="4"/>
      <c r="G1436" s="6">
        <f>IF(AND(A1436="",B1436=""),"",IF(COUNTIFS($A$2:$A$2001,A1436,$B$2:$B$2001,B1436)&gt;1,"DUPLICADO","OK"))</f>
      </c>
      <c r="H1436" s="6">
        <f>IF(COUNTA(A1436:F1436)=0,"",IF(AND(A1436&lt;&gt;"",B1436&lt;&gt;"",E1436&lt;&gt;""),"OK","ERRO: faltam "&amp;IF(A1436="","Conta; ","")&amp;IF(B1436="","Oportunidade; ","")&amp;IF(E1436="","Novo gerente; ","")))</f>
      </c>
      <c r="I1436" s="6">
        <f>IF(COUNTA(A1436:F1436)=0,"",IF(AND(G1436="OK",H1436="OK"),"OK","REVISAR"))</f>
      </c>
    </row>
    <row r="1437">
      <c r="A1437" s="5"/>
      <c r="B1437" s="5"/>
      <c r="C1437" s="4"/>
      <c r="D1437" s="4"/>
      <c r="E1437" s="5"/>
      <c r="F1437" s="4"/>
      <c r="G1437" s="6">
        <f>IF(AND(A1437="",B1437=""),"",IF(COUNTIFS($A$2:$A$2001,A1437,$B$2:$B$2001,B1437)&gt;1,"DUPLICADO","OK"))</f>
      </c>
      <c r="H1437" s="6">
        <f>IF(COUNTA(A1437:F1437)=0,"",IF(AND(A1437&lt;&gt;"",B1437&lt;&gt;"",E1437&lt;&gt;""),"OK","ERRO: faltam "&amp;IF(A1437="","Conta; ","")&amp;IF(B1437="","Oportunidade; ","")&amp;IF(E1437="","Novo gerente; ","")))</f>
      </c>
      <c r="I1437" s="6">
        <f>IF(COUNTA(A1437:F1437)=0,"",IF(AND(G1437="OK",H1437="OK"),"OK","REVISAR"))</f>
      </c>
    </row>
    <row r="1438">
      <c r="A1438" s="5"/>
      <c r="B1438" s="5"/>
      <c r="C1438" s="4"/>
      <c r="D1438" s="4"/>
      <c r="E1438" s="5"/>
      <c r="F1438" s="4"/>
      <c r="G1438" s="6">
        <f>IF(AND(A1438="",B1438=""),"",IF(COUNTIFS($A$2:$A$2001,A1438,$B$2:$B$2001,B1438)&gt;1,"DUPLICADO","OK"))</f>
      </c>
      <c r="H1438" s="6">
        <f>IF(COUNTA(A1438:F1438)=0,"",IF(AND(A1438&lt;&gt;"",B1438&lt;&gt;"",E1438&lt;&gt;""),"OK","ERRO: faltam "&amp;IF(A1438="","Conta; ","")&amp;IF(B1438="","Oportunidade; ","")&amp;IF(E1438="","Novo gerente; ","")))</f>
      </c>
      <c r="I1438" s="6">
        <f>IF(COUNTA(A1438:F1438)=0,"",IF(AND(G1438="OK",H1438="OK"),"OK","REVISAR"))</f>
      </c>
    </row>
    <row r="1439">
      <c r="A1439" s="5"/>
      <c r="B1439" s="5"/>
      <c r="C1439" s="4"/>
      <c r="D1439" s="4"/>
      <c r="E1439" s="5"/>
      <c r="F1439" s="4"/>
      <c r="G1439" s="6">
        <f>IF(AND(A1439="",B1439=""),"",IF(COUNTIFS($A$2:$A$2001,A1439,$B$2:$B$2001,B1439)&gt;1,"DUPLICADO","OK"))</f>
      </c>
      <c r="H1439" s="6">
        <f>IF(COUNTA(A1439:F1439)=0,"",IF(AND(A1439&lt;&gt;"",B1439&lt;&gt;"",E1439&lt;&gt;""),"OK","ERRO: faltam "&amp;IF(A1439="","Conta; ","")&amp;IF(B1439="","Oportunidade; ","")&amp;IF(E1439="","Novo gerente; ","")))</f>
      </c>
      <c r="I1439" s="6">
        <f>IF(COUNTA(A1439:F1439)=0,"",IF(AND(G1439="OK",H1439="OK"),"OK","REVISAR"))</f>
      </c>
    </row>
    <row r="1440">
      <c r="A1440" s="5"/>
      <c r="B1440" s="5"/>
      <c r="C1440" s="4"/>
      <c r="D1440" s="4"/>
      <c r="E1440" s="5"/>
      <c r="F1440" s="4"/>
      <c r="G1440" s="6">
        <f>IF(AND(A1440="",B1440=""),"",IF(COUNTIFS($A$2:$A$2001,A1440,$B$2:$B$2001,B1440)&gt;1,"DUPLICADO","OK"))</f>
      </c>
      <c r="H1440" s="6">
        <f>IF(COUNTA(A1440:F1440)=0,"",IF(AND(A1440&lt;&gt;"",B1440&lt;&gt;"",E1440&lt;&gt;""),"OK","ERRO: faltam "&amp;IF(A1440="","Conta; ","")&amp;IF(B1440="","Oportunidade; ","")&amp;IF(E1440="","Novo gerente; ","")))</f>
      </c>
      <c r="I1440" s="6">
        <f>IF(COUNTA(A1440:F1440)=0,"",IF(AND(G1440="OK",H1440="OK"),"OK","REVISAR"))</f>
      </c>
    </row>
    <row r="1441">
      <c r="A1441" s="5"/>
      <c r="B1441" s="5"/>
      <c r="C1441" s="4"/>
      <c r="D1441" s="4"/>
      <c r="E1441" s="5"/>
      <c r="F1441" s="4"/>
      <c r="G1441" s="6">
        <f>IF(AND(A1441="",B1441=""),"",IF(COUNTIFS($A$2:$A$2001,A1441,$B$2:$B$2001,B1441)&gt;1,"DUPLICADO","OK"))</f>
      </c>
      <c r="H1441" s="6">
        <f>IF(COUNTA(A1441:F1441)=0,"",IF(AND(A1441&lt;&gt;"",B1441&lt;&gt;"",E1441&lt;&gt;""),"OK","ERRO: faltam "&amp;IF(A1441="","Conta; ","")&amp;IF(B1441="","Oportunidade; ","")&amp;IF(E1441="","Novo gerente; ","")))</f>
      </c>
      <c r="I1441" s="6">
        <f>IF(COUNTA(A1441:F1441)=0,"",IF(AND(G1441="OK",H1441="OK"),"OK","REVISAR"))</f>
      </c>
    </row>
    <row r="1442">
      <c r="A1442" s="5"/>
      <c r="B1442" s="5"/>
      <c r="C1442" s="4"/>
      <c r="D1442" s="4"/>
      <c r="E1442" s="5"/>
      <c r="F1442" s="4"/>
      <c r="G1442" s="6">
        <f>IF(AND(A1442="",B1442=""),"",IF(COUNTIFS($A$2:$A$2001,A1442,$B$2:$B$2001,B1442)&gt;1,"DUPLICADO","OK"))</f>
      </c>
      <c r="H1442" s="6">
        <f>IF(COUNTA(A1442:F1442)=0,"",IF(AND(A1442&lt;&gt;"",B1442&lt;&gt;"",E1442&lt;&gt;""),"OK","ERRO: faltam "&amp;IF(A1442="","Conta; ","")&amp;IF(B1442="","Oportunidade; ","")&amp;IF(E1442="","Novo gerente; ","")))</f>
      </c>
      <c r="I1442" s="6">
        <f>IF(COUNTA(A1442:F1442)=0,"",IF(AND(G1442="OK",H1442="OK"),"OK","REVISAR"))</f>
      </c>
    </row>
    <row r="1443">
      <c r="A1443" s="5"/>
      <c r="B1443" s="5"/>
      <c r="C1443" s="4"/>
      <c r="D1443" s="4"/>
      <c r="E1443" s="5"/>
      <c r="F1443" s="4"/>
      <c r="G1443" s="6">
        <f>IF(AND(A1443="",B1443=""),"",IF(COUNTIFS($A$2:$A$2001,A1443,$B$2:$B$2001,B1443)&gt;1,"DUPLICADO","OK"))</f>
      </c>
      <c r="H1443" s="6">
        <f>IF(COUNTA(A1443:F1443)=0,"",IF(AND(A1443&lt;&gt;"",B1443&lt;&gt;"",E1443&lt;&gt;""),"OK","ERRO: faltam "&amp;IF(A1443="","Conta; ","")&amp;IF(B1443="","Oportunidade; ","")&amp;IF(E1443="","Novo gerente; ","")))</f>
      </c>
      <c r="I1443" s="6">
        <f>IF(COUNTA(A1443:F1443)=0,"",IF(AND(G1443="OK",H1443="OK"),"OK","REVISAR"))</f>
      </c>
    </row>
    <row r="1444">
      <c r="A1444" s="5"/>
      <c r="B1444" s="5"/>
      <c r="C1444" s="4"/>
      <c r="D1444" s="4"/>
      <c r="E1444" s="5"/>
      <c r="F1444" s="4"/>
      <c r="G1444" s="6">
        <f>IF(AND(A1444="",B1444=""),"",IF(COUNTIFS($A$2:$A$2001,A1444,$B$2:$B$2001,B1444)&gt;1,"DUPLICADO","OK"))</f>
      </c>
      <c r="H1444" s="6">
        <f>IF(COUNTA(A1444:F1444)=0,"",IF(AND(A1444&lt;&gt;"",B1444&lt;&gt;"",E1444&lt;&gt;""),"OK","ERRO: faltam "&amp;IF(A1444="","Conta; ","")&amp;IF(B1444="","Oportunidade; ","")&amp;IF(E1444="","Novo gerente; ","")))</f>
      </c>
      <c r="I1444" s="6">
        <f>IF(COUNTA(A1444:F1444)=0,"",IF(AND(G1444="OK",H1444="OK"),"OK","REVISAR"))</f>
      </c>
    </row>
    <row r="1445">
      <c r="A1445" s="5"/>
      <c r="B1445" s="5"/>
      <c r="C1445" s="4"/>
      <c r="D1445" s="4"/>
      <c r="E1445" s="5"/>
      <c r="F1445" s="4"/>
      <c r="G1445" s="6">
        <f>IF(AND(A1445="",B1445=""),"",IF(COUNTIFS($A$2:$A$2001,A1445,$B$2:$B$2001,B1445)&gt;1,"DUPLICADO","OK"))</f>
      </c>
      <c r="H1445" s="6">
        <f>IF(COUNTA(A1445:F1445)=0,"",IF(AND(A1445&lt;&gt;"",B1445&lt;&gt;"",E1445&lt;&gt;""),"OK","ERRO: faltam "&amp;IF(A1445="","Conta; ","")&amp;IF(B1445="","Oportunidade; ","")&amp;IF(E1445="","Novo gerente; ","")))</f>
      </c>
      <c r="I1445" s="6">
        <f>IF(COUNTA(A1445:F1445)=0,"",IF(AND(G1445="OK",H1445="OK"),"OK","REVISAR"))</f>
      </c>
    </row>
    <row r="1446">
      <c r="A1446" s="5"/>
      <c r="B1446" s="5"/>
      <c r="C1446" s="4"/>
      <c r="D1446" s="4"/>
      <c r="E1446" s="5"/>
      <c r="F1446" s="4"/>
      <c r="G1446" s="6">
        <f>IF(AND(A1446="",B1446=""),"",IF(COUNTIFS($A$2:$A$2001,A1446,$B$2:$B$2001,B1446)&gt;1,"DUPLICADO","OK"))</f>
      </c>
      <c r="H1446" s="6">
        <f>IF(COUNTA(A1446:F1446)=0,"",IF(AND(A1446&lt;&gt;"",B1446&lt;&gt;"",E1446&lt;&gt;""),"OK","ERRO: faltam "&amp;IF(A1446="","Conta; ","")&amp;IF(B1446="","Oportunidade; ","")&amp;IF(E1446="","Novo gerente; ","")))</f>
      </c>
      <c r="I1446" s="6">
        <f>IF(COUNTA(A1446:F1446)=0,"",IF(AND(G1446="OK",H1446="OK"),"OK","REVISAR"))</f>
      </c>
    </row>
    <row r="1447">
      <c r="A1447" s="5"/>
      <c r="B1447" s="5"/>
      <c r="C1447" s="4"/>
      <c r="D1447" s="4"/>
      <c r="E1447" s="5"/>
      <c r="F1447" s="4"/>
      <c r="G1447" s="6">
        <f>IF(AND(A1447="",B1447=""),"",IF(COUNTIFS($A$2:$A$2001,A1447,$B$2:$B$2001,B1447)&gt;1,"DUPLICADO","OK"))</f>
      </c>
      <c r="H1447" s="6">
        <f>IF(COUNTA(A1447:F1447)=0,"",IF(AND(A1447&lt;&gt;"",B1447&lt;&gt;"",E1447&lt;&gt;""),"OK","ERRO: faltam "&amp;IF(A1447="","Conta; ","")&amp;IF(B1447="","Oportunidade; ","")&amp;IF(E1447="","Novo gerente; ","")))</f>
      </c>
      <c r="I1447" s="6">
        <f>IF(COUNTA(A1447:F1447)=0,"",IF(AND(G1447="OK",H1447="OK"),"OK","REVISAR"))</f>
      </c>
    </row>
    <row r="1448">
      <c r="A1448" s="5"/>
      <c r="B1448" s="5"/>
      <c r="C1448" s="4"/>
      <c r="D1448" s="4"/>
      <c r="E1448" s="5"/>
      <c r="F1448" s="4"/>
      <c r="G1448" s="6">
        <f>IF(AND(A1448="",B1448=""),"",IF(COUNTIFS($A$2:$A$2001,A1448,$B$2:$B$2001,B1448)&gt;1,"DUPLICADO","OK"))</f>
      </c>
      <c r="H1448" s="6">
        <f>IF(COUNTA(A1448:F1448)=0,"",IF(AND(A1448&lt;&gt;"",B1448&lt;&gt;"",E1448&lt;&gt;""),"OK","ERRO: faltam "&amp;IF(A1448="","Conta; ","")&amp;IF(B1448="","Oportunidade; ","")&amp;IF(E1448="","Novo gerente; ","")))</f>
      </c>
      <c r="I1448" s="6">
        <f>IF(COUNTA(A1448:F1448)=0,"",IF(AND(G1448="OK",H1448="OK"),"OK","REVISAR"))</f>
      </c>
    </row>
    <row r="1449">
      <c r="A1449" s="5"/>
      <c r="B1449" s="5"/>
      <c r="C1449" s="4"/>
      <c r="D1449" s="4"/>
      <c r="E1449" s="5"/>
      <c r="F1449" s="4"/>
      <c r="G1449" s="6">
        <f>IF(AND(A1449="",B1449=""),"",IF(COUNTIFS($A$2:$A$2001,A1449,$B$2:$B$2001,B1449)&gt;1,"DUPLICADO","OK"))</f>
      </c>
      <c r="H1449" s="6">
        <f>IF(COUNTA(A1449:F1449)=0,"",IF(AND(A1449&lt;&gt;"",B1449&lt;&gt;"",E1449&lt;&gt;""),"OK","ERRO: faltam "&amp;IF(A1449="","Conta; ","")&amp;IF(B1449="","Oportunidade; ","")&amp;IF(E1449="","Novo gerente; ","")))</f>
      </c>
      <c r="I1449" s="6">
        <f>IF(COUNTA(A1449:F1449)=0,"",IF(AND(G1449="OK",H1449="OK"),"OK","REVISAR"))</f>
      </c>
    </row>
    <row r="1450">
      <c r="A1450" s="5"/>
      <c r="B1450" s="5"/>
      <c r="C1450" s="4"/>
      <c r="D1450" s="4"/>
      <c r="E1450" s="5"/>
      <c r="F1450" s="4"/>
      <c r="G1450" s="6">
        <f>IF(AND(A1450="",B1450=""),"",IF(COUNTIFS($A$2:$A$2001,A1450,$B$2:$B$2001,B1450)&gt;1,"DUPLICADO","OK"))</f>
      </c>
      <c r="H1450" s="6">
        <f>IF(COUNTA(A1450:F1450)=0,"",IF(AND(A1450&lt;&gt;"",B1450&lt;&gt;"",E1450&lt;&gt;""),"OK","ERRO: faltam "&amp;IF(A1450="","Conta; ","")&amp;IF(B1450="","Oportunidade; ","")&amp;IF(E1450="","Novo gerente; ","")))</f>
      </c>
      <c r="I1450" s="6">
        <f>IF(COUNTA(A1450:F1450)=0,"",IF(AND(G1450="OK",H1450="OK"),"OK","REVISAR"))</f>
      </c>
    </row>
    <row r="1451">
      <c r="A1451" s="5"/>
      <c r="B1451" s="5"/>
      <c r="C1451" s="4"/>
      <c r="D1451" s="4"/>
      <c r="E1451" s="5"/>
      <c r="F1451" s="4"/>
      <c r="G1451" s="6">
        <f>IF(AND(A1451="",B1451=""),"",IF(COUNTIFS($A$2:$A$2001,A1451,$B$2:$B$2001,B1451)&gt;1,"DUPLICADO","OK"))</f>
      </c>
      <c r="H1451" s="6">
        <f>IF(COUNTA(A1451:F1451)=0,"",IF(AND(A1451&lt;&gt;"",B1451&lt;&gt;"",E1451&lt;&gt;""),"OK","ERRO: faltam "&amp;IF(A1451="","Conta; ","")&amp;IF(B1451="","Oportunidade; ","")&amp;IF(E1451="","Novo gerente; ","")))</f>
      </c>
      <c r="I1451" s="6">
        <f>IF(COUNTA(A1451:F1451)=0,"",IF(AND(G1451="OK",H1451="OK"),"OK","REVISAR"))</f>
      </c>
    </row>
    <row r="1452">
      <c r="A1452" s="5"/>
      <c r="B1452" s="5"/>
      <c r="C1452" s="4"/>
      <c r="D1452" s="4"/>
      <c r="E1452" s="5"/>
      <c r="F1452" s="4"/>
      <c r="G1452" s="6">
        <f>IF(AND(A1452="",B1452=""),"",IF(COUNTIFS($A$2:$A$2001,A1452,$B$2:$B$2001,B1452)&gt;1,"DUPLICADO","OK"))</f>
      </c>
      <c r="H1452" s="6">
        <f>IF(COUNTA(A1452:F1452)=0,"",IF(AND(A1452&lt;&gt;"",B1452&lt;&gt;"",E1452&lt;&gt;""),"OK","ERRO: faltam "&amp;IF(A1452="","Conta; ","")&amp;IF(B1452="","Oportunidade; ","")&amp;IF(E1452="","Novo gerente; ","")))</f>
      </c>
      <c r="I1452" s="6">
        <f>IF(COUNTA(A1452:F1452)=0,"",IF(AND(G1452="OK",H1452="OK"),"OK","REVISAR"))</f>
      </c>
    </row>
    <row r="1453">
      <c r="A1453" s="5"/>
      <c r="B1453" s="5"/>
      <c r="C1453" s="4"/>
      <c r="D1453" s="4"/>
      <c r="E1453" s="5"/>
      <c r="F1453" s="4"/>
      <c r="G1453" s="6">
        <f>IF(AND(A1453="",B1453=""),"",IF(COUNTIFS($A$2:$A$2001,A1453,$B$2:$B$2001,B1453)&gt;1,"DUPLICADO","OK"))</f>
      </c>
      <c r="H1453" s="6">
        <f>IF(COUNTA(A1453:F1453)=0,"",IF(AND(A1453&lt;&gt;"",B1453&lt;&gt;"",E1453&lt;&gt;""),"OK","ERRO: faltam "&amp;IF(A1453="","Conta; ","")&amp;IF(B1453="","Oportunidade; ","")&amp;IF(E1453="","Novo gerente; ","")))</f>
      </c>
      <c r="I1453" s="6">
        <f>IF(COUNTA(A1453:F1453)=0,"",IF(AND(G1453="OK",H1453="OK"),"OK","REVISAR"))</f>
      </c>
    </row>
    <row r="1454">
      <c r="A1454" s="5"/>
      <c r="B1454" s="5"/>
      <c r="C1454" s="4"/>
      <c r="D1454" s="4"/>
      <c r="E1454" s="5"/>
      <c r="F1454" s="4"/>
      <c r="G1454" s="6">
        <f>IF(AND(A1454="",B1454=""),"",IF(COUNTIFS($A$2:$A$2001,A1454,$B$2:$B$2001,B1454)&gt;1,"DUPLICADO","OK"))</f>
      </c>
      <c r="H1454" s="6">
        <f>IF(COUNTA(A1454:F1454)=0,"",IF(AND(A1454&lt;&gt;"",B1454&lt;&gt;"",E1454&lt;&gt;""),"OK","ERRO: faltam "&amp;IF(A1454="","Conta; ","")&amp;IF(B1454="","Oportunidade; ","")&amp;IF(E1454="","Novo gerente; ","")))</f>
      </c>
      <c r="I1454" s="6">
        <f>IF(COUNTA(A1454:F1454)=0,"",IF(AND(G1454="OK",H1454="OK"),"OK","REVISAR"))</f>
      </c>
    </row>
    <row r="1455">
      <c r="A1455" s="5"/>
      <c r="B1455" s="5"/>
      <c r="C1455" s="4"/>
      <c r="D1455" s="4"/>
      <c r="E1455" s="5"/>
      <c r="F1455" s="4"/>
      <c r="G1455" s="6">
        <f>IF(AND(A1455="",B1455=""),"",IF(COUNTIFS($A$2:$A$2001,A1455,$B$2:$B$2001,B1455)&gt;1,"DUPLICADO","OK"))</f>
      </c>
      <c r="H1455" s="6">
        <f>IF(COUNTA(A1455:F1455)=0,"",IF(AND(A1455&lt;&gt;"",B1455&lt;&gt;"",E1455&lt;&gt;""),"OK","ERRO: faltam "&amp;IF(A1455="","Conta; ","")&amp;IF(B1455="","Oportunidade; ","")&amp;IF(E1455="","Novo gerente; ","")))</f>
      </c>
      <c r="I1455" s="6">
        <f>IF(COUNTA(A1455:F1455)=0,"",IF(AND(G1455="OK",H1455="OK"),"OK","REVISAR"))</f>
      </c>
    </row>
    <row r="1456">
      <c r="A1456" s="5"/>
      <c r="B1456" s="5"/>
      <c r="C1456" s="4"/>
      <c r="D1456" s="4"/>
      <c r="E1456" s="5"/>
      <c r="F1456" s="4"/>
      <c r="G1456" s="6">
        <f>IF(AND(A1456="",B1456=""),"",IF(COUNTIFS($A$2:$A$2001,A1456,$B$2:$B$2001,B1456)&gt;1,"DUPLICADO","OK"))</f>
      </c>
      <c r="H1456" s="6">
        <f>IF(COUNTA(A1456:F1456)=0,"",IF(AND(A1456&lt;&gt;"",B1456&lt;&gt;"",E1456&lt;&gt;""),"OK","ERRO: faltam "&amp;IF(A1456="","Conta; ","")&amp;IF(B1456="","Oportunidade; ","")&amp;IF(E1456="","Novo gerente; ","")))</f>
      </c>
      <c r="I1456" s="6">
        <f>IF(COUNTA(A1456:F1456)=0,"",IF(AND(G1456="OK",H1456="OK"),"OK","REVISAR"))</f>
      </c>
    </row>
    <row r="1457">
      <c r="A1457" s="5"/>
      <c r="B1457" s="5"/>
      <c r="C1457" s="4"/>
      <c r="D1457" s="4"/>
      <c r="E1457" s="5"/>
      <c r="F1457" s="4"/>
      <c r="G1457" s="6">
        <f>IF(AND(A1457="",B1457=""),"",IF(COUNTIFS($A$2:$A$2001,A1457,$B$2:$B$2001,B1457)&gt;1,"DUPLICADO","OK"))</f>
      </c>
      <c r="H1457" s="6">
        <f>IF(COUNTA(A1457:F1457)=0,"",IF(AND(A1457&lt;&gt;"",B1457&lt;&gt;"",E1457&lt;&gt;""),"OK","ERRO: faltam "&amp;IF(A1457="","Conta; ","")&amp;IF(B1457="","Oportunidade; ","")&amp;IF(E1457="","Novo gerente; ","")))</f>
      </c>
      <c r="I1457" s="6">
        <f>IF(COUNTA(A1457:F1457)=0,"",IF(AND(G1457="OK",H1457="OK"),"OK","REVISAR"))</f>
      </c>
    </row>
    <row r="1458">
      <c r="A1458" s="5"/>
      <c r="B1458" s="5"/>
      <c r="C1458" s="4"/>
      <c r="D1458" s="4"/>
      <c r="E1458" s="5"/>
      <c r="F1458" s="4"/>
      <c r="G1458" s="6">
        <f>IF(AND(A1458="",B1458=""),"",IF(COUNTIFS($A$2:$A$2001,A1458,$B$2:$B$2001,B1458)&gt;1,"DUPLICADO","OK"))</f>
      </c>
      <c r="H1458" s="6">
        <f>IF(COUNTA(A1458:F1458)=0,"",IF(AND(A1458&lt;&gt;"",B1458&lt;&gt;"",E1458&lt;&gt;""),"OK","ERRO: faltam "&amp;IF(A1458="","Conta; ","")&amp;IF(B1458="","Oportunidade; ","")&amp;IF(E1458="","Novo gerente; ","")))</f>
      </c>
      <c r="I1458" s="6">
        <f>IF(COUNTA(A1458:F1458)=0,"",IF(AND(G1458="OK",H1458="OK"),"OK","REVISAR"))</f>
      </c>
    </row>
    <row r="1459">
      <c r="A1459" s="5"/>
      <c r="B1459" s="5"/>
      <c r="C1459" s="4"/>
      <c r="D1459" s="4"/>
      <c r="E1459" s="5"/>
      <c r="F1459" s="4"/>
      <c r="G1459" s="6">
        <f>IF(AND(A1459="",B1459=""),"",IF(COUNTIFS($A$2:$A$2001,A1459,$B$2:$B$2001,B1459)&gt;1,"DUPLICADO","OK"))</f>
      </c>
      <c r="H1459" s="6">
        <f>IF(COUNTA(A1459:F1459)=0,"",IF(AND(A1459&lt;&gt;"",B1459&lt;&gt;"",E1459&lt;&gt;""),"OK","ERRO: faltam "&amp;IF(A1459="","Conta; ","")&amp;IF(B1459="","Oportunidade; ","")&amp;IF(E1459="","Novo gerente; ","")))</f>
      </c>
      <c r="I1459" s="6">
        <f>IF(COUNTA(A1459:F1459)=0,"",IF(AND(G1459="OK",H1459="OK"),"OK","REVISAR"))</f>
      </c>
    </row>
    <row r="1460">
      <c r="A1460" s="5"/>
      <c r="B1460" s="5"/>
      <c r="C1460" s="4"/>
      <c r="D1460" s="4"/>
      <c r="E1460" s="5"/>
      <c r="F1460" s="4"/>
      <c r="G1460" s="6">
        <f>IF(AND(A1460="",B1460=""),"",IF(COUNTIFS($A$2:$A$2001,A1460,$B$2:$B$2001,B1460)&gt;1,"DUPLICADO","OK"))</f>
      </c>
      <c r="H1460" s="6">
        <f>IF(COUNTA(A1460:F1460)=0,"",IF(AND(A1460&lt;&gt;"",B1460&lt;&gt;"",E1460&lt;&gt;""),"OK","ERRO: faltam "&amp;IF(A1460="","Conta; ","")&amp;IF(B1460="","Oportunidade; ","")&amp;IF(E1460="","Novo gerente; ","")))</f>
      </c>
      <c r="I1460" s="6">
        <f>IF(COUNTA(A1460:F1460)=0,"",IF(AND(G1460="OK",H1460="OK"),"OK","REVISAR"))</f>
      </c>
    </row>
    <row r="1461">
      <c r="A1461" s="5"/>
      <c r="B1461" s="5"/>
      <c r="C1461" s="4"/>
      <c r="D1461" s="4"/>
      <c r="E1461" s="5"/>
      <c r="F1461" s="4"/>
      <c r="G1461" s="6">
        <f>IF(AND(A1461="",B1461=""),"",IF(COUNTIFS($A$2:$A$2001,A1461,$B$2:$B$2001,B1461)&gt;1,"DUPLICADO","OK"))</f>
      </c>
      <c r="H1461" s="6">
        <f>IF(COUNTA(A1461:F1461)=0,"",IF(AND(A1461&lt;&gt;"",B1461&lt;&gt;"",E1461&lt;&gt;""),"OK","ERRO: faltam "&amp;IF(A1461="","Conta; ","")&amp;IF(B1461="","Oportunidade; ","")&amp;IF(E1461="","Novo gerente; ","")))</f>
      </c>
      <c r="I1461" s="6">
        <f>IF(COUNTA(A1461:F1461)=0,"",IF(AND(G1461="OK",H1461="OK"),"OK","REVISAR"))</f>
      </c>
    </row>
    <row r="1462">
      <c r="A1462" s="5"/>
      <c r="B1462" s="5"/>
      <c r="C1462" s="4"/>
      <c r="D1462" s="4"/>
      <c r="E1462" s="5"/>
      <c r="F1462" s="4"/>
      <c r="G1462" s="6">
        <f>IF(AND(A1462="",B1462=""),"",IF(COUNTIFS($A$2:$A$2001,A1462,$B$2:$B$2001,B1462)&gt;1,"DUPLICADO","OK"))</f>
      </c>
      <c r="H1462" s="6">
        <f>IF(COUNTA(A1462:F1462)=0,"",IF(AND(A1462&lt;&gt;"",B1462&lt;&gt;"",E1462&lt;&gt;""),"OK","ERRO: faltam "&amp;IF(A1462="","Conta; ","")&amp;IF(B1462="","Oportunidade; ","")&amp;IF(E1462="","Novo gerente; ","")))</f>
      </c>
      <c r="I1462" s="6">
        <f>IF(COUNTA(A1462:F1462)=0,"",IF(AND(G1462="OK",H1462="OK"),"OK","REVISAR"))</f>
      </c>
    </row>
    <row r="1463">
      <c r="A1463" s="5"/>
      <c r="B1463" s="5"/>
      <c r="C1463" s="4"/>
      <c r="D1463" s="4"/>
      <c r="E1463" s="5"/>
      <c r="F1463" s="4"/>
      <c r="G1463" s="6">
        <f>IF(AND(A1463="",B1463=""),"",IF(COUNTIFS($A$2:$A$2001,A1463,$B$2:$B$2001,B1463)&gt;1,"DUPLICADO","OK"))</f>
      </c>
      <c r="H1463" s="6">
        <f>IF(COUNTA(A1463:F1463)=0,"",IF(AND(A1463&lt;&gt;"",B1463&lt;&gt;"",E1463&lt;&gt;""),"OK","ERRO: faltam "&amp;IF(A1463="","Conta; ","")&amp;IF(B1463="","Oportunidade; ","")&amp;IF(E1463="","Novo gerente; ","")))</f>
      </c>
      <c r="I1463" s="6">
        <f>IF(COUNTA(A1463:F1463)=0,"",IF(AND(G1463="OK",H1463="OK"),"OK","REVISAR"))</f>
      </c>
    </row>
    <row r="1464">
      <c r="A1464" s="5"/>
      <c r="B1464" s="5"/>
      <c r="C1464" s="4"/>
      <c r="D1464" s="4"/>
      <c r="E1464" s="5"/>
      <c r="F1464" s="4"/>
      <c r="G1464" s="6">
        <f>IF(AND(A1464="",B1464=""),"",IF(COUNTIFS($A$2:$A$2001,A1464,$B$2:$B$2001,B1464)&gt;1,"DUPLICADO","OK"))</f>
      </c>
      <c r="H1464" s="6">
        <f>IF(COUNTA(A1464:F1464)=0,"",IF(AND(A1464&lt;&gt;"",B1464&lt;&gt;"",E1464&lt;&gt;""),"OK","ERRO: faltam "&amp;IF(A1464="","Conta; ","")&amp;IF(B1464="","Oportunidade; ","")&amp;IF(E1464="","Novo gerente; ","")))</f>
      </c>
      <c r="I1464" s="6">
        <f>IF(COUNTA(A1464:F1464)=0,"",IF(AND(G1464="OK",H1464="OK"),"OK","REVISAR"))</f>
      </c>
    </row>
    <row r="1465">
      <c r="A1465" s="5"/>
      <c r="B1465" s="5"/>
      <c r="C1465" s="4"/>
      <c r="D1465" s="4"/>
      <c r="E1465" s="5"/>
      <c r="F1465" s="4"/>
      <c r="G1465" s="6">
        <f>IF(AND(A1465="",B1465=""),"",IF(COUNTIFS($A$2:$A$2001,A1465,$B$2:$B$2001,B1465)&gt;1,"DUPLICADO","OK"))</f>
      </c>
      <c r="H1465" s="6">
        <f>IF(COUNTA(A1465:F1465)=0,"",IF(AND(A1465&lt;&gt;"",B1465&lt;&gt;"",E1465&lt;&gt;""),"OK","ERRO: faltam "&amp;IF(A1465="","Conta; ","")&amp;IF(B1465="","Oportunidade; ","")&amp;IF(E1465="","Novo gerente; ","")))</f>
      </c>
      <c r="I1465" s="6">
        <f>IF(COUNTA(A1465:F1465)=0,"",IF(AND(G1465="OK",H1465="OK"),"OK","REVISAR"))</f>
      </c>
    </row>
    <row r="1466">
      <c r="A1466" s="5"/>
      <c r="B1466" s="5"/>
      <c r="C1466" s="4"/>
      <c r="D1466" s="4"/>
      <c r="E1466" s="5"/>
      <c r="F1466" s="4"/>
      <c r="G1466" s="6">
        <f>IF(AND(A1466="",B1466=""),"",IF(COUNTIFS($A$2:$A$2001,A1466,$B$2:$B$2001,B1466)&gt;1,"DUPLICADO","OK"))</f>
      </c>
      <c r="H1466" s="6">
        <f>IF(COUNTA(A1466:F1466)=0,"",IF(AND(A1466&lt;&gt;"",B1466&lt;&gt;"",E1466&lt;&gt;""),"OK","ERRO: faltam "&amp;IF(A1466="","Conta; ","")&amp;IF(B1466="","Oportunidade; ","")&amp;IF(E1466="","Novo gerente; ","")))</f>
      </c>
      <c r="I1466" s="6">
        <f>IF(COUNTA(A1466:F1466)=0,"",IF(AND(G1466="OK",H1466="OK"),"OK","REVISAR"))</f>
      </c>
    </row>
    <row r="1467">
      <c r="A1467" s="5"/>
      <c r="B1467" s="5"/>
      <c r="C1467" s="4"/>
      <c r="D1467" s="4"/>
      <c r="E1467" s="5"/>
      <c r="F1467" s="4"/>
      <c r="G1467" s="6">
        <f>IF(AND(A1467="",B1467=""),"",IF(COUNTIFS($A$2:$A$2001,A1467,$B$2:$B$2001,B1467)&gt;1,"DUPLICADO","OK"))</f>
      </c>
      <c r="H1467" s="6">
        <f>IF(COUNTA(A1467:F1467)=0,"",IF(AND(A1467&lt;&gt;"",B1467&lt;&gt;"",E1467&lt;&gt;""),"OK","ERRO: faltam "&amp;IF(A1467="","Conta; ","")&amp;IF(B1467="","Oportunidade; ","")&amp;IF(E1467="","Novo gerente; ","")))</f>
      </c>
      <c r="I1467" s="6">
        <f>IF(COUNTA(A1467:F1467)=0,"",IF(AND(G1467="OK",H1467="OK"),"OK","REVISAR"))</f>
      </c>
    </row>
    <row r="1468">
      <c r="A1468" s="5"/>
      <c r="B1468" s="5"/>
      <c r="C1468" s="4"/>
      <c r="D1468" s="4"/>
      <c r="E1468" s="5"/>
      <c r="F1468" s="4"/>
      <c r="G1468" s="6">
        <f>IF(AND(A1468="",B1468=""),"",IF(COUNTIFS($A$2:$A$2001,A1468,$B$2:$B$2001,B1468)&gt;1,"DUPLICADO","OK"))</f>
      </c>
      <c r="H1468" s="6">
        <f>IF(COUNTA(A1468:F1468)=0,"",IF(AND(A1468&lt;&gt;"",B1468&lt;&gt;"",E1468&lt;&gt;""),"OK","ERRO: faltam "&amp;IF(A1468="","Conta; ","")&amp;IF(B1468="","Oportunidade; ","")&amp;IF(E1468="","Novo gerente; ","")))</f>
      </c>
      <c r="I1468" s="6">
        <f>IF(COUNTA(A1468:F1468)=0,"",IF(AND(G1468="OK",H1468="OK"),"OK","REVISAR"))</f>
      </c>
    </row>
    <row r="1469">
      <c r="A1469" s="5"/>
      <c r="B1469" s="5"/>
      <c r="C1469" s="4"/>
      <c r="D1469" s="4"/>
      <c r="E1469" s="5"/>
      <c r="F1469" s="4"/>
      <c r="G1469" s="6">
        <f>IF(AND(A1469="",B1469=""),"",IF(COUNTIFS($A$2:$A$2001,A1469,$B$2:$B$2001,B1469)&gt;1,"DUPLICADO","OK"))</f>
      </c>
      <c r="H1469" s="6">
        <f>IF(COUNTA(A1469:F1469)=0,"",IF(AND(A1469&lt;&gt;"",B1469&lt;&gt;"",E1469&lt;&gt;""),"OK","ERRO: faltam "&amp;IF(A1469="","Conta; ","")&amp;IF(B1469="","Oportunidade; ","")&amp;IF(E1469="","Novo gerente; ","")))</f>
      </c>
      <c r="I1469" s="6">
        <f>IF(COUNTA(A1469:F1469)=0,"",IF(AND(G1469="OK",H1469="OK"),"OK","REVISAR"))</f>
      </c>
    </row>
    <row r="1470">
      <c r="A1470" s="5"/>
      <c r="B1470" s="5"/>
      <c r="C1470" s="4"/>
      <c r="D1470" s="4"/>
      <c r="E1470" s="5"/>
      <c r="F1470" s="4"/>
      <c r="G1470" s="6">
        <f>IF(AND(A1470="",B1470=""),"",IF(COUNTIFS($A$2:$A$2001,A1470,$B$2:$B$2001,B1470)&gt;1,"DUPLICADO","OK"))</f>
      </c>
      <c r="H1470" s="6">
        <f>IF(COUNTA(A1470:F1470)=0,"",IF(AND(A1470&lt;&gt;"",B1470&lt;&gt;"",E1470&lt;&gt;""),"OK","ERRO: faltam "&amp;IF(A1470="","Conta; ","")&amp;IF(B1470="","Oportunidade; ","")&amp;IF(E1470="","Novo gerente; ","")))</f>
      </c>
      <c r="I1470" s="6">
        <f>IF(COUNTA(A1470:F1470)=0,"",IF(AND(G1470="OK",H1470="OK"),"OK","REVISAR"))</f>
      </c>
    </row>
    <row r="1471">
      <c r="A1471" s="5"/>
      <c r="B1471" s="5"/>
      <c r="C1471" s="4"/>
      <c r="D1471" s="4"/>
      <c r="E1471" s="5"/>
      <c r="F1471" s="4"/>
      <c r="G1471" s="6">
        <f>IF(AND(A1471="",B1471=""),"",IF(COUNTIFS($A$2:$A$2001,A1471,$B$2:$B$2001,B1471)&gt;1,"DUPLICADO","OK"))</f>
      </c>
      <c r="H1471" s="6">
        <f>IF(COUNTA(A1471:F1471)=0,"",IF(AND(A1471&lt;&gt;"",B1471&lt;&gt;"",E1471&lt;&gt;""),"OK","ERRO: faltam "&amp;IF(A1471="","Conta; ","")&amp;IF(B1471="","Oportunidade; ","")&amp;IF(E1471="","Novo gerente; ","")))</f>
      </c>
      <c r="I1471" s="6">
        <f>IF(COUNTA(A1471:F1471)=0,"",IF(AND(G1471="OK",H1471="OK"),"OK","REVISAR"))</f>
      </c>
    </row>
    <row r="1472">
      <c r="A1472" s="5"/>
      <c r="B1472" s="5"/>
      <c r="C1472" s="4"/>
      <c r="D1472" s="4"/>
      <c r="E1472" s="5"/>
      <c r="F1472" s="4"/>
      <c r="G1472" s="6">
        <f>IF(AND(A1472="",B1472=""),"",IF(COUNTIFS($A$2:$A$2001,A1472,$B$2:$B$2001,B1472)&gt;1,"DUPLICADO","OK"))</f>
      </c>
      <c r="H1472" s="6">
        <f>IF(COUNTA(A1472:F1472)=0,"",IF(AND(A1472&lt;&gt;"",B1472&lt;&gt;"",E1472&lt;&gt;""),"OK","ERRO: faltam "&amp;IF(A1472="","Conta; ","")&amp;IF(B1472="","Oportunidade; ","")&amp;IF(E1472="","Novo gerente; ","")))</f>
      </c>
      <c r="I1472" s="6">
        <f>IF(COUNTA(A1472:F1472)=0,"",IF(AND(G1472="OK",H1472="OK"),"OK","REVISAR"))</f>
      </c>
    </row>
    <row r="1473">
      <c r="A1473" s="5"/>
      <c r="B1473" s="5"/>
      <c r="C1473" s="4"/>
      <c r="D1473" s="4"/>
      <c r="E1473" s="5"/>
      <c r="F1473" s="4"/>
      <c r="G1473" s="6">
        <f>IF(AND(A1473="",B1473=""),"",IF(COUNTIFS($A$2:$A$2001,A1473,$B$2:$B$2001,B1473)&gt;1,"DUPLICADO","OK"))</f>
      </c>
      <c r="H1473" s="6">
        <f>IF(COUNTA(A1473:F1473)=0,"",IF(AND(A1473&lt;&gt;"",B1473&lt;&gt;"",E1473&lt;&gt;""),"OK","ERRO: faltam "&amp;IF(A1473="","Conta; ","")&amp;IF(B1473="","Oportunidade; ","")&amp;IF(E1473="","Novo gerente; ","")))</f>
      </c>
      <c r="I1473" s="6">
        <f>IF(COUNTA(A1473:F1473)=0,"",IF(AND(G1473="OK",H1473="OK"),"OK","REVISAR"))</f>
      </c>
    </row>
    <row r="1474">
      <c r="A1474" s="5"/>
      <c r="B1474" s="5"/>
      <c r="C1474" s="4"/>
      <c r="D1474" s="4"/>
      <c r="E1474" s="5"/>
      <c r="F1474" s="4"/>
      <c r="G1474" s="6">
        <f>IF(AND(A1474="",B1474=""),"",IF(COUNTIFS($A$2:$A$2001,A1474,$B$2:$B$2001,B1474)&gt;1,"DUPLICADO","OK"))</f>
      </c>
      <c r="H1474" s="6">
        <f>IF(COUNTA(A1474:F1474)=0,"",IF(AND(A1474&lt;&gt;"",B1474&lt;&gt;"",E1474&lt;&gt;""),"OK","ERRO: faltam "&amp;IF(A1474="","Conta; ","")&amp;IF(B1474="","Oportunidade; ","")&amp;IF(E1474="","Novo gerente; ","")))</f>
      </c>
      <c r="I1474" s="6">
        <f>IF(COUNTA(A1474:F1474)=0,"",IF(AND(G1474="OK",H1474="OK"),"OK","REVISAR"))</f>
      </c>
    </row>
    <row r="1475">
      <c r="A1475" s="5"/>
      <c r="B1475" s="5"/>
      <c r="C1475" s="4"/>
      <c r="D1475" s="4"/>
      <c r="E1475" s="5"/>
      <c r="F1475" s="4"/>
      <c r="G1475" s="6">
        <f>IF(AND(A1475="",B1475=""),"",IF(COUNTIFS($A$2:$A$2001,A1475,$B$2:$B$2001,B1475)&gt;1,"DUPLICADO","OK"))</f>
      </c>
      <c r="H1475" s="6">
        <f>IF(COUNTA(A1475:F1475)=0,"",IF(AND(A1475&lt;&gt;"",B1475&lt;&gt;"",E1475&lt;&gt;""),"OK","ERRO: faltam "&amp;IF(A1475="","Conta; ","")&amp;IF(B1475="","Oportunidade; ","")&amp;IF(E1475="","Novo gerente; ","")))</f>
      </c>
      <c r="I1475" s="6">
        <f>IF(COUNTA(A1475:F1475)=0,"",IF(AND(G1475="OK",H1475="OK"),"OK","REVISAR"))</f>
      </c>
    </row>
    <row r="1476">
      <c r="A1476" s="5"/>
      <c r="B1476" s="5"/>
      <c r="C1476" s="4"/>
      <c r="D1476" s="4"/>
      <c r="E1476" s="5"/>
      <c r="F1476" s="4"/>
      <c r="G1476" s="6">
        <f>IF(AND(A1476="",B1476=""),"",IF(COUNTIFS($A$2:$A$2001,A1476,$B$2:$B$2001,B1476)&gt;1,"DUPLICADO","OK"))</f>
      </c>
      <c r="H1476" s="6">
        <f>IF(COUNTA(A1476:F1476)=0,"",IF(AND(A1476&lt;&gt;"",B1476&lt;&gt;"",E1476&lt;&gt;""),"OK","ERRO: faltam "&amp;IF(A1476="","Conta; ","")&amp;IF(B1476="","Oportunidade; ","")&amp;IF(E1476="","Novo gerente; ","")))</f>
      </c>
      <c r="I1476" s="6">
        <f>IF(COUNTA(A1476:F1476)=0,"",IF(AND(G1476="OK",H1476="OK"),"OK","REVISAR"))</f>
      </c>
    </row>
    <row r="1477">
      <c r="A1477" s="5"/>
      <c r="B1477" s="5"/>
      <c r="C1477" s="4"/>
      <c r="D1477" s="4"/>
      <c r="E1477" s="5"/>
      <c r="F1477" s="4"/>
      <c r="G1477" s="6">
        <f>IF(AND(A1477="",B1477=""),"",IF(COUNTIFS($A$2:$A$2001,A1477,$B$2:$B$2001,B1477)&gt;1,"DUPLICADO","OK"))</f>
      </c>
      <c r="H1477" s="6">
        <f>IF(COUNTA(A1477:F1477)=0,"",IF(AND(A1477&lt;&gt;"",B1477&lt;&gt;"",E1477&lt;&gt;""),"OK","ERRO: faltam "&amp;IF(A1477="","Conta; ","")&amp;IF(B1477="","Oportunidade; ","")&amp;IF(E1477="","Novo gerente; ","")))</f>
      </c>
      <c r="I1477" s="6">
        <f>IF(COUNTA(A1477:F1477)=0,"",IF(AND(G1477="OK",H1477="OK"),"OK","REVISAR"))</f>
      </c>
    </row>
    <row r="1478">
      <c r="A1478" s="5"/>
      <c r="B1478" s="5"/>
      <c r="C1478" s="4"/>
      <c r="D1478" s="4"/>
      <c r="E1478" s="5"/>
      <c r="F1478" s="4"/>
      <c r="G1478" s="6">
        <f>IF(AND(A1478="",B1478=""),"",IF(COUNTIFS($A$2:$A$2001,A1478,$B$2:$B$2001,B1478)&gt;1,"DUPLICADO","OK"))</f>
      </c>
      <c r="H1478" s="6">
        <f>IF(COUNTA(A1478:F1478)=0,"",IF(AND(A1478&lt;&gt;"",B1478&lt;&gt;"",E1478&lt;&gt;""),"OK","ERRO: faltam "&amp;IF(A1478="","Conta; ","")&amp;IF(B1478="","Oportunidade; ","")&amp;IF(E1478="","Novo gerente; ","")))</f>
      </c>
      <c r="I1478" s="6">
        <f>IF(COUNTA(A1478:F1478)=0,"",IF(AND(G1478="OK",H1478="OK"),"OK","REVISAR"))</f>
      </c>
    </row>
    <row r="1479">
      <c r="A1479" s="5"/>
      <c r="B1479" s="5"/>
      <c r="C1479" s="4"/>
      <c r="D1479" s="4"/>
      <c r="E1479" s="5"/>
      <c r="F1479" s="4"/>
      <c r="G1479" s="6">
        <f>IF(AND(A1479="",B1479=""),"",IF(COUNTIFS($A$2:$A$2001,A1479,$B$2:$B$2001,B1479)&gt;1,"DUPLICADO","OK"))</f>
      </c>
      <c r="H1479" s="6">
        <f>IF(COUNTA(A1479:F1479)=0,"",IF(AND(A1479&lt;&gt;"",B1479&lt;&gt;"",E1479&lt;&gt;""),"OK","ERRO: faltam "&amp;IF(A1479="","Conta; ","")&amp;IF(B1479="","Oportunidade; ","")&amp;IF(E1479="","Novo gerente; ","")))</f>
      </c>
      <c r="I1479" s="6">
        <f>IF(COUNTA(A1479:F1479)=0,"",IF(AND(G1479="OK",H1479="OK"),"OK","REVISAR"))</f>
      </c>
    </row>
    <row r="1480">
      <c r="A1480" s="5"/>
      <c r="B1480" s="5"/>
      <c r="C1480" s="4"/>
      <c r="D1480" s="4"/>
      <c r="E1480" s="5"/>
      <c r="F1480" s="4"/>
      <c r="G1480" s="6">
        <f>IF(AND(A1480="",B1480=""),"",IF(COUNTIFS($A$2:$A$2001,A1480,$B$2:$B$2001,B1480)&gt;1,"DUPLICADO","OK"))</f>
      </c>
      <c r="H1480" s="6">
        <f>IF(COUNTA(A1480:F1480)=0,"",IF(AND(A1480&lt;&gt;"",B1480&lt;&gt;"",E1480&lt;&gt;""),"OK","ERRO: faltam "&amp;IF(A1480="","Conta; ","")&amp;IF(B1480="","Oportunidade; ","")&amp;IF(E1480="","Novo gerente; ","")))</f>
      </c>
      <c r="I1480" s="6">
        <f>IF(COUNTA(A1480:F1480)=0,"",IF(AND(G1480="OK",H1480="OK"),"OK","REVISAR"))</f>
      </c>
    </row>
    <row r="1481">
      <c r="A1481" s="5"/>
      <c r="B1481" s="5"/>
      <c r="C1481" s="4"/>
      <c r="D1481" s="4"/>
      <c r="E1481" s="5"/>
      <c r="F1481" s="4"/>
      <c r="G1481" s="6">
        <f>IF(AND(A1481="",B1481=""),"",IF(COUNTIFS($A$2:$A$2001,A1481,$B$2:$B$2001,B1481)&gt;1,"DUPLICADO","OK"))</f>
      </c>
      <c r="H1481" s="6">
        <f>IF(COUNTA(A1481:F1481)=0,"",IF(AND(A1481&lt;&gt;"",B1481&lt;&gt;"",E1481&lt;&gt;""),"OK","ERRO: faltam "&amp;IF(A1481="","Conta; ","")&amp;IF(B1481="","Oportunidade; ","")&amp;IF(E1481="","Novo gerente; ","")))</f>
      </c>
      <c r="I1481" s="6">
        <f>IF(COUNTA(A1481:F1481)=0,"",IF(AND(G1481="OK",H1481="OK"),"OK","REVISAR"))</f>
      </c>
    </row>
    <row r="1482">
      <c r="A1482" s="5"/>
      <c r="B1482" s="5"/>
      <c r="C1482" s="4"/>
      <c r="D1482" s="4"/>
      <c r="E1482" s="5"/>
      <c r="F1482" s="4"/>
      <c r="G1482" s="6">
        <f>IF(AND(A1482="",B1482=""),"",IF(COUNTIFS($A$2:$A$2001,A1482,$B$2:$B$2001,B1482)&gt;1,"DUPLICADO","OK"))</f>
      </c>
      <c r="H1482" s="6">
        <f>IF(COUNTA(A1482:F1482)=0,"",IF(AND(A1482&lt;&gt;"",B1482&lt;&gt;"",E1482&lt;&gt;""),"OK","ERRO: faltam "&amp;IF(A1482="","Conta; ","")&amp;IF(B1482="","Oportunidade; ","")&amp;IF(E1482="","Novo gerente; ","")))</f>
      </c>
      <c r="I1482" s="6">
        <f>IF(COUNTA(A1482:F1482)=0,"",IF(AND(G1482="OK",H1482="OK"),"OK","REVISAR"))</f>
      </c>
    </row>
    <row r="1483">
      <c r="A1483" s="5"/>
      <c r="B1483" s="5"/>
      <c r="C1483" s="4"/>
      <c r="D1483" s="4"/>
      <c r="E1483" s="5"/>
      <c r="F1483" s="4"/>
      <c r="G1483" s="6">
        <f>IF(AND(A1483="",B1483=""),"",IF(COUNTIFS($A$2:$A$2001,A1483,$B$2:$B$2001,B1483)&gt;1,"DUPLICADO","OK"))</f>
      </c>
      <c r="H1483" s="6">
        <f>IF(COUNTA(A1483:F1483)=0,"",IF(AND(A1483&lt;&gt;"",B1483&lt;&gt;"",E1483&lt;&gt;""),"OK","ERRO: faltam "&amp;IF(A1483="","Conta; ","")&amp;IF(B1483="","Oportunidade; ","")&amp;IF(E1483="","Novo gerente; ","")))</f>
      </c>
      <c r="I1483" s="6">
        <f>IF(COUNTA(A1483:F1483)=0,"",IF(AND(G1483="OK",H1483="OK"),"OK","REVISAR"))</f>
      </c>
    </row>
    <row r="1484">
      <c r="A1484" s="5"/>
      <c r="B1484" s="5"/>
      <c r="C1484" s="4"/>
      <c r="D1484" s="4"/>
      <c r="E1484" s="5"/>
      <c r="F1484" s="4"/>
      <c r="G1484" s="6">
        <f>IF(AND(A1484="",B1484=""),"",IF(COUNTIFS($A$2:$A$2001,A1484,$B$2:$B$2001,B1484)&gt;1,"DUPLICADO","OK"))</f>
      </c>
      <c r="H1484" s="6">
        <f>IF(COUNTA(A1484:F1484)=0,"",IF(AND(A1484&lt;&gt;"",B1484&lt;&gt;"",E1484&lt;&gt;""),"OK","ERRO: faltam "&amp;IF(A1484="","Conta; ","")&amp;IF(B1484="","Oportunidade; ","")&amp;IF(E1484="","Novo gerente; ","")))</f>
      </c>
      <c r="I1484" s="6">
        <f>IF(COUNTA(A1484:F1484)=0,"",IF(AND(G1484="OK",H1484="OK"),"OK","REVISAR"))</f>
      </c>
    </row>
    <row r="1485">
      <c r="A1485" s="5"/>
      <c r="B1485" s="5"/>
      <c r="C1485" s="4"/>
      <c r="D1485" s="4"/>
      <c r="E1485" s="5"/>
      <c r="F1485" s="4"/>
      <c r="G1485" s="6">
        <f>IF(AND(A1485="",B1485=""),"",IF(COUNTIFS($A$2:$A$2001,A1485,$B$2:$B$2001,B1485)&gt;1,"DUPLICADO","OK"))</f>
      </c>
      <c r="H1485" s="6">
        <f>IF(COUNTA(A1485:F1485)=0,"",IF(AND(A1485&lt;&gt;"",B1485&lt;&gt;"",E1485&lt;&gt;""),"OK","ERRO: faltam "&amp;IF(A1485="","Conta; ","")&amp;IF(B1485="","Oportunidade; ","")&amp;IF(E1485="","Novo gerente; ","")))</f>
      </c>
      <c r="I1485" s="6">
        <f>IF(COUNTA(A1485:F1485)=0,"",IF(AND(G1485="OK",H1485="OK"),"OK","REVISAR"))</f>
      </c>
    </row>
    <row r="1486">
      <c r="A1486" s="5"/>
      <c r="B1486" s="5"/>
      <c r="C1486" s="4"/>
      <c r="D1486" s="4"/>
      <c r="E1486" s="5"/>
      <c r="F1486" s="4"/>
      <c r="G1486" s="6">
        <f>IF(AND(A1486="",B1486=""),"",IF(COUNTIFS($A$2:$A$2001,A1486,$B$2:$B$2001,B1486)&gt;1,"DUPLICADO","OK"))</f>
      </c>
      <c r="H1486" s="6">
        <f>IF(COUNTA(A1486:F1486)=0,"",IF(AND(A1486&lt;&gt;"",B1486&lt;&gt;"",E1486&lt;&gt;""),"OK","ERRO: faltam "&amp;IF(A1486="","Conta; ","")&amp;IF(B1486="","Oportunidade; ","")&amp;IF(E1486="","Novo gerente; ","")))</f>
      </c>
      <c r="I1486" s="6">
        <f>IF(COUNTA(A1486:F1486)=0,"",IF(AND(G1486="OK",H1486="OK"),"OK","REVISAR"))</f>
      </c>
    </row>
    <row r="1487">
      <c r="A1487" s="5"/>
      <c r="B1487" s="5"/>
      <c r="C1487" s="4"/>
      <c r="D1487" s="4"/>
      <c r="E1487" s="5"/>
      <c r="F1487" s="4"/>
      <c r="G1487" s="6">
        <f>IF(AND(A1487="",B1487=""),"",IF(COUNTIFS($A$2:$A$2001,A1487,$B$2:$B$2001,B1487)&gt;1,"DUPLICADO","OK"))</f>
      </c>
      <c r="H1487" s="6">
        <f>IF(COUNTA(A1487:F1487)=0,"",IF(AND(A1487&lt;&gt;"",B1487&lt;&gt;"",E1487&lt;&gt;""),"OK","ERRO: faltam "&amp;IF(A1487="","Conta; ","")&amp;IF(B1487="","Oportunidade; ","")&amp;IF(E1487="","Novo gerente; ","")))</f>
      </c>
      <c r="I1487" s="6">
        <f>IF(COUNTA(A1487:F1487)=0,"",IF(AND(G1487="OK",H1487="OK"),"OK","REVISAR"))</f>
      </c>
    </row>
    <row r="1488">
      <c r="A1488" s="5"/>
      <c r="B1488" s="5"/>
      <c r="C1488" s="4"/>
      <c r="D1488" s="4"/>
      <c r="E1488" s="5"/>
      <c r="F1488" s="4"/>
      <c r="G1488" s="6">
        <f>IF(AND(A1488="",B1488=""),"",IF(COUNTIFS($A$2:$A$2001,A1488,$B$2:$B$2001,B1488)&gt;1,"DUPLICADO","OK"))</f>
      </c>
      <c r="H1488" s="6">
        <f>IF(COUNTA(A1488:F1488)=0,"",IF(AND(A1488&lt;&gt;"",B1488&lt;&gt;"",E1488&lt;&gt;""),"OK","ERRO: faltam "&amp;IF(A1488="","Conta; ","")&amp;IF(B1488="","Oportunidade; ","")&amp;IF(E1488="","Novo gerente; ","")))</f>
      </c>
      <c r="I1488" s="6">
        <f>IF(COUNTA(A1488:F1488)=0,"",IF(AND(G1488="OK",H1488="OK"),"OK","REVISAR"))</f>
      </c>
    </row>
    <row r="1489">
      <c r="A1489" s="5"/>
      <c r="B1489" s="5"/>
      <c r="C1489" s="4"/>
      <c r="D1489" s="4"/>
      <c r="E1489" s="5"/>
      <c r="F1489" s="4"/>
      <c r="G1489" s="6">
        <f>IF(AND(A1489="",B1489=""),"",IF(COUNTIFS($A$2:$A$2001,A1489,$B$2:$B$2001,B1489)&gt;1,"DUPLICADO","OK"))</f>
      </c>
      <c r="H1489" s="6">
        <f>IF(COUNTA(A1489:F1489)=0,"",IF(AND(A1489&lt;&gt;"",B1489&lt;&gt;"",E1489&lt;&gt;""),"OK","ERRO: faltam "&amp;IF(A1489="","Conta; ","")&amp;IF(B1489="","Oportunidade; ","")&amp;IF(E1489="","Novo gerente; ","")))</f>
      </c>
      <c r="I1489" s="6">
        <f>IF(COUNTA(A1489:F1489)=0,"",IF(AND(G1489="OK",H1489="OK"),"OK","REVISAR"))</f>
      </c>
    </row>
    <row r="1490">
      <c r="A1490" s="5"/>
      <c r="B1490" s="5"/>
      <c r="C1490" s="4"/>
      <c r="D1490" s="4"/>
      <c r="E1490" s="5"/>
      <c r="F1490" s="4"/>
      <c r="G1490" s="6">
        <f>IF(AND(A1490="",B1490=""),"",IF(COUNTIFS($A$2:$A$2001,A1490,$B$2:$B$2001,B1490)&gt;1,"DUPLICADO","OK"))</f>
      </c>
      <c r="H1490" s="6">
        <f>IF(COUNTA(A1490:F1490)=0,"",IF(AND(A1490&lt;&gt;"",B1490&lt;&gt;"",E1490&lt;&gt;""),"OK","ERRO: faltam "&amp;IF(A1490="","Conta; ","")&amp;IF(B1490="","Oportunidade; ","")&amp;IF(E1490="","Novo gerente; ","")))</f>
      </c>
      <c r="I1490" s="6">
        <f>IF(COUNTA(A1490:F1490)=0,"",IF(AND(G1490="OK",H1490="OK"),"OK","REVISAR"))</f>
      </c>
    </row>
    <row r="1491">
      <c r="A1491" s="5"/>
      <c r="B1491" s="5"/>
      <c r="C1491" s="4"/>
      <c r="D1491" s="4"/>
      <c r="E1491" s="5"/>
      <c r="F1491" s="4"/>
      <c r="G1491" s="6">
        <f>IF(AND(A1491="",B1491=""),"",IF(COUNTIFS($A$2:$A$2001,A1491,$B$2:$B$2001,B1491)&gt;1,"DUPLICADO","OK"))</f>
      </c>
      <c r="H1491" s="6">
        <f>IF(COUNTA(A1491:F1491)=0,"",IF(AND(A1491&lt;&gt;"",B1491&lt;&gt;"",E1491&lt;&gt;""),"OK","ERRO: faltam "&amp;IF(A1491="","Conta; ","")&amp;IF(B1491="","Oportunidade; ","")&amp;IF(E1491="","Novo gerente; ","")))</f>
      </c>
      <c r="I1491" s="6">
        <f>IF(COUNTA(A1491:F1491)=0,"",IF(AND(G1491="OK",H1491="OK"),"OK","REVISAR"))</f>
      </c>
    </row>
    <row r="1492">
      <c r="A1492" s="5"/>
      <c r="B1492" s="5"/>
      <c r="C1492" s="4"/>
      <c r="D1492" s="4"/>
      <c r="E1492" s="5"/>
      <c r="F1492" s="4"/>
      <c r="G1492" s="6">
        <f>IF(AND(A1492="",B1492=""),"",IF(COUNTIFS($A$2:$A$2001,A1492,$B$2:$B$2001,B1492)&gt;1,"DUPLICADO","OK"))</f>
      </c>
      <c r="H1492" s="6">
        <f>IF(COUNTA(A1492:F1492)=0,"",IF(AND(A1492&lt;&gt;"",B1492&lt;&gt;"",E1492&lt;&gt;""),"OK","ERRO: faltam "&amp;IF(A1492="","Conta; ","")&amp;IF(B1492="","Oportunidade; ","")&amp;IF(E1492="","Novo gerente; ","")))</f>
      </c>
      <c r="I1492" s="6">
        <f>IF(COUNTA(A1492:F1492)=0,"",IF(AND(G1492="OK",H1492="OK"),"OK","REVISAR"))</f>
      </c>
    </row>
    <row r="1493">
      <c r="A1493" s="5"/>
      <c r="B1493" s="5"/>
      <c r="C1493" s="4"/>
      <c r="D1493" s="4"/>
      <c r="E1493" s="5"/>
      <c r="F1493" s="4"/>
      <c r="G1493" s="6">
        <f>IF(AND(A1493="",B1493=""),"",IF(COUNTIFS($A$2:$A$2001,A1493,$B$2:$B$2001,B1493)&gt;1,"DUPLICADO","OK"))</f>
      </c>
      <c r="H1493" s="6">
        <f>IF(COUNTA(A1493:F1493)=0,"",IF(AND(A1493&lt;&gt;"",B1493&lt;&gt;"",E1493&lt;&gt;""),"OK","ERRO: faltam "&amp;IF(A1493="","Conta; ","")&amp;IF(B1493="","Oportunidade; ","")&amp;IF(E1493="","Novo gerente; ","")))</f>
      </c>
      <c r="I1493" s="6">
        <f>IF(COUNTA(A1493:F1493)=0,"",IF(AND(G1493="OK",H1493="OK"),"OK","REVISAR"))</f>
      </c>
    </row>
    <row r="1494">
      <c r="A1494" s="5"/>
      <c r="B1494" s="5"/>
      <c r="C1494" s="4"/>
      <c r="D1494" s="4"/>
      <c r="E1494" s="5"/>
      <c r="F1494" s="4"/>
      <c r="G1494" s="6">
        <f>IF(AND(A1494="",B1494=""),"",IF(COUNTIFS($A$2:$A$2001,A1494,$B$2:$B$2001,B1494)&gt;1,"DUPLICADO","OK"))</f>
      </c>
      <c r="H1494" s="6">
        <f>IF(COUNTA(A1494:F1494)=0,"",IF(AND(A1494&lt;&gt;"",B1494&lt;&gt;"",E1494&lt;&gt;""),"OK","ERRO: faltam "&amp;IF(A1494="","Conta; ","")&amp;IF(B1494="","Oportunidade; ","")&amp;IF(E1494="","Novo gerente; ","")))</f>
      </c>
      <c r="I1494" s="6">
        <f>IF(COUNTA(A1494:F1494)=0,"",IF(AND(G1494="OK",H1494="OK"),"OK","REVISAR"))</f>
      </c>
    </row>
    <row r="1495">
      <c r="A1495" s="5"/>
      <c r="B1495" s="5"/>
      <c r="C1495" s="4"/>
      <c r="D1495" s="4"/>
      <c r="E1495" s="5"/>
      <c r="F1495" s="4"/>
      <c r="G1495" s="6">
        <f>IF(AND(A1495="",B1495=""),"",IF(COUNTIFS($A$2:$A$2001,A1495,$B$2:$B$2001,B1495)&gt;1,"DUPLICADO","OK"))</f>
      </c>
      <c r="H1495" s="6">
        <f>IF(COUNTA(A1495:F1495)=0,"",IF(AND(A1495&lt;&gt;"",B1495&lt;&gt;"",E1495&lt;&gt;""),"OK","ERRO: faltam "&amp;IF(A1495="","Conta; ","")&amp;IF(B1495="","Oportunidade; ","")&amp;IF(E1495="","Novo gerente; ","")))</f>
      </c>
      <c r="I1495" s="6">
        <f>IF(COUNTA(A1495:F1495)=0,"",IF(AND(G1495="OK",H1495="OK"),"OK","REVISAR"))</f>
      </c>
    </row>
    <row r="1496">
      <c r="A1496" s="5"/>
      <c r="B1496" s="5"/>
      <c r="C1496" s="4"/>
      <c r="D1496" s="4"/>
      <c r="E1496" s="5"/>
      <c r="F1496" s="4"/>
      <c r="G1496" s="6">
        <f>IF(AND(A1496="",B1496=""),"",IF(COUNTIFS($A$2:$A$2001,A1496,$B$2:$B$2001,B1496)&gt;1,"DUPLICADO","OK"))</f>
      </c>
      <c r="H1496" s="6">
        <f>IF(COUNTA(A1496:F1496)=0,"",IF(AND(A1496&lt;&gt;"",B1496&lt;&gt;"",E1496&lt;&gt;""),"OK","ERRO: faltam "&amp;IF(A1496="","Conta; ","")&amp;IF(B1496="","Oportunidade; ","")&amp;IF(E1496="","Novo gerente; ","")))</f>
      </c>
      <c r="I1496" s="6">
        <f>IF(COUNTA(A1496:F1496)=0,"",IF(AND(G1496="OK",H1496="OK"),"OK","REVISAR"))</f>
      </c>
    </row>
    <row r="1497">
      <c r="A1497" s="5"/>
      <c r="B1497" s="5"/>
      <c r="C1497" s="4"/>
      <c r="D1497" s="4"/>
      <c r="E1497" s="5"/>
      <c r="F1497" s="4"/>
      <c r="G1497" s="6">
        <f>IF(AND(A1497="",B1497=""),"",IF(COUNTIFS($A$2:$A$2001,A1497,$B$2:$B$2001,B1497)&gt;1,"DUPLICADO","OK"))</f>
      </c>
      <c r="H1497" s="6">
        <f>IF(COUNTA(A1497:F1497)=0,"",IF(AND(A1497&lt;&gt;"",B1497&lt;&gt;"",E1497&lt;&gt;""),"OK","ERRO: faltam "&amp;IF(A1497="","Conta; ","")&amp;IF(B1497="","Oportunidade; ","")&amp;IF(E1497="","Novo gerente; ","")))</f>
      </c>
      <c r="I1497" s="6">
        <f>IF(COUNTA(A1497:F1497)=0,"",IF(AND(G1497="OK",H1497="OK"),"OK","REVISAR"))</f>
      </c>
    </row>
    <row r="1498">
      <c r="A1498" s="5"/>
      <c r="B1498" s="5"/>
      <c r="C1498" s="4"/>
      <c r="D1498" s="4"/>
      <c r="E1498" s="5"/>
      <c r="F1498" s="4"/>
      <c r="G1498" s="6">
        <f>IF(AND(A1498="",B1498=""),"",IF(COUNTIFS($A$2:$A$2001,A1498,$B$2:$B$2001,B1498)&gt;1,"DUPLICADO","OK"))</f>
      </c>
      <c r="H1498" s="6">
        <f>IF(COUNTA(A1498:F1498)=0,"",IF(AND(A1498&lt;&gt;"",B1498&lt;&gt;"",E1498&lt;&gt;""),"OK","ERRO: faltam "&amp;IF(A1498="","Conta; ","")&amp;IF(B1498="","Oportunidade; ","")&amp;IF(E1498="","Novo gerente; ","")))</f>
      </c>
      <c r="I1498" s="6">
        <f>IF(COUNTA(A1498:F1498)=0,"",IF(AND(G1498="OK",H1498="OK"),"OK","REVISAR"))</f>
      </c>
    </row>
    <row r="1499">
      <c r="A1499" s="5"/>
      <c r="B1499" s="5"/>
      <c r="C1499" s="4"/>
      <c r="D1499" s="4"/>
      <c r="E1499" s="5"/>
      <c r="F1499" s="4"/>
      <c r="G1499" s="6">
        <f>IF(AND(A1499="",B1499=""),"",IF(COUNTIFS($A$2:$A$2001,A1499,$B$2:$B$2001,B1499)&gt;1,"DUPLICADO","OK"))</f>
      </c>
      <c r="H1499" s="6">
        <f>IF(COUNTA(A1499:F1499)=0,"",IF(AND(A1499&lt;&gt;"",B1499&lt;&gt;"",E1499&lt;&gt;""),"OK","ERRO: faltam "&amp;IF(A1499="","Conta; ","")&amp;IF(B1499="","Oportunidade; ","")&amp;IF(E1499="","Novo gerente; ","")))</f>
      </c>
      <c r="I1499" s="6">
        <f>IF(COUNTA(A1499:F1499)=0,"",IF(AND(G1499="OK",H1499="OK"),"OK","REVISAR"))</f>
      </c>
    </row>
    <row r="1500">
      <c r="A1500" s="5"/>
      <c r="B1500" s="5"/>
      <c r="C1500" s="4"/>
      <c r="D1500" s="4"/>
      <c r="E1500" s="5"/>
      <c r="F1500" s="4"/>
      <c r="G1500" s="6">
        <f>IF(AND(A1500="",B1500=""),"",IF(COUNTIFS($A$2:$A$2001,A1500,$B$2:$B$2001,B1500)&gt;1,"DUPLICADO","OK"))</f>
      </c>
      <c r="H1500" s="6">
        <f>IF(COUNTA(A1500:F1500)=0,"",IF(AND(A1500&lt;&gt;"",B1500&lt;&gt;"",E1500&lt;&gt;""),"OK","ERRO: faltam "&amp;IF(A1500="","Conta; ","")&amp;IF(B1500="","Oportunidade; ","")&amp;IF(E1500="","Novo gerente; ","")))</f>
      </c>
      <c r="I1500" s="6">
        <f>IF(COUNTA(A1500:F1500)=0,"",IF(AND(G1500="OK",H1500="OK"),"OK","REVISAR"))</f>
      </c>
    </row>
    <row r="1501">
      <c r="A1501" s="5"/>
      <c r="B1501" s="5"/>
      <c r="C1501" s="4"/>
      <c r="D1501" s="4"/>
      <c r="E1501" s="5"/>
      <c r="F1501" s="4"/>
      <c r="G1501" s="6">
        <f>IF(AND(A1501="",B1501=""),"",IF(COUNTIFS($A$2:$A$2001,A1501,$B$2:$B$2001,B1501)&gt;1,"DUPLICADO","OK"))</f>
      </c>
      <c r="H1501" s="6">
        <f>IF(COUNTA(A1501:F1501)=0,"",IF(AND(A1501&lt;&gt;"",B1501&lt;&gt;"",E1501&lt;&gt;""),"OK","ERRO: faltam "&amp;IF(A1501="","Conta; ","")&amp;IF(B1501="","Oportunidade; ","")&amp;IF(E1501="","Novo gerente; ","")))</f>
      </c>
      <c r="I1501" s="6">
        <f>IF(COUNTA(A1501:F1501)=0,"",IF(AND(G1501="OK",H1501="OK"),"OK","REVISAR"))</f>
      </c>
    </row>
    <row r="1502">
      <c r="A1502" s="5"/>
      <c r="B1502" s="5"/>
      <c r="C1502" s="4"/>
      <c r="D1502" s="4"/>
      <c r="E1502" s="5"/>
      <c r="F1502" s="4"/>
      <c r="G1502" s="6">
        <f>IF(AND(A1502="",B1502=""),"",IF(COUNTIFS($A$2:$A$2001,A1502,$B$2:$B$2001,B1502)&gt;1,"DUPLICADO","OK"))</f>
      </c>
      <c r="H1502" s="6">
        <f>IF(COUNTA(A1502:F1502)=0,"",IF(AND(A1502&lt;&gt;"",B1502&lt;&gt;"",E1502&lt;&gt;""),"OK","ERRO: faltam "&amp;IF(A1502="","Conta; ","")&amp;IF(B1502="","Oportunidade; ","")&amp;IF(E1502="","Novo gerente; ","")))</f>
      </c>
      <c r="I1502" s="6">
        <f>IF(COUNTA(A1502:F1502)=0,"",IF(AND(G1502="OK",H1502="OK"),"OK","REVISAR"))</f>
      </c>
    </row>
    <row r="1503">
      <c r="A1503" s="5"/>
      <c r="B1503" s="5"/>
      <c r="C1503" s="4"/>
      <c r="D1503" s="4"/>
      <c r="E1503" s="5"/>
      <c r="F1503" s="4"/>
      <c r="G1503" s="6">
        <f>IF(AND(A1503="",B1503=""),"",IF(COUNTIFS($A$2:$A$2001,A1503,$B$2:$B$2001,B1503)&gt;1,"DUPLICADO","OK"))</f>
      </c>
      <c r="H1503" s="6">
        <f>IF(COUNTA(A1503:F1503)=0,"",IF(AND(A1503&lt;&gt;"",B1503&lt;&gt;"",E1503&lt;&gt;""),"OK","ERRO: faltam "&amp;IF(A1503="","Conta; ","")&amp;IF(B1503="","Oportunidade; ","")&amp;IF(E1503="","Novo gerente; ","")))</f>
      </c>
      <c r="I1503" s="6">
        <f>IF(COUNTA(A1503:F1503)=0,"",IF(AND(G1503="OK",H1503="OK"),"OK","REVISAR"))</f>
      </c>
    </row>
    <row r="1504">
      <c r="A1504" s="5"/>
      <c r="B1504" s="5"/>
      <c r="C1504" s="4"/>
      <c r="D1504" s="4"/>
      <c r="E1504" s="5"/>
      <c r="F1504" s="4"/>
      <c r="G1504" s="6">
        <f>IF(AND(A1504="",B1504=""),"",IF(COUNTIFS($A$2:$A$2001,A1504,$B$2:$B$2001,B1504)&gt;1,"DUPLICADO","OK"))</f>
      </c>
      <c r="H1504" s="6">
        <f>IF(COUNTA(A1504:F1504)=0,"",IF(AND(A1504&lt;&gt;"",B1504&lt;&gt;"",E1504&lt;&gt;""),"OK","ERRO: faltam "&amp;IF(A1504="","Conta; ","")&amp;IF(B1504="","Oportunidade; ","")&amp;IF(E1504="","Novo gerente; ","")))</f>
      </c>
      <c r="I1504" s="6">
        <f>IF(COUNTA(A1504:F1504)=0,"",IF(AND(G1504="OK",H1504="OK"),"OK","REVISAR"))</f>
      </c>
    </row>
    <row r="1505">
      <c r="A1505" s="5"/>
      <c r="B1505" s="5"/>
      <c r="C1505" s="4"/>
      <c r="D1505" s="4"/>
      <c r="E1505" s="5"/>
      <c r="F1505" s="4"/>
      <c r="G1505" s="6">
        <f>IF(AND(A1505="",B1505=""),"",IF(COUNTIFS($A$2:$A$2001,A1505,$B$2:$B$2001,B1505)&gt;1,"DUPLICADO","OK"))</f>
      </c>
      <c r="H1505" s="6">
        <f>IF(COUNTA(A1505:F1505)=0,"",IF(AND(A1505&lt;&gt;"",B1505&lt;&gt;"",E1505&lt;&gt;""),"OK","ERRO: faltam "&amp;IF(A1505="","Conta; ","")&amp;IF(B1505="","Oportunidade; ","")&amp;IF(E1505="","Novo gerente; ","")))</f>
      </c>
      <c r="I1505" s="6">
        <f>IF(COUNTA(A1505:F1505)=0,"",IF(AND(G1505="OK",H1505="OK"),"OK","REVISAR"))</f>
      </c>
    </row>
    <row r="1506">
      <c r="A1506" s="5"/>
      <c r="B1506" s="5"/>
      <c r="C1506" s="4"/>
      <c r="D1506" s="4"/>
      <c r="E1506" s="5"/>
      <c r="F1506" s="4"/>
      <c r="G1506" s="6">
        <f>IF(AND(A1506="",B1506=""),"",IF(COUNTIFS($A$2:$A$2001,A1506,$B$2:$B$2001,B1506)&gt;1,"DUPLICADO","OK"))</f>
      </c>
      <c r="H1506" s="6">
        <f>IF(COUNTA(A1506:F1506)=0,"",IF(AND(A1506&lt;&gt;"",B1506&lt;&gt;"",E1506&lt;&gt;""),"OK","ERRO: faltam "&amp;IF(A1506="","Conta; ","")&amp;IF(B1506="","Oportunidade; ","")&amp;IF(E1506="","Novo gerente; ","")))</f>
      </c>
      <c r="I1506" s="6">
        <f>IF(COUNTA(A1506:F1506)=0,"",IF(AND(G1506="OK",H1506="OK"),"OK","REVISAR"))</f>
      </c>
    </row>
    <row r="1507">
      <c r="A1507" s="5"/>
      <c r="B1507" s="5"/>
      <c r="C1507" s="4"/>
      <c r="D1507" s="4"/>
      <c r="E1507" s="5"/>
      <c r="F1507" s="4"/>
      <c r="G1507" s="6">
        <f>IF(AND(A1507="",B1507=""),"",IF(COUNTIFS($A$2:$A$2001,A1507,$B$2:$B$2001,B1507)&gt;1,"DUPLICADO","OK"))</f>
      </c>
      <c r="H1507" s="6">
        <f>IF(COUNTA(A1507:F1507)=0,"",IF(AND(A1507&lt;&gt;"",B1507&lt;&gt;"",E1507&lt;&gt;""),"OK","ERRO: faltam "&amp;IF(A1507="","Conta; ","")&amp;IF(B1507="","Oportunidade; ","")&amp;IF(E1507="","Novo gerente; ","")))</f>
      </c>
      <c r="I1507" s="6">
        <f>IF(COUNTA(A1507:F1507)=0,"",IF(AND(G1507="OK",H1507="OK"),"OK","REVISAR"))</f>
      </c>
    </row>
    <row r="1508">
      <c r="A1508" s="5"/>
      <c r="B1508" s="5"/>
      <c r="C1508" s="4"/>
      <c r="D1508" s="4"/>
      <c r="E1508" s="5"/>
      <c r="F1508" s="4"/>
      <c r="G1508" s="6">
        <f>IF(AND(A1508="",B1508=""),"",IF(COUNTIFS($A$2:$A$2001,A1508,$B$2:$B$2001,B1508)&gt;1,"DUPLICADO","OK"))</f>
      </c>
      <c r="H1508" s="6">
        <f>IF(COUNTA(A1508:F1508)=0,"",IF(AND(A1508&lt;&gt;"",B1508&lt;&gt;"",E1508&lt;&gt;""),"OK","ERRO: faltam "&amp;IF(A1508="","Conta; ","")&amp;IF(B1508="","Oportunidade; ","")&amp;IF(E1508="","Novo gerente; ","")))</f>
      </c>
      <c r="I1508" s="6">
        <f>IF(COUNTA(A1508:F1508)=0,"",IF(AND(G1508="OK",H1508="OK"),"OK","REVISAR"))</f>
      </c>
    </row>
    <row r="1509">
      <c r="A1509" s="5"/>
      <c r="B1509" s="5"/>
      <c r="C1509" s="4"/>
      <c r="D1509" s="4"/>
      <c r="E1509" s="5"/>
      <c r="F1509" s="4"/>
      <c r="G1509" s="6">
        <f>IF(AND(A1509="",B1509=""),"",IF(COUNTIFS($A$2:$A$2001,A1509,$B$2:$B$2001,B1509)&gt;1,"DUPLICADO","OK"))</f>
      </c>
      <c r="H1509" s="6">
        <f>IF(COUNTA(A1509:F1509)=0,"",IF(AND(A1509&lt;&gt;"",B1509&lt;&gt;"",E1509&lt;&gt;""),"OK","ERRO: faltam "&amp;IF(A1509="","Conta; ","")&amp;IF(B1509="","Oportunidade; ","")&amp;IF(E1509="","Novo gerente; ","")))</f>
      </c>
      <c r="I1509" s="6">
        <f>IF(COUNTA(A1509:F1509)=0,"",IF(AND(G1509="OK",H1509="OK"),"OK","REVISAR"))</f>
      </c>
    </row>
    <row r="1510">
      <c r="A1510" s="5"/>
      <c r="B1510" s="5"/>
      <c r="C1510" s="4"/>
      <c r="D1510" s="4"/>
      <c r="E1510" s="5"/>
      <c r="F1510" s="4"/>
      <c r="G1510" s="6">
        <f>IF(AND(A1510="",B1510=""),"",IF(COUNTIFS($A$2:$A$2001,A1510,$B$2:$B$2001,B1510)&gt;1,"DUPLICADO","OK"))</f>
      </c>
      <c r="H1510" s="6">
        <f>IF(COUNTA(A1510:F1510)=0,"",IF(AND(A1510&lt;&gt;"",B1510&lt;&gt;"",E1510&lt;&gt;""),"OK","ERRO: faltam "&amp;IF(A1510="","Conta; ","")&amp;IF(B1510="","Oportunidade; ","")&amp;IF(E1510="","Novo gerente; ","")))</f>
      </c>
      <c r="I1510" s="6">
        <f>IF(COUNTA(A1510:F1510)=0,"",IF(AND(G1510="OK",H1510="OK"),"OK","REVISAR"))</f>
      </c>
    </row>
    <row r="1511">
      <c r="A1511" s="5"/>
      <c r="B1511" s="5"/>
      <c r="C1511" s="4"/>
      <c r="D1511" s="4"/>
      <c r="E1511" s="5"/>
      <c r="F1511" s="4"/>
      <c r="G1511" s="6">
        <f>IF(AND(A1511="",B1511=""),"",IF(COUNTIFS($A$2:$A$2001,A1511,$B$2:$B$2001,B1511)&gt;1,"DUPLICADO","OK"))</f>
      </c>
      <c r="H1511" s="6">
        <f>IF(COUNTA(A1511:F1511)=0,"",IF(AND(A1511&lt;&gt;"",B1511&lt;&gt;"",E1511&lt;&gt;""),"OK","ERRO: faltam "&amp;IF(A1511="","Conta; ","")&amp;IF(B1511="","Oportunidade; ","")&amp;IF(E1511="","Novo gerente; ","")))</f>
      </c>
      <c r="I1511" s="6">
        <f>IF(COUNTA(A1511:F1511)=0,"",IF(AND(G1511="OK",H1511="OK"),"OK","REVISAR"))</f>
      </c>
    </row>
    <row r="1512">
      <c r="A1512" s="5"/>
      <c r="B1512" s="5"/>
      <c r="C1512" s="4"/>
      <c r="D1512" s="4"/>
      <c r="E1512" s="5"/>
      <c r="F1512" s="4"/>
      <c r="G1512" s="6">
        <f>IF(AND(A1512="",B1512=""),"",IF(COUNTIFS($A$2:$A$2001,A1512,$B$2:$B$2001,B1512)&gt;1,"DUPLICADO","OK"))</f>
      </c>
      <c r="H1512" s="6">
        <f>IF(COUNTA(A1512:F1512)=0,"",IF(AND(A1512&lt;&gt;"",B1512&lt;&gt;"",E1512&lt;&gt;""),"OK","ERRO: faltam "&amp;IF(A1512="","Conta; ","")&amp;IF(B1512="","Oportunidade; ","")&amp;IF(E1512="","Novo gerente; ","")))</f>
      </c>
      <c r="I1512" s="6">
        <f>IF(COUNTA(A1512:F1512)=0,"",IF(AND(G1512="OK",H1512="OK"),"OK","REVISAR"))</f>
      </c>
    </row>
    <row r="1513">
      <c r="A1513" s="5"/>
      <c r="B1513" s="5"/>
      <c r="C1513" s="4"/>
      <c r="D1513" s="4"/>
      <c r="E1513" s="5"/>
      <c r="F1513" s="4"/>
      <c r="G1513" s="6">
        <f>IF(AND(A1513="",B1513=""),"",IF(COUNTIFS($A$2:$A$2001,A1513,$B$2:$B$2001,B1513)&gt;1,"DUPLICADO","OK"))</f>
      </c>
      <c r="H1513" s="6">
        <f>IF(COUNTA(A1513:F1513)=0,"",IF(AND(A1513&lt;&gt;"",B1513&lt;&gt;"",E1513&lt;&gt;""),"OK","ERRO: faltam "&amp;IF(A1513="","Conta; ","")&amp;IF(B1513="","Oportunidade; ","")&amp;IF(E1513="","Novo gerente; ","")))</f>
      </c>
      <c r="I1513" s="6">
        <f>IF(COUNTA(A1513:F1513)=0,"",IF(AND(G1513="OK",H1513="OK"),"OK","REVISAR"))</f>
      </c>
    </row>
    <row r="1514">
      <c r="A1514" s="5"/>
      <c r="B1514" s="5"/>
      <c r="C1514" s="4"/>
      <c r="D1514" s="4"/>
      <c r="E1514" s="5"/>
      <c r="F1514" s="4"/>
      <c r="G1514" s="6">
        <f>IF(AND(A1514="",B1514=""),"",IF(COUNTIFS($A$2:$A$2001,A1514,$B$2:$B$2001,B1514)&gt;1,"DUPLICADO","OK"))</f>
      </c>
      <c r="H1514" s="6">
        <f>IF(COUNTA(A1514:F1514)=0,"",IF(AND(A1514&lt;&gt;"",B1514&lt;&gt;"",E1514&lt;&gt;""),"OK","ERRO: faltam "&amp;IF(A1514="","Conta; ","")&amp;IF(B1514="","Oportunidade; ","")&amp;IF(E1514="","Novo gerente; ","")))</f>
      </c>
      <c r="I1514" s="6">
        <f>IF(COUNTA(A1514:F1514)=0,"",IF(AND(G1514="OK",H1514="OK"),"OK","REVISAR"))</f>
      </c>
    </row>
    <row r="1515">
      <c r="A1515" s="5"/>
      <c r="B1515" s="5"/>
      <c r="C1515" s="4"/>
      <c r="D1515" s="4"/>
      <c r="E1515" s="5"/>
      <c r="F1515" s="4"/>
      <c r="G1515" s="6">
        <f>IF(AND(A1515="",B1515=""),"",IF(COUNTIFS($A$2:$A$2001,A1515,$B$2:$B$2001,B1515)&gt;1,"DUPLICADO","OK"))</f>
      </c>
      <c r="H1515" s="6">
        <f>IF(COUNTA(A1515:F1515)=0,"",IF(AND(A1515&lt;&gt;"",B1515&lt;&gt;"",E1515&lt;&gt;""),"OK","ERRO: faltam "&amp;IF(A1515="","Conta; ","")&amp;IF(B1515="","Oportunidade; ","")&amp;IF(E1515="","Novo gerente; ","")))</f>
      </c>
      <c r="I1515" s="6">
        <f>IF(COUNTA(A1515:F1515)=0,"",IF(AND(G1515="OK",H1515="OK"),"OK","REVISAR"))</f>
      </c>
    </row>
    <row r="1516">
      <c r="A1516" s="5"/>
      <c r="B1516" s="5"/>
      <c r="C1516" s="4"/>
      <c r="D1516" s="4"/>
      <c r="E1516" s="5"/>
      <c r="F1516" s="4"/>
      <c r="G1516" s="6">
        <f>IF(AND(A1516="",B1516=""),"",IF(COUNTIFS($A$2:$A$2001,A1516,$B$2:$B$2001,B1516)&gt;1,"DUPLICADO","OK"))</f>
      </c>
      <c r="H1516" s="6">
        <f>IF(COUNTA(A1516:F1516)=0,"",IF(AND(A1516&lt;&gt;"",B1516&lt;&gt;"",E1516&lt;&gt;""),"OK","ERRO: faltam "&amp;IF(A1516="","Conta; ","")&amp;IF(B1516="","Oportunidade; ","")&amp;IF(E1516="","Novo gerente; ","")))</f>
      </c>
      <c r="I1516" s="6">
        <f>IF(COUNTA(A1516:F1516)=0,"",IF(AND(G1516="OK",H1516="OK"),"OK","REVISAR"))</f>
      </c>
    </row>
    <row r="1517">
      <c r="A1517" s="5"/>
      <c r="B1517" s="5"/>
      <c r="C1517" s="4"/>
      <c r="D1517" s="4"/>
      <c r="E1517" s="5"/>
      <c r="F1517" s="4"/>
      <c r="G1517" s="6">
        <f>IF(AND(A1517="",B1517=""),"",IF(COUNTIFS($A$2:$A$2001,A1517,$B$2:$B$2001,B1517)&gt;1,"DUPLICADO","OK"))</f>
      </c>
      <c r="H1517" s="6">
        <f>IF(COUNTA(A1517:F1517)=0,"",IF(AND(A1517&lt;&gt;"",B1517&lt;&gt;"",E1517&lt;&gt;""),"OK","ERRO: faltam "&amp;IF(A1517="","Conta; ","")&amp;IF(B1517="","Oportunidade; ","")&amp;IF(E1517="","Novo gerente; ","")))</f>
      </c>
      <c r="I1517" s="6">
        <f>IF(COUNTA(A1517:F1517)=0,"",IF(AND(G1517="OK",H1517="OK"),"OK","REVISAR"))</f>
      </c>
    </row>
    <row r="1518">
      <c r="A1518" s="5"/>
      <c r="B1518" s="5"/>
      <c r="C1518" s="4"/>
      <c r="D1518" s="4"/>
      <c r="E1518" s="5"/>
      <c r="F1518" s="4"/>
      <c r="G1518" s="6">
        <f>IF(AND(A1518="",B1518=""),"",IF(COUNTIFS($A$2:$A$2001,A1518,$B$2:$B$2001,B1518)&gt;1,"DUPLICADO","OK"))</f>
      </c>
      <c r="H1518" s="6">
        <f>IF(COUNTA(A1518:F1518)=0,"",IF(AND(A1518&lt;&gt;"",B1518&lt;&gt;"",E1518&lt;&gt;""),"OK","ERRO: faltam "&amp;IF(A1518="","Conta; ","")&amp;IF(B1518="","Oportunidade; ","")&amp;IF(E1518="","Novo gerente; ","")))</f>
      </c>
      <c r="I1518" s="6">
        <f>IF(COUNTA(A1518:F1518)=0,"",IF(AND(G1518="OK",H1518="OK"),"OK","REVISAR"))</f>
      </c>
    </row>
    <row r="1519">
      <c r="A1519" s="5"/>
      <c r="B1519" s="5"/>
      <c r="C1519" s="4"/>
      <c r="D1519" s="4"/>
      <c r="E1519" s="5"/>
      <c r="F1519" s="4"/>
      <c r="G1519" s="6">
        <f>IF(AND(A1519="",B1519=""),"",IF(COUNTIFS($A$2:$A$2001,A1519,$B$2:$B$2001,B1519)&gt;1,"DUPLICADO","OK"))</f>
      </c>
      <c r="H1519" s="6">
        <f>IF(COUNTA(A1519:F1519)=0,"",IF(AND(A1519&lt;&gt;"",B1519&lt;&gt;"",E1519&lt;&gt;""),"OK","ERRO: faltam "&amp;IF(A1519="","Conta; ","")&amp;IF(B1519="","Oportunidade; ","")&amp;IF(E1519="","Novo gerente; ","")))</f>
      </c>
      <c r="I1519" s="6">
        <f>IF(COUNTA(A1519:F1519)=0,"",IF(AND(G1519="OK",H1519="OK"),"OK","REVISAR"))</f>
      </c>
    </row>
    <row r="1520">
      <c r="A1520" s="5"/>
      <c r="B1520" s="5"/>
      <c r="C1520" s="4"/>
      <c r="D1520" s="4"/>
      <c r="E1520" s="5"/>
      <c r="F1520" s="4"/>
      <c r="G1520" s="6">
        <f>IF(AND(A1520="",B1520=""),"",IF(COUNTIFS($A$2:$A$2001,A1520,$B$2:$B$2001,B1520)&gt;1,"DUPLICADO","OK"))</f>
      </c>
      <c r="H1520" s="6">
        <f>IF(COUNTA(A1520:F1520)=0,"",IF(AND(A1520&lt;&gt;"",B1520&lt;&gt;"",E1520&lt;&gt;""),"OK","ERRO: faltam "&amp;IF(A1520="","Conta; ","")&amp;IF(B1520="","Oportunidade; ","")&amp;IF(E1520="","Novo gerente; ","")))</f>
      </c>
      <c r="I1520" s="6">
        <f>IF(COUNTA(A1520:F1520)=0,"",IF(AND(G1520="OK",H1520="OK"),"OK","REVISAR"))</f>
      </c>
    </row>
    <row r="1521">
      <c r="A1521" s="5"/>
      <c r="B1521" s="5"/>
      <c r="C1521" s="4"/>
      <c r="D1521" s="4"/>
      <c r="E1521" s="5"/>
      <c r="F1521" s="4"/>
      <c r="G1521" s="6">
        <f>IF(AND(A1521="",B1521=""),"",IF(COUNTIFS($A$2:$A$2001,A1521,$B$2:$B$2001,B1521)&gt;1,"DUPLICADO","OK"))</f>
      </c>
      <c r="H1521" s="6">
        <f>IF(COUNTA(A1521:F1521)=0,"",IF(AND(A1521&lt;&gt;"",B1521&lt;&gt;"",E1521&lt;&gt;""),"OK","ERRO: faltam "&amp;IF(A1521="","Conta; ","")&amp;IF(B1521="","Oportunidade; ","")&amp;IF(E1521="","Novo gerente; ","")))</f>
      </c>
      <c r="I1521" s="6">
        <f>IF(COUNTA(A1521:F1521)=0,"",IF(AND(G1521="OK",H1521="OK"),"OK","REVISAR"))</f>
      </c>
    </row>
    <row r="1522">
      <c r="A1522" s="5"/>
      <c r="B1522" s="5"/>
      <c r="C1522" s="4"/>
      <c r="D1522" s="4"/>
      <c r="E1522" s="5"/>
      <c r="F1522" s="4"/>
      <c r="G1522" s="6">
        <f>IF(AND(A1522="",B1522=""),"",IF(COUNTIFS($A$2:$A$2001,A1522,$B$2:$B$2001,B1522)&gt;1,"DUPLICADO","OK"))</f>
      </c>
      <c r="H1522" s="6">
        <f>IF(COUNTA(A1522:F1522)=0,"",IF(AND(A1522&lt;&gt;"",B1522&lt;&gt;"",E1522&lt;&gt;""),"OK","ERRO: faltam "&amp;IF(A1522="","Conta; ","")&amp;IF(B1522="","Oportunidade; ","")&amp;IF(E1522="","Novo gerente; ","")))</f>
      </c>
      <c r="I1522" s="6">
        <f>IF(COUNTA(A1522:F1522)=0,"",IF(AND(G1522="OK",H1522="OK"),"OK","REVISAR"))</f>
      </c>
    </row>
    <row r="1523">
      <c r="A1523" s="5"/>
      <c r="B1523" s="5"/>
      <c r="C1523" s="4"/>
      <c r="D1523" s="4"/>
      <c r="E1523" s="5"/>
      <c r="F1523" s="4"/>
      <c r="G1523" s="6">
        <f>IF(AND(A1523="",B1523=""),"",IF(COUNTIFS($A$2:$A$2001,A1523,$B$2:$B$2001,B1523)&gt;1,"DUPLICADO","OK"))</f>
      </c>
      <c r="H1523" s="6">
        <f>IF(COUNTA(A1523:F1523)=0,"",IF(AND(A1523&lt;&gt;"",B1523&lt;&gt;"",E1523&lt;&gt;""),"OK","ERRO: faltam "&amp;IF(A1523="","Conta; ","")&amp;IF(B1523="","Oportunidade; ","")&amp;IF(E1523="","Novo gerente; ","")))</f>
      </c>
      <c r="I1523" s="6">
        <f>IF(COUNTA(A1523:F1523)=0,"",IF(AND(G1523="OK",H1523="OK"),"OK","REVISAR"))</f>
      </c>
    </row>
    <row r="1524">
      <c r="A1524" s="5"/>
      <c r="B1524" s="5"/>
      <c r="C1524" s="4"/>
      <c r="D1524" s="4"/>
      <c r="E1524" s="5"/>
      <c r="F1524" s="4"/>
      <c r="G1524" s="6">
        <f>IF(AND(A1524="",B1524=""),"",IF(COUNTIFS($A$2:$A$2001,A1524,$B$2:$B$2001,B1524)&gt;1,"DUPLICADO","OK"))</f>
      </c>
      <c r="H1524" s="6">
        <f>IF(COUNTA(A1524:F1524)=0,"",IF(AND(A1524&lt;&gt;"",B1524&lt;&gt;"",E1524&lt;&gt;""),"OK","ERRO: faltam "&amp;IF(A1524="","Conta; ","")&amp;IF(B1524="","Oportunidade; ","")&amp;IF(E1524="","Novo gerente; ","")))</f>
      </c>
      <c r="I1524" s="6">
        <f>IF(COUNTA(A1524:F1524)=0,"",IF(AND(G1524="OK",H1524="OK"),"OK","REVISAR"))</f>
      </c>
    </row>
    <row r="1525">
      <c r="A1525" s="5"/>
      <c r="B1525" s="5"/>
      <c r="C1525" s="4"/>
      <c r="D1525" s="4"/>
      <c r="E1525" s="5"/>
      <c r="F1525" s="4"/>
      <c r="G1525" s="6">
        <f>IF(AND(A1525="",B1525=""),"",IF(COUNTIFS($A$2:$A$2001,A1525,$B$2:$B$2001,B1525)&gt;1,"DUPLICADO","OK"))</f>
      </c>
      <c r="H1525" s="6">
        <f>IF(COUNTA(A1525:F1525)=0,"",IF(AND(A1525&lt;&gt;"",B1525&lt;&gt;"",E1525&lt;&gt;""),"OK","ERRO: faltam "&amp;IF(A1525="","Conta; ","")&amp;IF(B1525="","Oportunidade; ","")&amp;IF(E1525="","Novo gerente; ","")))</f>
      </c>
      <c r="I1525" s="6">
        <f>IF(COUNTA(A1525:F1525)=0,"",IF(AND(G1525="OK",H1525="OK"),"OK","REVISAR"))</f>
      </c>
    </row>
    <row r="1526">
      <c r="A1526" s="5"/>
      <c r="B1526" s="5"/>
      <c r="C1526" s="4"/>
      <c r="D1526" s="4"/>
      <c r="E1526" s="5"/>
      <c r="F1526" s="4"/>
      <c r="G1526" s="6">
        <f>IF(AND(A1526="",B1526=""),"",IF(COUNTIFS($A$2:$A$2001,A1526,$B$2:$B$2001,B1526)&gt;1,"DUPLICADO","OK"))</f>
      </c>
      <c r="H1526" s="6">
        <f>IF(COUNTA(A1526:F1526)=0,"",IF(AND(A1526&lt;&gt;"",B1526&lt;&gt;"",E1526&lt;&gt;""),"OK","ERRO: faltam "&amp;IF(A1526="","Conta; ","")&amp;IF(B1526="","Oportunidade; ","")&amp;IF(E1526="","Novo gerente; ","")))</f>
      </c>
      <c r="I1526" s="6">
        <f>IF(COUNTA(A1526:F1526)=0,"",IF(AND(G1526="OK",H1526="OK"),"OK","REVISAR"))</f>
      </c>
    </row>
    <row r="1527">
      <c r="A1527" s="5"/>
      <c r="B1527" s="5"/>
      <c r="C1527" s="4"/>
      <c r="D1527" s="4"/>
      <c r="E1527" s="5"/>
      <c r="F1527" s="4"/>
      <c r="G1527" s="6">
        <f>IF(AND(A1527="",B1527=""),"",IF(COUNTIFS($A$2:$A$2001,A1527,$B$2:$B$2001,B1527)&gt;1,"DUPLICADO","OK"))</f>
      </c>
      <c r="H1527" s="6">
        <f>IF(COUNTA(A1527:F1527)=0,"",IF(AND(A1527&lt;&gt;"",B1527&lt;&gt;"",E1527&lt;&gt;""),"OK","ERRO: faltam "&amp;IF(A1527="","Conta; ","")&amp;IF(B1527="","Oportunidade; ","")&amp;IF(E1527="","Novo gerente; ","")))</f>
      </c>
      <c r="I1527" s="6">
        <f>IF(COUNTA(A1527:F1527)=0,"",IF(AND(G1527="OK",H1527="OK"),"OK","REVISAR"))</f>
      </c>
    </row>
    <row r="1528">
      <c r="A1528" s="5"/>
      <c r="B1528" s="5"/>
      <c r="C1528" s="4"/>
      <c r="D1528" s="4"/>
      <c r="E1528" s="5"/>
      <c r="F1528" s="4"/>
      <c r="G1528" s="6">
        <f>IF(AND(A1528="",B1528=""),"",IF(COUNTIFS($A$2:$A$2001,A1528,$B$2:$B$2001,B1528)&gt;1,"DUPLICADO","OK"))</f>
      </c>
      <c r="H1528" s="6">
        <f>IF(COUNTA(A1528:F1528)=0,"",IF(AND(A1528&lt;&gt;"",B1528&lt;&gt;"",E1528&lt;&gt;""),"OK","ERRO: faltam "&amp;IF(A1528="","Conta; ","")&amp;IF(B1528="","Oportunidade; ","")&amp;IF(E1528="","Novo gerente; ","")))</f>
      </c>
      <c r="I1528" s="6">
        <f>IF(COUNTA(A1528:F1528)=0,"",IF(AND(G1528="OK",H1528="OK"),"OK","REVISAR"))</f>
      </c>
    </row>
    <row r="1529">
      <c r="A1529" s="5"/>
      <c r="B1529" s="5"/>
      <c r="C1529" s="4"/>
      <c r="D1529" s="4"/>
      <c r="E1529" s="5"/>
      <c r="F1529" s="4"/>
      <c r="G1529" s="6">
        <f>IF(AND(A1529="",B1529=""),"",IF(COUNTIFS($A$2:$A$2001,A1529,$B$2:$B$2001,B1529)&gt;1,"DUPLICADO","OK"))</f>
      </c>
      <c r="H1529" s="6">
        <f>IF(COUNTA(A1529:F1529)=0,"",IF(AND(A1529&lt;&gt;"",B1529&lt;&gt;"",E1529&lt;&gt;""),"OK","ERRO: faltam "&amp;IF(A1529="","Conta; ","")&amp;IF(B1529="","Oportunidade; ","")&amp;IF(E1529="","Novo gerente; ","")))</f>
      </c>
      <c r="I1529" s="6">
        <f>IF(COUNTA(A1529:F1529)=0,"",IF(AND(G1529="OK",H1529="OK"),"OK","REVISAR"))</f>
      </c>
    </row>
    <row r="1530">
      <c r="A1530" s="5"/>
      <c r="B1530" s="5"/>
      <c r="C1530" s="4"/>
      <c r="D1530" s="4"/>
      <c r="E1530" s="5"/>
      <c r="F1530" s="4"/>
      <c r="G1530" s="6">
        <f>IF(AND(A1530="",B1530=""),"",IF(COUNTIFS($A$2:$A$2001,A1530,$B$2:$B$2001,B1530)&gt;1,"DUPLICADO","OK"))</f>
      </c>
      <c r="H1530" s="6">
        <f>IF(COUNTA(A1530:F1530)=0,"",IF(AND(A1530&lt;&gt;"",B1530&lt;&gt;"",E1530&lt;&gt;""),"OK","ERRO: faltam "&amp;IF(A1530="","Conta; ","")&amp;IF(B1530="","Oportunidade; ","")&amp;IF(E1530="","Novo gerente; ","")))</f>
      </c>
      <c r="I1530" s="6">
        <f>IF(COUNTA(A1530:F1530)=0,"",IF(AND(G1530="OK",H1530="OK"),"OK","REVISAR"))</f>
      </c>
    </row>
    <row r="1531">
      <c r="A1531" s="5"/>
      <c r="B1531" s="5"/>
      <c r="C1531" s="4"/>
      <c r="D1531" s="4"/>
      <c r="E1531" s="5"/>
      <c r="F1531" s="4"/>
      <c r="G1531" s="6">
        <f>IF(AND(A1531="",B1531=""),"",IF(COUNTIFS($A$2:$A$2001,A1531,$B$2:$B$2001,B1531)&gt;1,"DUPLICADO","OK"))</f>
      </c>
      <c r="H1531" s="6">
        <f>IF(COUNTA(A1531:F1531)=0,"",IF(AND(A1531&lt;&gt;"",B1531&lt;&gt;"",E1531&lt;&gt;""),"OK","ERRO: faltam "&amp;IF(A1531="","Conta; ","")&amp;IF(B1531="","Oportunidade; ","")&amp;IF(E1531="","Novo gerente; ","")))</f>
      </c>
      <c r="I1531" s="6">
        <f>IF(COUNTA(A1531:F1531)=0,"",IF(AND(G1531="OK",H1531="OK"),"OK","REVISAR"))</f>
      </c>
    </row>
    <row r="1532">
      <c r="A1532" s="5"/>
      <c r="B1532" s="5"/>
      <c r="C1532" s="4"/>
      <c r="D1532" s="4"/>
      <c r="E1532" s="5"/>
      <c r="F1532" s="4"/>
      <c r="G1532" s="6">
        <f>IF(AND(A1532="",B1532=""),"",IF(COUNTIFS($A$2:$A$2001,A1532,$B$2:$B$2001,B1532)&gt;1,"DUPLICADO","OK"))</f>
      </c>
      <c r="H1532" s="6">
        <f>IF(COUNTA(A1532:F1532)=0,"",IF(AND(A1532&lt;&gt;"",B1532&lt;&gt;"",E1532&lt;&gt;""),"OK","ERRO: faltam "&amp;IF(A1532="","Conta; ","")&amp;IF(B1532="","Oportunidade; ","")&amp;IF(E1532="","Novo gerente; ","")))</f>
      </c>
      <c r="I1532" s="6">
        <f>IF(COUNTA(A1532:F1532)=0,"",IF(AND(G1532="OK",H1532="OK"),"OK","REVISAR"))</f>
      </c>
    </row>
    <row r="1533">
      <c r="A1533" s="5"/>
      <c r="B1533" s="5"/>
      <c r="C1533" s="4"/>
      <c r="D1533" s="4"/>
      <c r="E1533" s="5"/>
      <c r="F1533" s="4"/>
      <c r="G1533" s="6">
        <f>IF(AND(A1533="",B1533=""),"",IF(COUNTIFS($A$2:$A$2001,A1533,$B$2:$B$2001,B1533)&gt;1,"DUPLICADO","OK"))</f>
      </c>
      <c r="H1533" s="6">
        <f>IF(COUNTA(A1533:F1533)=0,"",IF(AND(A1533&lt;&gt;"",B1533&lt;&gt;"",E1533&lt;&gt;""),"OK","ERRO: faltam "&amp;IF(A1533="","Conta; ","")&amp;IF(B1533="","Oportunidade; ","")&amp;IF(E1533="","Novo gerente; ","")))</f>
      </c>
      <c r="I1533" s="6">
        <f>IF(COUNTA(A1533:F1533)=0,"",IF(AND(G1533="OK",H1533="OK"),"OK","REVISAR"))</f>
      </c>
    </row>
    <row r="1534">
      <c r="A1534" s="5"/>
      <c r="B1534" s="5"/>
      <c r="C1534" s="4"/>
      <c r="D1534" s="4"/>
      <c r="E1534" s="5"/>
      <c r="F1534" s="4"/>
      <c r="G1534" s="6">
        <f>IF(AND(A1534="",B1534=""),"",IF(COUNTIFS($A$2:$A$2001,A1534,$B$2:$B$2001,B1534)&gt;1,"DUPLICADO","OK"))</f>
      </c>
      <c r="H1534" s="6">
        <f>IF(COUNTA(A1534:F1534)=0,"",IF(AND(A1534&lt;&gt;"",B1534&lt;&gt;"",E1534&lt;&gt;""),"OK","ERRO: faltam "&amp;IF(A1534="","Conta; ","")&amp;IF(B1534="","Oportunidade; ","")&amp;IF(E1534="","Novo gerente; ","")))</f>
      </c>
      <c r="I1534" s="6">
        <f>IF(COUNTA(A1534:F1534)=0,"",IF(AND(G1534="OK",H1534="OK"),"OK","REVISAR"))</f>
      </c>
    </row>
    <row r="1535">
      <c r="A1535" s="5"/>
      <c r="B1535" s="5"/>
      <c r="C1535" s="4"/>
      <c r="D1535" s="4"/>
      <c r="E1535" s="5"/>
      <c r="F1535" s="4"/>
      <c r="G1535" s="6">
        <f>IF(AND(A1535="",B1535=""),"",IF(COUNTIFS($A$2:$A$2001,A1535,$B$2:$B$2001,B1535)&gt;1,"DUPLICADO","OK"))</f>
      </c>
      <c r="H1535" s="6">
        <f>IF(COUNTA(A1535:F1535)=0,"",IF(AND(A1535&lt;&gt;"",B1535&lt;&gt;"",E1535&lt;&gt;""),"OK","ERRO: faltam "&amp;IF(A1535="","Conta; ","")&amp;IF(B1535="","Oportunidade; ","")&amp;IF(E1535="","Novo gerente; ","")))</f>
      </c>
      <c r="I1535" s="6">
        <f>IF(COUNTA(A1535:F1535)=0,"",IF(AND(G1535="OK",H1535="OK"),"OK","REVISAR"))</f>
      </c>
    </row>
    <row r="1536">
      <c r="A1536" s="5"/>
      <c r="B1536" s="5"/>
      <c r="C1536" s="4"/>
      <c r="D1536" s="4"/>
      <c r="E1536" s="5"/>
      <c r="F1536" s="4"/>
      <c r="G1536" s="6">
        <f>IF(AND(A1536="",B1536=""),"",IF(COUNTIFS($A$2:$A$2001,A1536,$B$2:$B$2001,B1536)&gt;1,"DUPLICADO","OK"))</f>
      </c>
      <c r="H1536" s="6">
        <f>IF(COUNTA(A1536:F1536)=0,"",IF(AND(A1536&lt;&gt;"",B1536&lt;&gt;"",E1536&lt;&gt;""),"OK","ERRO: faltam "&amp;IF(A1536="","Conta; ","")&amp;IF(B1536="","Oportunidade; ","")&amp;IF(E1536="","Novo gerente; ","")))</f>
      </c>
      <c r="I1536" s="6">
        <f>IF(COUNTA(A1536:F1536)=0,"",IF(AND(G1536="OK",H1536="OK"),"OK","REVISAR"))</f>
      </c>
    </row>
    <row r="1537">
      <c r="A1537" s="5"/>
      <c r="B1537" s="5"/>
      <c r="C1537" s="4"/>
      <c r="D1537" s="4"/>
      <c r="E1537" s="5"/>
      <c r="F1537" s="4"/>
      <c r="G1537" s="6">
        <f>IF(AND(A1537="",B1537=""),"",IF(COUNTIFS($A$2:$A$2001,A1537,$B$2:$B$2001,B1537)&gt;1,"DUPLICADO","OK"))</f>
      </c>
      <c r="H1537" s="6">
        <f>IF(COUNTA(A1537:F1537)=0,"",IF(AND(A1537&lt;&gt;"",B1537&lt;&gt;"",E1537&lt;&gt;""),"OK","ERRO: faltam "&amp;IF(A1537="","Conta; ","")&amp;IF(B1537="","Oportunidade; ","")&amp;IF(E1537="","Novo gerente; ","")))</f>
      </c>
      <c r="I1537" s="6">
        <f>IF(COUNTA(A1537:F1537)=0,"",IF(AND(G1537="OK",H1537="OK"),"OK","REVISAR"))</f>
      </c>
    </row>
    <row r="1538">
      <c r="A1538" s="5"/>
      <c r="B1538" s="5"/>
      <c r="C1538" s="4"/>
      <c r="D1538" s="4"/>
      <c r="E1538" s="5"/>
      <c r="F1538" s="4"/>
      <c r="G1538" s="6">
        <f>IF(AND(A1538="",B1538=""),"",IF(COUNTIFS($A$2:$A$2001,A1538,$B$2:$B$2001,B1538)&gt;1,"DUPLICADO","OK"))</f>
      </c>
      <c r="H1538" s="6">
        <f>IF(COUNTA(A1538:F1538)=0,"",IF(AND(A1538&lt;&gt;"",B1538&lt;&gt;"",E1538&lt;&gt;""),"OK","ERRO: faltam "&amp;IF(A1538="","Conta; ","")&amp;IF(B1538="","Oportunidade; ","")&amp;IF(E1538="","Novo gerente; ","")))</f>
      </c>
      <c r="I1538" s="6">
        <f>IF(COUNTA(A1538:F1538)=0,"",IF(AND(G1538="OK",H1538="OK"),"OK","REVISAR"))</f>
      </c>
    </row>
    <row r="1539">
      <c r="A1539" s="5"/>
      <c r="B1539" s="5"/>
      <c r="C1539" s="4"/>
      <c r="D1539" s="4"/>
      <c r="E1539" s="5"/>
      <c r="F1539" s="4"/>
      <c r="G1539" s="6">
        <f>IF(AND(A1539="",B1539=""),"",IF(COUNTIFS($A$2:$A$2001,A1539,$B$2:$B$2001,B1539)&gt;1,"DUPLICADO","OK"))</f>
      </c>
      <c r="H1539" s="6">
        <f>IF(COUNTA(A1539:F1539)=0,"",IF(AND(A1539&lt;&gt;"",B1539&lt;&gt;"",E1539&lt;&gt;""),"OK","ERRO: faltam "&amp;IF(A1539="","Conta; ","")&amp;IF(B1539="","Oportunidade; ","")&amp;IF(E1539="","Novo gerente; ","")))</f>
      </c>
      <c r="I1539" s="6">
        <f>IF(COUNTA(A1539:F1539)=0,"",IF(AND(G1539="OK",H1539="OK"),"OK","REVISAR"))</f>
      </c>
    </row>
    <row r="1540">
      <c r="A1540" s="5"/>
      <c r="B1540" s="5"/>
      <c r="C1540" s="4"/>
      <c r="D1540" s="4"/>
      <c r="E1540" s="5"/>
      <c r="F1540" s="4"/>
      <c r="G1540" s="6">
        <f>IF(AND(A1540="",B1540=""),"",IF(COUNTIFS($A$2:$A$2001,A1540,$B$2:$B$2001,B1540)&gt;1,"DUPLICADO","OK"))</f>
      </c>
      <c r="H1540" s="6">
        <f>IF(COUNTA(A1540:F1540)=0,"",IF(AND(A1540&lt;&gt;"",B1540&lt;&gt;"",E1540&lt;&gt;""),"OK","ERRO: faltam "&amp;IF(A1540="","Conta; ","")&amp;IF(B1540="","Oportunidade; ","")&amp;IF(E1540="","Novo gerente; ","")))</f>
      </c>
      <c r="I1540" s="6">
        <f>IF(COUNTA(A1540:F1540)=0,"",IF(AND(G1540="OK",H1540="OK"),"OK","REVISAR"))</f>
      </c>
    </row>
    <row r="1541">
      <c r="A1541" s="5"/>
      <c r="B1541" s="5"/>
      <c r="C1541" s="4"/>
      <c r="D1541" s="4"/>
      <c r="E1541" s="5"/>
      <c r="F1541" s="4"/>
      <c r="G1541" s="6">
        <f>IF(AND(A1541="",B1541=""),"",IF(COUNTIFS($A$2:$A$2001,A1541,$B$2:$B$2001,B1541)&gt;1,"DUPLICADO","OK"))</f>
      </c>
      <c r="H1541" s="6">
        <f>IF(COUNTA(A1541:F1541)=0,"",IF(AND(A1541&lt;&gt;"",B1541&lt;&gt;"",E1541&lt;&gt;""),"OK","ERRO: faltam "&amp;IF(A1541="","Conta; ","")&amp;IF(B1541="","Oportunidade; ","")&amp;IF(E1541="","Novo gerente; ","")))</f>
      </c>
      <c r="I1541" s="6">
        <f>IF(COUNTA(A1541:F1541)=0,"",IF(AND(G1541="OK",H1541="OK"),"OK","REVISAR"))</f>
      </c>
    </row>
    <row r="1542">
      <c r="A1542" s="5"/>
      <c r="B1542" s="5"/>
      <c r="C1542" s="4"/>
      <c r="D1542" s="4"/>
      <c r="E1542" s="5"/>
      <c r="F1542" s="4"/>
      <c r="G1542" s="6">
        <f>IF(AND(A1542="",B1542=""),"",IF(COUNTIFS($A$2:$A$2001,A1542,$B$2:$B$2001,B1542)&gt;1,"DUPLICADO","OK"))</f>
      </c>
      <c r="H1542" s="6">
        <f>IF(COUNTA(A1542:F1542)=0,"",IF(AND(A1542&lt;&gt;"",B1542&lt;&gt;"",E1542&lt;&gt;""),"OK","ERRO: faltam "&amp;IF(A1542="","Conta; ","")&amp;IF(B1542="","Oportunidade; ","")&amp;IF(E1542="","Novo gerente; ","")))</f>
      </c>
      <c r="I1542" s="6">
        <f>IF(COUNTA(A1542:F1542)=0,"",IF(AND(G1542="OK",H1542="OK"),"OK","REVISAR"))</f>
      </c>
    </row>
    <row r="1543">
      <c r="A1543" s="5"/>
      <c r="B1543" s="5"/>
      <c r="C1543" s="4"/>
      <c r="D1543" s="4"/>
      <c r="E1543" s="5"/>
      <c r="F1543" s="4"/>
      <c r="G1543" s="6">
        <f>IF(AND(A1543="",B1543=""),"",IF(COUNTIFS($A$2:$A$2001,A1543,$B$2:$B$2001,B1543)&gt;1,"DUPLICADO","OK"))</f>
      </c>
      <c r="H1543" s="6">
        <f>IF(COUNTA(A1543:F1543)=0,"",IF(AND(A1543&lt;&gt;"",B1543&lt;&gt;"",E1543&lt;&gt;""),"OK","ERRO: faltam "&amp;IF(A1543="","Conta; ","")&amp;IF(B1543="","Oportunidade; ","")&amp;IF(E1543="","Novo gerente; ","")))</f>
      </c>
      <c r="I1543" s="6">
        <f>IF(COUNTA(A1543:F1543)=0,"",IF(AND(G1543="OK",H1543="OK"),"OK","REVISAR"))</f>
      </c>
    </row>
    <row r="1544">
      <c r="A1544" s="5"/>
      <c r="B1544" s="5"/>
      <c r="C1544" s="4"/>
      <c r="D1544" s="4"/>
      <c r="E1544" s="5"/>
      <c r="F1544" s="4"/>
      <c r="G1544" s="6">
        <f>IF(AND(A1544="",B1544=""),"",IF(COUNTIFS($A$2:$A$2001,A1544,$B$2:$B$2001,B1544)&gt;1,"DUPLICADO","OK"))</f>
      </c>
      <c r="H1544" s="6">
        <f>IF(COUNTA(A1544:F1544)=0,"",IF(AND(A1544&lt;&gt;"",B1544&lt;&gt;"",E1544&lt;&gt;""),"OK","ERRO: faltam "&amp;IF(A1544="","Conta; ","")&amp;IF(B1544="","Oportunidade; ","")&amp;IF(E1544="","Novo gerente; ","")))</f>
      </c>
      <c r="I1544" s="6">
        <f>IF(COUNTA(A1544:F1544)=0,"",IF(AND(G1544="OK",H1544="OK"),"OK","REVISAR"))</f>
      </c>
    </row>
    <row r="1545">
      <c r="A1545" s="5"/>
      <c r="B1545" s="5"/>
      <c r="C1545" s="4"/>
      <c r="D1545" s="4"/>
      <c r="E1545" s="5"/>
      <c r="F1545" s="4"/>
      <c r="G1545" s="6">
        <f>IF(AND(A1545="",B1545=""),"",IF(COUNTIFS($A$2:$A$2001,A1545,$B$2:$B$2001,B1545)&gt;1,"DUPLICADO","OK"))</f>
      </c>
      <c r="H1545" s="6">
        <f>IF(COUNTA(A1545:F1545)=0,"",IF(AND(A1545&lt;&gt;"",B1545&lt;&gt;"",E1545&lt;&gt;""),"OK","ERRO: faltam "&amp;IF(A1545="","Conta; ","")&amp;IF(B1545="","Oportunidade; ","")&amp;IF(E1545="","Novo gerente; ","")))</f>
      </c>
      <c r="I1545" s="6">
        <f>IF(COUNTA(A1545:F1545)=0,"",IF(AND(G1545="OK",H1545="OK"),"OK","REVISAR"))</f>
      </c>
    </row>
    <row r="1546">
      <c r="A1546" s="5"/>
      <c r="B1546" s="5"/>
      <c r="C1546" s="4"/>
      <c r="D1546" s="4"/>
      <c r="E1546" s="5"/>
      <c r="F1546" s="4"/>
      <c r="G1546" s="6">
        <f>IF(AND(A1546="",B1546=""),"",IF(COUNTIFS($A$2:$A$2001,A1546,$B$2:$B$2001,B1546)&gt;1,"DUPLICADO","OK"))</f>
      </c>
      <c r="H1546" s="6">
        <f>IF(COUNTA(A1546:F1546)=0,"",IF(AND(A1546&lt;&gt;"",B1546&lt;&gt;"",E1546&lt;&gt;""),"OK","ERRO: faltam "&amp;IF(A1546="","Conta; ","")&amp;IF(B1546="","Oportunidade; ","")&amp;IF(E1546="","Novo gerente; ","")))</f>
      </c>
      <c r="I1546" s="6">
        <f>IF(COUNTA(A1546:F1546)=0,"",IF(AND(G1546="OK",H1546="OK"),"OK","REVISAR"))</f>
      </c>
    </row>
    <row r="1547">
      <c r="A1547" s="5"/>
      <c r="B1547" s="5"/>
      <c r="C1547" s="4"/>
      <c r="D1547" s="4"/>
      <c r="E1547" s="5"/>
      <c r="F1547" s="4"/>
      <c r="G1547" s="6">
        <f>IF(AND(A1547="",B1547=""),"",IF(COUNTIFS($A$2:$A$2001,A1547,$B$2:$B$2001,B1547)&gt;1,"DUPLICADO","OK"))</f>
      </c>
      <c r="H1547" s="6">
        <f>IF(COUNTA(A1547:F1547)=0,"",IF(AND(A1547&lt;&gt;"",B1547&lt;&gt;"",E1547&lt;&gt;""),"OK","ERRO: faltam "&amp;IF(A1547="","Conta; ","")&amp;IF(B1547="","Oportunidade; ","")&amp;IF(E1547="","Novo gerente; ","")))</f>
      </c>
      <c r="I1547" s="6">
        <f>IF(COUNTA(A1547:F1547)=0,"",IF(AND(G1547="OK",H1547="OK"),"OK","REVISAR"))</f>
      </c>
    </row>
    <row r="1548">
      <c r="A1548" s="5"/>
      <c r="B1548" s="5"/>
      <c r="C1548" s="4"/>
      <c r="D1548" s="4"/>
      <c r="E1548" s="5"/>
      <c r="F1548" s="4"/>
      <c r="G1548" s="6">
        <f>IF(AND(A1548="",B1548=""),"",IF(COUNTIFS($A$2:$A$2001,A1548,$B$2:$B$2001,B1548)&gt;1,"DUPLICADO","OK"))</f>
      </c>
      <c r="H1548" s="6">
        <f>IF(COUNTA(A1548:F1548)=0,"",IF(AND(A1548&lt;&gt;"",B1548&lt;&gt;"",E1548&lt;&gt;""),"OK","ERRO: faltam "&amp;IF(A1548="","Conta; ","")&amp;IF(B1548="","Oportunidade; ","")&amp;IF(E1548="","Novo gerente; ","")))</f>
      </c>
      <c r="I1548" s="6">
        <f>IF(COUNTA(A1548:F1548)=0,"",IF(AND(G1548="OK",H1548="OK"),"OK","REVISAR"))</f>
      </c>
    </row>
    <row r="1549">
      <c r="A1549" s="5"/>
      <c r="B1549" s="5"/>
      <c r="C1549" s="4"/>
      <c r="D1549" s="4"/>
      <c r="E1549" s="5"/>
      <c r="F1549" s="4"/>
      <c r="G1549" s="6">
        <f>IF(AND(A1549="",B1549=""),"",IF(COUNTIFS($A$2:$A$2001,A1549,$B$2:$B$2001,B1549)&gt;1,"DUPLICADO","OK"))</f>
      </c>
      <c r="H1549" s="6">
        <f>IF(COUNTA(A1549:F1549)=0,"",IF(AND(A1549&lt;&gt;"",B1549&lt;&gt;"",E1549&lt;&gt;""),"OK","ERRO: faltam "&amp;IF(A1549="","Conta; ","")&amp;IF(B1549="","Oportunidade; ","")&amp;IF(E1549="","Novo gerente; ","")))</f>
      </c>
      <c r="I1549" s="6">
        <f>IF(COUNTA(A1549:F1549)=0,"",IF(AND(G1549="OK",H1549="OK"),"OK","REVISAR"))</f>
      </c>
    </row>
    <row r="1550">
      <c r="A1550" s="5"/>
      <c r="B1550" s="5"/>
      <c r="C1550" s="4"/>
      <c r="D1550" s="4"/>
      <c r="E1550" s="5"/>
      <c r="F1550" s="4"/>
      <c r="G1550" s="6">
        <f>IF(AND(A1550="",B1550=""),"",IF(COUNTIFS($A$2:$A$2001,A1550,$B$2:$B$2001,B1550)&gt;1,"DUPLICADO","OK"))</f>
      </c>
      <c r="H1550" s="6">
        <f>IF(COUNTA(A1550:F1550)=0,"",IF(AND(A1550&lt;&gt;"",B1550&lt;&gt;"",E1550&lt;&gt;""),"OK","ERRO: faltam "&amp;IF(A1550="","Conta; ","")&amp;IF(B1550="","Oportunidade; ","")&amp;IF(E1550="","Novo gerente; ","")))</f>
      </c>
      <c r="I1550" s="6">
        <f>IF(COUNTA(A1550:F1550)=0,"",IF(AND(G1550="OK",H1550="OK"),"OK","REVISAR"))</f>
      </c>
    </row>
    <row r="1551">
      <c r="A1551" s="5"/>
      <c r="B1551" s="5"/>
      <c r="C1551" s="4"/>
      <c r="D1551" s="4"/>
      <c r="E1551" s="5"/>
      <c r="F1551" s="4"/>
      <c r="G1551" s="6">
        <f>IF(AND(A1551="",B1551=""),"",IF(COUNTIFS($A$2:$A$2001,A1551,$B$2:$B$2001,B1551)&gt;1,"DUPLICADO","OK"))</f>
      </c>
      <c r="H1551" s="6">
        <f>IF(COUNTA(A1551:F1551)=0,"",IF(AND(A1551&lt;&gt;"",B1551&lt;&gt;"",E1551&lt;&gt;""),"OK","ERRO: faltam "&amp;IF(A1551="","Conta; ","")&amp;IF(B1551="","Oportunidade; ","")&amp;IF(E1551="","Novo gerente; ","")))</f>
      </c>
      <c r="I1551" s="6">
        <f>IF(COUNTA(A1551:F1551)=0,"",IF(AND(G1551="OK",H1551="OK"),"OK","REVISAR"))</f>
      </c>
    </row>
    <row r="1552">
      <c r="A1552" s="5"/>
      <c r="B1552" s="5"/>
      <c r="C1552" s="4"/>
      <c r="D1552" s="4"/>
      <c r="E1552" s="5"/>
      <c r="F1552" s="4"/>
      <c r="G1552" s="6">
        <f>IF(AND(A1552="",B1552=""),"",IF(COUNTIFS($A$2:$A$2001,A1552,$B$2:$B$2001,B1552)&gt;1,"DUPLICADO","OK"))</f>
      </c>
      <c r="H1552" s="6">
        <f>IF(COUNTA(A1552:F1552)=0,"",IF(AND(A1552&lt;&gt;"",B1552&lt;&gt;"",E1552&lt;&gt;""),"OK","ERRO: faltam "&amp;IF(A1552="","Conta; ","")&amp;IF(B1552="","Oportunidade; ","")&amp;IF(E1552="","Novo gerente; ","")))</f>
      </c>
      <c r="I1552" s="6">
        <f>IF(COUNTA(A1552:F1552)=0,"",IF(AND(G1552="OK",H1552="OK"),"OK","REVISAR"))</f>
      </c>
    </row>
    <row r="1553">
      <c r="A1553" s="5"/>
      <c r="B1553" s="5"/>
      <c r="C1553" s="4"/>
      <c r="D1553" s="4"/>
      <c r="E1553" s="5"/>
      <c r="F1553" s="4"/>
      <c r="G1553" s="6">
        <f>IF(AND(A1553="",B1553=""),"",IF(COUNTIFS($A$2:$A$2001,A1553,$B$2:$B$2001,B1553)&gt;1,"DUPLICADO","OK"))</f>
      </c>
      <c r="H1553" s="6">
        <f>IF(COUNTA(A1553:F1553)=0,"",IF(AND(A1553&lt;&gt;"",B1553&lt;&gt;"",E1553&lt;&gt;""),"OK","ERRO: faltam "&amp;IF(A1553="","Conta; ","")&amp;IF(B1553="","Oportunidade; ","")&amp;IF(E1553="","Novo gerente; ","")))</f>
      </c>
      <c r="I1553" s="6">
        <f>IF(COUNTA(A1553:F1553)=0,"",IF(AND(G1553="OK",H1553="OK"),"OK","REVISAR"))</f>
      </c>
    </row>
    <row r="1554">
      <c r="A1554" s="5"/>
      <c r="B1554" s="5"/>
      <c r="C1554" s="4"/>
      <c r="D1554" s="4"/>
      <c r="E1554" s="5"/>
      <c r="F1554" s="4"/>
      <c r="G1554" s="6">
        <f>IF(AND(A1554="",B1554=""),"",IF(COUNTIFS($A$2:$A$2001,A1554,$B$2:$B$2001,B1554)&gt;1,"DUPLICADO","OK"))</f>
      </c>
      <c r="H1554" s="6">
        <f>IF(COUNTA(A1554:F1554)=0,"",IF(AND(A1554&lt;&gt;"",B1554&lt;&gt;"",E1554&lt;&gt;""),"OK","ERRO: faltam "&amp;IF(A1554="","Conta; ","")&amp;IF(B1554="","Oportunidade; ","")&amp;IF(E1554="","Novo gerente; ","")))</f>
      </c>
      <c r="I1554" s="6">
        <f>IF(COUNTA(A1554:F1554)=0,"",IF(AND(G1554="OK",H1554="OK"),"OK","REVISAR"))</f>
      </c>
    </row>
    <row r="1555">
      <c r="A1555" s="5"/>
      <c r="B1555" s="5"/>
      <c r="C1555" s="4"/>
      <c r="D1555" s="4"/>
      <c r="E1555" s="5"/>
      <c r="F1555" s="4"/>
      <c r="G1555" s="6">
        <f>IF(AND(A1555="",B1555=""),"",IF(COUNTIFS($A$2:$A$2001,A1555,$B$2:$B$2001,B1555)&gt;1,"DUPLICADO","OK"))</f>
      </c>
      <c r="H1555" s="6">
        <f>IF(COUNTA(A1555:F1555)=0,"",IF(AND(A1555&lt;&gt;"",B1555&lt;&gt;"",E1555&lt;&gt;""),"OK","ERRO: faltam "&amp;IF(A1555="","Conta; ","")&amp;IF(B1555="","Oportunidade; ","")&amp;IF(E1555="","Novo gerente; ","")))</f>
      </c>
      <c r="I1555" s="6">
        <f>IF(COUNTA(A1555:F1555)=0,"",IF(AND(G1555="OK",H1555="OK"),"OK","REVISAR"))</f>
      </c>
    </row>
    <row r="1556">
      <c r="A1556" s="5"/>
      <c r="B1556" s="5"/>
      <c r="C1556" s="4"/>
      <c r="D1556" s="4"/>
      <c r="E1556" s="5"/>
      <c r="F1556" s="4"/>
      <c r="G1556" s="6">
        <f>IF(AND(A1556="",B1556=""),"",IF(COUNTIFS($A$2:$A$2001,A1556,$B$2:$B$2001,B1556)&gt;1,"DUPLICADO","OK"))</f>
      </c>
      <c r="H1556" s="6">
        <f>IF(COUNTA(A1556:F1556)=0,"",IF(AND(A1556&lt;&gt;"",B1556&lt;&gt;"",E1556&lt;&gt;""),"OK","ERRO: faltam "&amp;IF(A1556="","Conta; ","")&amp;IF(B1556="","Oportunidade; ","")&amp;IF(E1556="","Novo gerente; ","")))</f>
      </c>
      <c r="I1556" s="6">
        <f>IF(COUNTA(A1556:F1556)=0,"",IF(AND(G1556="OK",H1556="OK"),"OK","REVISAR"))</f>
      </c>
    </row>
    <row r="1557">
      <c r="A1557" s="5"/>
      <c r="B1557" s="5"/>
      <c r="C1557" s="4"/>
      <c r="D1557" s="4"/>
      <c r="E1557" s="5"/>
      <c r="F1557" s="4"/>
      <c r="G1557" s="6">
        <f>IF(AND(A1557="",B1557=""),"",IF(COUNTIFS($A$2:$A$2001,A1557,$B$2:$B$2001,B1557)&gt;1,"DUPLICADO","OK"))</f>
      </c>
      <c r="H1557" s="6">
        <f>IF(COUNTA(A1557:F1557)=0,"",IF(AND(A1557&lt;&gt;"",B1557&lt;&gt;"",E1557&lt;&gt;""),"OK","ERRO: faltam "&amp;IF(A1557="","Conta; ","")&amp;IF(B1557="","Oportunidade; ","")&amp;IF(E1557="","Novo gerente; ","")))</f>
      </c>
      <c r="I1557" s="6">
        <f>IF(COUNTA(A1557:F1557)=0,"",IF(AND(G1557="OK",H1557="OK"),"OK","REVISAR"))</f>
      </c>
    </row>
    <row r="1558">
      <c r="A1558" s="5"/>
      <c r="B1558" s="5"/>
      <c r="C1558" s="4"/>
      <c r="D1558" s="4"/>
      <c r="E1558" s="5"/>
      <c r="F1558" s="4"/>
      <c r="G1558" s="6">
        <f>IF(AND(A1558="",B1558=""),"",IF(COUNTIFS($A$2:$A$2001,A1558,$B$2:$B$2001,B1558)&gt;1,"DUPLICADO","OK"))</f>
      </c>
      <c r="H1558" s="6">
        <f>IF(COUNTA(A1558:F1558)=0,"",IF(AND(A1558&lt;&gt;"",B1558&lt;&gt;"",E1558&lt;&gt;""),"OK","ERRO: faltam "&amp;IF(A1558="","Conta; ","")&amp;IF(B1558="","Oportunidade; ","")&amp;IF(E1558="","Novo gerente; ","")))</f>
      </c>
      <c r="I1558" s="6">
        <f>IF(COUNTA(A1558:F1558)=0,"",IF(AND(G1558="OK",H1558="OK"),"OK","REVISAR"))</f>
      </c>
    </row>
    <row r="1559">
      <c r="A1559" s="5"/>
      <c r="B1559" s="5"/>
      <c r="C1559" s="4"/>
      <c r="D1559" s="4"/>
      <c r="E1559" s="5"/>
      <c r="F1559" s="4"/>
      <c r="G1559" s="6">
        <f>IF(AND(A1559="",B1559=""),"",IF(COUNTIFS($A$2:$A$2001,A1559,$B$2:$B$2001,B1559)&gt;1,"DUPLICADO","OK"))</f>
      </c>
      <c r="H1559" s="6">
        <f>IF(COUNTA(A1559:F1559)=0,"",IF(AND(A1559&lt;&gt;"",B1559&lt;&gt;"",E1559&lt;&gt;""),"OK","ERRO: faltam "&amp;IF(A1559="","Conta; ","")&amp;IF(B1559="","Oportunidade; ","")&amp;IF(E1559="","Novo gerente; ","")))</f>
      </c>
      <c r="I1559" s="6">
        <f>IF(COUNTA(A1559:F1559)=0,"",IF(AND(G1559="OK",H1559="OK"),"OK","REVISAR"))</f>
      </c>
    </row>
    <row r="1560">
      <c r="A1560" s="5"/>
      <c r="B1560" s="5"/>
      <c r="C1560" s="4"/>
      <c r="D1560" s="4"/>
      <c r="E1560" s="5"/>
      <c r="F1560" s="4"/>
      <c r="G1560" s="6">
        <f>IF(AND(A1560="",B1560=""),"",IF(COUNTIFS($A$2:$A$2001,A1560,$B$2:$B$2001,B1560)&gt;1,"DUPLICADO","OK"))</f>
      </c>
      <c r="H1560" s="6">
        <f>IF(COUNTA(A1560:F1560)=0,"",IF(AND(A1560&lt;&gt;"",B1560&lt;&gt;"",E1560&lt;&gt;""),"OK","ERRO: faltam "&amp;IF(A1560="","Conta; ","")&amp;IF(B1560="","Oportunidade; ","")&amp;IF(E1560="","Novo gerente; ","")))</f>
      </c>
      <c r="I1560" s="6">
        <f>IF(COUNTA(A1560:F1560)=0,"",IF(AND(G1560="OK",H1560="OK"),"OK","REVISAR"))</f>
      </c>
    </row>
    <row r="1561">
      <c r="A1561" s="5"/>
      <c r="B1561" s="5"/>
      <c r="C1561" s="4"/>
      <c r="D1561" s="4"/>
      <c r="E1561" s="5"/>
      <c r="F1561" s="4"/>
      <c r="G1561" s="6">
        <f>IF(AND(A1561="",B1561=""),"",IF(COUNTIFS($A$2:$A$2001,A1561,$B$2:$B$2001,B1561)&gt;1,"DUPLICADO","OK"))</f>
      </c>
      <c r="H1561" s="6">
        <f>IF(COUNTA(A1561:F1561)=0,"",IF(AND(A1561&lt;&gt;"",B1561&lt;&gt;"",E1561&lt;&gt;""),"OK","ERRO: faltam "&amp;IF(A1561="","Conta; ","")&amp;IF(B1561="","Oportunidade; ","")&amp;IF(E1561="","Novo gerente; ","")))</f>
      </c>
      <c r="I1561" s="6">
        <f>IF(COUNTA(A1561:F1561)=0,"",IF(AND(G1561="OK",H1561="OK"),"OK","REVISAR"))</f>
      </c>
    </row>
    <row r="1562">
      <c r="A1562" s="5"/>
      <c r="B1562" s="5"/>
      <c r="C1562" s="4"/>
      <c r="D1562" s="4"/>
      <c r="E1562" s="5"/>
      <c r="F1562" s="4"/>
      <c r="G1562" s="6">
        <f>IF(AND(A1562="",B1562=""),"",IF(COUNTIFS($A$2:$A$2001,A1562,$B$2:$B$2001,B1562)&gt;1,"DUPLICADO","OK"))</f>
      </c>
      <c r="H1562" s="6">
        <f>IF(COUNTA(A1562:F1562)=0,"",IF(AND(A1562&lt;&gt;"",B1562&lt;&gt;"",E1562&lt;&gt;""),"OK","ERRO: faltam "&amp;IF(A1562="","Conta; ","")&amp;IF(B1562="","Oportunidade; ","")&amp;IF(E1562="","Novo gerente; ","")))</f>
      </c>
      <c r="I1562" s="6">
        <f>IF(COUNTA(A1562:F1562)=0,"",IF(AND(G1562="OK",H1562="OK"),"OK","REVISAR"))</f>
      </c>
    </row>
    <row r="1563">
      <c r="A1563" s="5"/>
      <c r="B1563" s="5"/>
      <c r="C1563" s="4"/>
      <c r="D1563" s="4"/>
      <c r="E1563" s="5"/>
      <c r="F1563" s="4"/>
      <c r="G1563" s="6">
        <f>IF(AND(A1563="",B1563=""),"",IF(COUNTIFS($A$2:$A$2001,A1563,$B$2:$B$2001,B1563)&gt;1,"DUPLICADO","OK"))</f>
      </c>
      <c r="H1563" s="6">
        <f>IF(COUNTA(A1563:F1563)=0,"",IF(AND(A1563&lt;&gt;"",B1563&lt;&gt;"",E1563&lt;&gt;""),"OK","ERRO: faltam "&amp;IF(A1563="","Conta; ","")&amp;IF(B1563="","Oportunidade; ","")&amp;IF(E1563="","Novo gerente; ","")))</f>
      </c>
      <c r="I1563" s="6">
        <f>IF(COUNTA(A1563:F1563)=0,"",IF(AND(G1563="OK",H1563="OK"),"OK","REVISAR"))</f>
      </c>
    </row>
    <row r="1564">
      <c r="A1564" s="5"/>
      <c r="B1564" s="5"/>
      <c r="C1564" s="4"/>
      <c r="D1564" s="4"/>
      <c r="E1564" s="5"/>
      <c r="F1564" s="4"/>
      <c r="G1564" s="6">
        <f>IF(AND(A1564="",B1564=""),"",IF(COUNTIFS($A$2:$A$2001,A1564,$B$2:$B$2001,B1564)&gt;1,"DUPLICADO","OK"))</f>
      </c>
      <c r="H1564" s="6">
        <f>IF(COUNTA(A1564:F1564)=0,"",IF(AND(A1564&lt;&gt;"",B1564&lt;&gt;"",E1564&lt;&gt;""),"OK","ERRO: faltam "&amp;IF(A1564="","Conta; ","")&amp;IF(B1564="","Oportunidade; ","")&amp;IF(E1564="","Novo gerente; ","")))</f>
      </c>
      <c r="I1564" s="6">
        <f>IF(COUNTA(A1564:F1564)=0,"",IF(AND(G1564="OK",H1564="OK"),"OK","REVISAR"))</f>
      </c>
    </row>
    <row r="1565">
      <c r="A1565" s="5"/>
      <c r="B1565" s="5"/>
      <c r="C1565" s="4"/>
      <c r="D1565" s="4"/>
      <c r="E1565" s="5"/>
      <c r="F1565" s="4"/>
      <c r="G1565" s="6">
        <f>IF(AND(A1565="",B1565=""),"",IF(COUNTIFS($A$2:$A$2001,A1565,$B$2:$B$2001,B1565)&gt;1,"DUPLICADO","OK"))</f>
      </c>
      <c r="H1565" s="6">
        <f>IF(COUNTA(A1565:F1565)=0,"",IF(AND(A1565&lt;&gt;"",B1565&lt;&gt;"",E1565&lt;&gt;""),"OK","ERRO: faltam "&amp;IF(A1565="","Conta; ","")&amp;IF(B1565="","Oportunidade; ","")&amp;IF(E1565="","Novo gerente; ","")))</f>
      </c>
      <c r="I1565" s="6">
        <f>IF(COUNTA(A1565:F1565)=0,"",IF(AND(G1565="OK",H1565="OK"),"OK","REVISAR"))</f>
      </c>
    </row>
    <row r="1566">
      <c r="A1566" s="5"/>
      <c r="B1566" s="5"/>
      <c r="C1566" s="4"/>
      <c r="D1566" s="4"/>
      <c r="E1566" s="5"/>
      <c r="F1566" s="4"/>
      <c r="G1566" s="6">
        <f>IF(AND(A1566="",B1566=""),"",IF(COUNTIFS($A$2:$A$2001,A1566,$B$2:$B$2001,B1566)&gt;1,"DUPLICADO","OK"))</f>
      </c>
      <c r="H1566" s="6">
        <f>IF(COUNTA(A1566:F1566)=0,"",IF(AND(A1566&lt;&gt;"",B1566&lt;&gt;"",E1566&lt;&gt;""),"OK","ERRO: faltam "&amp;IF(A1566="","Conta; ","")&amp;IF(B1566="","Oportunidade; ","")&amp;IF(E1566="","Novo gerente; ","")))</f>
      </c>
      <c r="I1566" s="6">
        <f>IF(COUNTA(A1566:F1566)=0,"",IF(AND(G1566="OK",H1566="OK"),"OK","REVISAR"))</f>
      </c>
    </row>
    <row r="1567">
      <c r="A1567" s="5"/>
      <c r="B1567" s="5"/>
      <c r="C1567" s="4"/>
      <c r="D1567" s="4"/>
      <c r="E1567" s="5"/>
      <c r="F1567" s="4"/>
      <c r="G1567" s="6">
        <f>IF(AND(A1567="",B1567=""),"",IF(COUNTIFS($A$2:$A$2001,A1567,$B$2:$B$2001,B1567)&gt;1,"DUPLICADO","OK"))</f>
      </c>
      <c r="H1567" s="6">
        <f>IF(COUNTA(A1567:F1567)=0,"",IF(AND(A1567&lt;&gt;"",B1567&lt;&gt;"",E1567&lt;&gt;""),"OK","ERRO: faltam "&amp;IF(A1567="","Conta; ","")&amp;IF(B1567="","Oportunidade; ","")&amp;IF(E1567="","Novo gerente; ","")))</f>
      </c>
      <c r="I1567" s="6">
        <f>IF(COUNTA(A1567:F1567)=0,"",IF(AND(G1567="OK",H1567="OK"),"OK","REVISAR"))</f>
      </c>
    </row>
    <row r="1568">
      <c r="A1568" s="5"/>
      <c r="B1568" s="5"/>
      <c r="C1568" s="4"/>
      <c r="D1568" s="4"/>
      <c r="E1568" s="5"/>
      <c r="F1568" s="4"/>
      <c r="G1568" s="6">
        <f>IF(AND(A1568="",B1568=""),"",IF(COUNTIFS($A$2:$A$2001,A1568,$B$2:$B$2001,B1568)&gt;1,"DUPLICADO","OK"))</f>
      </c>
      <c r="H1568" s="6">
        <f>IF(COUNTA(A1568:F1568)=0,"",IF(AND(A1568&lt;&gt;"",B1568&lt;&gt;"",E1568&lt;&gt;""),"OK","ERRO: faltam "&amp;IF(A1568="","Conta; ","")&amp;IF(B1568="","Oportunidade; ","")&amp;IF(E1568="","Novo gerente; ","")))</f>
      </c>
      <c r="I1568" s="6">
        <f>IF(COUNTA(A1568:F1568)=0,"",IF(AND(G1568="OK",H1568="OK"),"OK","REVISAR"))</f>
      </c>
    </row>
    <row r="1569">
      <c r="A1569" s="5"/>
      <c r="B1569" s="5"/>
      <c r="C1569" s="4"/>
      <c r="D1569" s="4"/>
      <c r="E1569" s="5"/>
      <c r="F1569" s="4"/>
      <c r="G1569" s="6">
        <f>IF(AND(A1569="",B1569=""),"",IF(COUNTIFS($A$2:$A$2001,A1569,$B$2:$B$2001,B1569)&gt;1,"DUPLICADO","OK"))</f>
      </c>
      <c r="H1569" s="6">
        <f>IF(COUNTA(A1569:F1569)=0,"",IF(AND(A1569&lt;&gt;"",B1569&lt;&gt;"",E1569&lt;&gt;""),"OK","ERRO: faltam "&amp;IF(A1569="","Conta; ","")&amp;IF(B1569="","Oportunidade; ","")&amp;IF(E1569="","Novo gerente; ","")))</f>
      </c>
      <c r="I1569" s="6">
        <f>IF(COUNTA(A1569:F1569)=0,"",IF(AND(G1569="OK",H1569="OK"),"OK","REVISAR"))</f>
      </c>
    </row>
    <row r="1570">
      <c r="A1570" s="5"/>
      <c r="B1570" s="5"/>
      <c r="C1570" s="4"/>
      <c r="D1570" s="4"/>
      <c r="E1570" s="5"/>
      <c r="F1570" s="4"/>
      <c r="G1570" s="6">
        <f>IF(AND(A1570="",B1570=""),"",IF(COUNTIFS($A$2:$A$2001,A1570,$B$2:$B$2001,B1570)&gt;1,"DUPLICADO","OK"))</f>
      </c>
      <c r="H1570" s="6">
        <f>IF(COUNTA(A1570:F1570)=0,"",IF(AND(A1570&lt;&gt;"",B1570&lt;&gt;"",E1570&lt;&gt;""),"OK","ERRO: faltam "&amp;IF(A1570="","Conta; ","")&amp;IF(B1570="","Oportunidade; ","")&amp;IF(E1570="","Novo gerente; ","")))</f>
      </c>
      <c r="I1570" s="6">
        <f>IF(COUNTA(A1570:F1570)=0,"",IF(AND(G1570="OK",H1570="OK"),"OK","REVISAR"))</f>
      </c>
    </row>
    <row r="1571">
      <c r="A1571" s="5"/>
      <c r="B1571" s="5"/>
      <c r="C1571" s="4"/>
      <c r="D1571" s="4"/>
      <c r="E1571" s="5"/>
      <c r="F1571" s="4"/>
      <c r="G1571" s="6">
        <f>IF(AND(A1571="",B1571=""),"",IF(COUNTIFS($A$2:$A$2001,A1571,$B$2:$B$2001,B1571)&gt;1,"DUPLICADO","OK"))</f>
      </c>
      <c r="H1571" s="6">
        <f>IF(COUNTA(A1571:F1571)=0,"",IF(AND(A1571&lt;&gt;"",B1571&lt;&gt;"",E1571&lt;&gt;""),"OK","ERRO: faltam "&amp;IF(A1571="","Conta; ","")&amp;IF(B1571="","Oportunidade; ","")&amp;IF(E1571="","Novo gerente; ","")))</f>
      </c>
      <c r="I1571" s="6">
        <f>IF(COUNTA(A1571:F1571)=0,"",IF(AND(G1571="OK",H1571="OK"),"OK","REVISAR"))</f>
      </c>
    </row>
    <row r="1572">
      <c r="A1572" s="5"/>
      <c r="B1572" s="5"/>
      <c r="C1572" s="4"/>
      <c r="D1572" s="4"/>
      <c r="E1572" s="5"/>
      <c r="F1572" s="4"/>
      <c r="G1572" s="6">
        <f>IF(AND(A1572="",B1572=""),"",IF(COUNTIFS($A$2:$A$2001,A1572,$B$2:$B$2001,B1572)&gt;1,"DUPLICADO","OK"))</f>
      </c>
      <c r="H1572" s="6">
        <f>IF(COUNTA(A1572:F1572)=0,"",IF(AND(A1572&lt;&gt;"",B1572&lt;&gt;"",E1572&lt;&gt;""),"OK","ERRO: faltam "&amp;IF(A1572="","Conta; ","")&amp;IF(B1572="","Oportunidade; ","")&amp;IF(E1572="","Novo gerente; ","")))</f>
      </c>
      <c r="I1572" s="6">
        <f>IF(COUNTA(A1572:F1572)=0,"",IF(AND(G1572="OK",H1572="OK"),"OK","REVISAR"))</f>
      </c>
    </row>
    <row r="1573">
      <c r="A1573" s="5"/>
      <c r="B1573" s="5"/>
      <c r="C1573" s="4"/>
      <c r="D1573" s="4"/>
      <c r="E1573" s="5"/>
      <c r="F1573" s="4"/>
      <c r="G1573" s="6">
        <f>IF(AND(A1573="",B1573=""),"",IF(COUNTIFS($A$2:$A$2001,A1573,$B$2:$B$2001,B1573)&gt;1,"DUPLICADO","OK"))</f>
      </c>
      <c r="H1573" s="6">
        <f>IF(COUNTA(A1573:F1573)=0,"",IF(AND(A1573&lt;&gt;"",B1573&lt;&gt;"",E1573&lt;&gt;""),"OK","ERRO: faltam "&amp;IF(A1573="","Conta; ","")&amp;IF(B1573="","Oportunidade; ","")&amp;IF(E1573="","Novo gerente; ","")))</f>
      </c>
      <c r="I1573" s="6">
        <f>IF(COUNTA(A1573:F1573)=0,"",IF(AND(G1573="OK",H1573="OK"),"OK","REVISAR"))</f>
      </c>
    </row>
    <row r="1574">
      <c r="A1574" s="5"/>
      <c r="B1574" s="5"/>
      <c r="C1574" s="4"/>
      <c r="D1574" s="4"/>
      <c r="E1574" s="5"/>
      <c r="F1574" s="4"/>
      <c r="G1574" s="6">
        <f>IF(AND(A1574="",B1574=""),"",IF(COUNTIFS($A$2:$A$2001,A1574,$B$2:$B$2001,B1574)&gt;1,"DUPLICADO","OK"))</f>
      </c>
      <c r="H1574" s="6">
        <f>IF(COUNTA(A1574:F1574)=0,"",IF(AND(A1574&lt;&gt;"",B1574&lt;&gt;"",E1574&lt;&gt;""),"OK","ERRO: faltam "&amp;IF(A1574="","Conta; ","")&amp;IF(B1574="","Oportunidade; ","")&amp;IF(E1574="","Novo gerente; ","")))</f>
      </c>
      <c r="I1574" s="6">
        <f>IF(COUNTA(A1574:F1574)=0,"",IF(AND(G1574="OK",H1574="OK"),"OK","REVISAR"))</f>
      </c>
    </row>
    <row r="1575">
      <c r="A1575" s="5"/>
      <c r="B1575" s="5"/>
      <c r="C1575" s="4"/>
      <c r="D1575" s="4"/>
      <c r="E1575" s="5"/>
      <c r="F1575" s="4"/>
      <c r="G1575" s="6">
        <f>IF(AND(A1575="",B1575=""),"",IF(COUNTIFS($A$2:$A$2001,A1575,$B$2:$B$2001,B1575)&gt;1,"DUPLICADO","OK"))</f>
      </c>
      <c r="H1575" s="6">
        <f>IF(COUNTA(A1575:F1575)=0,"",IF(AND(A1575&lt;&gt;"",B1575&lt;&gt;"",E1575&lt;&gt;""),"OK","ERRO: faltam "&amp;IF(A1575="","Conta; ","")&amp;IF(B1575="","Oportunidade; ","")&amp;IF(E1575="","Novo gerente; ","")))</f>
      </c>
      <c r="I1575" s="6">
        <f>IF(COUNTA(A1575:F1575)=0,"",IF(AND(G1575="OK",H1575="OK"),"OK","REVISAR"))</f>
      </c>
    </row>
    <row r="1576">
      <c r="A1576" s="5"/>
      <c r="B1576" s="5"/>
      <c r="C1576" s="4"/>
      <c r="D1576" s="4"/>
      <c r="E1576" s="5"/>
      <c r="F1576" s="4"/>
      <c r="G1576" s="6">
        <f>IF(AND(A1576="",B1576=""),"",IF(COUNTIFS($A$2:$A$2001,A1576,$B$2:$B$2001,B1576)&gt;1,"DUPLICADO","OK"))</f>
      </c>
      <c r="H1576" s="6">
        <f>IF(COUNTA(A1576:F1576)=0,"",IF(AND(A1576&lt;&gt;"",B1576&lt;&gt;"",E1576&lt;&gt;""),"OK","ERRO: faltam "&amp;IF(A1576="","Conta; ","")&amp;IF(B1576="","Oportunidade; ","")&amp;IF(E1576="","Novo gerente; ","")))</f>
      </c>
      <c r="I1576" s="6">
        <f>IF(COUNTA(A1576:F1576)=0,"",IF(AND(G1576="OK",H1576="OK"),"OK","REVISAR"))</f>
      </c>
    </row>
    <row r="1577">
      <c r="A1577" s="5"/>
      <c r="B1577" s="5"/>
      <c r="C1577" s="4"/>
      <c r="D1577" s="4"/>
      <c r="E1577" s="5"/>
      <c r="F1577" s="4"/>
      <c r="G1577" s="6">
        <f>IF(AND(A1577="",B1577=""),"",IF(COUNTIFS($A$2:$A$2001,A1577,$B$2:$B$2001,B1577)&gt;1,"DUPLICADO","OK"))</f>
      </c>
      <c r="H1577" s="6">
        <f>IF(COUNTA(A1577:F1577)=0,"",IF(AND(A1577&lt;&gt;"",B1577&lt;&gt;"",E1577&lt;&gt;""),"OK","ERRO: faltam "&amp;IF(A1577="","Conta; ","")&amp;IF(B1577="","Oportunidade; ","")&amp;IF(E1577="","Novo gerente; ","")))</f>
      </c>
      <c r="I1577" s="6">
        <f>IF(COUNTA(A1577:F1577)=0,"",IF(AND(G1577="OK",H1577="OK"),"OK","REVISAR"))</f>
      </c>
    </row>
    <row r="1578">
      <c r="A1578" s="5"/>
      <c r="B1578" s="5"/>
      <c r="C1578" s="4"/>
      <c r="D1578" s="4"/>
      <c r="E1578" s="5"/>
      <c r="F1578" s="4"/>
      <c r="G1578" s="6">
        <f>IF(AND(A1578="",B1578=""),"",IF(COUNTIFS($A$2:$A$2001,A1578,$B$2:$B$2001,B1578)&gt;1,"DUPLICADO","OK"))</f>
      </c>
      <c r="H1578" s="6">
        <f>IF(COUNTA(A1578:F1578)=0,"",IF(AND(A1578&lt;&gt;"",B1578&lt;&gt;"",E1578&lt;&gt;""),"OK","ERRO: faltam "&amp;IF(A1578="","Conta; ","")&amp;IF(B1578="","Oportunidade; ","")&amp;IF(E1578="","Novo gerente; ","")))</f>
      </c>
      <c r="I1578" s="6">
        <f>IF(COUNTA(A1578:F1578)=0,"",IF(AND(G1578="OK",H1578="OK"),"OK","REVISAR"))</f>
      </c>
    </row>
    <row r="1579">
      <c r="A1579" s="5"/>
      <c r="B1579" s="5"/>
      <c r="C1579" s="4"/>
      <c r="D1579" s="4"/>
      <c r="E1579" s="5"/>
      <c r="F1579" s="4"/>
      <c r="G1579" s="6">
        <f>IF(AND(A1579="",B1579=""),"",IF(COUNTIFS($A$2:$A$2001,A1579,$B$2:$B$2001,B1579)&gt;1,"DUPLICADO","OK"))</f>
      </c>
      <c r="H1579" s="6">
        <f>IF(COUNTA(A1579:F1579)=0,"",IF(AND(A1579&lt;&gt;"",B1579&lt;&gt;"",E1579&lt;&gt;""),"OK","ERRO: faltam "&amp;IF(A1579="","Conta; ","")&amp;IF(B1579="","Oportunidade; ","")&amp;IF(E1579="","Novo gerente; ","")))</f>
      </c>
      <c r="I1579" s="6">
        <f>IF(COUNTA(A1579:F1579)=0,"",IF(AND(G1579="OK",H1579="OK"),"OK","REVISAR"))</f>
      </c>
    </row>
    <row r="1580">
      <c r="A1580" s="5"/>
      <c r="B1580" s="5"/>
      <c r="C1580" s="4"/>
      <c r="D1580" s="4"/>
      <c r="E1580" s="5"/>
      <c r="F1580" s="4"/>
      <c r="G1580" s="6">
        <f>IF(AND(A1580="",B1580=""),"",IF(COUNTIFS($A$2:$A$2001,A1580,$B$2:$B$2001,B1580)&gt;1,"DUPLICADO","OK"))</f>
      </c>
      <c r="H1580" s="6">
        <f>IF(COUNTA(A1580:F1580)=0,"",IF(AND(A1580&lt;&gt;"",B1580&lt;&gt;"",E1580&lt;&gt;""),"OK","ERRO: faltam "&amp;IF(A1580="","Conta; ","")&amp;IF(B1580="","Oportunidade; ","")&amp;IF(E1580="","Novo gerente; ","")))</f>
      </c>
      <c r="I1580" s="6">
        <f>IF(COUNTA(A1580:F1580)=0,"",IF(AND(G1580="OK",H1580="OK"),"OK","REVISAR"))</f>
      </c>
    </row>
    <row r="1581">
      <c r="A1581" s="5"/>
      <c r="B1581" s="5"/>
      <c r="C1581" s="4"/>
      <c r="D1581" s="4"/>
      <c r="E1581" s="5"/>
      <c r="F1581" s="4"/>
      <c r="G1581" s="6">
        <f>IF(AND(A1581="",B1581=""),"",IF(COUNTIFS($A$2:$A$2001,A1581,$B$2:$B$2001,B1581)&gt;1,"DUPLICADO","OK"))</f>
      </c>
      <c r="H1581" s="6">
        <f>IF(COUNTA(A1581:F1581)=0,"",IF(AND(A1581&lt;&gt;"",B1581&lt;&gt;"",E1581&lt;&gt;""),"OK","ERRO: faltam "&amp;IF(A1581="","Conta; ","")&amp;IF(B1581="","Oportunidade; ","")&amp;IF(E1581="","Novo gerente; ","")))</f>
      </c>
      <c r="I1581" s="6">
        <f>IF(COUNTA(A1581:F1581)=0,"",IF(AND(G1581="OK",H1581="OK"),"OK","REVISAR"))</f>
      </c>
    </row>
    <row r="1582">
      <c r="A1582" s="5"/>
      <c r="B1582" s="5"/>
      <c r="C1582" s="4"/>
      <c r="D1582" s="4"/>
      <c r="E1582" s="5"/>
      <c r="F1582" s="4"/>
      <c r="G1582" s="6">
        <f>IF(AND(A1582="",B1582=""),"",IF(COUNTIFS($A$2:$A$2001,A1582,$B$2:$B$2001,B1582)&gt;1,"DUPLICADO","OK"))</f>
      </c>
      <c r="H1582" s="6">
        <f>IF(COUNTA(A1582:F1582)=0,"",IF(AND(A1582&lt;&gt;"",B1582&lt;&gt;"",E1582&lt;&gt;""),"OK","ERRO: faltam "&amp;IF(A1582="","Conta; ","")&amp;IF(B1582="","Oportunidade; ","")&amp;IF(E1582="","Novo gerente; ","")))</f>
      </c>
      <c r="I1582" s="6">
        <f>IF(COUNTA(A1582:F1582)=0,"",IF(AND(G1582="OK",H1582="OK"),"OK","REVISAR"))</f>
      </c>
    </row>
    <row r="1583">
      <c r="A1583" s="5"/>
      <c r="B1583" s="5"/>
      <c r="C1583" s="4"/>
      <c r="D1583" s="4"/>
      <c r="E1583" s="5"/>
      <c r="F1583" s="4"/>
      <c r="G1583" s="6">
        <f>IF(AND(A1583="",B1583=""),"",IF(COUNTIFS($A$2:$A$2001,A1583,$B$2:$B$2001,B1583)&gt;1,"DUPLICADO","OK"))</f>
      </c>
      <c r="H1583" s="6">
        <f>IF(COUNTA(A1583:F1583)=0,"",IF(AND(A1583&lt;&gt;"",B1583&lt;&gt;"",E1583&lt;&gt;""),"OK","ERRO: faltam "&amp;IF(A1583="","Conta; ","")&amp;IF(B1583="","Oportunidade; ","")&amp;IF(E1583="","Novo gerente; ","")))</f>
      </c>
      <c r="I1583" s="6">
        <f>IF(COUNTA(A1583:F1583)=0,"",IF(AND(G1583="OK",H1583="OK"),"OK","REVISAR"))</f>
      </c>
    </row>
    <row r="1584">
      <c r="A1584" s="5"/>
      <c r="B1584" s="5"/>
      <c r="C1584" s="4"/>
      <c r="D1584" s="4"/>
      <c r="E1584" s="5"/>
      <c r="F1584" s="4"/>
      <c r="G1584" s="6">
        <f>IF(AND(A1584="",B1584=""),"",IF(COUNTIFS($A$2:$A$2001,A1584,$B$2:$B$2001,B1584)&gt;1,"DUPLICADO","OK"))</f>
      </c>
      <c r="H1584" s="6">
        <f>IF(COUNTA(A1584:F1584)=0,"",IF(AND(A1584&lt;&gt;"",B1584&lt;&gt;"",E1584&lt;&gt;""),"OK","ERRO: faltam "&amp;IF(A1584="","Conta; ","")&amp;IF(B1584="","Oportunidade; ","")&amp;IF(E1584="","Novo gerente; ","")))</f>
      </c>
      <c r="I1584" s="6">
        <f>IF(COUNTA(A1584:F1584)=0,"",IF(AND(G1584="OK",H1584="OK"),"OK","REVISAR"))</f>
      </c>
    </row>
    <row r="1585">
      <c r="A1585" s="5"/>
      <c r="B1585" s="5"/>
      <c r="C1585" s="4"/>
      <c r="D1585" s="4"/>
      <c r="E1585" s="5"/>
      <c r="F1585" s="4"/>
      <c r="G1585" s="6">
        <f>IF(AND(A1585="",B1585=""),"",IF(COUNTIFS($A$2:$A$2001,A1585,$B$2:$B$2001,B1585)&gt;1,"DUPLICADO","OK"))</f>
      </c>
      <c r="H1585" s="6">
        <f>IF(COUNTA(A1585:F1585)=0,"",IF(AND(A1585&lt;&gt;"",B1585&lt;&gt;"",E1585&lt;&gt;""),"OK","ERRO: faltam "&amp;IF(A1585="","Conta; ","")&amp;IF(B1585="","Oportunidade; ","")&amp;IF(E1585="","Novo gerente; ","")))</f>
      </c>
      <c r="I1585" s="6">
        <f>IF(COUNTA(A1585:F1585)=0,"",IF(AND(G1585="OK",H1585="OK"),"OK","REVISAR"))</f>
      </c>
    </row>
    <row r="1586">
      <c r="A1586" s="5"/>
      <c r="B1586" s="5"/>
      <c r="C1586" s="4"/>
      <c r="D1586" s="4"/>
      <c r="E1586" s="5"/>
      <c r="F1586" s="4"/>
      <c r="G1586" s="6">
        <f>IF(AND(A1586="",B1586=""),"",IF(COUNTIFS($A$2:$A$2001,A1586,$B$2:$B$2001,B1586)&gt;1,"DUPLICADO","OK"))</f>
      </c>
      <c r="H1586" s="6">
        <f>IF(COUNTA(A1586:F1586)=0,"",IF(AND(A1586&lt;&gt;"",B1586&lt;&gt;"",E1586&lt;&gt;""),"OK","ERRO: faltam "&amp;IF(A1586="","Conta; ","")&amp;IF(B1586="","Oportunidade; ","")&amp;IF(E1586="","Novo gerente; ","")))</f>
      </c>
      <c r="I1586" s="6">
        <f>IF(COUNTA(A1586:F1586)=0,"",IF(AND(G1586="OK",H1586="OK"),"OK","REVISAR"))</f>
      </c>
    </row>
    <row r="1587">
      <c r="A1587" s="5"/>
      <c r="B1587" s="5"/>
      <c r="C1587" s="4"/>
      <c r="D1587" s="4"/>
      <c r="E1587" s="5"/>
      <c r="F1587" s="4"/>
      <c r="G1587" s="6">
        <f>IF(AND(A1587="",B1587=""),"",IF(COUNTIFS($A$2:$A$2001,A1587,$B$2:$B$2001,B1587)&gt;1,"DUPLICADO","OK"))</f>
      </c>
      <c r="H1587" s="6">
        <f>IF(COUNTA(A1587:F1587)=0,"",IF(AND(A1587&lt;&gt;"",B1587&lt;&gt;"",E1587&lt;&gt;""),"OK","ERRO: faltam "&amp;IF(A1587="","Conta; ","")&amp;IF(B1587="","Oportunidade; ","")&amp;IF(E1587="","Novo gerente; ","")))</f>
      </c>
      <c r="I1587" s="6">
        <f>IF(COUNTA(A1587:F1587)=0,"",IF(AND(G1587="OK",H1587="OK"),"OK","REVISAR"))</f>
      </c>
    </row>
    <row r="1588">
      <c r="A1588" s="5"/>
      <c r="B1588" s="5"/>
      <c r="C1588" s="4"/>
      <c r="D1588" s="4"/>
      <c r="E1588" s="5"/>
      <c r="F1588" s="4"/>
      <c r="G1588" s="6">
        <f>IF(AND(A1588="",B1588=""),"",IF(COUNTIFS($A$2:$A$2001,A1588,$B$2:$B$2001,B1588)&gt;1,"DUPLICADO","OK"))</f>
      </c>
      <c r="H1588" s="6">
        <f>IF(COUNTA(A1588:F1588)=0,"",IF(AND(A1588&lt;&gt;"",B1588&lt;&gt;"",E1588&lt;&gt;""),"OK","ERRO: faltam "&amp;IF(A1588="","Conta; ","")&amp;IF(B1588="","Oportunidade; ","")&amp;IF(E1588="","Novo gerente; ","")))</f>
      </c>
      <c r="I1588" s="6">
        <f>IF(COUNTA(A1588:F1588)=0,"",IF(AND(G1588="OK",H1588="OK"),"OK","REVISAR"))</f>
      </c>
    </row>
    <row r="1589">
      <c r="A1589" s="5"/>
      <c r="B1589" s="5"/>
      <c r="C1589" s="4"/>
      <c r="D1589" s="4"/>
      <c r="E1589" s="5"/>
      <c r="F1589" s="4"/>
      <c r="G1589" s="6">
        <f>IF(AND(A1589="",B1589=""),"",IF(COUNTIFS($A$2:$A$2001,A1589,$B$2:$B$2001,B1589)&gt;1,"DUPLICADO","OK"))</f>
      </c>
      <c r="H1589" s="6">
        <f>IF(COUNTA(A1589:F1589)=0,"",IF(AND(A1589&lt;&gt;"",B1589&lt;&gt;"",E1589&lt;&gt;""),"OK","ERRO: faltam "&amp;IF(A1589="","Conta; ","")&amp;IF(B1589="","Oportunidade; ","")&amp;IF(E1589="","Novo gerente; ","")))</f>
      </c>
      <c r="I1589" s="6">
        <f>IF(COUNTA(A1589:F1589)=0,"",IF(AND(G1589="OK",H1589="OK"),"OK","REVISAR"))</f>
      </c>
    </row>
    <row r="1590">
      <c r="A1590" s="5"/>
      <c r="B1590" s="5"/>
      <c r="C1590" s="4"/>
      <c r="D1590" s="4"/>
      <c r="E1590" s="5"/>
      <c r="F1590" s="4"/>
      <c r="G1590" s="6">
        <f>IF(AND(A1590="",B1590=""),"",IF(COUNTIFS($A$2:$A$2001,A1590,$B$2:$B$2001,B1590)&gt;1,"DUPLICADO","OK"))</f>
      </c>
      <c r="H1590" s="6">
        <f>IF(COUNTA(A1590:F1590)=0,"",IF(AND(A1590&lt;&gt;"",B1590&lt;&gt;"",E1590&lt;&gt;""),"OK","ERRO: faltam "&amp;IF(A1590="","Conta; ","")&amp;IF(B1590="","Oportunidade; ","")&amp;IF(E1590="","Novo gerente; ","")))</f>
      </c>
      <c r="I1590" s="6">
        <f>IF(COUNTA(A1590:F1590)=0,"",IF(AND(G1590="OK",H1590="OK"),"OK","REVISAR"))</f>
      </c>
    </row>
    <row r="1591">
      <c r="A1591" s="5"/>
      <c r="B1591" s="5"/>
      <c r="C1591" s="4"/>
      <c r="D1591" s="4"/>
      <c r="E1591" s="5"/>
      <c r="F1591" s="4"/>
      <c r="G1591" s="6">
        <f>IF(AND(A1591="",B1591=""),"",IF(COUNTIFS($A$2:$A$2001,A1591,$B$2:$B$2001,B1591)&gt;1,"DUPLICADO","OK"))</f>
      </c>
      <c r="H1591" s="6">
        <f>IF(COUNTA(A1591:F1591)=0,"",IF(AND(A1591&lt;&gt;"",B1591&lt;&gt;"",E1591&lt;&gt;""),"OK","ERRO: faltam "&amp;IF(A1591="","Conta; ","")&amp;IF(B1591="","Oportunidade; ","")&amp;IF(E1591="","Novo gerente; ","")))</f>
      </c>
      <c r="I1591" s="6">
        <f>IF(COUNTA(A1591:F1591)=0,"",IF(AND(G1591="OK",H1591="OK"),"OK","REVISAR"))</f>
      </c>
    </row>
    <row r="1592">
      <c r="A1592" s="5"/>
      <c r="B1592" s="5"/>
      <c r="C1592" s="4"/>
      <c r="D1592" s="4"/>
      <c r="E1592" s="5"/>
      <c r="F1592" s="4"/>
      <c r="G1592" s="6">
        <f>IF(AND(A1592="",B1592=""),"",IF(COUNTIFS($A$2:$A$2001,A1592,$B$2:$B$2001,B1592)&gt;1,"DUPLICADO","OK"))</f>
      </c>
      <c r="H1592" s="6">
        <f>IF(COUNTA(A1592:F1592)=0,"",IF(AND(A1592&lt;&gt;"",B1592&lt;&gt;"",E1592&lt;&gt;""),"OK","ERRO: faltam "&amp;IF(A1592="","Conta; ","")&amp;IF(B1592="","Oportunidade; ","")&amp;IF(E1592="","Novo gerente; ","")))</f>
      </c>
      <c r="I1592" s="6">
        <f>IF(COUNTA(A1592:F1592)=0,"",IF(AND(G1592="OK",H1592="OK"),"OK","REVISAR"))</f>
      </c>
    </row>
    <row r="1593">
      <c r="A1593" s="5"/>
      <c r="B1593" s="5"/>
      <c r="C1593" s="4"/>
      <c r="D1593" s="4"/>
      <c r="E1593" s="5"/>
      <c r="F1593" s="4"/>
      <c r="G1593" s="6">
        <f>IF(AND(A1593="",B1593=""),"",IF(COUNTIFS($A$2:$A$2001,A1593,$B$2:$B$2001,B1593)&gt;1,"DUPLICADO","OK"))</f>
      </c>
      <c r="H1593" s="6">
        <f>IF(COUNTA(A1593:F1593)=0,"",IF(AND(A1593&lt;&gt;"",B1593&lt;&gt;"",E1593&lt;&gt;""),"OK","ERRO: faltam "&amp;IF(A1593="","Conta; ","")&amp;IF(B1593="","Oportunidade; ","")&amp;IF(E1593="","Novo gerente; ","")))</f>
      </c>
      <c r="I1593" s="6">
        <f>IF(COUNTA(A1593:F1593)=0,"",IF(AND(G1593="OK",H1593="OK"),"OK","REVISAR"))</f>
      </c>
    </row>
    <row r="1594">
      <c r="A1594" s="5"/>
      <c r="B1594" s="5"/>
      <c r="C1594" s="4"/>
      <c r="D1594" s="4"/>
      <c r="E1594" s="5"/>
      <c r="F1594" s="4"/>
      <c r="G1594" s="6">
        <f>IF(AND(A1594="",B1594=""),"",IF(COUNTIFS($A$2:$A$2001,A1594,$B$2:$B$2001,B1594)&gt;1,"DUPLICADO","OK"))</f>
      </c>
      <c r="H1594" s="6">
        <f>IF(COUNTA(A1594:F1594)=0,"",IF(AND(A1594&lt;&gt;"",B1594&lt;&gt;"",E1594&lt;&gt;""),"OK","ERRO: faltam "&amp;IF(A1594="","Conta; ","")&amp;IF(B1594="","Oportunidade; ","")&amp;IF(E1594="","Novo gerente; ","")))</f>
      </c>
      <c r="I1594" s="6">
        <f>IF(COUNTA(A1594:F1594)=0,"",IF(AND(G1594="OK",H1594="OK"),"OK","REVISAR"))</f>
      </c>
    </row>
    <row r="1595">
      <c r="A1595" s="5"/>
      <c r="B1595" s="5"/>
      <c r="C1595" s="4"/>
      <c r="D1595" s="4"/>
      <c r="E1595" s="5"/>
      <c r="F1595" s="4"/>
      <c r="G1595" s="6">
        <f>IF(AND(A1595="",B1595=""),"",IF(COUNTIFS($A$2:$A$2001,A1595,$B$2:$B$2001,B1595)&gt;1,"DUPLICADO","OK"))</f>
      </c>
      <c r="H1595" s="6">
        <f>IF(COUNTA(A1595:F1595)=0,"",IF(AND(A1595&lt;&gt;"",B1595&lt;&gt;"",E1595&lt;&gt;""),"OK","ERRO: faltam "&amp;IF(A1595="","Conta; ","")&amp;IF(B1595="","Oportunidade; ","")&amp;IF(E1595="","Novo gerente; ","")))</f>
      </c>
      <c r="I1595" s="6">
        <f>IF(COUNTA(A1595:F1595)=0,"",IF(AND(G1595="OK",H1595="OK"),"OK","REVISAR"))</f>
      </c>
    </row>
    <row r="1596">
      <c r="A1596" s="5"/>
      <c r="B1596" s="5"/>
      <c r="C1596" s="4"/>
      <c r="D1596" s="4"/>
      <c r="E1596" s="5"/>
      <c r="F1596" s="4"/>
      <c r="G1596" s="6">
        <f>IF(AND(A1596="",B1596=""),"",IF(COUNTIFS($A$2:$A$2001,A1596,$B$2:$B$2001,B1596)&gt;1,"DUPLICADO","OK"))</f>
      </c>
      <c r="H1596" s="6">
        <f>IF(COUNTA(A1596:F1596)=0,"",IF(AND(A1596&lt;&gt;"",B1596&lt;&gt;"",E1596&lt;&gt;""),"OK","ERRO: faltam "&amp;IF(A1596="","Conta; ","")&amp;IF(B1596="","Oportunidade; ","")&amp;IF(E1596="","Novo gerente; ","")))</f>
      </c>
      <c r="I1596" s="6">
        <f>IF(COUNTA(A1596:F1596)=0,"",IF(AND(G1596="OK",H1596="OK"),"OK","REVISAR"))</f>
      </c>
    </row>
    <row r="1597">
      <c r="A1597" s="5"/>
      <c r="B1597" s="5"/>
      <c r="C1597" s="4"/>
      <c r="D1597" s="4"/>
      <c r="E1597" s="5"/>
      <c r="F1597" s="4"/>
      <c r="G1597" s="6">
        <f>IF(AND(A1597="",B1597=""),"",IF(COUNTIFS($A$2:$A$2001,A1597,$B$2:$B$2001,B1597)&gt;1,"DUPLICADO","OK"))</f>
      </c>
      <c r="H1597" s="6">
        <f>IF(COUNTA(A1597:F1597)=0,"",IF(AND(A1597&lt;&gt;"",B1597&lt;&gt;"",E1597&lt;&gt;""),"OK","ERRO: faltam "&amp;IF(A1597="","Conta; ","")&amp;IF(B1597="","Oportunidade; ","")&amp;IF(E1597="","Novo gerente; ","")))</f>
      </c>
      <c r="I1597" s="6">
        <f>IF(COUNTA(A1597:F1597)=0,"",IF(AND(G1597="OK",H1597="OK"),"OK","REVISAR"))</f>
      </c>
    </row>
    <row r="1598">
      <c r="A1598" s="5"/>
      <c r="B1598" s="5"/>
      <c r="C1598" s="4"/>
      <c r="D1598" s="4"/>
      <c r="E1598" s="5"/>
      <c r="F1598" s="4"/>
      <c r="G1598" s="6">
        <f>IF(AND(A1598="",B1598=""),"",IF(COUNTIFS($A$2:$A$2001,A1598,$B$2:$B$2001,B1598)&gt;1,"DUPLICADO","OK"))</f>
      </c>
      <c r="H1598" s="6">
        <f>IF(COUNTA(A1598:F1598)=0,"",IF(AND(A1598&lt;&gt;"",B1598&lt;&gt;"",E1598&lt;&gt;""),"OK","ERRO: faltam "&amp;IF(A1598="","Conta; ","")&amp;IF(B1598="","Oportunidade; ","")&amp;IF(E1598="","Novo gerente; ","")))</f>
      </c>
      <c r="I1598" s="6">
        <f>IF(COUNTA(A1598:F1598)=0,"",IF(AND(G1598="OK",H1598="OK"),"OK","REVISAR"))</f>
      </c>
    </row>
    <row r="1599">
      <c r="A1599" s="5"/>
      <c r="B1599" s="5"/>
      <c r="C1599" s="4"/>
      <c r="D1599" s="4"/>
      <c r="E1599" s="5"/>
      <c r="F1599" s="4"/>
      <c r="G1599" s="6">
        <f>IF(AND(A1599="",B1599=""),"",IF(COUNTIFS($A$2:$A$2001,A1599,$B$2:$B$2001,B1599)&gt;1,"DUPLICADO","OK"))</f>
      </c>
      <c r="H1599" s="6">
        <f>IF(COUNTA(A1599:F1599)=0,"",IF(AND(A1599&lt;&gt;"",B1599&lt;&gt;"",E1599&lt;&gt;""),"OK","ERRO: faltam "&amp;IF(A1599="","Conta; ","")&amp;IF(B1599="","Oportunidade; ","")&amp;IF(E1599="","Novo gerente; ","")))</f>
      </c>
      <c r="I1599" s="6">
        <f>IF(COUNTA(A1599:F1599)=0,"",IF(AND(G1599="OK",H1599="OK"),"OK","REVISAR"))</f>
      </c>
    </row>
    <row r="1600">
      <c r="A1600" s="5"/>
      <c r="B1600" s="5"/>
      <c r="C1600" s="4"/>
      <c r="D1600" s="4"/>
      <c r="E1600" s="5"/>
      <c r="F1600" s="4"/>
      <c r="G1600" s="6">
        <f>IF(AND(A1600="",B1600=""),"",IF(COUNTIFS($A$2:$A$2001,A1600,$B$2:$B$2001,B1600)&gt;1,"DUPLICADO","OK"))</f>
      </c>
      <c r="H1600" s="6">
        <f>IF(COUNTA(A1600:F1600)=0,"",IF(AND(A1600&lt;&gt;"",B1600&lt;&gt;"",E1600&lt;&gt;""),"OK","ERRO: faltam "&amp;IF(A1600="","Conta; ","")&amp;IF(B1600="","Oportunidade; ","")&amp;IF(E1600="","Novo gerente; ","")))</f>
      </c>
      <c r="I1600" s="6">
        <f>IF(COUNTA(A1600:F1600)=0,"",IF(AND(G1600="OK",H1600="OK"),"OK","REVISAR"))</f>
      </c>
    </row>
    <row r="1601">
      <c r="A1601" s="5"/>
      <c r="B1601" s="5"/>
      <c r="C1601" s="4"/>
      <c r="D1601" s="4"/>
      <c r="E1601" s="5"/>
      <c r="F1601" s="4"/>
      <c r="G1601" s="6">
        <f>IF(AND(A1601="",B1601=""),"",IF(COUNTIFS($A$2:$A$2001,A1601,$B$2:$B$2001,B1601)&gt;1,"DUPLICADO","OK"))</f>
      </c>
      <c r="H1601" s="6">
        <f>IF(COUNTA(A1601:F1601)=0,"",IF(AND(A1601&lt;&gt;"",B1601&lt;&gt;"",E1601&lt;&gt;""),"OK","ERRO: faltam "&amp;IF(A1601="","Conta; ","")&amp;IF(B1601="","Oportunidade; ","")&amp;IF(E1601="","Novo gerente; ","")))</f>
      </c>
      <c r="I1601" s="6">
        <f>IF(COUNTA(A1601:F1601)=0,"",IF(AND(G1601="OK",H1601="OK"),"OK","REVISAR"))</f>
      </c>
    </row>
    <row r="1602">
      <c r="A1602" s="5"/>
      <c r="B1602" s="5"/>
      <c r="C1602" s="4"/>
      <c r="D1602" s="4"/>
      <c r="E1602" s="5"/>
      <c r="F1602" s="4"/>
      <c r="G1602" s="6">
        <f>IF(AND(A1602="",B1602=""),"",IF(COUNTIFS($A$2:$A$2001,A1602,$B$2:$B$2001,B1602)&gt;1,"DUPLICADO","OK"))</f>
      </c>
      <c r="H1602" s="6">
        <f>IF(COUNTA(A1602:F1602)=0,"",IF(AND(A1602&lt;&gt;"",B1602&lt;&gt;"",E1602&lt;&gt;""),"OK","ERRO: faltam "&amp;IF(A1602="","Conta; ","")&amp;IF(B1602="","Oportunidade; ","")&amp;IF(E1602="","Novo gerente; ","")))</f>
      </c>
      <c r="I1602" s="6">
        <f>IF(COUNTA(A1602:F1602)=0,"",IF(AND(G1602="OK",H1602="OK"),"OK","REVISAR"))</f>
      </c>
    </row>
    <row r="1603">
      <c r="A1603" s="5"/>
      <c r="B1603" s="5"/>
      <c r="C1603" s="4"/>
      <c r="D1603" s="4"/>
      <c r="E1603" s="5"/>
      <c r="F1603" s="4"/>
      <c r="G1603" s="6">
        <f>IF(AND(A1603="",B1603=""),"",IF(COUNTIFS($A$2:$A$2001,A1603,$B$2:$B$2001,B1603)&gt;1,"DUPLICADO","OK"))</f>
      </c>
      <c r="H1603" s="6">
        <f>IF(COUNTA(A1603:F1603)=0,"",IF(AND(A1603&lt;&gt;"",B1603&lt;&gt;"",E1603&lt;&gt;""),"OK","ERRO: faltam "&amp;IF(A1603="","Conta; ","")&amp;IF(B1603="","Oportunidade; ","")&amp;IF(E1603="","Novo gerente; ","")))</f>
      </c>
      <c r="I1603" s="6">
        <f>IF(COUNTA(A1603:F1603)=0,"",IF(AND(G1603="OK",H1603="OK"),"OK","REVISAR"))</f>
      </c>
    </row>
    <row r="1604">
      <c r="A1604" s="5"/>
      <c r="B1604" s="5"/>
      <c r="C1604" s="4"/>
      <c r="D1604" s="4"/>
      <c r="E1604" s="5"/>
      <c r="F1604" s="4"/>
      <c r="G1604" s="6">
        <f>IF(AND(A1604="",B1604=""),"",IF(COUNTIFS($A$2:$A$2001,A1604,$B$2:$B$2001,B1604)&gt;1,"DUPLICADO","OK"))</f>
      </c>
      <c r="H1604" s="6">
        <f>IF(COUNTA(A1604:F1604)=0,"",IF(AND(A1604&lt;&gt;"",B1604&lt;&gt;"",E1604&lt;&gt;""),"OK","ERRO: faltam "&amp;IF(A1604="","Conta; ","")&amp;IF(B1604="","Oportunidade; ","")&amp;IF(E1604="","Novo gerente; ","")))</f>
      </c>
      <c r="I1604" s="6">
        <f>IF(COUNTA(A1604:F1604)=0,"",IF(AND(G1604="OK",H1604="OK"),"OK","REVISAR"))</f>
      </c>
    </row>
    <row r="1605">
      <c r="A1605" s="5"/>
      <c r="B1605" s="5"/>
      <c r="C1605" s="4"/>
      <c r="D1605" s="4"/>
      <c r="E1605" s="5"/>
      <c r="F1605" s="4"/>
      <c r="G1605" s="6">
        <f>IF(AND(A1605="",B1605=""),"",IF(COUNTIFS($A$2:$A$2001,A1605,$B$2:$B$2001,B1605)&gt;1,"DUPLICADO","OK"))</f>
      </c>
      <c r="H1605" s="6">
        <f>IF(COUNTA(A1605:F1605)=0,"",IF(AND(A1605&lt;&gt;"",B1605&lt;&gt;"",E1605&lt;&gt;""),"OK","ERRO: faltam "&amp;IF(A1605="","Conta; ","")&amp;IF(B1605="","Oportunidade; ","")&amp;IF(E1605="","Novo gerente; ","")))</f>
      </c>
      <c r="I1605" s="6">
        <f>IF(COUNTA(A1605:F1605)=0,"",IF(AND(G1605="OK",H1605="OK"),"OK","REVISAR"))</f>
      </c>
    </row>
    <row r="1606">
      <c r="A1606" s="5"/>
      <c r="B1606" s="5"/>
      <c r="C1606" s="4"/>
      <c r="D1606" s="4"/>
      <c r="E1606" s="5"/>
      <c r="F1606" s="4"/>
      <c r="G1606" s="6">
        <f>IF(AND(A1606="",B1606=""),"",IF(COUNTIFS($A$2:$A$2001,A1606,$B$2:$B$2001,B1606)&gt;1,"DUPLICADO","OK"))</f>
      </c>
      <c r="H1606" s="6">
        <f>IF(COUNTA(A1606:F1606)=0,"",IF(AND(A1606&lt;&gt;"",B1606&lt;&gt;"",E1606&lt;&gt;""),"OK","ERRO: faltam "&amp;IF(A1606="","Conta; ","")&amp;IF(B1606="","Oportunidade; ","")&amp;IF(E1606="","Novo gerente; ","")))</f>
      </c>
      <c r="I1606" s="6">
        <f>IF(COUNTA(A1606:F1606)=0,"",IF(AND(G1606="OK",H1606="OK"),"OK","REVISAR"))</f>
      </c>
    </row>
    <row r="1607">
      <c r="A1607" s="5"/>
      <c r="B1607" s="5"/>
      <c r="C1607" s="4"/>
      <c r="D1607" s="4"/>
      <c r="E1607" s="5"/>
      <c r="F1607" s="4"/>
      <c r="G1607" s="6">
        <f>IF(AND(A1607="",B1607=""),"",IF(COUNTIFS($A$2:$A$2001,A1607,$B$2:$B$2001,B1607)&gt;1,"DUPLICADO","OK"))</f>
      </c>
      <c r="H1607" s="6">
        <f>IF(COUNTA(A1607:F1607)=0,"",IF(AND(A1607&lt;&gt;"",B1607&lt;&gt;"",E1607&lt;&gt;""),"OK","ERRO: faltam "&amp;IF(A1607="","Conta; ","")&amp;IF(B1607="","Oportunidade; ","")&amp;IF(E1607="","Novo gerente; ","")))</f>
      </c>
      <c r="I1607" s="6">
        <f>IF(COUNTA(A1607:F1607)=0,"",IF(AND(G1607="OK",H1607="OK"),"OK","REVISAR"))</f>
      </c>
    </row>
    <row r="1608">
      <c r="A1608" s="5"/>
      <c r="B1608" s="5"/>
      <c r="C1608" s="4"/>
      <c r="D1608" s="4"/>
      <c r="E1608" s="5"/>
      <c r="F1608" s="4"/>
      <c r="G1608" s="6">
        <f>IF(AND(A1608="",B1608=""),"",IF(COUNTIFS($A$2:$A$2001,A1608,$B$2:$B$2001,B1608)&gt;1,"DUPLICADO","OK"))</f>
      </c>
      <c r="H1608" s="6">
        <f>IF(COUNTA(A1608:F1608)=0,"",IF(AND(A1608&lt;&gt;"",B1608&lt;&gt;"",E1608&lt;&gt;""),"OK","ERRO: faltam "&amp;IF(A1608="","Conta; ","")&amp;IF(B1608="","Oportunidade; ","")&amp;IF(E1608="","Novo gerente; ","")))</f>
      </c>
      <c r="I1608" s="6">
        <f>IF(COUNTA(A1608:F1608)=0,"",IF(AND(G1608="OK",H1608="OK"),"OK","REVISAR"))</f>
      </c>
    </row>
    <row r="1609">
      <c r="A1609" s="5"/>
      <c r="B1609" s="5"/>
      <c r="C1609" s="4"/>
      <c r="D1609" s="4"/>
      <c r="E1609" s="5"/>
      <c r="F1609" s="4"/>
      <c r="G1609" s="6">
        <f>IF(AND(A1609="",B1609=""),"",IF(COUNTIFS($A$2:$A$2001,A1609,$B$2:$B$2001,B1609)&gt;1,"DUPLICADO","OK"))</f>
      </c>
      <c r="H1609" s="6">
        <f>IF(COUNTA(A1609:F1609)=0,"",IF(AND(A1609&lt;&gt;"",B1609&lt;&gt;"",E1609&lt;&gt;""),"OK","ERRO: faltam "&amp;IF(A1609="","Conta; ","")&amp;IF(B1609="","Oportunidade; ","")&amp;IF(E1609="","Novo gerente; ","")))</f>
      </c>
      <c r="I1609" s="6">
        <f>IF(COUNTA(A1609:F1609)=0,"",IF(AND(G1609="OK",H1609="OK"),"OK","REVISAR"))</f>
      </c>
    </row>
    <row r="1610">
      <c r="A1610" s="5"/>
      <c r="B1610" s="5"/>
      <c r="C1610" s="4"/>
      <c r="D1610" s="4"/>
      <c r="E1610" s="5"/>
      <c r="F1610" s="4"/>
      <c r="G1610" s="6">
        <f>IF(AND(A1610="",B1610=""),"",IF(COUNTIFS($A$2:$A$2001,A1610,$B$2:$B$2001,B1610)&gt;1,"DUPLICADO","OK"))</f>
      </c>
      <c r="H1610" s="6">
        <f>IF(COUNTA(A1610:F1610)=0,"",IF(AND(A1610&lt;&gt;"",B1610&lt;&gt;"",E1610&lt;&gt;""),"OK","ERRO: faltam "&amp;IF(A1610="","Conta; ","")&amp;IF(B1610="","Oportunidade; ","")&amp;IF(E1610="","Novo gerente; ","")))</f>
      </c>
      <c r="I1610" s="6">
        <f>IF(COUNTA(A1610:F1610)=0,"",IF(AND(G1610="OK",H1610="OK"),"OK","REVISAR"))</f>
      </c>
    </row>
    <row r="1611">
      <c r="A1611" s="5"/>
      <c r="B1611" s="5"/>
      <c r="C1611" s="4"/>
      <c r="D1611" s="4"/>
      <c r="E1611" s="5"/>
      <c r="F1611" s="4"/>
      <c r="G1611" s="6">
        <f>IF(AND(A1611="",B1611=""),"",IF(COUNTIFS($A$2:$A$2001,A1611,$B$2:$B$2001,B1611)&gt;1,"DUPLICADO","OK"))</f>
      </c>
      <c r="H1611" s="6">
        <f>IF(COUNTA(A1611:F1611)=0,"",IF(AND(A1611&lt;&gt;"",B1611&lt;&gt;"",E1611&lt;&gt;""),"OK","ERRO: faltam "&amp;IF(A1611="","Conta; ","")&amp;IF(B1611="","Oportunidade; ","")&amp;IF(E1611="","Novo gerente; ","")))</f>
      </c>
      <c r="I1611" s="6">
        <f>IF(COUNTA(A1611:F1611)=0,"",IF(AND(G1611="OK",H1611="OK"),"OK","REVISAR"))</f>
      </c>
    </row>
    <row r="1612">
      <c r="A1612" s="5"/>
      <c r="B1612" s="5"/>
      <c r="C1612" s="4"/>
      <c r="D1612" s="4"/>
      <c r="E1612" s="5"/>
      <c r="F1612" s="4"/>
      <c r="G1612" s="6">
        <f>IF(AND(A1612="",B1612=""),"",IF(COUNTIFS($A$2:$A$2001,A1612,$B$2:$B$2001,B1612)&gt;1,"DUPLICADO","OK"))</f>
      </c>
      <c r="H1612" s="6">
        <f>IF(COUNTA(A1612:F1612)=0,"",IF(AND(A1612&lt;&gt;"",B1612&lt;&gt;"",E1612&lt;&gt;""),"OK","ERRO: faltam "&amp;IF(A1612="","Conta; ","")&amp;IF(B1612="","Oportunidade; ","")&amp;IF(E1612="","Novo gerente; ","")))</f>
      </c>
      <c r="I1612" s="6">
        <f>IF(COUNTA(A1612:F1612)=0,"",IF(AND(G1612="OK",H1612="OK"),"OK","REVISAR"))</f>
      </c>
    </row>
    <row r="1613">
      <c r="A1613" s="5"/>
      <c r="B1613" s="5"/>
      <c r="C1613" s="4"/>
      <c r="D1613" s="4"/>
      <c r="E1613" s="5"/>
      <c r="F1613" s="4"/>
      <c r="G1613" s="6">
        <f>IF(AND(A1613="",B1613=""),"",IF(COUNTIFS($A$2:$A$2001,A1613,$B$2:$B$2001,B1613)&gt;1,"DUPLICADO","OK"))</f>
      </c>
      <c r="H1613" s="6">
        <f>IF(COUNTA(A1613:F1613)=0,"",IF(AND(A1613&lt;&gt;"",B1613&lt;&gt;"",E1613&lt;&gt;""),"OK","ERRO: faltam "&amp;IF(A1613="","Conta; ","")&amp;IF(B1613="","Oportunidade; ","")&amp;IF(E1613="","Novo gerente; ","")))</f>
      </c>
      <c r="I1613" s="6">
        <f>IF(COUNTA(A1613:F1613)=0,"",IF(AND(G1613="OK",H1613="OK"),"OK","REVISAR"))</f>
      </c>
    </row>
    <row r="1614">
      <c r="A1614" s="5"/>
      <c r="B1614" s="5"/>
      <c r="C1614" s="4"/>
      <c r="D1614" s="4"/>
      <c r="E1614" s="5"/>
      <c r="F1614" s="4"/>
      <c r="G1614" s="6">
        <f>IF(AND(A1614="",B1614=""),"",IF(COUNTIFS($A$2:$A$2001,A1614,$B$2:$B$2001,B1614)&gt;1,"DUPLICADO","OK"))</f>
      </c>
      <c r="H1614" s="6">
        <f>IF(COUNTA(A1614:F1614)=0,"",IF(AND(A1614&lt;&gt;"",B1614&lt;&gt;"",E1614&lt;&gt;""),"OK","ERRO: faltam "&amp;IF(A1614="","Conta; ","")&amp;IF(B1614="","Oportunidade; ","")&amp;IF(E1614="","Novo gerente; ","")))</f>
      </c>
      <c r="I1614" s="6">
        <f>IF(COUNTA(A1614:F1614)=0,"",IF(AND(G1614="OK",H1614="OK"),"OK","REVISAR"))</f>
      </c>
    </row>
    <row r="1615">
      <c r="A1615" s="5"/>
      <c r="B1615" s="5"/>
      <c r="C1615" s="4"/>
      <c r="D1615" s="4"/>
      <c r="E1615" s="5"/>
      <c r="F1615" s="4"/>
      <c r="G1615" s="6">
        <f>IF(AND(A1615="",B1615=""),"",IF(COUNTIFS($A$2:$A$2001,A1615,$B$2:$B$2001,B1615)&gt;1,"DUPLICADO","OK"))</f>
      </c>
      <c r="H1615" s="6">
        <f>IF(COUNTA(A1615:F1615)=0,"",IF(AND(A1615&lt;&gt;"",B1615&lt;&gt;"",E1615&lt;&gt;""),"OK","ERRO: faltam "&amp;IF(A1615="","Conta; ","")&amp;IF(B1615="","Oportunidade; ","")&amp;IF(E1615="","Novo gerente; ","")))</f>
      </c>
      <c r="I1615" s="6">
        <f>IF(COUNTA(A1615:F1615)=0,"",IF(AND(G1615="OK",H1615="OK"),"OK","REVISAR"))</f>
      </c>
    </row>
    <row r="1616">
      <c r="A1616" s="5"/>
      <c r="B1616" s="5"/>
      <c r="C1616" s="4"/>
      <c r="D1616" s="4"/>
      <c r="E1616" s="5"/>
      <c r="F1616" s="4"/>
      <c r="G1616" s="6">
        <f>IF(AND(A1616="",B1616=""),"",IF(COUNTIFS($A$2:$A$2001,A1616,$B$2:$B$2001,B1616)&gt;1,"DUPLICADO","OK"))</f>
      </c>
      <c r="H1616" s="6">
        <f>IF(COUNTA(A1616:F1616)=0,"",IF(AND(A1616&lt;&gt;"",B1616&lt;&gt;"",E1616&lt;&gt;""),"OK","ERRO: faltam "&amp;IF(A1616="","Conta; ","")&amp;IF(B1616="","Oportunidade; ","")&amp;IF(E1616="","Novo gerente; ","")))</f>
      </c>
      <c r="I1616" s="6">
        <f>IF(COUNTA(A1616:F1616)=0,"",IF(AND(G1616="OK",H1616="OK"),"OK","REVISAR"))</f>
      </c>
    </row>
    <row r="1617">
      <c r="A1617" s="5"/>
      <c r="B1617" s="5"/>
      <c r="C1617" s="4"/>
      <c r="D1617" s="4"/>
      <c r="E1617" s="5"/>
      <c r="F1617" s="4"/>
      <c r="G1617" s="6">
        <f>IF(AND(A1617="",B1617=""),"",IF(COUNTIFS($A$2:$A$2001,A1617,$B$2:$B$2001,B1617)&gt;1,"DUPLICADO","OK"))</f>
      </c>
      <c r="H1617" s="6">
        <f>IF(COUNTA(A1617:F1617)=0,"",IF(AND(A1617&lt;&gt;"",B1617&lt;&gt;"",E1617&lt;&gt;""),"OK","ERRO: faltam "&amp;IF(A1617="","Conta; ","")&amp;IF(B1617="","Oportunidade; ","")&amp;IF(E1617="","Novo gerente; ","")))</f>
      </c>
      <c r="I1617" s="6">
        <f>IF(COUNTA(A1617:F1617)=0,"",IF(AND(G1617="OK",H1617="OK"),"OK","REVISAR"))</f>
      </c>
    </row>
    <row r="1618">
      <c r="A1618" s="5"/>
      <c r="B1618" s="5"/>
      <c r="C1618" s="4"/>
      <c r="D1618" s="4"/>
      <c r="E1618" s="5"/>
      <c r="F1618" s="4"/>
      <c r="G1618" s="6">
        <f>IF(AND(A1618="",B1618=""),"",IF(COUNTIFS($A$2:$A$2001,A1618,$B$2:$B$2001,B1618)&gt;1,"DUPLICADO","OK"))</f>
      </c>
      <c r="H1618" s="6">
        <f>IF(COUNTA(A1618:F1618)=0,"",IF(AND(A1618&lt;&gt;"",B1618&lt;&gt;"",E1618&lt;&gt;""),"OK","ERRO: faltam "&amp;IF(A1618="","Conta; ","")&amp;IF(B1618="","Oportunidade; ","")&amp;IF(E1618="","Novo gerente; ","")))</f>
      </c>
      <c r="I1618" s="6">
        <f>IF(COUNTA(A1618:F1618)=0,"",IF(AND(G1618="OK",H1618="OK"),"OK","REVISAR"))</f>
      </c>
    </row>
    <row r="1619">
      <c r="A1619" s="5"/>
      <c r="B1619" s="5"/>
      <c r="C1619" s="4"/>
      <c r="D1619" s="4"/>
      <c r="E1619" s="5"/>
      <c r="F1619" s="4"/>
      <c r="G1619" s="6">
        <f>IF(AND(A1619="",B1619=""),"",IF(COUNTIFS($A$2:$A$2001,A1619,$B$2:$B$2001,B1619)&gt;1,"DUPLICADO","OK"))</f>
      </c>
      <c r="H1619" s="6">
        <f>IF(COUNTA(A1619:F1619)=0,"",IF(AND(A1619&lt;&gt;"",B1619&lt;&gt;"",E1619&lt;&gt;""),"OK","ERRO: faltam "&amp;IF(A1619="","Conta; ","")&amp;IF(B1619="","Oportunidade; ","")&amp;IF(E1619="","Novo gerente; ","")))</f>
      </c>
      <c r="I1619" s="6">
        <f>IF(COUNTA(A1619:F1619)=0,"",IF(AND(G1619="OK",H1619="OK"),"OK","REVISAR"))</f>
      </c>
    </row>
    <row r="1620">
      <c r="A1620" s="5"/>
      <c r="B1620" s="5"/>
      <c r="C1620" s="4"/>
      <c r="D1620" s="4"/>
      <c r="E1620" s="5"/>
      <c r="F1620" s="4"/>
      <c r="G1620" s="6">
        <f>IF(AND(A1620="",B1620=""),"",IF(COUNTIFS($A$2:$A$2001,A1620,$B$2:$B$2001,B1620)&gt;1,"DUPLICADO","OK"))</f>
      </c>
      <c r="H1620" s="6">
        <f>IF(COUNTA(A1620:F1620)=0,"",IF(AND(A1620&lt;&gt;"",B1620&lt;&gt;"",E1620&lt;&gt;""),"OK","ERRO: faltam "&amp;IF(A1620="","Conta; ","")&amp;IF(B1620="","Oportunidade; ","")&amp;IF(E1620="","Novo gerente; ","")))</f>
      </c>
      <c r="I1620" s="6">
        <f>IF(COUNTA(A1620:F1620)=0,"",IF(AND(G1620="OK",H1620="OK"),"OK","REVISAR"))</f>
      </c>
    </row>
    <row r="1621">
      <c r="A1621" s="5"/>
      <c r="B1621" s="5"/>
      <c r="C1621" s="4"/>
      <c r="D1621" s="4"/>
      <c r="E1621" s="5"/>
      <c r="F1621" s="4"/>
      <c r="G1621" s="6">
        <f>IF(AND(A1621="",B1621=""),"",IF(COUNTIFS($A$2:$A$2001,A1621,$B$2:$B$2001,B1621)&gt;1,"DUPLICADO","OK"))</f>
      </c>
      <c r="H1621" s="6">
        <f>IF(COUNTA(A1621:F1621)=0,"",IF(AND(A1621&lt;&gt;"",B1621&lt;&gt;"",E1621&lt;&gt;""),"OK","ERRO: faltam "&amp;IF(A1621="","Conta; ","")&amp;IF(B1621="","Oportunidade; ","")&amp;IF(E1621="","Novo gerente; ","")))</f>
      </c>
      <c r="I1621" s="6">
        <f>IF(COUNTA(A1621:F1621)=0,"",IF(AND(G1621="OK",H1621="OK"),"OK","REVISAR"))</f>
      </c>
    </row>
    <row r="1622">
      <c r="A1622" s="5"/>
      <c r="B1622" s="5"/>
      <c r="C1622" s="4"/>
      <c r="D1622" s="4"/>
      <c r="E1622" s="5"/>
      <c r="F1622" s="4"/>
      <c r="G1622" s="6">
        <f>IF(AND(A1622="",B1622=""),"",IF(COUNTIFS($A$2:$A$2001,A1622,$B$2:$B$2001,B1622)&gt;1,"DUPLICADO","OK"))</f>
      </c>
      <c r="H1622" s="6">
        <f>IF(COUNTA(A1622:F1622)=0,"",IF(AND(A1622&lt;&gt;"",B1622&lt;&gt;"",E1622&lt;&gt;""),"OK","ERRO: faltam "&amp;IF(A1622="","Conta; ","")&amp;IF(B1622="","Oportunidade; ","")&amp;IF(E1622="","Novo gerente; ","")))</f>
      </c>
      <c r="I1622" s="6">
        <f>IF(COUNTA(A1622:F1622)=0,"",IF(AND(G1622="OK",H1622="OK"),"OK","REVISAR"))</f>
      </c>
    </row>
    <row r="1623">
      <c r="A1623" s="5"/>
      <c r="B1623" s="5"/>
      <c r="C1623" s="4"/>
      <c r="D1623" s="4"/>
      <c r="E1623" s="5"/>
      <c r="F1623" s="4"/>
      <c r="G1623" s="6">
        <f>IF(AND(A1623="",B1623=""),"",IF(COUNTIFS($A$2:$A$2001,A1623,$B$2:$B$2001,B1623)&gt;1,"DUPLICADO","OK"))</f>
      </c>
      <c r="H1623" s="6">
        <f>IF(COUNTA(A1623:F1623)=0,"",IF(AND(A1623&lt;&gt;"",B1623&lt;&gt;"",E1623&lt;&gt;""),"OK","ERRO: faltam "&amp;IF(A1623="","Conta; ","")&amp;IF(B1623="","Oportunidade; ","")&amp;IF(E1623="","Novo gerente; ","")))</f>
      </c>
      <c r="I1623" s="6">
        <f>IF(COUNTA(A1623:F1623)=0,"",IF(AND(G1623="OK",H1623="OK"),"OK","REVISAR"))</f>
      </c>
    </row>
    <row r="1624">
      <c r="A1624" s="5"/>
      <c r="B1624" s="5"/>
      <c r="C1624" s="4"/>
      <c r="D1624" s="4"/>
      <c r="E1624" s="5"/>
      <c r="F1624" s="4"/>
      <c r="G1624" s="6">
        <f>IF(AND(A1624="",B1624=""),"",IF(COUNTIFS($A$2:$A$2001,A1624,$B$2:$B$2001,B1624)&gt;1,"DUPLICADO","OK"))</f>
      </c>
      <c r="H1624" s="6">
        <f>IF(COUNTA(A1624:F1624)=0,"",IF(AND(A1624&lt;&gt;"",B1624&lt;&gt;"",E1624&lt;&gt;""),"OK","ERRO: faltam "&amp;IF(A1624="","Conta; ","")&amp;IF(B1624="","Oportunidade; ","")&amp;IF(E1624="","Novo gerente; ","")))</f>
      </c>
      <c r="I1624" s="6">
        <f>IF(COUNTA(A1624:F1624)=0,"",IF(AND(G1624="OK",H1624="OK"),"OK","REVISAR"))</f>
      </c>
    </row>
    <row r="1625">
      <c r="A1625" s="5"/>
      <c r="B1625" s="5"/>
      <c r="C1625" s="4"/>
      <c r="D1625" s="4"/>
      <c r="E1625" s="5"/>
      <c r="F1625" s="4"/>
      <c r="G1625" s="6">
        <f>IF(AND(A1625="",B1625=""),"",IF(COUNTIFS($A$2:$A$2001,A1625,$B$2:$B$2001,B1625)&gt;1,"DUPLICADO","OK"))</f>
      </c>
      <c r="H1625" s="6">
        <f>IF(COUNTA(A1625:F1625)=0,"",IF(AND(A1625&lt;&gt;"",B1625&lt;&gt;"",E1625&lt;&gt;""),"OK","ERRO: faltam "&amp;IF(A1625="","Conta; ","")&amp;IF(B1625="","Oportunidade; ","")&amp;IF(E1625="","Novo gerente; ","")))</f>
      </c>
      <c r="I1625" s="6">
        <f>IF(COUNTA(A1625:F1625)=0,"",IF(AND(G1625="OK",H1625="OK"),"OK","REVISAR"))</f>
      </c>
    </row>
    <row r="1626">
      <c r="A1626" s="5"/>
      <c r="B1626" s="5"/>
      <c r="C1626" s="4"/>
      <c r="D1626" s="4"/>
      <c r="E1626" s="5"/>
      <c r="F1626" s="4"/>
      <c r="G1626" s="6">
        <f>IF(AND(A1626="",B1626=""),"",IF(COUNTIFS($A$2:$A$2001,A1626,$B$2:$B$2001,B1626)&gt;1,"DUPLICADO","OK"))</f>
      </c>
      <c r="H1626" s="6">
        <f>IF(COUNTA(A1626:F1626)=0,"",IF(AND(A1626&lt;&gt;"",B1626&lt;&gt;"",E1626&lt;&gt;""),"OK","ERRO: faltam "&amp;IF(A1626="","Conta; ","")&amp;IF(B1626="","Oportunidade; ","")&amp;IF(E1626="","Novo gerente; ","")))</f>
      </c>
      <c r="I1626" s="6">
        <f>IF(COUNTA(A1626:F1626)=0,"",IF(AND(G1626="OK",H1626="OK"),"OK","REVISAR"))</f>
      </c>
    </row>
    <row r="1627">
      <c r="A1627" s="5"/>
      <c r="B1627" s="5"/>
      <c r="C1627" s="4"/>
      <c r="D1627" s="4"/>
      <c r="E1627" s="5"/>
      <c r="F1627" s="4"/>
      <c r="G1627" s="6">
        <f>IF(AND(A1627="",B1627=""),"",IF(COUNTIFS($A$2:$A$2001,A1627,$B$2:$B$2001,B1627)&gt;1,"DUPLICADO","OK"))</f>
      </c>
      <c r="H1627" s="6">
        <f>IF(COUNTA(A1627:F1627)=0,"",IF(AND(A1627&lt;&gt;"",B1627&lt;&gt;"",E1627&lt;&gt;""),"OK","ERRO: faltam "&amp;IF(A1627="","Conta; ","")&amp;IF(B1627="","Oportunidade; ","")&amp;IF(E1627="","Novo gerente; ","")))</f>
      </c>
      <c r="I1627" s="6">
        <f>IF(COUNTA(A1627:F1627)=0,"",IF(AND(G1627="OK",H1627="OK"),"OK","REVISAR"))</f>
      </c>
    </row>
    <row r="1628">
      <c r="A1628" s="5"/>
      <c r="B1628" s="5"/>
      <c r="C1628" s="4"/>
      <c r="D1628" s="4"/>
      <c r="E1628" s="5"/>
      <c r="F1628" s="4"/>
      <c r="G1628" s="6">
        <f>IF(AND(A1628="",B1628=""),"",IF(COUNTIFS($A$2:$A$2001,A1628,$B$2:$B$2001,B1628)&gt;1,"DUPLICADO","OK"))</f>
      </c>
      <c r="H1628" s="6">
        <f>IF(COUNTA(A1628:F1628)=0,"",IF(AND(A1628&lt;&gt;"",B1628&lt;&gt;"",E1628&lt;&gt;""),"OK","ERRO: faltam "&amp;IF(A1628="","Conta; ","")&amp;IF(B1628="","Oportunidade; ","")&amp;IF(E1628="","Novo gerente; ","")))</f>
      </c>
      <c r="I1628" s="6">
        <f>IF(COUNTA(A1628:F1628)=0,"",IF(AND(G1628="OK",H1628="OK"),"OK","REVISAR"))</f>
      </c>
    </row>
    <row r="1629">
      <c r="A1629" s="5"/>
      <c r="B1629" s="5"/>
      <c r="C1629" s="4"/>
      <c r="D1629" s="4"/>
      <c r="E1629" s="5"/>
      <c r="F1629" s="4"/>
      <c r="G1629" s="6">
        <f>IF(AND(A1629="",B1629=""),"",IF(COUNTIFS($A$2:$A$2001,A1629,$B$2:$B$2001,B1629)&gt;1,"DUPLICADO","OK"))</f>
      </c>
      <c r="H1629" s="6">
        <f>IF(COUNTA(A1629:F1629)=0,"",IF(AND(A1629&lt;&gt;"",B1629&lt;&gt;"",E1629&lt;&gt;""),"OK","ERRO: faltam "&amp;IF(A1629="","Conta; ","")&amp;IF(B1629="","Oportunidade; ","")&amp;IF(E1629="","Novo gerente; ","")))</f>
      </c>
      <c r="I1629" s="6">
        <f>IF(COUNTA(A1629:F1629)=0,"",IF(AND(G1629="OK",H1629="OK"),"OK","REVISAR"))</f>
      </c>
    </row>
    <row r="1630">
      <c r="A1630" s="5"/>
      <c r="B1630" s="5"/>
      <c r="C1630" s="4"/>
      <c r="D1630" s="4"/>
      <c r="E1630" s="5"/>
      <c r="F1630" s="4"/>
      <c r="G1630" s="6">
        <f>IF(AND(A1630="",B1630=""),"",IF(COUNTIFS($A$2:$A$2001,A1630,$B$2:$B$2001,B1630)&gt;1,"DUPLICADO","OK"))</f>
      </c>
      <c r="H1630" s="6">
        <f>IF(COUNTA(A1630:F1630)=0,"",IF(AND(A1630&lt;&gt;"",B1630&lt;&gt;"",E1630&lt;&gt;""),"OK","ERRO: faltam "&amp;IF(A1630="","Conta; ","")&amp;IF(B1630="","Oportunidade; ","")&amp;IF(E1630="","Novo gerente; ","")))</f>
      </c>
      <c r="I1630" s="6">
        <f>IF(COUNTA(A1630:F1630)=0,"",IF(AND(G1630="OK",H1630="OK"),"OK","REVISAR"))</f>
      </c>
    </row>
    <row r="1631">
      <c r="A1631" s="5"/>
      <c r="B1631" s="5"/>
      <c r="C1631" s="4"/>
      <c r="D1631" s="4"/>
      <c r="E1631" s="5"/>
      <c r="F1631" s="4"/>
      <c r="G1631" s="6">
        <f>IF(AND(A1631="",B1631=""),"",IF(COUNTIFS($A$2:$A$2001,A1631,$B$2:$B$2001,B1631)&gt;1,"DUPLICADO","OK"))</f>
      </c>
      <c r="H1631" s="6">
        <f>IF(COUNTA(A1631:F1631)=0,"",IF(AND(A1631&lt;&gt;"",B1631&lt;&gt;"",E1631&lt;&gt;""),"OK","ERRO: faltam "&amp;IF(A1631="","Conta; ","")&amp;IF(B1631="","Oportunidade; ","")&amp;IF(E1631="","Novo gerente; ","")))</f>
      </c>
      <c r="I1631" s="6">
        <f>IF(COUNTA(A1631:F1631)=0,"",IF(AND(G1631="OK",H1631="OK"),"OK","REVISAR"))</f>
      </c>
    </row>
    <row r="1632">
      <c r="A1632" s="5"/>
      <c r="B1632" s="5"/>
      <c r="C1632" s="4"/>
      <c r="D1632" s="4"/>
      <c r="E1632" s="5"/>
      <c r="F1632" s="4"/>
      <c r="G1632" s="6">
        <f>IF(AND(A1632="",B1632=""),"",IF(COUNTIFS($A$2:$A$2001,A1632,$B$2:$B$2001,B1632)&gt;1,"DUPLICADO","OK"))</f>
      </c>
      <c r="H1632" s="6">
        <f>IF(COUNTA(A1632:F1632)=0,"",IF(AND(A1632&lt;&gt;"",B1632&lt;&gt;"",E1632&lt;&gt;""),"OK","ERRO: faltam "&amp;IF(A1632="","Conta; ","")&amp;IF(B1632="","Oportunidade; ","")&amp;IF(E1632="","Novo gerente; ","")))</f>
      </c>
      <c r="I1632" s="6">
        <f>IF(COUNTA(A1632:F1632)=0,"",IF(AND(G1632="OK",H1632="OK"),"OK","REVISAR"))</f>
      </c>
    </row>
    <row r="1633">
      <c r="A1633" s="5"/>
      <c r="B1633" s="5"/>
      <c r="C1633" s="4"/>
      <c r="D1633" s="4"/>
      <c r="E1633" s="5"/>
      <c r="F1633" s="4"/>
      <c r="G1633" s="6">
        <f>IF(AND(A1633="",B1633=""),"",IF(COUNTIFS($A$2:$A$2001,A1633,$B$2:$B$2001,B1633)&gt;1,"DUPLICADO","OK"))</f>
      </c>
      <c r="H1633" s="6">
        <f>IF(COUNTA(A1633:F1633)=0,"",IF(AND(A1633&lt;&gt;"",B1633&lt;&gt;"",E1633&lt;&gt;""),"OK","ERRO: faltam "&amp;IF(A1633="","Conta; ","")&amp;IF(B1633="","Oportunidade; ","")&amp;IF(E1633="","Novo gerente; ","")))</f>
      </c>
      <c r="I1633" s="6">
        <f>IF(COUNTA(A1633:F1633)=0,"",IF(AND(G1633="OK",H1633="OK"),"OK","REVISAR"))</f>
      </c>
    </row>
    <row r="1634">
      <c r="A1634" s="5"/>
      <c r="B1634" s="5"/>
      <c r="C1634" s="4"/>
      <c r="D1634" s="4"/>
      <c r="E1634" s="5"/>
      <c r="F1634" s="4"/>
      <c r="G1634" s="6">
        <f>IF(AND(A1634="",B1634=""),"",IF(COUNTIFS($A$2:$A$2001,A1634,$B$2:$B$2001,B1634)&gt;1,"DUPLICADO","OK"))</f>
      </c>
      <c r="H1634" s="6">
        <f>IF(COUNTA(A1634:F1634)=0,"",IF(AND(A1634&lt;&gt;"",B1634&lt;&gt;"",E1634&lt;&gt;""),"OK","ERRO: faltam "&amp;IF(A1634="","Conta; ","")&amp;IF(B1634="","Oportunidade; ","")&amp;IF(E1634="","Novo gerente; ","")))</f>
      </c>
      <c r="I1634" s="6">
        <f>IF(COUNTA(A1634:F1634)=0,"",IF(AND(G1634="OK",H1634="OK"),"OK","REVISAR"))</f>
      </c>
    </row>
    <row r="1635">
      <c r="A1635" s="5"/>
      <c r="B1635" s="5"/>
      <c r="C1635" s="4"/>
      <c r="D1635" s="4"/>
      <c r="E1635" s="5"/>
      <c r="F1635" s="4"/>
      <c r="G1635" s="6">
        <f>IF(AND(A1635="",B1635=""),"",IF(COUNTIFS($A$2:$A$2001,A1635,$B$2:$B$2001,B1635)&gt;1,"DUPLICADO","OK"))</f>
      </c>
      <c r="H1635" s="6">
        <f>IF(COUNTA(A1635:F1635)=0,"",IF(AND(A1635&lt;&gt;"",B1635&lt;&gt;"",E1635&lt;&gt;""),"OK","ERRO: faltam "&amp;IF(A1635="","Conta; ","")&amp;IF(B1635="","Oportunidade; ","")&amp;IF(E1635="","Novo gerente; ","")))</f>
      </c>
      <c r="I1635" s="6">
        <f>IF(COUNTA(A1635:F1635)=0,"",IF(AND(G1635="OK",H1635="OK"),"OK","REVISAR"))</f>
      </c>
    </row>
    <row r="1636">
      <c r="A1636" s="5"/>
      <c r="B1636" s="5"/>
      <c r="C1636" s="4"/>
      <c r="D1636" s="4"/>
      <c r="E1636" s="5"/>
      <c r="F1636" s="4"/>
      <c r="G1636" s="6">
        <f>IF(AND(A1636="",B1636=""),"",IF(COUNTIFS($A$2:$A$2001,A1636,$B$2:$B$2001,B1636)&gt;1,"DUPLICADO","OK"))</f>
      </c>
      <c r="H1636" s="6">
        <f>IF(COUNTA(A1636:F1636)=0,"",IF(AND(A1636&lt;&gt;"",B1636&lt;&gt;"",E1636&lt;&gt;""),"OK","ERRO: faltam "&amp;IF(A1636="","Conta; ","")&amp;IF(B1636="","Oportunidade; ","")&amp;IF(E1636="","Novo gerente; ","")))</f>
      </c>
      <c r="I1636" s="6">
        <f>IF(COUNTA(A1636:F1636)=0,"",IF(AND(G1636="OK",H1636="OK"),"OK","REVISAR"))</f>
      </c>
    </row>
    <row r="1637">
      <c r="A1637" s="5"/>
      <c r="B1637" s="5"/>
      <c r="C1637" s="4"/>
      <c r="D1637" s="4"/>
      <c r="E1637" s="5"/>
      <c r="F1637" s="4"/>
      <c r="G1637" s="6">
        <f>IF(AND(A1637="",B1637=""),"",IF(COUNTIFS($A$2:$A$2001,A1637,$B$2:$B$2001,B1637)&gt;1,"DUPLICADO","OK"))</f>
      </c>
      <c r="H1637" s="6">
        <f>IF(COUNTA(A1637:F1637)=0,"",IF(AND(A1637&lt;&gt;"",B1637&lt;&gt;"",E1637&lt;&gt;""),"OK","ERRO: faltam "&amp;IF(A1637="","Conta; ","")&amp;IF(B1637="","Oportunidade; ","")&amp;IF(E1637="","Novo gerente; ","")))</f>
      </c>
      <c r="I1637" s="6">
        <f>IF(COUNTA(A1637:F1637)=0,"",IF(AND(G1637="OK",H1637="OK"),"OK","REVISAR"))</f>
      </c>
    </row>
    <row r="1638">
      <c r="A1638" s="5"/>
      <c r="B1638" s="5"/>
      <c r="C1638" s="4"/>
      <c r="D1638" s="4"/>
      <c r="E1638" s="5"/>
      <c r="F1638" s="4"/>
      <c r="G1638" s="6">
        <f>IF(AND(A1638="",B1638=""),"",IF(COUNTIFS($A$2:$A$2001,A1638,$B$2:$B$2001,B1638)&gt;1,"DUPLICADO","OK"))</f>
      </c>
      <c r="H1638" s="6">
        <f>IF(COUNTA(A1638:F1638)=0,"",IF(AND(A1638&lt;&gt;"",B1638&lt;&gt;"",E1638&lt;&gt;""),"OK","ERRO: faltam "&amp;IF(A1638="","Conta; ","")&amp;IF(B1638="","Oportunidade; ","")&amp;IF(E1638="","Novo gerente; ","")))</f>
      </c>
      <c r="I1638" s="6">
        <f>IF(COUNTA(A1638:F1638)=0,"",IF(AND(G1638="OK",H1638="OK"),"OK","REVISAR"))</f>
      </c>
    </row>
    <row r="1639">
      <c r="A1639" s="5"/>
      <c r="B1639" s="5"/>
      <c r="C1639" s="4"/>
      <c r="D1639" s="4"/>
      <c r="E1639" s="5"/>
      <c r="F1639" s="4"/>
      <c r="G1639" s="6">
        <f>IF(AND(A1639="",B1639=""),"",IF(COUNTIFS($A$2:$A$2001,A1639,$B$2:$B$2001,B1639)&gt;1,"DUPLICADO","OK"))</f>
      </c>
      <c r="H1639" s="6">
        <f>IF(COUNTA(A1639:F1639)=0,"",IF(AND(A1639&lt;&gt;"",B1639&lt;&gt;"",E1639&lt;&gt;""),"OK","ERRO: faltam "&amp;IF(A1639="","Conta; ","")&amp;IF(B1639="","Oportunidade; ","")&amp;IF(E1639="","Novo gerente; ","")))</f>
      </c>
      <c r="I1639" s="6">
        <f>IF(COUNTA(A1639:F1639)=0,"",IF(AND(G1639="OK",H1639="OK"),"OK","REVISAR"))</f>
      </c>
    </row>
    <row r="1640">
      <c r="A1640" s="5"/>
      <c r="B1640" s="5"/>
      <c r="C1640" s="4"/>
      <c r="D1640" s="4"/>
      <c r="E1640" s="5"/>
      <c r="F1640" s="4"/>
      <c r="G1640" s="6">
        <f>IF(AND(A1640="",B1640=""),"",IF(COUNTIFS($A$2:$A$2001,A1640,$B$2:$B$2001,B1640)&gt;1,"DUPLICADO","OK"))</f>
      </c>
      <c r="H1640" s="6">
        <f>IF(COUNTA(A1640:F1640)=0,"",IF(AND(A1640&lt;&gt;"",B1640&lt;&gt;"",E1640&lt;&gt;""),"OK","ERRO: faltam "&amp;IF(A1640="","Conta; ","")&amp;IF(B1640="","Oportunidade; ","")&amp;IF(E1640="","Novo gerente; ","")))</f>
      </c>
      <c r="I1640" s="6">
        <f>IF(COUNTA(A1640:F1640)=0,"",IF(AND(G1640="OK",H1640="OK"),"OK","REVISAR"))</f>
      </c>
    </row>
    <row r="1641">
      <c r="A1641" s="5"/>
      <c r="B1641" s="5"/>
      <c r="C1641" s="4"/>
      <c r="D1641" s="4"/>
      <c r="E1641" s="5"/>
      <c r="F1641" s="4"/>
      <c r="G1641" s="6">
        <f>IF(AND(A1641="",B1641=""),"",IF(COUNTIFS($A$2:$A$2001,A1641,$B$2:$B$2001,B1641)&gt;1,"DUPLICADO","OK"))</f>
      </c>
      <c r="H1641" s="6">
        <f>IF(COUNTA(A1641:F1641)=0,"",IF(AND(A1641&lt;&gt;"",B1641&lt;&gt;"",E1641&lt;&gt;""),"OK","ERRO: faltam "&amp;IF(A1641="","Conta; ","")&amp;IF(B1641="","Oportunidade; ","")&amp;IF(E1641="","Novo gerente; ","")))</f>
      </c>
      <c r="I1641" s="6">
        <f>IF(COUNTA(A1641:F1641)=0,"",IF(AND(G1641="OK",H1641="OK"),"OK","REVISAR"))</f>
      </c>
    </row>
    <row r="1642">
      <c r="A1642" s="5"/>
      <c r="B1642" s="5"/>
      <c r="C1642" s="4"/>
      <c r="D1642" s="4"/>
      <c r="E1642" s="5"/>
      <c r="F1642" s="4"/>
      <c r="G1642" s="6">
        <f>IF(AND(A1642="",B1642=""),"",IF(COUNTIFS($A$2:$A$2001,A1642,$B$2:$B$2001,B1642)&gt;1,"DUPLICADO","OK"))</f>
      </c>
      <c r="H1642" s="6">
        <f>IF(COUNTA(A1642:F1642)=0,"",IF(AND(A1642&lt;&gt;"",B1642&lt;&gt;"",E1642&lt;&gt;""),"OK","ERRO: faltam "&amp;IF(A1642="","Conta; ","")&amp;IF(B1642="","Oportunidade; ","")&amp;IF(E1642="","Novo gerente; ","")))</f>
      </c>
      <c r="I1642" s="6">
        <f>IF(COUNTA(A1642:F1642)=0,"",IF(AND(G1642="OK",H1642="OK"),"OK","REVISAR"))</f>
      </c>
    </row>
    <row r="1643">
      <c r="A1643" s="5"/>
      <c r="B1643" s="5"/>
      <c r="C1643" s="4"/>
      <c r="D1643" s="4"/>
      <c r="E1643" s="5"/>
      <c r="F1643" s="4"/>
      <c r="G1643" s="6">
        <f>IF(AND(A1643="",B1643=""),"",IF(COUNTIFS($A$2:$A$2001,A1643,$B$2:$B$2001,B1643)&gt;1,"DUPLICADO","OK"))</f>
      </c>
      <c r="H1643" s="6">
        <f>IF(COUNTA(A1643:F1643)=0,"",IF(AND(A1643&lt;&gt;"",B1643&lt;&gt;"",E1643&lt;&gt;""),"OK","ERRO: faltam "&amp;IF(A1643="","Conta; ","")&amp;IF(B1643="","Oportunidade; ","")&amp;IF(E1643="","Novo gerente; ","")))</f>
      </c>
      <c r="I1643" s="6">
        <f>IF(COUNTA(A1643:F1643)=0,"",IF(AND(G1643="OK",H1643="OK"),"OK","REVISAR"))</f>
      </c>
    </row>
    <row r="1644">
      <c r="A1644" s="5"/>
      <c r="B1644" s="5"/>
      <c r="C1644" s="4"/>
      <c r="D1644" s="4"/>
      <c r="E1644" s="5"/>
      <c r="F1644" s="4"/>
      <c r="G1644" s="6">
        <f>IF(AND(A1644="",B1644=""),"",IF(COUNTIFS($A$2:$A$2001,A1644,$B$2:$B$2001,B1644)&gt;1,"DUPLICADO","OK"))</f>
      </c>
      <c r="H1644" s="6">
        <f>IF(COUNTA(A1644:F1644)=0,"",IF(AND(A1644&lt;&gt;"",B1644&lt;&gt;"",E1644&lt;&gt;""),"OK","ERRO: faltam "&amp;IF(A1644="","Conta; ","")&amp;IF(B1644="","Oportunidade; ","")&amp;IF(E1644="","Novo gerente; ","")))</f>
      </c>
      <c r="I1644" s="6">
        <f>IF(COUNTA(A1644:F1644)=0,"",IF(AND(G1644="OK",H1644="OK"),"OK","REVISAR"))</f>
      </c>
    </row>
    <row r="1645">
      <c r="A1645" s="5"/>
      <c r="B1645" s="5"/>
      <c r="C1645" s="4"/>
      <c r="D1645" s="4"/>
      <c r="E1645" s="5"/>
      <c r="F1645" s="4"/>
      <c r="G1645" s="6">
        <f>IF(AND(A1645="",B1645=""),"",IF(COUNTIFS($A$2:$A$2001,A1645,$B$2:$B$2001,B1645)&gt;1,"DUPLICADO","OK"))</f>
      </c>
      <c r="H1645" s="6">
        <f>IF(COUNTA(A1645:F1645)=0,"",IF(AND(A1645&lt;&gt;"",B1645&lt;&gt;"",E1645&lt;&gt;""),"OK","ERRO: faltam "&amp;IF(A1645="","Conta; ","")&amp;IF(B1645="","Oportunidade; ","")&amp;IF(E1645="","Novo gerente; ","")))</f>
      </c>
      <c r="I1645" s="6">
        <f>IF(COUNTA(A1645:F1645)=0,"",IF(AND(G1645="OK",H1645="OK"),"OK","REVISAR"))</f>
      </c>
    </row>
    <row r="1646">
      <c r="A1646" s="5"/>
      <c r="B1646" s="5"/>
      <c r="C1646" s="4"/>
      <c r="D1646" s="4"/>
      <c r="E1646" s="5"/>
      <c r="F1646" s="4"/>
      <c r="G1646" s="6">
        <f>IF(AND(A1646="",B1646=""),"",IF(COUNTIFS($A$2:$A$2001,A1646,$B$2:$B$2001,B1646)&gt;1,"DUPLICADO","OK"))</f>
      </c>
      <c r="H1646" s="6">
        <f>IF(COUNTA(A1646:F1646)=0,"",IF(AND(A1646&lt;&gt;"",B1646&lt;&gt;"",E1646&lt;&gt;""),"OK","ERRO: faltam "&amp;IF(A1646="","Conta; ","")&amp;IF(B1646="","Oportunidade; ","")&amp;IF(E1646="","Novo gerente; ","")))</f>
      </c>
      <c r="I1646" s="6">
        <f>IF(COUNTA(A1646:F1646)=0,"",IF(AND(G1646="OK",H1646="OK"),"OK","REVISAR"))</f>
      </c>
    </row>
    <row r="1647">
      <c r="A1647" s="5"/>
      <c r="B1647" s="5"/>
      <c r="C1647" s="4"/>
      <c r="D1647" s="4"/>
      <c r="E1647" s="5"/>
      <c r="F1647" s="4"/>
      <c r="G1647" s="6">
        <f>IF(AND(A1647="",B1647=""),"",IF(COUNTIFS($A$2:$A$2001,A1647,$B$2:$B$2001,B1647)&gt;1,"DUPLICADO","OK"))</f>
      </c>
      <c r="H1647" s="6">
        <f>IF(COUNTA(A1647:F1647)=0,"",IF(AND(A1647&lt;&gt;"",B1647&lt;&gt;"",E1647&lt;&gt;""),"OK","ERRO: faltam "&amp;IF(A1647="","Conta; ","")&amp;IF(B1647="","Oportunidade; ","")&amp;IF(E1647="","Novo gerente; ","")))</f>
      </c>
      <c r="I1647" s="6">
        <f>IF(COUNTA(A1647:F1647)=0,"",IF(AND(G1647="OK",H1647="OK"),"OK","REVISAR"))</f>
      </c>
    </row>
    <row r="1648">
      <c r="A1648" s="5"/>
      <c r="B1648" s="5"/>
      <c r="C1648" s="4"/>
      <c r="D1648" s="4"/>
      <c r="E1648" s="5"/>
      <c r="F1648" s="4"/>
      <c r="G1648" s="6">
        <f>IF(AND(A1648="",B1648=""),"",IF(COUNTIFS($A$2:$A$2001,A1648,$B$2:$B$2001,B1648)&gt;1,"DUPLICADO","OK"))</f>
      </c>
      <c r="H1648" s="6">
        <f>IF(COUNTA(A1648:F1648)=0,"",IF(AND(A1648&lt;&gt;"",B1648&lt;&gt;"",E1648&lt;&gt;""),"OK","ERRO: faltam "&amp;IF(A1648="","Conta; ","")&amp;IF(B1648="","Oportunidade; ","")&amp;IF(E1648="","Novo gerente; ","")))</f>
      </c>
      <c r="I1648" s="6">
        <f>IF(COUNTA(A1648:F1648)=0,"",IF(AND(G1648="OK",H1648="OK"),"OK","REVISAR"))</f>
      </c>
    </row>
    <row r="1649">
      <c r="A1649" s="5"/>
      <c r="B1649" s="5"/>
      <c r="C1649" s="4"/>
      <c r="D1649" s="4"/>
      <c r="E1649" s="5"/>
      <c r="F1649" s="4"/>
      <c r="G1649" s="6">
        <f>IF(AND(A1649="",B1649=""),"",IF(COUNTIFS($A$2:$A$2001,A1649,$B$2:$B$2001,B1649)&gt;1,"DUPLICADO","OK"))</f>
      </c>
      <c r="H1649" s="6">
        <f>IF(COUNTA(A1649:F1649)=0,"",IF(AND(A1649&lt;&gt;"",B1649&lt;&gt;"",E1649&lt;&gt;""),"OK","ERRO: faltam "&amp;IF(A1649="","Conta; ","")&amp;IF(B1649="","Oportunidade; ","")&amp;IF(E1649="","Novo gerente; ","")))</f>
      </c>
      <c r="I1649" s="6">
        <f>IF(COUNTA(A1649:F1649)=0,"",IF(AND(G1649="OK",H1649="OK"),"OK","REVISAR"))</f>
      </c>
    </row>
    <row r="1650">
      <c r="A1650" s="5"/>
      <c r="B1650" s="5"/>
      <c r="C1650" s="4"/>
      <c r="D1650" s="4"/>
      <c r="E1650" s="5"/>
      <c r="F1650" s="4"/>
      <c r="G1650" s="6">
        <f>IF(AND(A1650="",B1650=""),"",IF(COUNTIFS($A$2:$A$2001,A1650,$B$2:$B$2001,B1650)&gt;1,"DUPLICADO","OK"))</f>
      </c>
      <c r="H1650" s="6">
        <f>IF(COUNTA(A1650:F1650)=0,"",IF(AND(A1650&lt;&gt;"",B1650&lt;&gt;"",E1650&lt;&gt;""),"OK","ERRO: faltam "&amp;IF(A1650="","Conta; ","")&amp;IF(B1650="","Oportunidade; ","")&amp;IF(E1650="","Novo gerente; ","")))</f>
      </c>
      <c r="I1650" s="6">
        <f>IF(COUNTA(A1650:F1650)=0,"",IF(AND(G1650="OK",H1650="OK"),"OK","REVISAR"))</f>
      </c>
    </row>
    <row r="1651">
      <c r="A1651" s="5"/>
      <c r="B1651" s="5"/>
      <c r="C1651" s="4"/>
      <c r="D1651" s="4"/>
      <c r="E1651" s="5"/>
      <c r="F1651" s="4"/>
      <c r="G1651" s="6">
        <f>IF(AND(A1651="",B1651=""),"",IF(COUNTIFS($A$2:$A$2001,A1651,$B$2:$B$2001,B1651)&gt;1,"DUPLICADO","OK"))</f>
      </c>
      <c r="H1651" s="6">
        <f>IF(COUNTA(A1651:F1651)=0,"",IF(AND(A1651&lt;&gt;"",B1651&lt;&gt;"",E1651&lt;&gt;""),"OK","ERRO: faltam "&amp;IF(A1651="","Conta; ","")&amp;IF(B1651="","Oportunidade; ","")&amp;IF(E1651="","Novo gerente; ","")))</f>
      </c>
      <c r="I1651" s="6">
        <f>IF(COUNTA(A1651:F1651)=0,"",IF(AND(G1651="OK",H1651="OK"),"OK","REVISAR"))</f>
      </c>
    </row>
    <row r="1652">
      <c r="A1652" s="5"/>
      <c r="B1652" s="5"/>
      <c r="C1652" s="4"/>
      <c r="D1652" s="4"/>
      <c r="E1652" s="5"/>
      <c r="F1652" s="4"/>
      <c r="G1652" s="6">
        <f>IF(AND(A1652="",B1652=""),"",IF(COUNTIFS($A$2:$A$2001,A1652,$B$2:$B$2001,B1652)&gt;1,"DUPLICADO","OK"))</f>
      </c>
      <c r="H1652" s="6">
        <f>IF(COUNTA(A1652:F1652)=0,"",IF(AND(A1652&lt;&gt;"",B1652&lt;&gt;"",E1652&lt;&gt;""),"OK","ERRO: faltam "&amp;IF(A1652="","Conta; ","")&amp;IF(B1652="","Oportunidade; ","")&amp;IF(E1652="","Novo gerente; ","")))</f>
      </c>
      <c r="I1652" s="6">
        <f>IF(COUNTA(A1652:F1652)=0,"",IF(AND(G1652="OK",H1652="OK"),"OK","REVISAR"))</f>
      </c>
    </row>
    <row r="1653">
      <c r="A1653" s="5"/>
      <c r="B1653" s="5"/>
      <c r="C1653" s="4"/>
      <c r="D1653" s="4"/>
      <c r="E1653" s="5"/>
      <c r="F1653" s="4"/>
      <c r="G1653" s="6">
        <f>IF(AND(A1653="",B1653=""),"",IF(COUNTIFS($A$2:$A$2001,A1653,$B$2:$B$2001,B1653)&gt;1,"DUPLICADO","OK"))</f>
      </c>
      <c r="H1653" s="6">
        <f>IF(COUNTA(A1653:F1653)=0,"",IF(AND(A1653&lt;&gt;"",B1653&lt;&gt;"",E1653&lt;&gt;""),"OK","ERRO: faltam "&amp;IF(A1653="","Conta; ","")&amp;IF(B1653="","Oportunidade; ","")&amp;IF(E1653="","Novo gerente; ","")))</f>
      </c>
      <c r="I1653" s="6">
        <f>IF(COUNTA(A1653:F1653)=0,"",IF(AND(G1653="OK",H1653="OK"),"OK","REVISAR"))</f>
      </c>
    </row>
    <row r="1654">
      <c r="A1654" s="5"/>
      <c r="B1654" s="5"/>
      <c r="C1654" s="4"/>
      <c r="D1654" s="4"/>
      <c r="E1654" s="5"/>
      <c r="F1654" s="4"/>
      <c r="G1654" s="6">
        <f>IF(AND(A1654="",B1654=""),"",IF(COUNTIFS($A$2:$A$2001,A1654,$B$2:$B$2001,B1654)&gt;1,"DUPLICADO","OK"))</f>
      </c>
      <c r="H1654" s="6">
        <f>IF(COUNTA(A1654:F1654)=0,"",IF(AND(A1654&lt;&gt;"",B1654&lt;&gt;"",E1654&lt;&gt;""),"OK","ERRO: faltam "&amp;IF(A1654="","Conta; ","")&amp;IF(B1654="","Oportunidade; ","")&amp;IF(E1654="","Novo gerente; ","")))</f>
      </c>
      <c r="I1654" s="6">
        <f>IF(COUNTA(A1654:F1654)=0,"",IF(AND(G1654="OK",H1654="OK"),"OK","REVISAR"))</f>
      </c>
    </row>
    <row r="1655">
      <c r="A1655" s="5"/>
      <c r="B1655" s="5"/>
      <c r="C1655" s="4"/>
      <c r="D1655" s="4"/>
      <c r="E1655" s="5"/>
      <c r="F1655" s="4"/>
      <c r="G1655" s="6">
        <f>IF(AND(A1655="",B1655=""),"",IF(COUNTIFS($A$2:$A$2001,A1655,$B$2:$B$2001,B1655)&gt;1,"DUPLICADO","OK"))</f>
      </c>
      <c r="H1655" s="6">
        <f>IF(COUNTA(A1655:F1655)=0,"",IF(AND(A1655&lt;&gt;"",B1655&lt;&gt;"",E1655&lt;&gt;""),"OK","ERRO: faltam "&amp;IF(A1655="","Conta; ","")&amp;IF(B1655="","Oportunidade; ","")&amp;IF(E1655="","Novo gerente; ","")))</f>
      </c>
      <c r="I1655" s="6">
        <f>IF(COUNTA(A1655:F1655)=0,"",IF(AND(G1655="OK",H1655="OK"),"OK","REVISAR"))</f>
      </c>
    </row>
    <row r="1656">
      <c r="A1656" s="5"/>
      <c r="B1656" s="5"/>
      <c r="C1656" s="4"/>
      <c r="D1656" s="4"/>
      <c r="E1656" s="5"/>
      <c r="F1656" s="4"/>
      <c r="G1656" s="6">
        <f>IF(AND(A1656="",B1656=""),"",IF(COUNTIFS($A$2:$A$2001,A1656,$B$2:$B$2001,B1656)&gt;1,"DUPLICADO","OK"))</f>
      </c>
      <c r="H1656" s="6">
        <f>IF(COUNTA(A1656:F1656)=0,"",IF(AND(A1656&lt;&gt;"",B1656&lt;&gt;"",E1656&lt;&gt;""),"OK","ERRO: faltam "&amp;IF(A1656="","Conta; ","")&amp;IF(B1656="","Oportunidade; ","")&amp;IF(E1656="","Novo gerente; ","")))</f>
      </c>
      <c r="I1656" s="6">
        <f>IF(COUNTA(A1656:F1656)=0,"",IF(AND(G1656="OK",H1656="OK"),"OK","REVISAR"))</f>
      </c>
    </row>
    <row r="1657">
      <c r="A1657" s="5"/>
      <c r="B1657" s="5"/>
      <c r="C1657" s="4"/>
      <c r="D1657" s="4"/>
      <c r="E1657" s="5"/>
      <c r="F1657" s="4"/>
      <c r="G1657" s="6">
        <f>IF(AND(A1657="",B1657=""),"",IF(COUNTIFS($A$2:$A$2001,A1657,$B$2:$B$2001,B1657)&gt;1,"DUPLICADO","OK"))</f>
      </c>
      <c r="H1657" s="6">
        <f>IF(COUNTA(A1657:F1657)=0,"",IF(AND(A1657&lt;&gt;"",B1657&lt;&gt;"",E1657&lt;&gt;""),"OK","ERRO: faltam "&amp;IF(A1657="","Conta; ","")&amp;IF(B1657="","Oportunidade; ","")&amp;IF(E1657="","Novo gerente; ","")))</f>
      </c>
      <c r="I1657" s="6">
        <f>IF(COUNTA(A1657:F1657)=0,"",IF(AND(G1657="OK",H1657="OK"),"OK","REVISAR"))</f>
      </c>
    </row>
    <row r="1658">
      <c r="A1658" s="5"/>
      <c r="B1658" s="5"/>
      <c r="C1658" s="4"/>
      <c r="D1658" s="4"/>
      <c r="E1658" s="5"/>
      <c r="F1658" s="4"/>
      <c r="G1658" s="6">
        <f>IF(AND(A1658="",B1658=""),"",IF(COUNTIFS($A$2:$A$2001,A1658,$B$2:$B$2001,B1658)&gt;1,"DUPLICADO","OK"))</f>
      </c>
      <c r="H1658" s="6">
        <f>IF(COUNTA(A1658:F1658)=0,"",IF(AND(A1658&lt;&gt;"",B1658&lt;&gt;"",E1658&lt;&gt;""),"OK","ERRO: faltam "&amp;IF(A1658="","Conta; ","")&amp;IF(B1658="","Oportunidade; ","")&amp;IF(E1658="","Novo gerente; ","")))</f>
      </c>
      <c r="I1658" s="6">
        <f>IF(COUNTA(A1658:F1658)=0,"",IF(AND(G1658="OK",H1658="OK"),"OK","REVISAR"))</f>
      </c>
    </row>
    <row r="1659">
      <c r="A1659" s="5"/>
      <c r="B1659" s="5"/>
      <c r="C1659" s="4"/>
      <c r="D1659" s="4"/>
      <c r="E1659" s="5"/>
      <c r="F1659" s="4"/>
      <c r="G1659" s="6">
        <f>IF(AND(A1659="",B1659=""),"",IF(COUNTIFS($A$2:$A$2001,A1659,$B$2:$B$2001,B1659)&gt;1,"DUPLICADO","OK"))</f>
      </c>
      <c r="H1659" s="6">
        <f>IF(COUNTA(A1659:F1659)=0,"",IF(AND(A1659&lt;&gt;"",B1659&lt;&gt;"",E1659&lt;&gt;""),"OK","ERRO: faltam "&amp;IF(A1659="","Conta; ","")&amp;IF(B1659="","Oportunidade; ","")&amp;IF(E1659="","Novo gerente; ","")))</f>
      </c>
      <c r="I1659" s="6">
        <f>IF(COUNTA(A1659:F1659)=0,"",IF(AND(G1659="OK",H1659="OK"),"OK","REVISAR"))</f>
      </c>
    </row>
    <row r="1660">
      <c r="A1660" s="5"/>
      <c r="B1660" s="5"/>
      <c r="C1660" s="4"/>
      <c r="D1660" s="4"/>
      <c r="E1660" s="5"/>
      <c r="F1660" s="4"/>
      <c r="G1660" s="6">
        <f>IF(AND(A1660="",B1660=""),"",IF(COUNTIFS($A$2:$A$2001,A1660,$B$2:$B$2001,B1660)&gt;1,"DUPLICADO","OK"))</f>
      </c>
      <c r="H1660" s="6">
        <f>IF(COUNTA(A1660:F1660)=0,"",IF(AND(A1660&lt;&gt;"",B1660&lt;&gt;"",E1660&lt;&gt;""),"OK","ERRO: faltam "&amp;IF(A1660="","Conta; ","")&amp;IF(B1660="","Oportunidade; ","")&amp;IF(E1660="","Novo gerente; ","")))</f>
      </c>
      <c r="I1660" s="6">
        <f>IF(COUNTA(A1660:F1660)=0,"",IF(AND(G1660="OK",H1660="OK"),"OK","REVISAR"))</f>
      </c>
    </row>
    <row r="1661">
      <c r="A1661" s="5"/>
      <c r="B1661" s="5"/>
      <c r="C1661" s="4"/>
      <c r="D1661" s="4"/>
      <c r="E1661" s="5"/>
      <c r="F1661" s="4"/>
      <c r="G1661" s="6">
        <f>IF(AND(A1661="",B1661=""),"",IF(COUNTIFS($A$2:$A$2001,A1661,$B$2:$B$2001,B1661)&gt;1,"DUPLICADO","OK"))</f>
      </c>
      <c r="H1661" s="6">
        <f>IF(COUNTA(A1661:F1661)=0,"",IF(AND(A1661&lt;&gt;"",B1661&lt;&gt;"",E1661&lt;&gt;""),"OK","ERRO: faltam "&amp;IF(A1661="","Conta; ","")&amp;IF(B1661="","Oportunidade; ","")&amp;IF(E1661="","Novo gerente; ","")))</f>
      </c>
      <c r="I1661" s="6">
        <f>IF(COUNTA(A1661:F1661)=0,"",IF(AND(G1661="OK",H1661="OK"),"OK","REVISAR"))</f>
      </c>
    </row>
    <row r="1662">
      <c r="A1662" s="5"/>
      <c r="B1662" s="5"/>
      <c r="C1662" s="4"/>
      <c r="D1662" s="4"/>
      <c r="E1662" s="5"/>
      <c r="F1662" s="4"/>
      <c r="G1662" s="6">
        <f>IF(AND(A1662="",B1662=""),"",IF(COUNTIFS($A$2:$A$2001,A1662,$B$2:$B$2001,B1662)&gt;1,"DUPLICADO","OK"))</f>
      </c>
      <c r="H1662" s="6">
        <f>IF(COUNTA(A1662:F1662)=0,"",IF(AND(A1662&lt;&gt;"",B1662&lt;&gt;"",E1662&lt;&gt;""),"OK","ERRO: faltam "&amp;IF(A1662="","Conta; ","")&amp;IF(B1662="","Oportunidade; ","")&amp;IF(E1662="","Novo gerente; ","")))</f>
      </c>
      <c r="I1662" s="6">
        <f>IF(COUNTA(A1662:F1662)=0,"",IF(AND(G1662="OK",H1662="OK"),"OK","REVISAR"))</f>
      </c>
    </row>
    <row r="1663">
      <c r="A1663" s="5"/>
      <c r="B1663" s="5"/>
      <c r="C1663" s="4"/>
      <c r="D1663" s="4"/>
      <c r="E1663" s="5"/>
      <c r="F1663" s="4"/>
      <c r="G1663" s="6">
        <f>IF(AND(A1663="",B1663=""),"",IF(COUNTIFS($A$2:$A$2001,A1663,$B$2:$B$2001,B1663)&gt;1,"DUPLICADO","OK"))</f>
      </c>
      <c r="H1663" s="6">
        <f>IF(COUNTA(A1663:F1663)=0,"",IF(AND(A1663&lt;&gt;"",B1663&lt;&gt;"",E1663&lt;&gt;""),"OK","ERRO: faltam "&amp;IF(A1663="","Conta; ","")&amp;IF(B1663="","Oportunidade; ","")&amp;IF(E1663="","Novo gerente; ","")))</f>
      </c>
      <c r="I1663" s="6">
        <f>IF(COUNTA(A1663:F1663)=0,"",IF(AND(G1663="OK",H1663="OK"),"OK","REVISAR"))</f>
      </c>
    </row>
    <row r="1664">
      <c r="A1664" s="5"/>
      <c r="B1664" s="5"/>
      <c r="C1664" s="4"/>
      <c r="D1664" s="4"/>
      <c r="E1664" s="5"/>
      <c r="F1664" s="4"/>
      <c r="G1664" s="6">
        <f>IF(AND(A1664="",B1664=""),"",IF(COUNTIFS($A$2:$A$2001,A1664,$B$2:$B$2001,B1664)&gt;1,"DUPLICADO","OK"))</f>
      </c>
      <c r="H1664" s="6">
        <f>IF(COUNTA(A1664:F1664)=0,"",IF(AND(A1664&lt;&gt;"",B1664&lt;&gt;"",E1664&lt;&gt;""),"OK","ERRO: faltam "&amp;IF(A1664="","Conta; ","")&amp;IF(B1664="","Oportunidade; ","")&amp;IF(E1664="","Novo gerente; ","")))</f>
      </c>
      <c r="I1664" s="6">
        <f>IF(COUNTA(A1664:F1664)=0,"",IF(AND(G1664="OK",H1664="OK"),"OK","REVISAR"))</f>
      </c>
    </row>
    <row r="1665">
      <c r="A1665" s="5"/>
      <c r="B1665" s="5"/>
      <c r="C1665" s="4"/>
      <c r="D1665" s="4"/>
      <c r="E1665" s="5"/>
      <c r="F1665" s="4"/>
      <c r="G1665" s="6">
        <f>IF(AND(A1665="",B1665=""),"",IF(COUNTIFS($A$2:$A$2001,A1665,$B$2:$B$2001,B1665)&gt;1,"DUPLICADO","OK"))</f>
      </c>
      <c r="H1665" s="6">
        <f>IF(COUNTA(A1665:F1665)=0,"",IF(AND(A1665&lt;&gt;"",B1665&lt;&gt;"",E1665&lt;&gt;""),"OK","ERRO: faltam "&amp;IF(A1665="","Conta; ","")&amp;IF(B1665="","Oportunidade; ","")&amp;IF(E1665="","Novo gerente; ","")))</f>
      </c>
      <c r="I1665" s="6">
        <f>IF(COUNTA(A1665:F1665)=0,"",IF(AND(G1665="OK",H1665="OK"),"OK","REVISAR"))</f>
      </c>
    </row>
    <row r="1666">
      <c r="A1666" s="5"/>
      <c r="B1666" s="5"/>
      <c r="C1666" s="4"/>
      <c r="D1666" s="4"/>
      <c r="E1666" s="5"/>
      <c r="F1666" s="4"/>
      <c r="G1666" s="6">
        <f>IF(AND(A1666="",B1666=""),"",IF(COUNTIFS($A$2:$A$2001,A1666,$B$2:$B$2001,B1666)&gt;1,"DUPLICADO","OK"))</f>
      </c>
      <c r="H1666" s="6">
        <f>IF(COUNTA(A1666:F1666)=0,"",IF(AND(A1666&lt;&gt;"",B1666&lt;&gt;"",E1666&lt;&gt;""),"OK","ERRO: faltam "&amp;IF(A1666="","Conta; ","")&amp;IF(B1666="","Oportunidade; ","")&amp;IF(E1666="","Novo gerente; ","")))</f>
      </c>
      <c r="I1666" s="6">
        <f>IF(COUNTA(A1666:F1666)=0,"",IF(AND(G1666="OK",H1666="OK"),"OK","REVISAR"))</f>
      </c>
    </row>
    <row r="1667">
      <c r="A1667" s="5"/>
      <c r="B1667" s="5"/>
      <c r="C1667" s="4"/>
      <c r="D1667" s="4"/>
      <c r="E1667" s="5"/>
      <c r="F1667" s="4"/>
      <c r="G1667" s="6">
        <f>IF(AND(A1667="",B1667=""),"",IF(COUNTIFS($A$2:$A$2001,A1667,$B$2:$B$2001,B1667)&gt;1,"DUPLICADO","OK"))</f>
      </c>
      <c r="H1667" s="6">
        <f>IF(COUNTA(A1667:F1667)=0,"",IF(AND(A1667&lt;&gt;"",B1667&lt;&gt;"",E1667&lt;&gt;""),"OK","ERRO: faltam "&amp;IF(A1667="","Conta; ","")&amp;IF(B1667="","Oportunidade; ","")&amp;IF(E1667="","Novo gerente; ","")))</f>
      </c>
      <c r="I1667" s="6">
        <f>IF(COUNTA(A1667:F1667)=0,"",IF(AND(G1667="OK",H1667="OK"),"OK","REVISAR"))</f>
      </c>
    </row>
    <row r="1668">
      <c r="A1668" s="5"/>
      <c r="B1668" s="5"/>
      <c r="C1668" s="4"/>
      <c r="D1668" s="4"/>
      <c r="E1668" s="5"/>
      <c r="F1668" s="4"/>
      <c r="G1668" s="6">
        <f>IF(AND(A1668="",B1668=""),"",IF(COUNTIFS($A$2:$A$2001,A1668,$B$2:$B$2001,B1668)&gt;1,"DUPLICADO","OK"))</f>
      </c>
      <c r="H1668" s="6">
        <f>IF(COUNTA(A1668:F1668)=0,"",IF(AND(A1668&lt;&gt;"",B1668&lt;&gt;"",E1668&lt;&gt;""),"OK","ERRO: faltam "&amp;IF(A1668="","Conta; ","")&amp;IF(B1668="","Oportunidade; ","")&amp;IF(E1668="","Novo gerente; ","")))</f>
      </c>
      <c r="I1668" s="6">
        <f>IF(COUNTA(A1668:F1668)=0,"",IF(AND(G1668="OK",H1668="OK"),"OK","REVISAR"))</f>
      </c>
    </row>
    <row r="1669">
      <c r="A1669" s="5"/>
      <c r="B1669" s="5"/>
      <c r="C1669" s="4"/>
      <c r="D1669" s="4"/>
      <c r="E1669" s="5"/>
      <c r="F1669" s="4"/>
      <c r="G1669" s="6">
        <f>IF(AND(A1669="",B1669=""),"",IF(COUNTIFS($A$2:$A$2001,A1669,$B$2:$B$2001,B1669)&gt;1,"DUPLICADO","OK"))</f>
      </c>
      <c r="H1669" s="6">
        <f>IF(COUNTA(A1669:F1669)=0,"",IF(AND(A1669&lt;&gt;"",B1669&lt;&gt;"",E1669&lt;&gt;""),"OK","ERRO: faltam "&amp;IF(A1669="","Conta; ","")&amp;IF(B1669="","Oportunidade; ","")&amp;IF(E1669="","Novo gerente; ","")))</f>
      </c>
      <c r="I1669" s="6">
        <f>IF(COUNTA(A1669:F1669)=0,"",IF(AND(G1669="OK",H1669="OK"),"OK","REVISAR"))</f>
      </c>
    </row>
    <row r="1670">
      <c r="A1670" s="5"/>
      <c r="B1670" s="5"/>
      <c r="C1670" s="4"/>
      <c r="D1670" s="4"/>
      <c r="E1670" s="5"/>
      <c r="F1670" s="4"/>
      <c r="G1670" s="6">
        <f>IF(AND(A1670="",B1670=""),"",IF(COUNTIFS($A$2:$A$2001,A1670,$B$2:$B$2001,B1670)&gt;1,"DUPLICADO","OK"))</f>
      </c>
      <c r="H1670" s="6">
        <f>IF(COUNTA(A1670:F1670)=0,"",IF(AND(A1670&lt;&gt;"",B1670&lt;&gt;"",E1670&lt;&gt;""),"OK","ERRO: faltam "&amp;IF(A1670="","Conta; ","")&amp;IF(B1670="","Oportunidade; ","")&amp;IF(E1670="","Novo gerente; ","")))</f>
      </c>
      <c r="I1670" s="6">
        <f>IF(COUNTA(A1670:F1670)=0,"",IF(AND(G1670="OK",H1670="OK"),"OK","REVISAR"))</f>
      </c>
    </row>
    <row r="1671">
      <c r="A1671" s="5"/>
      <c r="B1671" s="5"/>
      <c r="C1671" s="4"/>
      <c r="D1671" s="4"/>
      <c r="E1671" s="5"/>
      <c r="F1671" s="4"/>
      <c r="G1671" s="6">
        <f>IF(AND(A1671="",B1671=""),"",IF(COUNTIFS($A$2:$A$2001,A1671,$B$2:$B$2001,B1671)&gt;1,"DUPLICADO","OK"))</f>
      </c>
      <c r="H1671" s="6">
        <f>IF(COUNTA(A1671:F1671)=0,"",IF(AND(A1671&lt;&gt;"",B1671&lt;&gt;"",E1671&lt;&gt;""),"OK","ERRO: faltam "&amp;IF(A1671="","Conta; ","")&amp;IF(B1671="","Oportunidade; ","")&amp;IF(E1671="","Novo gerente; ","")))</f>
      </c>
      <c r="I1671" s="6">
        <f>IF(COUNTA(A1671:F1671)=0,"",IF(AND(G1671="OK",H1671="OK"),"OK","REVISAR"))</f>
      </c>
    </row>
    <row r="1672">
      <c r="A1672" s="5"/>
      <c r="B1672" s="5"/>
      <c r="C1672" s="4"/>
      <c r="D1672" s="4"/>
      <c r="E1672" s="5"/>
      <c r="F1672" s="4"/>
      <c r="G1672" s="6">
        <f>IF(AND(A1672="",B1672=""),"",IF(COUNTIFS($A$2:$A$2001,A1672,$B$2:$B$2001,B1672)&gt;1,"DUPLICADO","OK"))</f>
      </c>
      <c r="H1672" s="6">
        <f>IF(COUNTA(A1672:F1672)=0,"",IF(AND(A1672&lt;&gt;"",B1672&lt;&gt;"",E1672&lt;&gt;""),"OK","ERRO: faltam "&amp;IF(A1672="","Conta; ","")&amp;IF(B1672="","Oportunidade; ","")&amp;IF(E1672="","Novo gerente; ","")))</f>
      </c>
      <c r="I1672" s="6">
        <f>IF(COUNTA(A1672:F1672)=0,"",IF(AND(G1672="OK",H1672="OK"),"OK","REVISAR"))</f>
      </c>
    </row>
    <row r="1673">
      <c r="A1673" s="5"/>
      <c r="B1673" s="5"/>
      <c r="C1673" s="4"/>
      <c r="D1673" s="4"/>
      <c r="E1673" s="5"/>
      <c r="F1673" s="4"/>
      <c r="G1673" s="6">
        <f>IF(AND(A1673="",B1673=""),"",IF(COUNTIFS($A$2:$A$2001,A1673,$B$2:$B$2001,B1673)&gt;1,"DUPLICADO","OK"))</f>
      </c>
      <c r="H1673" s="6">
        <f>IF(COUNTA(A1673:F1673)=0,"",IF(AND(A1673&lt;&gt;"",B1673&lt;&gt;"",E1673&lt;&gt;""),"OK","ERRO: faltam "&amp;IF(A1673="","Conta; ","")&amp;IF(B1673="","Oportunidade; ","")&amp;IF(E1673="","Novo gerente; ","")))</f>
      </c>
      <c r="I1673" s="6">
        <f>IF(COUNTA(A1673:F1673)=0,"",IF(AND(G1673="OK",H1673="OK"),"OK","REVISAR"))</f>
      </c>
    </row>
    <row r="1674">
      <c r="A1674" s="5"/>
      <c r="B1674" s="5"/>
      <c r="C1674" s="4"/>
      <c r="D1674" s="4"/>
      <c r="E1674" s="5"/>
      <c r="F1674" s="4"/>
      <c r="G1674" s="6">
        <f>IF(AND(A1674="",B1674=""),"",IF(COUNTIFS($A$2:$A$2001,A1674,$B$2:$B$2001,B1674)&gt;1,"DUPLICADO","OK"))</f>
      </c>
      <c r="H1674" s="6">
        <f>IF(COUNTA(A1674:F1674)=0,"",IF(AND(A1674&lt;&gt;"",B1674&lt;&gt;"",E1674&lt;&gt;""),"OK","ERRO: faltam "&amp;IF(A1674="","Conta; ","")&amp;IF(B1674="","Oportunidade; ","")&amp;IF(E1674="","Novo gerente; ","")))</f>
      </c>
      <c r="I1674" s="6">
        <f>IF(COUNTA(A1674:F1674)=0,"",IF(AND(G1674="OK",H1674="OK"),"OK","REVISAR"))</f>
      </c>
    </row>
    <row r="1675">
      <c r="A1675" s="5"/>
      <c r="B1675" s="5"/>
      <c r="C1675" s="4"/>
      <c r="D1675" s="4"/>
      <c r="E1675" s="5"/>
      <c r="F1675" s="4"/>
      <c r="G1675" s="6">
        <f>IF(AND(A1675="",B1675=""),"",IF(COUNTIFS($A$2:$A$2001,A1675,$B$2:$B$2001,B1675)&gt;1,"DUPLICADO","OK"))</f>
      </c>
      <c r="H1675" s="6">
        <f>IF(COUNTA(A1675:F1675)=0,"",IF(AND(A1675&lt;&gt;"",B1675&lt;&gt;"",E1675&lt;&gt;""),"OK","ERRO: faltam "&amp;IF(A1675="","Conta; ","")&amp;IF(B1675="","Oportunidade; ","")&amp;IF(E1675="","Novo gerente; ","")))</f>
      </c>
      <c r="I1675" s="6">
        <f>IF(COUNTA(A1675:F1675)=0,"",IF(AND(G1675="OK",H1675="OK"),"OK","REVISAR"))</f>
      </c>
    </row>
    <row r="1676">
      <c r="A1676" s="5"/>
      <c r="B1676" s="5"/>
      <c r="C1676" s="4"/>
      <c r="D1676" s="4"/>
      <c r="E1676" s="5"/>
      <c r="F1676" s="4"/>
      <c r="G1676" s="6">
        <f>IF(AND(A1676="",B1676=""),"",IF(COUNTIFS($A$2:$A$2001,A1676,$B$2:$B$2001,B1676)&gt;1,"DUPLICADO","OK"))</f>
      </c>
      <c r="H1676" s="6">
        <f>IF(COUNTA(A1676:F1676)=0,"",IF(AND(A1676&lt;&gt;"",B1676&lt;&gt;"",E1676&lt;&gt;""),"OK","ERRO: faltam "&amp;IF(A1676="","Conta; ","")&amp;IF(B1676="","Oportunidade; ","")&amp;IF(E1676="","Novo gerente; ","")))</f>
      </c>
      <c r="I1676" s="6">
        <f>IF(COUNTA(A1676:F1676)=0,"",IF(AND(G1676="OK",H1676="OK"),"OK","REVISAR"))</f>
      </c>
    </row>
    <row r="1677">
      <c r="A1677" s="5"/>
      <c r="B1677" s="5"/>
      <c r="C1677" s="4"/>
      <c r="D1677" s="4"/>
      <c r="E1677" s="5"/>
      <c r="F1677" s="4"/>
      <c r="G1677" s="6">
        <f>IF(AND(A1677="",B1677=""),"",IF(COUNTIFS($A$2:$A$2001,A1677,$B$2:$B$2001,B1677)&gt;1,"DUPLICADO","OK"))</f>
      </c>
      <c r="H1677" s="6">
        <f>IF(COUNTA(A1677:F1677)=0,"",IF(AND(A1677&lt;&gt;"",B1677&lt;&gt;"",E1677&lt;&gt;""),"OK","ERRO: faltam "&amp;IF(A1677="","Conta; ","")&amp;IF(B1677="","Oportunidade; ","")&amp;IF(E1677="","Novo gerente; ","")))</f>
      </c>
      <c r="I1677" s="6">
        <f>IF(COUNTA(A1677:F1677)=0,"",IF(AND(G1677="OK",H1677="OK"),"OK","REVISAR"))</f>
      </c>
    </row>
    <row r="1678">
      <c r="A1678" s="5"/>
      <c r="B1678" s="5"/>
      <c r="C1678" s="4"/>
      <c r="D1678" s="4"/>
      <c r="E1678" s="5"/>
      <c r="F1678" s="4"/>
      <c r="G1678" s="6">
        <f>IF(AND(A1678="",B1678=""),"",IF(COUNTIFS($A$2:$A$2001,A1678,$B$2:$B$2001,B1678)&gt;1,"DUPLICADO","OK"))</f>
      </c>
      <c r="H1678" s="6">
        <f>IF(COUNTA(A1678:F1678)=0,"",IF(AND(A1678&lt;&gt;"",B1678&lt;&gt;"",E1678&lt;&gt;""),"OK","ERRO: faltam "&amp;IF(A1678="","Conta; ","")&amp;IF(B1678="","Oportunidade; ","")&amp;IF(E1678="","Novo gerente; ","")))</f>
      </c>
      <c r="I1678" s="6">
        <f>IF(COUNTA(A1678:F1678)=0,"",IF(AND(G1678="OK",H1678="OK"),"OK","REVISAR"))</f>
      </c>
    </row>
    <row r="1679">
      <c r="A1679" s="5"/>
      <c r="B1679" s="5"/>
      <c r="C1679" s="4"/>
      <c r="D1679" s="4"/>
      <c r="E1679" s="5"/>
      <c r="F1679" s="4"/>
      <c r="G1679" s="6">
        <f>IF(AND(A1679="",B1679=""),"",IF(COUNTIFS($A$2:$A$2001,A1679,$B$2:$B$2001,B1679)&gt;1,"DUPLICADO","OK"))</f>
      </c>
      <c r="H1679" s="6">
        <f>IF(COUNTA(A1679:F1679)=0,"",IF(AND(A1679&lt;&gt;"",B1679&lt;&gt;"",E1679&lt;&gt;""),"OK","ERRO: faltam "&amp;IF(A1679="","Conta; ","")&amp;IF(B1679="","Oportunidade; ","")&amp;IF(E1679="","Novo gerente; ","")))</f>
      </c>
      <c r="I1679" s="6">
        <f>IF(COUNTA(A1679:F1679)=0,"",IF(AND(G1679="OK",H1679="OK"),"OK","REVISAR"))</f>
      </c>
    </row>
    <row r="1680">
      <c r="A1680" s="5"/>
      <c r="B1680" s="5"/>
      <c r="C1680" s="4"/>
      <c r="D1680" s="4"/>
      <c r="E1680" s="5"/>
      <c r="F1680" s="4"/>
      <c r="G1680" s="6">
        <f>IF(AND(A1680="",B1680=""),"",IF(COUNTIFS($A$2:$A$2001,A1680,$B$2:$B$2001,B1680)&gt;1,"DUPLICADO","OK"))</f>
      </c>
      <c r="H1680" s="6">
        <f>IF(COUNTA(A1680:F1680)=0,"",IF(AND(A1680&lt;&gt;"",B1680&lt;&gt;"",E1680&lt;&gt;""),"OK","ERRO: faltam "&amp;IF(A1680="","Conta; ","")&amp;IF(B1680="","Oportunidade; ","")&amp;IF(E1680="","Novo gerente; ","")))</f>
      </c>
      <c r="I1680" s="6">
        <f>IF(COUNTA(A1680:F1680)=0,"",IF(AND(G1680="OK",H1680="OK"),"OK","REVISAR"))</f>
      </c>
    </row>
    <row r="1681">
      <c r="A1681" s="5"/>
      <c r="B1681" s="5"/>
      <c r="C1681" s="4"/>
      <c r="D1681" s="4"/>
      <c r="E1681" s="5"/>
      <c r="F1681" s="4"/>
      <c r="G1681" s="6">
        <f>IF(AND(A1681="",B1681=""),"",IF(COUNTIFS($A$2:$A$2001,A1681,$B$2:$B$2001,B1681)&gt;1,"DUPLICADO","OK"))</f>
      </c>
      <c r="H1681" s="6">
        <f>IF(COUNTA(A1681:F1681)=0,"",IF(AND(A1681&lt;&gt;"",B1681&lt;&gt;"",E1681&lt;&gt;""),"OK","ERRO: faltam "&amp;IF(A1681="","Conta; ","")&amp;IF(B1681="","Oportunidade; ","")&amp;IF(E1681="","Novo gerente; ","")))</f>
      </c>
      <c r="I1681" s="6">
        <f>IF(COUNTA(A1681:F1681)=0,"",IF(AND(G1681="OK",H1681="OK"),"OK","REVISAR"))</f>
      </c>
    </row>
    <row r="1682">
      <c r="A1682" s="5"/>
      <c r="B1682" s="5"/>
      <c r="C1682" s="4"/>
      <c r="D1682" s="4"/>
      <c r="E1682" s="5"/>
      <c r="F1682" s="4"/>
      <c r="G1682" s="6">
        <f>IF(AND(A1682="",B1682=""),"",IF(COUNTIFS($A$2:$A$2001,A1682,$B$2:$B$2001,B1682)&gt;1,"DUPLICADO","OK"))</f>
      </c>
      <c r="H1682" s="6">
        <f>IF(COUNTA(A1682:F1682)=0,"",IF(AND(A1682&lt;&gt;"",B1682&lt;&gt;"",E1682&lt;&gt;""),"OK","ERRO: faltam "&amp;IF(A1682="","Conta; ","")&amp;IF(B1682="","Oportunidade; ","")&amp;IF(E1682="","Novo gerente; ","")))</f>
      </c>
      <c r="I1682" s="6">
        <f>IF(COUNTA(A1682:F1682)=0,"",IF(AND(G1682="OK",H1682="OK"),"OK","REVISAR"))</f>
      </c>
    </row>
    <row r="1683">
      <c r="A1683" s="5"/>
      <c r="B1683" s="5"/>
      <c r="C1683" s="4"/>
      <c r="D1683" s="4"/>
      <c r="E1683" s="5"/>
      <c r="F1683" s="4"/>
      <c r="G1683" s="6">
        <f>IF(AND(A1683="",B1683=""),"",IF(COUNTIFS($A$2:$A$2001,A1683,$B$2:$B$2001,B1683)&gt;1,"DUPLICADO","OK"))</f>
      </c>
      <c r="H1683" s="6">
        <f>IF(COUNTA(A1683:F1683)=0,"",IF(AND(A1683&lt;&gt;"",B1683&lt;&gt;"",E1683&lt;&gt;""),"OK","ERRO: faltam "&amp;IF(A1683="","Conta; ","")&amp;IF(B1683="","Oportunidade; ","")&amp;IF(E1683="","Novo gerente; ","")))</f>
      </c>
      <c r="I1683" s="6">
        <f>IF(COUNTA(A1683:F1683)=0,"",IF(AND(G1683="OK",H1683="OK"),"OK","REVISAR"))</f>
      </c>
    </row>
    <row r="1684">
      <c r="A1684" s="5"/>
      <c r="B1684" s="5"/>
      <c r="C1684" s="4"/>
      <c r="D1684" s="4"/>
      <c r="E1684" s="5"/>
      <c r="F1684" s="4"/>
      <c r="G1684" s="6">
        <f>IF(AND(A1684="",B1684=""),"",IF(COUNTIFS($A$2:$A$2001,A1684,$B$2:$B$2001,B1684)&gt;1,"DUPLICADO","OK"))</f>
      </c>
      <c r="H1684" s="6">
        <f>IF(COUNTA(A1684:F1684)=0,"",IF(AND(A1684&lt;&gt;"",B1684&lt;&gt;"",E1684&lt;&gt;""),"OK","ERRO: faltam "&amp;IF(A1684="","Conta; ","")&amp;IF(B1684="","Oportunidade; ","")&amp;IF(E1684="","Novo gerente; ","")))</f>
      </c>
      <c r="I1684" s="6">
        <f>IF(COUNTA(A1684:F1684)=0,"",IF(AND(G1684="OK",H1684="OK"),"OK","REVISAR"))</f>
      </c>
    </row>
    <row r="1685">
      <c r="A1685" s="5"/>
      <c r="B1685" s="5"/>
      <c r="C1685" s="4"/>
      <c r="D1685" s="4"/>
      <c r="E1685" s="5"/>
      <c r="F1685" s="4"/>
      <c r="G1685" s="6">
        <f>IF(AND(A1685="",B1685=""),"",IF(COUNTIFS($A$2:$A$2001,A1685,$B$2:$B$2001,B1685)&gt;1,"DUPLICADO","OK"))</f>
      </c>
      <c r="H1685" s="6">
        <f>IF(COUNTA(A1685:F1685)=0,"",IF(AND(A1685&lt;&gt;"",B1685&lt;&gt;"",E1685&lt;&gt;""),"OK","ERRO: faltam "&amp;IF(A1685="","Conta; ","")&amp;IF(B1685="","Oportunidade; ","")&amp;IF(E1685="","Novo gerente; ","")))</f>
      </c>
      <c r="I1685" s="6">
        <f>IF(COUNTA(A1685:F1685)=0,"",IF(AND(G1685="OK",H1685="OK"),"OK","REVISAR"))</f>
      </c>
    </row>
    <row r="1686">
      <c r="A1686" s="5"/>
      <c r="B1686" s="5"/>
      <c r="C1686" s="4"/>
      <c r="D1686" s="4"/>
      <c r="E1686" s="5"/>
      <c r="F1686" s="4"/>
      <c r="G1686" s="6">
        <f>IF(AND(A1686="",B1686=""),"",IF(COUNTIFS($A$2:$A$2001,A1686,$B$2:$B$2001,B1686)&gt;1,"DUPLICADO","OK"))</f>
      </c>
      <c r="H1686" s="6">
        <f>IF(COUNTA(A1686:F1686)=0,"",IF(AND(A1686&lt;&gt;"",B1686&lt;&gt;"",E1686&lt;&gt;""),"OK","ERRO: faltam "&amp;IF(A1686="","Conta; ","")&amp;IF(B1686="","Oportunidade; ","")&amp;IF(E1686="","Novo gerente; ","")))</f>
      </c>
      <c r="I1686" s="6">
        <f>IF(COUNTA(A1686:F1686)=0,"",IF(AND(G1686="OK",H1686="OK"),"OK","REVISAR"))</f>
      </c>
    </row>
    <row r="1687">
      <c r="A1687" s="5"/>
      <c r="B1687" s="5"/>
      <c r="C1687" s="4"/>
      <c r="D1687" s="4"/>
      <c r="E1687" s="5"/>
      <c r="F1687" s="4"/>
      <c r="G1687" s="6">
        <f>IF(AND(A1687="",B1687=""),"",IF(COUNTIFS($A$2:$A$2001,A1687,$B$2:$B$2001,B1687)&gt;1,"DUPLICADO","OK"))</f>
      </c>
      <c r="H1687" s="6">
        <f>IF(COUNTA(A1687:F1687)=0,"",IF(AND(A1687&lt;&gt;"",B1687&lt;&gt;"",E1687&lt;&gt;""),"OK","ERRO: faltam "&amp;IF(A1687="","Conta; ","")&amp;IF(B1687="","Oportunidade; ","")&amp;IF(E1687="","Novo gerente; ","")))</f>
      </c>
      <c r="I1687" s="6">
        <f>IF(COUNTA(A1687:F1687)=0,"",IF(AND(G1687="OK",H1687="OK"),"OK","REVISAR"))</f>
      </c>
    </row>
    <row r="1688">
      <c r="A1688" s="5"/>
      <c r="B1688" s="5"/>
      <c r="C1688" s="4"/>
      <c r="D1688" s="4"/>
      <c r="E1688" s="5"/>
      <c r="F1688" s="4"/>
      <c r="G1688" s="6">
        <f>IF(AND(A1688="",B1688=""),"",IF(COUNTIFS($A$2:$A$2001,A1688,$B$2:$B$2001,B1688)&gt;1,"DUPLICADO","OK"))</f>
      </c>
      <c r="H1688" s="6">
        <f>IF(COUNTA(A1688:F1688)=0,"",IF(AND(A1688&lt;&gt;"",B1688&lt;&gt;"",E1688&lt;&gt;""),"OK","ERRO: faltam "&amp;IF(A1688="","Conta; ","")&amp;IF(B1688="","Oportunidade; ","")&amp;IF(E1688="","Novo gerente; ","")))</f>
      </c>
      <c r="I1688" s="6">
        <f>IF(COUNTA(A1688:F1688)=0,"",IF(AND(G1688="OK",H1688="OK"),"OK","REVISAR"))</f>
      </c>
    </row>
    <row r="1689">
      <c r="A1689" s="5"/>
      <c r="B1689" s="5"/>
      <c r="C1689" s="4"/>
      <c r="D1689" s="4"/>
      <c r="E1689" s="5"/>
      <c r="F1689" s="4"/>
      <c r="G1689" s="6">
        <f>IF(AND(A1689="",B1689=""),"",IF(COUNTIFS($A$2:$A$2001,A1689,$B$2:$B$2001,B1689)&gt;1,"DUPLICADO","OK"))</f>
      </c>
      <c r="H1689" s="6">
        <f>IF(COUNTA(A1689:F1689)=0,"",IF(AND(A1689&lt;&gt;"",B1689&lt;&gt;"",E1689&lt;&gt;""),"OK","ERRO: faltam "&amp;IF(A1689="","Conta; ","")&amp;IF(B1689="","Oportunidade; ","")&amp;IF(E1689="","Novo gerente; ","")))</f>
      </c>
      <c r="I1689" s="6">
        <f>IF(COUNTA(A1689:F1689)=0,"",IF(AND(G1689="OK",H1689="OK"),"OK","REVISAR"))</f>
      </c>
    </row>
    <row r="1690">
      <c r="A1690" s="5"/>
      <c r="B1690" s="5"/>
      <c r="C1690" s="4"/>
      <c r="D1690" s="4"/>
      <c r="E1690" s="5"/>
      <c r="F1690" s="4"/>
      <c r="G1690" s="6">
        <f>IF(AND(A1690="",B1690=""),"",IF(COUNTIFS($A$2:$A$2001,A1690,$B$2:$B$2001,B1690)&gt;1,"DUPLICADO","OK"))</f>
      </c>
      <c r="H1690" s="6">
        <f>IF(COUNTA(A1690:F1690)=0,"",IF(AND(A1690&lt;&gt;"",B1690&lt;&gt;"",E1690&lt;&gt;""),"OK","ERRO: faltam "&amp;IF(A1690="","Conta; ","")&amp;IF(B1690="","Oportunidade; ","")&amp;IF(E1690="","Novo gerente; ","")))</f>
      </c>
      <c r="I1690" s="6">
        <f>IF(COUNTA(A1690:F1690)=0,"",IF(AND(G1690="OK",H1690="OK"),"OK","REVISAR"))</f>
      </c>
    </row>
    <row r="1691">
      <c r="A1691" s="5"/>
      <c r="B1691" s="5"/>
      <c r="C1691" s="4"/>
      <c r="D1691" s="4"/>
      <c r="E1691" s="5"/>
      <c r="F1691" s="4"/>
      <c r="G1691" s="6">
        <f>IF(AND(A1691="",B1691=""),"",IF(COUNTIFS($A$2:$A$2001,A1691,$B$2:$B$2001,B1691)&gt;1,"DUPLICADO","OK"))</f>
      </c>
      <c r="H1691" s="6">
        <f>IF(COUNTA(A1691:F1691)=0,"",IF(AND(A1691&lt;&gt;"",B1691&lt;&gt;"",E1691&lt;&gt;""),"OK","ERRO: faltam "&amp;IF(A1691="","Conta; ","")&amp;IF(B1691="","Oportunidade; ","")&amp;IF(E1691="","Novo gerente; ","")))</f>
      </c>
      <c r="I1691" s="6">
        <f>IF(COUNTA(A1691:F1691)=0,"",IF(AND(G1691="OK",H1691="OK"),"OK","REVISAR"))</f>
      </c>
    </row>
    <row r="1692">
      <c r="A1692" s="5"/>
      <c r="B1692" s="5"/>
      <c r="C1692" s="4"/>
      <c r="D1692" s="4"/>
      <c r="E1692" s="5"/>
      <c r="F1692" s="4"/>
      <c r="G1692" s="6">
        <f>IF(AND(A1692="",B1692=""),"",IF(COUNTIFS($A$2:$A$2001,A1692,$B$2:$B$2001,B1692)&gt;1,"DUPLICADO","OK"))</f>
      </c>
      <c r="H1692" s="6">
        <f>IF(COUNTA(A1692:F1692)=0,"",IF(AND(A1692&lt;&gt;"",B1692&lt;&gt;"",E1692&lt;&gt;""),"OK","ERRO: faltam "&amp;IF(A1692="","Conta; ","")&amp;IF(B1692="","Oportunidade; ","")&amp;IF(E1692="","Novo gerente; ","")))</f>
      </c>
      <c r="I1692" s="6">
        <f>IF(COUNTA(A1692:F1692)=0,"",IF(AND(G1692="OK",H1692="OK"),"OK","REVISAR"))</f>
      </c>
    </row>
    <row r="1693">
      <c r="A1693" s="5"/>
      <c r="B1693" s="5"/>
      <c r="C1693" s="4"/>
      <c r="D1693" s="4"/>
      <c r="E1693" s="5"/>
      <c r="F1693" s="4"/>
      <c r="G1693" s="6">
        <f>IF(AND(A1693="",B1693=""),"",IF(COUNTIFS($A$2:$A$2001,A1693,$B$2:$B$2001,B1693)&gt;1,"DUPLICADO","OK"))</f>
      </c>
      <c r="H1693" s="6">
        <f>IF(COUNTA(A1693:F1693)=0,"",IF(AND(A1693&lt;&gt;"",B1693&lt;&gt;"",E1693&lt;&gt;""),"OK","ERRO: faltam "&amp;IF(A1693="","Conta; ","")&amp;IF(B1693="","Oportunidade; ","")&amp;IF(E1693="","Novo gerente; ","")))</f>
      </c>
      <c r="I1693" s="6">
        <f>IF(COUNTA(A1693:F1693)=0,"",IF(AND(G1693="OK",H1693="OK"),"OK","REVISAR"))</f>
      </c>
    </row>
    <row r="1694">
      <c r="A1694" s="5"/>
      <c r="B1694" s="5"/>
      <c r="C1694" s="4"/>
      <c r="D1694" s="4"/>
      <c r="E1694" s="5"/>
      <c r="F1694" s="4"/>
      <c r="G1694" s="6">
        <f>IF(AND(A1694="",B1694=""),"",IF(COUNTIFS($A$2:$A$2001,A1694,$B$2:$B$2001,B1694)&gt;1,"DUPLICADO","OK"))</f>
      </c>
      <c r="H1694" s="6">
        <f>IF(COUNTA(A1694:F1694)=0,"",IF(AND(A1694&lt;&gt;"",B1694&lt;&gt;"",E1694&lt;&gt;""),"OK","ERRO: faltam "&amp;IF(A1694="","Conta; ","")&amp;IF(B1694="","Oportunidade; ","")&amp;IF(E1694="","Novo gerente; ","")))</f>
      </c>
      <c r="I1694" s="6">
        <f>IF(COUNTA(A1694:F1694)=0,"",IF(AND(G1694="OK",H1694="OK"),"OK","REVISAR"))</f>
      </c>
    </row>
    <row r="1695">
      <c r="A1695" s="5"/>
      <c r="B1695" s="5"/>
      <c r="C1695" s="4"/>
      <c r="D1695" s="4"/>
      <c r="E1695" s="5"/>
      <c r="F1695" s="4"/>
      <c r="G1695" s="6">
        <f>IF(AND(A1695="",B1695=""),"",IF(COUNTIFS($A$2:$A$2001,A1695,$B$2:$B$2001,B1695)&gt;1,"DUPLICADO","OK"))</f>
      </c>
      <c r="H1695" s="6">
        <f>IF(COUNTA(A1695:F1695)=0,"",IF(AND(A1695&lt;&gt;"",B1695&lt;&gt;"",E1695&lt;&gt;""),"OK","ERRO: faltam "&amp;IF(A1695="","Conta; ","")&amp;IF(B1695="","Oportunidade; ","")&amp;IF(E1695="","Novo gerente; ","")))</f>
      </c>
      <c r="I1695" s="6">
        <f>IF(COUNTA(A1695:F1695)=0,"",IF(AND(G1695="OK",H1695="OK"),"OK","REVISAR"))</f>
      </c>
    </row>
    <row r="1696">
      <c r="A1696" s="5"/>
      <c r="B1696" s="5"/>
      <c r="C1696" s="4"/>
      <c r="D1696" s="4"/>
      <c r="E1696" s="5"/>
      <c r="F1696" s="4"/>
      <c r="G1696" s="6">
        <f>IF(AND(A1696="",B1696=""),"",IF(COUNTIFS($A$2:$A$2001,A1696,$B$2:$B$2001,B1696)&gt;1,"DUPLICADO","OK"))</f>
      </c>
      <c r="H1696" s="6">
        <f>IF(COUNTA(A1696:F1696)=0,"",IF(AND(A1696&lt;&gt;"",B1696&lt;&gt;"",E1696&lt;&gt;""),"OK","ERRO: faltam "&amp;IF(A1696="","Conta; ","")&amp;IF(B1696="","Oportunidade; ","")&amp;IF(E1696="","Novo gerente; ","")))</f>
      </c>
      <c r="I1696" s="6">
        <f>IF(COUNTA(A1696:F1696)=0,"",IF(AND(G1696="OK",H1696="OK"),"OK","REVISAR"))</f>
      </c>
    </row>
    <row r="1697">
      <c r="A1697" s="5"/>
      <c r="B1697" s="5"/>
      <c r="C1697" s="4"/>
      <c r="D1697" s="4"/>
      <c r="E1697" s="5"/>
      <c r="F1697" s="4"/>
      <c r="G1697" s="6">
        <f>IF(AND(A1697="",B1697=""),"",IF(COUNTIFS($A$2:$A$2001,A1697,$B$2:$B$2001,B1697)&gt;1,"DUPLICADO","OK"))</f>
      </c>
      <c r="H1697" s="6">
        <f>IF(COUNTA(A1697:F1697)=0,"",IF(AND(A1697&lt;&gt;"",B1697&lt;&gt;"",E1697&lt;&gt;""),"OK","ERRO: faltam "&amp;IF(A1697="","Conta; ","")&amp;IF(B1697="","Oportunidade; ","")&amp;IF(E1697="","Novo gerente; ","")))</f>
      </c>
      <c r="I1697" s="6">
        <f>IF(COUNTA(A1697:F1697)=0,"",IF(AND(G1697="OK",H1697="OK"),"OK","REVISAR"))</f>
      </c>
    </row>
    <row r="1698">
      <c r="A1698" s="5"/>
      <c r="B1698" s="5"/>
      <c r="C1698" s="4"/>
      <c r="D1698" s="4"/>
      <c r="E1698" s="5"/>
      <c r="F1698" s="4"/>
      <c r="G1698" s="6">
        <f>IF(AND(A1698="",B1698=""),"",IF(COUNTIFS($A$2:$A$2001,A1698,$B$2:$B$2001,B1698)&gt;1,"DUPLICADO","OK"))</f>
      </c>
      <c r="H1698" s="6">
        <f>IF(COUNTA(A1698:F1698)=0,"",IF(AND(A1698&lt;&gt;"",B1698&lt;&gt;"",E1698&lt;&gt;""),"OK","ERRO: faltam "&amp;IF(A1698="","Conta; ","")&amp;IF(B1698="","Oportunidade; ","")&amp;IF(E1698="","Novo gerente; ","")))</f>
      </c>
      <c r="I1698" s="6">
        <f>IF(COUNTA(A1698:F1698)=0,"",IF(AND(G1698="OK",H1698="OK"),"OK","REVISAR"))</f>
      </c>
    </row>
    <row r="1699">
      <c r="A1699" s="5"/>
      <c r="B1699" s="5"/>
      <c r="C1699" s="4"/>
      <c r="D1699" s="4"/>
      <c r="E1699" s="5"/>
      <c r="F1699" s="4"/>
      <c r="G1699" s="6">
        <f>IF(AND(A1699="",B1699=""),"",IF(COUNTIFS($A$2:$A$2001,A1699,$B$2:$B$2001,B1699)&gt;1,"DUPLICADO","OK"))</f>
      </c>
      <c r="H1699" s="6">
        <f>IF(COUNTA(A1699:F1699)=0,"",IF(AND(A1699&lt;&gt;"",B1699&lt;&gt;"",E1699&lt;&gt;""),"OK","ERRO: faltam "&amp;IF(A1699="","Conta; ","")&amp;IF(B1699="","Oportunidade; ","")&amp;IF(E1699="","Novo gerente; ","")))</f>
      </c>
      <c r="I1699" s="6">
        <f>IF(COUNTA(A1699:F1699)=0,"",IF(AND(G1699="OK",H1699="OK"),"OK","REVISAR"))</f>
      </c>
    </row>
    <row r="1700">
      <c r="A1700" s="5"/>
      <c r="B1700" s="5"/>
      <c r="C1700" s="4"/>
      <c r="D1700" s="4"/>
      <c r="E1700" s="5"/>
      <c r="F1700" s="4"/>
      <c r="G1700" s="6">
        <f>IF(AND(A1700="",B1700=""),"",IF(COUNTIFS($A$2:$A$2001,A1700,$B$2:$B$2001,B1700)&gt;1,"DUPLICADO","OK"))</f>
      </c>
      <c r="H1700" s="6">
        <f>IF(COUNTA(A1700:F1700)=0,"",IF(AND(A1700&lt;&gt;"",B1700&lt;&gt;"",E1700&lt;&gt;""),"OK","ERRO: faltam "&amp;IF(A1700="","Conta; ","")&amp;IF(B1700="","Oportunidade; ","")&amp;IF(E1700="","Novo gerente; ","")))</f>
      </c>
      <c r="I1700" s="6">
        <f>IF(COUNTA(A1700:F1700)=0,"",IF(AND(G1700="OK",H1700="OK"),"OK","REVISAR"))</f>
      </c>
    </row>
    <row r="1701">
      <c r="A1701" s="5"/>
      <c r="B1701" s="5"/>
      <c r="C1701" s="4"/>
      <c r="D1701" s="4"/>
      <c r="E1701" s="5"/>
      <c r="F1701" s="4"/>
      <c r="G1701" s="6">
        <f>IF(AND(A1701="",B1701=""),"",IF(COUNTIFS($A$2:$A$2001,A1701,$B$2:$B$2001,B1701)&gt;1,"DUPLICADO","OK"))</f>
      </c>
      <c r="H1701" s="6">
        <f>IF(COUNTA(A1701:F1701)=0,"",IF(AND(A1701&lt;&gt;"",B1701&lt;&gt;"",E1701&lt;&gt;""),"OK","ERRO: faltam "&amp;IF(A1701="","Conta; ","")&amp;IF(B1701="","Oportunidade; ","")&amp;IF(E1701="","Novo gerente; ","")))</f>
      </c>
      <c r="I1701" s="6">
        <f>IF(COUNTA(A1701:F1701)=0,"",IF(AND(G1701="OK",H1701="OK"),"OK","REVISAR"))</f>
      </c>
    </row>
    <row r="1702">
      <c r="A1702" s="5"/>
      <c r="B1702" s="5"/>
      <c r="C1702" s="4"/>
      <c r="D1702" s="4"/>
      <c r="E1702" s="5"/>
      <c r="F1702" s="4"/>
      <c r="G1702" s="6">
        <f>IF(AND(A1702="",B1702=""),"",IF(COUNTIFS($A$2:$A$2001,A1702,$B$2:$B$2001,B1702)&gt;1,"DUPLICADO","OK"))</f>
      </c>
      <c r="H1702" s="6">
        <f>IF(COUNTA(A1702:F1702)=0,"",IF(AND(A1702&lt;&gt;"",B1702&lt;&gt;"",E1702&lt;&gt;""),"OK","ERRO: faltam "&amp;IF(A1702="","Conta; ","")&amp;IF(B1702="","Oportunidade; ","")&amp;IF(E1702="","Novo gerente; ","")))</f>
      </c>
      <c r="I1702" s="6">
        <f>IF(COUNTA(A1702:F1702)=0,"",IF(AND(G1702="OK",H1702="OK"),"OK","REVISAR"))</f>
      </c>
    </row>
    <row r="1703">
      <c r="A1703" s="5"/>
      <c r="B1703" s="5"/>
      <c r="C1703" s="4"/>
      <c r="D1703" s="4"/>
      <c r="E1703" s="5"/>
      <c r="F1703" s="4"/>
      <c r="G1703" s="6">
        <f>IF(AND(A1703="",B1703=""),"",IF(COUNTIFS($A$2:$A$2001,A1703,$B$2:$B$2001,B1703)&gt;1,"DUPLICADO","OK"))</f>
      </c>
      <c r="H1703" s="6">
        <f>IF(COUNTA(A1703:F1703)=0,"",IF(AND(A1703&lt;&gt;"",B1703&lt;&gt;"",E1703&lt;&gt;""),"OK","ERRO: faltam "&amp;IF(A1703="","Conta; ","")&amp;IF(B1703="","Oportunidade; ","")&amp;IF(E1703="","Novo gerente; ","")))</f>
      </c>
      <c r="I1703" s="6">
        <f>IF(COUNTA(A1703:F1703)=0,"",IF(AND(G1703="OK",H1703="OK"),"OK","REVISAR"))</f>
      </c>
    </row>
    <row r="1704">
      <c r="A1704" s="5"/>
      <c r="B1704" s="5"/>
      <c r="C1704" s="4"/>
      <c r="D1704" s="4"/>
      <c r="E1704" s="5"/>
      <c r="F1704" s="4"/>
      <c r="G1704" s="6">
        <f>IF(AND(A1704="",B1704=""),"",IF(COUNTIFS($A$2:$A$2001,A1704,$B$2:$B$2001,B1704)&gt;1,"DUPLICADO","OK"))</f>
      </c>
      <c r="H1704" s="6">
        <f>IF(COUNTA(A1704:F1704)=0,"",IF(AND(A1704&lt;&gt;"",B1704&lt;&gt;"",E1704&lt;&gt;""),"OK","ERRO: faltam "&amp;IF(A1704="","Conta; ","")&amp;IF(B1704="","Oportunidade; ","")&amp;IF(E1704="","Novo gerente; ","")))</f>
      </c>
      <c r="I1704" s="6">
        <f>IF(COUNTA(A1704:F1704)=0,"",IF(AND(G1704="OK",H1704="OK"),"OK","REVISAR"))</f>
      </c>
    </row>
    <row r="1705">
      <c r="A1705" s="5"/>
      <c r="B1705" s="5"/>
      <c r="C1705" s="4"/>
      <c r="D1705" s="4"/>
      <c r="E1705" s="5"/>
      <c r="F1705" s="4"/>
      <c r="G1705" s="6">
        <f>IF(AND(A1705="",B1705=""),"",IF(COUNTIFS($A$2:$A$2001,A1705,$B$2:$B$2001,B1705)&gt;1,"DUPLICADO","OK"))</f>
      </c>
      <c r="H1705" s="6">
        <f>IF(COUNTA(A1705:F1705)=0,"",IF(AND(A1705&lt;&gt;"",B1705&lt;&gt;"",E1705&lt;&gt;""),"OK","ERRO: faltam "&amp;IF(A1705="","Conta; ","")&amp;IF(B1705="","Oportunidade; ","")&amp;IF(E1705="","Novo gerente; ","")))</f>
      </c>
      <c r="I1705" s="6">
        <f>IF(COUNTA(A1705:F1705)=0,"",IF(AND(G1705="OK",H1705="OK"),"OK","REVISAR"))</f>
      </c>
    </row>
    <row r="1706">
      <c r="A1706" s="5"/>
      <c r="B1706" s="5"/>
      <c r="C1706" s="4"/>
      <c r="D1706" s="4"/>
      <c r="E1706" s="5"/>
      <c r="F1706" s="4"/>
      <c r="G1706" s="6">
        <f>IF(AND(A1706="",B1706=""),"",IF(COUNTIFS($A$2:$A$2001,A1706,$B$2:$B$2001,B1706)&gt;1,"DUPLICADO","OK"))</f>
      </c>
      <c r="H1706" s="6">
        <f>IF(COUNTA(A1706:F1706)=0,"",IF(AND(A1706&lt;&gt;"",B1706&lt;&gt;"",E1706&lt;&gt;""),"OK","ERRO: faltam "&amp;IF(A1706="","Conta; ","")&amp;IF(B1706="","Oportunidade; ","")&amp;IF(E1706="","Novo gerente; ","")))</f>
      </c>
      <c r="I1706" s="6">
        <f>IF(COUNTA(A1706:F1706)=0,"",IF(AND(G1706="OK",H1706="OK"),"OK","REVISAR"))</f>
      </c>
    </row>
    <row r="1707">
      <c r="A1707" s="5"/>
      <c r="B1707" s="5"/>
      <c r="C1707" s="4"/>
      <c r="D1707" s="4"/>
      <c r="E1707" s="5"/>
      <c r="F1707" s="4"/>
      <c r="G1707" s="6">
        <f>IF(AND(A1707="",B1707=""),"",IF(COUNTIFS($A$2:$A$2001,A1707,$B$2:$B$2001,B1707)&gt;1,"DUPLICADO","OK"))</f>
      </c>
      <c r="H1707" s="6">
        <f>IF(COUNTA(A1707:F1707)=0,"",IF(AND(A1707&lt;&gt;"",B1707&lt;&gt;"",E1707&lt;&gt;""),"OK","ERRO: faltam "&amp;IF(A1707="","Conta; ","")&amp;IF(B1707="","Oportunidade; ","")&amp;IF(E1707="","Novo gerente; ","")))</f>
      </c>
      <c r="I1707" s="6">
        <f>IF(COUNTA(A1707:F1707)=0,"",IF(AND(G1707="OK",H1707="OK"),"OK","REVISAR"))</f>
      </c>
    </row>
    <row r="1708">
      <c r="A1708" s="5"/>
      <c r="B1708" s="5"/>
      <c r="C1708" s="4"/>
      <c r="D1708" s="4"/>
      <c r="E1708" s="5"/>
      <c r="F1708" s="4"/>
      <c r="G1708" s="6">
        <f>IF(AND(A1708="",B1708=""),"",IF(COUNTIFS($A$2:$A$2001,A1708,$B$2:$B$2001,B1708)&gt;1,"DUPLICADO","OK"))</f>
      </c>
      <c r="H1708" s="6">
        <f>IF(COUNTA(A1708:F1708)=0,"",IF(AND(A1708&lt;&gt;"",B1708&lt;&gt;"",E1708&lt;&gt;""),"OK","ERRO: faltam "&amp;IF(A1708="","Conta; ","")&amp;IF(B1708="","Oportunidade; ","")&amp;IF(E1708="","Novo gerente; ","")))</f>
      </c>
      <c r="I1708" s="6">
        <f>IF(COUNTA(A1708:F1708)=0,"",IF(AND(G1708="OK",H1708="OK"),"OK","REVISAR"))</f>
      </c>
    </row>
    <row r="1709">
      <c r="A1709" s="5"/>
      <c r="B1709" s="5"/>
      <c r="C1709" s="4"/>
      <c r="D1709" s="4"/>
      <c r="E1709" s="5"/>
      <c r="F1709" s="4"/>
      <c r="G1709" s="6">
        <f>IF(AND(A1709="",B1709=""),"",IF(COUNTIFS($A$2:$A$2001,A1709,$B$2:$B$2001,B1709)&gt;1,"DUPLICADO","OK"))</f>
      </c>
      <c r="H1709" s="6">
        <f>IF(COUNTA(A1709:F1709)=0,"",IF(AND(A1709&lt;&gt;"",B1709&lt;&gt;"",E1709&lt;&gt;""),"OK","ERRO: faltam "&amp;IF(A1709="","Conta; ","")&amp;IF(B1709="","Oportunidade; ","")&amp;IF(E1709="","Novo gerente; ","")))</f>
      </c>
      <c r="I1709" s="6">
        <f>IF(COUNTA(A1709:F1709)=0,"",IF(AND(G1709="OK",H1709="OK"),"OK","REVISAR"))</f>
      </c>
    </row>
    <row r="1710">
      <c r="A1710" s="5"/>
      <c r="B1710" s="5"/>
      <c r="C1710" s="4"/>
      <c r="D1710" s="4"/>
      <c r="E1710" s="5"/>
      <c r="F1710" s="4"/>
      <c r="G1710" s="6">
        <f>IF(AND(A1710="",B1710=""),"",IF(COUNTIFS($A$2:$A$2001,A1710,$B$2:$B$2001,B1710)&gt;1,"DUPLICADO","OK"))</f>
      </c>
      <c r="H1710" s="6">
        <f>IF(COUNTA(A1710:F1710)=0,"",IF(AND(A1710&lt;&gt;"",B1710&lt;&gt;"",E1710&lt;&gt;""),"OK","ERRO: faltam "&amp;IF(A1710="","Conta; ","")&amp;IF(B1710="","Oportunidade; ","")&amp;IF(E1710="","Novo gerente; ","")))</f>
      </c>
      <c r="I1710" s="6">
        <f>IF(COUNTA(A1710:F1710)=0,"",IF(AND(G1710="OK",H1710="OK"),"OK","REVISAR"))</f>
      </c>
    </row>
    <row r="1711">
      <c r="A1711" s="5"/>
      <c r="B1711" s="5"/>
      <c r="C1711" s="4"/>
      <c r="D1711" s="4"/>
      <c r="E1711" s="5"/>
      <c r="F1711" s="4"/>
      <c r="G1711" s="6">
        <f>IF(AND(A1711="",B1711=""),"",IF(COUNTIFS($A$2:$A$2001,A1711,$B$2:$B$2001,B1711)&gt;1,"DUPLICADO","OK"))</f>
      </c>
      <c r="H1711" s="6">
        <f>IF(COUNTA(A1711:F1711)=0,"",IF(AND(A1711&lt;&gt;"",B1711&lt;&gt;"",E1711&lt;&gt;""),"OK","ERRO: faltam "&amp;IF(A1711="","Conta; ","")&amp;IF(B1711="","Oportunidade; ","")&amp;IF(E1711="","Novo gerente; ","")))</f>
      </c>
      <c r="I1711" s="6">
        <f>IF(COUNTA(A1711:F1711)=0,"",IF(AND(G1711="OK",H1711="OK"),"OK","REVISAR"))</f>
      </c>
    </row>
    <row r="1712">
      <c r="A1712" s="5"/>
      <c r="B1712" s="5"/>
      <c r="C1712" s="4"/>
      <c r="D1712" s="4"/>
      <c r="E1712" s="5"/>
      <c r="F1712" s="4"/>
      <c r="G1712" s="6">
        <f>IF(AND(A1712="",B1712=""),"",IF(COUNTIFS($A$2:$A$2001,A1712,$B$2:$B$2001,B1712)&gt;1,"DUPLICADO","OK"))</f>
      </c>
      <c r="H1712" s="6">
        <f>IF(COUNTA(A1712:F1712)=0,"",IF(AND(A1712&lt;&gt;"",B1712&lt;&gt;"",E1712&lt;&gt;""),"OK","ERRO: faltam "&amp;IF(A1712="","Conta; ","")&amp;IF(B1712="","Oportunidade; ","")&amp;IF(E1712="","Novo gerente; ","")))</f>
      </c>
      <c r="I1712" s="6">
        <f>IF(COUNTA(A1712:F1712)=0,"",IF(AND(G1712="OK",H1712="OK"),"OK","REVISAR"))</f>
      </c>
    </row>
    <row r="1713">
      <c r="A1713" s="5"/>
      <c r="B1713" s="5"/>
      <c r="C1713" s="4"/>
      <c r="D1713" s="4"/>
      <c r="E1713" s="5"/>
      <c r="F1713" s="4"/>
      <c r="G1713" s="6">
        <f>IF(AND(A1713="",B1713=""),"",IF(COUNTIFS($A$2:$A$2001,A1713,$B$2:$B$2001,B1713)&gt;1,"DUPLICADO","OK"))</f>
      </c>
      <c r="H1713" s="6">
        <f>IF(COUNTA(A1713:F1713)=0,"",IF(AND(A1713&lt;&gt;"",B1713&lt;&gt;"",E1713&lt;&gt;""),"OK","ERRO: faltam "&amp;IF(A1713="","Conta; ","")&amp;IF(B1713="","Oportunidade; ","")&amp;IF(E1713="","Novo gerente; ","")))</f>
      </c>
      <c r="I1713" s="6">
        <f>IF(COUNTA(A1713:F1713)=0,"",IF(AND(G1713="OK",H1713="OK"),"OK","REVISAR"))</f>
      </c>
    </row>
    <row r="1714">
      <c r="A1714" s="5"/>
      <c r="B1714" s="5"/>
      <c r="C1714" s="4"/>
      <c r="D1714" s="4"/>
      <c r="E1714" s="5"/>
      <c r="F1714" s="4"/>
      <c r="G1714" s="6">
        <f>IF(AND(A1714="",B1714=""),"",IF(COUNTIFS($A$2:$A$2001,A1714,$B$2:$B$2001,B1714)&gt;1,"DUPLICADO","OK"))</f>
      </c>
      <c r="H1714" s="6">
        <f>IF(COUNTA(A1714:F1714)=0,"",IF(AND(A1714&lt;&gt;"",B1714&lt;&gt;"",E1714&lt;&gt;""),"OK","ERRO: faltam "&amp;IF(A1714="","Conta; ","")&amp;IF(B1714="","Oportunidade; ","")&amp;IF(E1714="","Novo gerente; ","")))</f>
      </c>
      <c r="I1714" s="6">
        <f>IF(COUNTA(A1714:F1714)=0,"",IF(AND(G1714="OK",H1714="OK"),"OK","REVISAR"))</f>
      </c>
    </row>
    <row r="1715">
      <c r="A1715" s="5"/>
      <c r="B1715" s="5"/>
      <c r="C1715" s="4"/>
      <c r="D1715" s="4"/>
      <c r="E1715" s="5"/>
      <c r="F1715" s="4"/>
      <c r="G1715" s="6">
        <f>IF(AND(A1715="",B1715=""),"",IF(COUNTIFS($A$2:$A$2001,A1715,$B$2:$B$2001,B1715)&gt;1,"DUPLICADO","OK"))</f>
      </c>
      <c r="H1715" s="6">
        <f>IF(COUNTA(A1715:F1715)=0,"",IF(AND(A1715&lt;&gt;"",B1715&lt;&gt;"",E1715&lt;&gt;""),"OK","ERRO: faltam "&amp;IF(A1715="","Conta; ","")&amp;IF(B1715="","Oportunidade; ","")&amp;IF(E1715="","Novo gerente; ","")))</f>
      </c>
      <c r="I1715" s="6">
        <f>IF(COUNTA(A1715:F1715)=0,"",IF(AND(G1715="OK",H1715="OK"),"OK","REVISAR"))</f>
      </c>
    </row>
    <row r="1716">
      <c r="A1716" s="5"/>
      <c r="B1716" s="5"/>
      <c r="C1716" s="4"/>
      <c r="D1716" s="4"/>
      <c r="E1716" s="5"/>
      <c r="F1716" s="4"/>
      <c r="G1716" s="6">
        <f>IF(AND(A1716="",B1716=""),"",IF(COUNTIFS($A$2:$A$2001,A1716,$B$2:$B$2001,B1716)&gt;1,"DUPLICADO","OK"))</f>
      </c>
      <c r="H1716" s="6">
        <f>IF(COUNTA(A1716:F1716)=0,"",IF(AND(A1716&lt;&gt;"",B1716&lt;&gt;"",E1716&lt;&gt;""),"OK","ERRO: faltam "&amp;IF(A1716="","Conta; ","")&amp;IF(B1716="","Oportunidade; ","")&amp;IF(E1716="","Novo gerente; ","")))</f>
      </c>
      <c r="I1716" s="6">
        <f>IF(COUNTA(A1716:F1716)=0,"",IF(AND(G1716="OK",H1716="OK"),"OK","REVISAR"))</f>
      </c>
    </row>
    <row r="1717">
      <c r="A1717" s="5"/>
      <c r="B1717" s="5"/>
      <c r="C1717" s="4"/>
      <c r="D1717" s="4"/>
      <c r="E1717" s="5"/>
      <c r="F1717" s="4"/>
      <c r="G1717" s="6">
        <f>IF(AND(A1717="",B1717=""),"",IF(COUNTIFS($A$2:$A$2001,A1717,$B$2:$B$2001,B1717)&gt;1,"DUPLICADO","OK"))</f>
      </c>
      <c r="H1717" s="6">
        <f>IF(COUNTA(A1717:F1717)=0,"",IF(AND(A1717&lt;&gt;"",B1717&lt;&gt;"",E1717&lt;&gt;""),"OK","ERRO: faltam "&amp;IF(A1717="","Conta; ","")&amp;IF(B1717="","Oportunidade; ","")&amp;IF(E1717="","Novo gerente; ","")))</f>
      </c>
      <c r="I1717" s="6">
        <f>IF(COUNTA(A1717:F1717)=0,"",IF(AND(G1717="OK",H1717="OK"),"OK","REVISAR"))</f>
      </c>
    </row>
    <row r="1718">
      <c r="A1718" s="5"/>
      <c r="B1718" s="5"/>
      <c r="C1718" s="4"/>
      <c r="D1718" s="4"/>
      <c r="E1718" s="5"/>
      <c r="F1718" s="4"/>
      <c r="G1718" s="6">
        <f>IF(AND(A1718="",B1718=""),"",IF(COUNTIFS($A$2:$A$2001,A1718,$B$2:$B$2001,B1718)&gt;1,"DUPLICADO","OK"))</f>
      </c>
      <c r="H1718" s="6">
        <f>IF(COUNTA(A1718:F1718)=0,"",IF(AND(A1718&lt;&gt;"",B1718&lt;&gt;"",E1718&lt;&gt;""),"OK","ERRO: faltam "&amp;IF(A1718="","Conta; ","")&amp;IF(B1718="","Oportunidade; ","")&amp;IF(E1718="","Novo gerente; ","")))</f>
      </c>
      <c r="I1718" s="6">
        <f>IF(COUNTA(A1718:F1718)=0,"",IF(AND(G1718="OK",H1718="OK"),"OK","REVISAR"))</f>
      </c>
    </row>
    <row r="1719">
      <c r="A1719" s="5"/>
      <c r="B1719" s="5"/>
      <c r="C1719" s="4"/>
      <c r="D1719" s="4"/>
      <c r="E1719" s="5"/>
      <c r="F1719" s="4"/>
      <c r="G1719" s="6">
        <f>IF(AND(A1719="",B1719=""),"",IF(COUNTIFS($A$2:$A$2001,A1719,$B$2:$B$2001,B1719)&gt;1,"DUPLICADO","OK"))</f>
      </c>
      <c r="H1719" s="6">
        <f>IF(COUNTA(A1719:F1719)=0,"",IF(AND(A1719&lt;&gt;"",B1719&lt;&gt;"",E1719&lt;&gt;""),"OK","ERRO: faltam "&amp;IF(A1719="","Conta; ","")&amp;IF(B1719="","Oportunidade; ","")&amp;IF(E1719="","Novo gerente; ","")))</f>
      </c>
      <c r="I1719" s="6">
        <f>IF(COUNTA(A1719:F1719)=0,"",IF(AND(G1719="OK",H1719="OK"),"OK","REVISAR"))</f>
      </c>
    </row>
    <row r="1720">
      <c r="A1720" s="5"/>
      <c r="B1720" s="5"/>
      <c r="C1720" s="4"/>
      <c r="D1720" s="4"/>
      <c r="E1720" s="5"/>
      <c r="F1720" s="4"/>
      <c r="G1720" s="6">
        <f>IF(AND(A1720="",B1720=""),"",IF(COUNTIFS($A$2:$A$2001,A1720,$B$2:$B$2001,B1720)&gt;1,"DUPLICADO","OK"))</f>
      </c>
      <c r="H1720" s="6">
        <f>IF(COUNTA(A1720:F1720)=0,"",IF(AND(A1720&lt;&gt;"",B1720&lt;&gt;"",E1720&lt;&gt;""),"OK","ERRO: faltam "&amp;IF(A1720="","Conta; ","")&amp;IF(B1720="","Oportunidade; ","")&amp;IF(E1720="","Novo gerente; ","")))</f>
      </c>
      <c r="I1720" s="6">
        <f>IF(COUNTA(A1720:F1720)=0,"",IF(AND(G1720="OK",H1720="OK"),"OK","REVISAR"))</f>
      </c>
    </row>
    <row r="1721">
      <c r="A1721" s="5"/>
      <c r="B1721" s="5"/>
      <c r="C1721" s="4"/>
      <c r="D1721" s="4"/>
      <c r="E1721" s="5"/>
      <c r="F1721" s="4"/>
      <c r="G1721" s="6">
        <f>IF(AND(A1721="",B1721=""),"",IF(COUNTIFS($A$2:$A$2001,A1721,$B$2:$B$2001,B1721)&gt;1,"DUPLICADO","OK"))</f>
      </c>
      <c r="H1721" s="6">
        <f>IF(COUNTA(A1721:F1721)=0,"",IF(AND(A1721&lt;&gt;"",B1721&lt;&gt;"",E1721&lt;&gt;""),"OK","ERRO: faltam "&amp;IF(A1721="","Conta; ","")&amp;IF(B1721="","Oportunidade; ","")&amp;IF(E1721="","Novo gerente; ","")))</f>
      </c>
      <c r="I1721" s="6">
        <f>IF(COUNTA(A1721:F1721)=0,"",IF(AND(G1721="OK",H1721="OK"),"OK","REVISAR"))</f>
      </c>
    </row>
    <row r="1722">
      <c r="A1722" s="5"/>
      <c r="B1722" s="5"/>
      <c r="C1722" s="4"/>
      <c r="D1722" s="4"/>
      <c r="E1722" s="5"/>
      <c r="F1722" s="4"/>
      <c r="G1722" s="6">
        <f>IF(AND(A1722="",B1722=""),"",IF(COUNTIFS($A$2:$A$2001,A1722,$B$2:$B$2001,B1722)&gt;1,"DUPLICADO","OK"))</f>
      </c>
      <c r="H1722" s="6">
        <f>IF(COUNTA(A1722:F1722)=0,"",IF(AND(A1722&lt;&gt;"",B1722&lt;&gt;"",E1722&lt;&gt;""),"OK","ERRO: faltam "&amp;IF(A1722="","Conta; ","")&amp;IF(B1722="","Oportunidade; ","")&amp;IF(E1722="","Novo gerente; ","")))</f>
      </c>
      <c r="I1722" s="6">
        <f>IF(COUNTA(A1722:F1722)=0,"",IF(AND(G1722="OK",H1722="OK"),"OK","REVISAR"))</f>
      </c>
    </row>
    <row r="1723">
      <c r="A1723" s="5"/>
      <c r="B1723" s="5"/>
      <c r="C1723" s="4"/>
      <c r="D1723" s="4"/>
      <c r="E1723" s="5"/>
      <c r="F1723" s="4"/>
      <c r="G1723" s="6">
        <f>IF(AND(A1723="",B1723=""),"",IF(COUNTIFS($A$2:$A$2001,A1723,$B$2:$B$2001,B1723)&gt;1,"DUPLICADO","OK"))</f>
      </c>
      <c r="H1723" s="6">
        <f>IF(COUNTA(A1723:F1723)=0,"",IF(AND(A1723&lt;&gt;"",B1723&lt;&gt;"",E1723&lt;&gt;""),"OK","ERRO: faltam "&amp;IF(A1723="","Conta; ","")&amp;IF(B1723="","Oportunidade; ","")&amp;IF(E1723="","Novo gerente; ","")))</f>
      </c>
      <c r="I1723" s="6">
        <f>IF(COUNTA(A1723:F1723)=0,"",IF(AND(G1723="OK",H1723="OK"),"OK","REVISAR"))</f>
      </c>
    </row>
    <row r="1724">
      <c r="A1724" s="5"/>
      <c r="B1724" s="5"/>
      <c r="C1724" s="4"/>
      <c r="D1724" s="4"/>
      <c r="E1724" s="5"/>
      <c r="F1724" s="4"/>
      <c r="G1724" s="6">
        <f>IF(AND(A1724="",B1724=""),"",IF(COUNTIFS($A$2:$A$2001,A1724,$B$2:$B$2001,B1724)&gt;1,"DUPLICADO","OK"))</f>
      </c>
      <c r="H1724" s="6">
        <f>IF(COUNTA(A1724:F1724)=0,"",IF(AND(A1724&lt;&gt;"",B1724&lt;&gt;"",E1724&lt;&gt;""),"OK","ERRO: faltam "&amp;IF(A1724="","Conta; ","")&amp;IF(B1724="","Oportunidade; ","")&amp;IF(E1724="","Novo gerente; ","")))</f>
      </c>
      <c r="I1724" s="6">
        <f>IF(COUNTA(A1724:F1724)=0,"",IF(AND(G1724="OK",H1724="OK"),"OK","REVISAR"))</f>
      </c>
    </row>
    <row r="1725">
      <c r="A1725" s="5"/>
      <c r="B1725" s="5"/>
      <c r="C1725" s="4"/>
      <c r="D1725" s="4"/>
      <c r="E1725" s="5"/>
      <c r="F1725" s="4"/>
      <c r="G1725" s="6">
        <f>IF(AND(A1725="",B1725=""),"",IF(COUNTIFS($A$2:$A$2001,A1725,$B$2:$B$2001,B1725)&gt;1,"DUPLICADO","OK"))</f>
      </c>
      <c r="H1725" s="6">
        <f>IF(COUNTA(A1725:F1725)=0,"",IF(AND(A1725&lt;&gt;"",B1725&lt;&gt;"",E1725&lt;&gt;""),"OK","ERRO: faltam "&amp;IF(A1725="","Conta; ","")&amp;IF(B1725="","Oportunidade; ","")&amp;IF(E1725="","Novo gerente; ","")))</f>
      </c>
      <c r="I1725" s="6">
        <f>IF(COUNTA(A1725:F1725)=0,"",IF(AND(G1725="OK",H1725="OK"),"OK","REVISAR"))</f>
      </c>
    </row>
    <row r="1726">
      <c r="A1726" s="5"/>
      <c r="B1726" s="5"/>
      <c r="C1726" s="4"/>
      <c r="D1726" s="4"/>
      <c r="E1726" s="5"/>
      <c r="F1726" s="4"/>
      <c r="G1726" s="6">
        <f>IF(AND(A1726="",B1726=""),"",IF(COUNTIFS($A$2:$A$2001,A1726,$B$2:$B$2001,B1726)&gt;1,"DUPLICADO","OK"))</f>
      </c>
      <c r="H1726" s="6">
        <f>IF(COUNTA(A1726:F1726)=0,"",IF(AND(A1726&lt;&gt;"",B1726&lt;&gt;"",E1726&lt;&gt;""),"OK","ERRO: faltam "&amp;IF(A1726="","Conta; ","")&amp;IF(B1726="","Oportunidade; ","")&amp;IF(E1726="","Novo gerente; ","")))</f>
      </c>
      <c r="I1726" s="6">
        <f>IF(COUNTA(A1726:F1726)=0,"",IF(AND(G1726="OK",H1726="OK"),"OK","REVISAR"))</f>
      </c>
    </row>
    <row r="1727">
      <c r="A1727" s="5"/>
      <c r="B1727" s="5"/>
      <c r="C1727" s="4"/>
      <c r="D1727" s="4"/>
      <c r="E1727" s="5"/>
      <c r="F1727" s="4"/>
      <c r="G1727" s="6">
        <f>IF(AND(A1727="",B1727=""),"",IF(COUNTIFS($A$2:$A$2001,A1727,$B$2:$B$2001,B1727)&gt;1,"DUPLICADO","OK"))</f>
      </c>
      <c r="H1727" s="6">
        <f>IF(COUNTA(A1727:F1727)=0,"",IF(AND(A1727&lt;&gt;"",B1727&lt;&gt;"",E1727&lt;&gt;""),"OK","ERRO: faltam "&amp;IF(A1727="","Conta; ","")&amp;IF(B1727="","Oportunidade; ","")&amp;IF(E1727="","Novo gerente; ","")))</f>
      </c>
      <c r="I1727" s="6">
        <f>IF(COUNTA(A1727:F1727)=0,"",IF(AND(G1727="OK",H1727="OK"),"OK","REVISAR"))</f>
      </c>
    </row>
    <row r="1728">
      <c r="A1728" s="5"/>
      <c r="B1728" s="5"/>
      <c r="C1728" s="4"/>
      <c r="D1728" s="4"/>
      <c r="E1728" s="5"/>
      <c r="F1728" s="4"/>
      <c r="G1728" s="6">
        <f>IF(AND(A1728="",B1728=""),"",IF(COUNTIFS($A$2:$A$2001,A1728,$B$2:$B$2001,B1728)&gt;1,"DUPLICADO","OK"))</f>
      </c>
      <c r="H1728" s="6">
        <f>IF(COUNTA(A1728:F1728)=0,"",IF(AND(A1728&lt;&gt;"",B1728&lt;&gt;"",E1728&lt;&gt;""),"OK","ERRO: faltam "&amp;IF(A1728="","Conta; ","")&amp;IF(B1728="","Oportunidade; ","")&amp;IF(E1728="","Novo gerente; ","")))</f>
      </c>
      <c r="I1728" s="6">
        <f>IF(COUNTA(A1728:F1728)=0,"",IF(AND(G1728="OK",H1728="OK"),"OK","REVISAR"))</f>
      </c>
    </row>
    <row r="1729">
      <c r="A1729" s="5"/>
      <c r="B1729" s="5"/>
      <c r="C1729" s="4"/>
      <c r="D1729" s="4"/>
      <c r="E1729" s="5"/>
      <c r="F1729" s="4"/>
      <c r="G1729" s="6">
        <f>IF(AND(A1729="",B1729=""),"",IF(COUNTIFS($A$2:$A$2001,A1729,$B$2:$B$2001,B1729)&gt;1,"DUPLICADO","OK"))</f>
      </c>
      <c r="H1729" s="6">
        <f>IF(COUNTA(A1729:F1729)=0,"",IF(AND(A1729&lt;&gt;"",B1729&lt;&gt;"",E1729&lt;&gt;""),"OK","ERRO: faltam "&amp;IF(A1729="","Conta; ","")&amp;IF(B1729="","Oportunidade; ","")&amp;IF(E1729="","Novo gerente; ","")))</f>
      </c>
      <c r="I1729" s="6">
        <f>IF(COUNTA(A1729:F1729)=0,"",IF(AND(G1729="OK",H1729="OK"),"OK","REVISAR"))</f>
      </c>
    </row>
    <row r="1730">
      <c r="A1730" s="5"/>
      <c r="B1730" s="5"/>
      <c r="C1730" s="4"/>
      <c r="D1730" s="4"/>
      <c r="E1730" s="5"/>
      <c r="F1730" s="4"/>
      <c r="G1730" s="6">
        <f>IF(AND(A1730="",B1730=""),"",IF(COUNTIFS($A$2:$A$2001,A1730,$B$2:$B$2001,B1730)&gt;1,"DUPLICADO","OK"))</f>
      </c>
      <c r="H1730" s="6">
        <f>IF(COUNTA(A1730:F1730)=0,"",IF(AND(A1730&lt;&gt;"",B1730&lt;&gt;"",E1730&lt;&gt;""),"OK","ERRO: faltam "&amp;IF(A1730="","Conta; ","")&amp;IF(B1730="","Oportunidade; ","")&amp;IF(E1730="","Novo gerente; ","")))</f>
      </c>
      <c r="I1730" s="6">
        <f>IF(COUNTA(A1730:F1730)=0,"",IF(AND(G1730="OK",H1730="OK"),"OK","REVISAR"))</f>
      </c>
    </row>
    <row r="1731">
      <c r="A1731" s="5"/>
      <c r="B1731" s="5"/>
      <c r="C1731" s="4"/>
      <c r="D1731" s="4"/>
      <c r="E1731" s="5"/>
      <c r="F1731" s="4"/>
      <c r="G1731" s="6">
        <f>IF(AND(A1731="",B1731=""),"",IF(COUNTIFS($A$2:$A$2001,A1731,$B$2:$B$2001,B1731)&gt;1,"DUPLICADO","OK"))</f>
      </c>
      <c r="H1731" s="6">
        <f>IF(COUNTA(A1731:F1731)=0,"",IF(AND(A1731&lt;&gt;"",B1731&lt;&gt;"",E1731&lt;&gt;""),"OK","ERRO: faltam "&amp;IF(A1731="","Conta; ","")&amp;IF(B1731="","Oportunidade; ","")&amp;IF(E1731="","Novo gerente; ","")))</f>
      </c>
      <c r="I1731" s="6">
        <f>IF(COUNTA(A1731:F1731)=0,"",IF(AND(G1731="OK",H1731="OK"),"OK","REVISAR"))</f>
      </c>
    </row>
    <row r="1732">
      <c r="A1732" s="5"/>
      <c r="B1732" s="5"/>
      <c r="C1732" s="4"/>
      <c r="D1732" s="4"/>
      <c r="E1732" s="5"/>
      <c r="F1732" s="4"/>
      <c r="G1732" s="6">
        <f>IF(AND(A1732="",B1732=""),"",IF(COUNTIFS($A$2:$A$2001,A1732,$B$2:$B$2001,B1732)&gt;1,"DUPLICADO","OK"))</f>
      </c>
      <c r="H1732" s="6">
        <f>IF(COUNTA(A1732:F1732)=0,"",IF(AND(A1732&lt;&gt;"",B1732&lt;&gt;"",E1732&lt;&gt;""),"OK","ERRO: faltam "&amp;IF(A1732="","Conta; ","")&amp;IF(B1732="","Oportunidade; ","")&amp;IF(E1732="","Novo gerente; ","")))</f>
      </c>
      <c r="I1732" s="6">
        <f>IF(COUNTA(A1732:F1732)=0,"",IF(AND(G1732="OK",H1732="OK"),"OK","REVISAR"))</f>
      </c>
    </row>
    <row r="1733">
      <c r="A1733" s="5"/>
      <c r="B1733" s="5"/>
      <c r="C1733" s="4"/>
      <c r="D1733" s="4"/>
      <c r="E1733" s="5"/>
      <c r="F1733" s="4"/>
      <c r="G1733" s="6">
        <f>IF(AND(A1733="",B1733=""),"",IF(COUNTIFS($A$2:$A$2001,A1733,$B$2:$B$2001,B1733)&gt;1,"DUPLICADO","OK"))</f>
      </c>
      <c r="H1733" s="6">
        <f>IF(COUNTA(A1733:F1733)=0,"",IF(AND(A1733&lt;&gt;"",B1733&lt;&gt;"",E1733&lt;&gt;""),"OK","ERRO: faltam "&amp;IF(A1733="","Conta; ","")&amp;IF(B1733="","Oportunidade; ","")&amp;IF(E1733="","Novo gerente; ","")))</f>
      </c>
      <c r="I1733" s="6">
        <f>IF(COUNTA(A1733:F1733)=0,"",IF(AND(G1733="OK",H1733="OK"),"OK","REVISAR"))</f>
      </c>
    </row>
    <row r="1734">
      <c r="A1734" s="5"/>
      <c r="B1734" s="5"/>
      <c r="C1734" s="4"/>
      <c r="D1734" s="4"/>
      <c r="E1734" s="5"/>
      <c r="F1734" s="4"/>
      <c r="G1734" s="6">
        <f>IF(AND(A1734="",B1734=""),"",IF(COUNTIFS($A$2:$A$2001,A1734,$B$2:$B$2001,B1734)&gt;1,"DUPLICADO","OK"))</f>
      </c>
      <c r="H1734" s="6">
        <f>IF(COUNTA(A1734:F1734)=0,"",IF(AND(A1734&lt;&gt;"",B1734&lt;&gt;"",E1734&lt;&gt;""),"OK","ERRO: faltam "&amp;IF(A1734="","Conta; ","")&amp;IF(B1734="","Oportunidade; ","")&amp;IF(E1734="","Novo gerente; ","")))</f>
      </c>
      <c r="I1734" s="6">
        <f>IF(COUNTA(A1734:F1734)=0,"",IF(AND(G1734="OK",H1734="OK"),"OK","REVISAR"))</f>
      </c>
    </row>
    <row r="1735">
      <c r="A1735" s="5"/>
      <c r="B1735" s="5"/>
      <c r="C1735" s="4"/>
      <c r="D1735" s="4"/>
      <c r="E1735" s="5"/>
      <c r="F1735" s="4"/>
      <c r="G1735" s="6">
        <f>IF(AND(A1735="",B1735=""),"",IF(COUNTIFS($A$2:$A$2001,A1735,$B$2:$B$2001,B1735)&gt;1,"DUPLICADO","OK"))</f>
      </c>
      <c r="H1735" s="6">
        <f>IF(COUNTA(A1735:F1735)=0,"",IF(AND(A1735&lt;&gt;"",B1735&lt;&gt;"",E1735&lt;&gt;""),"OK","ERRO: faltam "&amp;IF(A1735="","Conta; ","")&amp;IF(B1735="","Oportunidade; ","")&amp;IF(E1735="","Novo gerente; ","")))</f>
      </c>
      <c r="I1735" s="6">
        <f>IF(COUNTA(A1735:F1735)=0,"",IF(AND(G1735="OK",H1735="OK"),"OK","REVISAR"))</f>
      </c>
    </row>
    <row r="1736">
      <c r="A1736" s="5"/>
      <c r="B1736" s="5"/>
      <c r="C1736" s="4"/>
      <c r="D1736" s="4"/>
      <c r="E1736" s="5"/>
      <c r="F1736" s="4"/>
      <c r="G1736" s="6">
        <f>IF(AND(A1736="",B1736=""),"",IF(COUNTIFS($A$2:$A$2001,A1736,$B$2:$B$2001,B1736)&gt;1,"DUPLICADO","OK"))</f>
      </c>
      <c r="H1736" s="6">
        <f>IF(COUNTA(A1736:F1736)=0,"",IF(AND(A1736&lt;&gt;"",B1736&lt;&gt;"",E1736&lt;&gt;""),"OK","ERRO: faltam "&amp;IF(A1736="","Conta; ","")&amp;IF(B1736="","Oportunidade; ","")&amp;IF(E1736="","Novo gerente; ","")))</f>
      </c>
      <c r="I1736" s="6">
        <f>IF(COUNTA(A1736:F1736)=0,"",IF(AND(G1736="OK",H1736="OK"),"OK","REVISAR"))</f>
      </c>
    </row>
    <row r="1737">
      <c r="A1737" s="5"/>
      <c r="B1737" s="5"/>
      <c r="C1737" s="4"/>
      <c r="D1737" s="4"/>
      <c r="E1737" s="5"/>
      <c r="F1737" s="4"/>
      <c r="G1737" s="6">
        <f>IF(AND(A1737="",B1737=""),"",IF(COUNTIFS($A$2:$A$2001,A1737,$B$2:$B$2001,B1737)&gt;1,"DUPLICADO","OK"))</f>
      </c>
      <c r="H1737" s="6">
        <f>IF(COUNTA(A1737:F1737)=0,"",IF(AND(A1737&lt;&gt;"",B1737&lt;&gt;"",E1737&lt;&gt;""),"OK","ERRO: faltam "&amp;IF(A1737="","Conta; ","")&amp;IF(B1737="","Oportunidade; ","")&amp;IF(E1737="","Novo gerente; ","")))</f>
      </c>
      <c r="I1737" s="6">
        <f>IF(COUNTA(A1737:F1737)=0,"",IF(AND(G1737="OK",H1737="OK"),"OK","REVISAR"))</f>
      </c>
    </row>
    <row r="1738">
      <c r="A1738" s="5"/>
      <c r="B1738" s="5"/>
      <c r="C1738" s="4"/>
      <c r="D1738" s="4"/>
      <c r="E1738" s="5"/>
      <c r="F1738" s="4"/>
      <c r="G1738" s="6">
        <f>IF(AND(A1738="",B1738=""),"",IF(COUNTIFS($A$2:$A$2001,A1738,$B$2:$B$2001,B1738)&gt;1,"DUPLICADO","OK"))</f>
      </c>
      <c r="H1738" s="6">
        <f>IF(COUNTA(A1738:F1738)=0,"",IF(AND(A1738&lt;&gt;"",B1738&lt;&gt;"",E1738&lt;&gt;""),"OK","ERRO: faltam "&amp;IF(A1738="","Conta; ","")&amp;IF(B1738="","Oportunidade; ","")&amp;IF(E1738="","Novo gerente; ","")))</f>
      </c>
      <c r="I1738" s="6">
        <f>IF(COUNTA(A1738:F1738)=0,"",IF(AND(G1738="OK",H1738="OK"),"OK","REVISAR"))</f>
      </c>
    </row>
    <row r="1739">
      <c r="A1739" s="5"/>
      <c r="B1739" s="5"/>
      <c r="C1739" s="4"/>
      <c r="D1739" s="4"/>
      <c r="E1739" s="5"/>
      <c r="F1739" s="4"/>
      <c r="G1739" s="6">
        <f>IF(AND(A1739="",B1739=""),"",IF(COUNTIFS($A$2:$A$2001,A1739,$B$2:$B$2001,B1739)&gt;1,"DUPLICADO","OK"))</f>
      </c>
      <c r="H1739" s="6">
        <f>IF(COUNTA(A1739:F1739)=0,"",IF(AND(A1739&lt;&gt;"",B1739&lt;&gt;"",E1739&lt;&gt;""),"OK","ERRO: faltam "&amp;IF(A1739="","Conta; ","")&amp;IF(B1739="","Oportunidade; ","")&amp;IF(E1739="","Novo gerente; ","")))</f>
      </c>
      <c r="I1739" s="6">
        <f>IF(COUNTA(A1739:F1739)=0,"",IF(AND(G1739="OK",H1739="OK"),"OK","REVISAR"))</f>
      </c>
    </row>
    <row r="1740">
      <c r="A1740" s="5"/>
      <c r="B1740" s="5"/>
      <c r="C1740" s="4"/>
      <c r="D1740" s="4"/>
      <c r="E1740" s="5"/>
      <c r="F1740" s="4"/>
      <c r="G1740" s="6">
        <f>IF(AND(A1740="",B1740=""),"",IF(COUNTIFS($A$2:$A$2001,A1740,$B$2:$B$2001,B1740)&gt;1,"DUPLICADO","OK"))</f>
      </c>
      <c r="H1740" s="6">
        <f>IF(COUNTA(A1740:F1740)=0,"",IF(AND(A1740&lt;&gt;"",B1740&lt;&gt;"",E1740&lt;&gt;""),"OK","ERRO: faltam "&amp;IF(A1740="","Conta; ","")&amp;IF(B1740="","Oportunidade; ","")&amp;IF(E1740="","Novo gerente; ","")))</f>
      </c>
      <c r="I1740" s="6">
        <f>IF(COUNTA(A1740:F1740)=0,"",IF(AND(G1740="OK",H1740="OK"),"OK","REVISAR"))</f>
      </c>
    </row>
    <row r="1741">
      <c r="A1741" s="5"/>
      <c r="B1741" s="5"/>
      <c r="C1741" s="4"/>
      <c r="D1741" s="4"/>
      <c r="E1741" s="5"/>
      <c r="F1741" s="4"/>
      <c r="G1741" s="6">
        <f>IF(AND(A1741="",B1741=""),"",IF(COUNTIFS($A$2:$A$2001,A1741,$B$2:$B$2001,B1741)&gt;1,"DUPLICADO","OK"))</f>
      </c>
      <c r="H1741" s="6">
        <f>IF(COUNTA(A1741:F1741)=0,"",IF(AND(A1741&lt;&gt;"",B1741&lt;&gt;"",E1741&lt;&gt;""),"OK","ERRO: faltam "&amp;IF(A1741="","Conta; ","")&amp;IF(B1741="","Oportunidade; ","")&amp;IF(E1741="","Novo gerente; ","")))</f>
      </c>
      <c r="I1741" s="6">
        <f>IF(COUNTA(A1741:F1741)=0,"",IF(AND(G1741="OK",H1741="OK"),"OK","REVISAR"))</f>
      </c>
    </row>
    <row r="1742">
      <c r="A1742" s="5"/>
      <c r="B1742" s="5"/>
      <c r="C1742" s="4"/>
      <c r="D1742" s="4"/>
      <c r="E1742" s="5"/>
      <c r="F1742" s="4"/>
      <c r="G1742" s="6">
        <f>IF(AND(A1742="",B1742=""),"",IF(COUNTIFS($A$2:$A$2001,A1742,$B$2:$B$2001,B1742)&gt;1,"DUPLICADO","OK"))</f>
      </c>
      <c r="H1742" s="6">
        <f>IF(COUNTA(A1742:F1742)=0,"",IF(AND(A1742&lt;&gt;"",B1742&lt;&gt;"",E1742&lt;&gt;""),"OK","ERRO: faltam "&amp;IF(A1742="","Conta; ","")&amp;IF(B1742="","Oportunidade; ","")&amp;IF(E1742="","Novo gerente; ","")))</f>
      </c>
      <c r="I1742" s="6">
        <f>IF(COUNTA(A1742:F1742)=0,"",IF(AND(G1742="OK",H1742="OK"),"OK","REVISAR"))</f>
      </c>
    </row>
    <row r="1743">
      <c r="A1743" s="5"/>
      <c r="B1743" s="5"/>
      <c r="C1743" s="4"/>
      <c r="D1743" s="4"/>
      <c r="E1743" s="5"/>
      <c r="F1743" s="4"/>
      <c r="G1743" s="6">
        <f>IF(AND(A1743="",B1743=""),"",IF(COUNTIFS($A$2:$A$2001,A1743,$B$2:$B$2001,B1743)&gt;1,"DUPLICADO","OK"))</f>
      </c>
      <c r="H1743" s="6">
        <f>IF(COUNTA(A1743:F1743)=0,"",IF(AND(A1743&lt;&gt;"",B1743&lt;&gt;"",E1743&lt;&gt;""),"OK","ERRO: faltam "&amp;IF(A1743="","Conta; ","")&amp;IF(B1743="","Oportunidade; ","")&amp;IF(E1743="","Novo gerente; ","")))</f>
      </c>
      <c r="I1743" s="6">
        <f>IF(COUNTA(A1743:F1743)=0,"",IF(AND(G1743="OK",H1743="OK"),"OK","REVISAR"))</f>
      </c>
    </row>
    <row r="1744">
      <c r="A1744" s="5"/>
      <c r="B1744" s="5"/>
      <c r="C1744" s="4"/>
      <c r="D1744" s="4"/>
      <c r="E1744" s="5"/>
      <c r="F1744" s="4"/>
      <c r="G1744" s="6">
        <f>IF(AND(A1744="",B1744=""),"",IF(COUNTIFS($A$2:$A$2001,A1744,$B$2:$B$2001,B1744)&gt;1,"DUPLICADO","OK"))</f>
      </c>
      <c r="H1744" s="6">
        <f>IF(COUNTA(A1744:F1744)=0,"",IF(AND(A1744&lt;&gt;"",B1744&lt;&gt;"",E1744&lt;&gt;""),"OK","ERRO: faltam "&amp;IF(A1744="","Conta; ","")&amp;IF(B1744="","Oportunidade; ","")&amp;IF(E1744="","Novo gerente; ","")))</f>
      </c>
      <c r="I1744" s="6">
        <f>IF(COUNTA(A1744:F1744)=0,"",IF(AND(G1744="OK",H1744="OK"),"OK","REVISAR"))</f>
      </c>
    </row>
    <row r="1745">
      <c r="A1745" s="5"/>
      <c r="B1745" s="5"/>
      <c r="C1745" s="4"/>
      <c r="D1745" s="4"/>
      <c r="E1745" s="5"/>
      <c r="F1745" s="4"/>
      <c r="G1745" s="6">
        <f>IF(AND(A1745="",B1745=""),"",IF(COUNTIFS($A$2:$A$2001,A1745,$B$2:$B$2001,B1745)&gt;1,"DUPLICADO","OK"))</f>
      </c>
      <c r="H1745" s="6">
        <f>IF(COUNTA(A1745:F1745)=0,"",IF(AND(A1745&lt;&gt;"",B1745&lt;&gt;"",E1745&lt;&gt;""),"OK","ERRO: faltam "&amp;IF(A1745="","Conta; ","")&amp;IF(B1745="","Oportunidade; ","")&amp;IF(E1745="","Novo gerente; ","")))</f>
      </c>
      <c r="I1745" s="6">
        <f>IF(COUNTA(A1745:F1745)=0,"",IF(AND(G1745="OK",H1745="OK"),"OK","REVISAR"))</f>
      </c>
    </row>
    <row r="1746">
      <c r="A1746" s="5"/>
      <c r="B1746" s="5"/>
      <c r="C1746" s="4"/>
      <c r="D1746" s="4"/>
      <c r="E1746" s="5"/>
      <c r="F1746" s="4"/>
      <c r="G1746" s="6">
        <f>IF(AND(A1746="",B1746=""),"",IF(COUNTIFS($A$2:$A$2001,A1746,$B$2:$B$2001,B1746)&gt;1,"DUPLICADO","OK"))</f>
      </c>
      <c r="H1746" s="6">
        <f>IF(COUNTA(A1746:F1746)=0,"",IF(AND(A1746&lt;&gt;"",B1746&lt;&gt;"",E1746&lt;&gt;""),"OK","ERRO: faltam "&amp;IF(A1746="","Conta; ","")&amp;IF(B1746="","Oportunidade; ","")&amp;IF(E1746="","Novo gerente; ","")))</f>
      </c>
      <c r="I1746" s="6">
        <f>IF(COUNTA(A1746:F1746)=0,"",IF(AND(G1746="OK",H1746="OK"),"OK","REVISAR"))</f>
      </c>
    </row>
    <row r="1747">
      <c r="A1747" s="5"/>
      <c r="B1747" s="5"/>
      <c r="C1747" s="4"/>
      <c r="D1747" s="4"/>
      <c r="E1747" s="5"/>
      <c r="F1747" s="4"/>
      <c r="G1747" s="6">
        <f>IF(AND(A1747="",B1747=""),"",IF(COUNTIFS($A$2:$A$2001,A1747,$B$2:$B$2001,B1747)&gt;1,"DUPLICADO","OK"))</f>
      </c>
      <c r="H1747" s="6">
        <f>IF(COUNTA(A1747:F1747)=0,"",IF(AND(A1747&lt;&gt;"",B1747&lt;&gt;"",E1747&lt;&gt;""),"OK","ERRO: faltam "&amp;IF(A1747="","Conta; ","")&amp;IF(B1747="","Oportunidade; ","")&amp;IF(E1747="","Novo gerente; ","")))</f>
      </c>
      <c r="I1747" s="6">
        <f>IF(COUNTA(A1747:F1747)=0,"",IF(AND(G1747="OK",H1747="OK"),"OK","REVISAR"))</f>
      </c>
    </row>
    <row r="1748">
      <c r="A1748" s="5"/>
      <c r="B1748" s="5"/>
      <c r="C1748" s="4"/>
      <c r="D1748" s="4"/>
      <c r="E1748" s="5"/>
      <c r="F1748" s="4"/>
      <c r="G1748" s="6">
        <f>IF(AND(A1748="",B1748=""),"",IF(COUNTIFS($A$2:$A$2001,A1748,$B$2:$B$2001,B1748)&gt;1,"DUPLICADO","OK"))</f>
      </c>
      <c r="H1748" s="6">
        <f>IF(COUNTA(A1748:F1748)=0,"",IF(AND(A1748&lt;&gt;"",B1748&lt;&gt;"",E1748&lt;&gt;""),"OK","ERRO: faltam "&amp;IF(A1748="","Conta; ","")&amp;IF(B1748="","Oportunidade; ","")&amp;IF(E1748="","Novo gerente; ","")))</f>
      </c>
      <c r="I1748" s="6">
        <f>IF(COUNTA(A1748:F1748)=0,"",IF(AND(G1748="OK",H1748="OK"),"OK","REVISAR"))</f>
      </c>
    </row>
    <row r="1749">
      <c r="A1749" s="5"/>
      <c r="B1749" s="5"/>
      <c r="C1749" s="4"/>
      <c r="D1749" s="4"/>
      <c r="E1749" s="5"/>
      <c r="F1749" s="4"/>
      <c r="G1749" s="6">
        <f>IF(AND(A1749="",B1749=""),"",IF(COUNTIFS($A$2:$A$2001,A1749,$B$2:$B$2001,B1749)&gt;1,"DUPLICADO","OK"))</f>
      </c>
      <c r="H1749" s="6">
        <f>IF(COUNTA(A1749:F1749)=0,"",IF(AND(A1749&lt;&gt;"",B1749&lt;&gt;"",E1749&lt;&gt;""),"OK","ERRO: faltam "&amp;IF(A1749="","Conta; ","")&amp;IF(B1749="","Oportunidade; ","")&amp;IF(E1749="","Novo gerente; ","")))</f>
      </c>
      <c r="I1749" s="6">
        <f>IF(COUNTA(A1749:F1749)=0,"",IF(AND(G1749="OK",H1749="OK"),"OK","REVISAR"))</f>
      </c>
    </row>
    <row r="1750">
      <c r="A1750" s="5"/>
      <c r="B1750" s="5"/>
      <c r="C1750" s="4"/>
      <c r="D1750" s="4"/>
      <c r="E1750" s="5"/>
      <c r="F1750" s="4"/>
      <c r="G1750" s="6">
        <f>IF(AND(A1750="",B1750=""),"",IF(COUNTIFS($A$2:$A$2001,A1750,$B$2:$B$2001,B1750)&gt;1,"DUPLICADO","OK"))</f>
      </c>
      <c r="H1750" s="6">
        <f>IF(COUNTA(A1750:F1750)=0,"",IF(AND(A1750&lt;&gt;"",B1750&lt;&gt;"",E1750&lt;&gt;""),"OK","ERRO: faltam "&amp;IF(A1750="","Conta; ","")&amp;IF(B1750="","Oportunidade; ","")&amp;IF(E1750="","Novo gerente; ","")))</f>
      </c>
      <c r="I1750" s="6">
        <f>IF(COUNTA(A1750:F1750)=0,"",IF(AND(G1750="OK",H1750="OK"),"OK","REVISAR"))</f>
      </c>
    </row>
    <row r="1751">
      <c r="A1751" s="5"/>
      <c r="B1751" s="5"/>
      <c r="C1751" s="4"/>
      <c r="D1751" s="4"/>
      <c r="E1751" s="5"/>
      <c r="F1751" s="4"/>
      <c r="G1751" s="6">
        <f>IF(AND(A1751="",B1751=""),"",IF(COUNTIFS($A$2:$A$2001,A1751,$B$2:$B$2001,B1751)&gt;1,"DUPLICADO","OK"))</f>
      </c>
      <c r="H1751" s="6">
        <f>IF(COUNTA(A1751:F1751)=0,"",IF(AND(A1751&lt;&gt;"",B1751&lt;&gt;"",E1751&lt;&gt;""),"OK","ERRO: faltam "&amp;IF(A1751="","Conta; ","")&amp;IF(B1751="","Oportunidade; ","")&amp;IF(E1751="","Novo gerente; ","")))</f>
      </c>
      <c r="I1751" s="6">
        <f>IF(COUNTA(A1751:F1751)=0,"",IF(AND(G1751="OK",H1751="OK"),"OK","REVISAR"))</f>
      </c>
    </row>
    <row r="1752">
      <c r="A1752" s="5"/>
      <c r="B1752" s="5"/>
      <c r="C1752" s="4"/>
      <c r="D1752" s="4"/>
      <c r="E1752" s="5"/>
      <c r="F1752" s="4"/>
      <c r="G1752" s="6">
        <f>IF(AND(A1752="",B1752=""),"",IF(COUNTIFS($A$2:$A$2001,A1752,$B$2:$B$2001,B1752)&gt;1,"DUPLICADO","OK"))</f>
      </c>
      <c r="H1752" s="6">
        <f>IF(COUNTA(A1752:F1752)=0,"",IF(AND(A1752&lt;&gt;"",B1752&lt;&gt;"",E1752&lt;&gt;""),"OK","ERRO: faltam "&amp;IF(A1752="","Conta; ","")&amp;IF(B1752="","Oportunidade; ","")&amp;IF(E1752="","Novo gerente; ","")))</f>
      </c>
      <c r="I1752" s="6">
        <f>IF(COUNTA(A1752:F1752)=0,"",IF(AND(G1752="OK",H1752="OK"),"OK","REVISAR"))</f>
      </c>
    </row>
    <row r="1753">
      <c r="A1753" s="5"/>
      <c r="B1753" s="5"/>
      <c r="C1753" s="4"/>
      <c r="D1753" s="4"/>
      <c r="E1753" s="5"/>
      <c r="F1753" s="4"/>
      <c r="G1753" s="6">
        <f>IF(AND(A1753="",B1753=""),"",IF(COUNTIFS($A$2:$A$2001,A1753,$B$2:$B$2001,B1753)&gt;1,"DUPLICADO","OK"))</f>
      </c>
      <c r="H1753" s="6">
        <f>IF(COUNTA(A1753:F1753)=0,"",IF(AND(A1753&lt;&gt;"",B1753&lt;&gt;"",E1753&lt;&gt;""),"OK","ERRO: faltam "&amp;IF(A1753="","Conta; ","")&amp;IF(B1753="","Oportunidade; ","")&amp;IF(E1753="","Novo gerente; ","")))</f>
      </c>
      <c r="I1753" s="6">
        <f>IF(COUNTA(A1753:F1753)=0,"",IF(AND(G1753="OK",H1753="OK"),"OK","REVISAR"))</f>
      </c>
    </row>
    <row r="1754">
      <c r="A1754" s="5"/>
      <c r="B1754" s="5"/>
      <c r="C1754" s="4"/>
      <c r="D1754" s="4"/>
      <c r="E1754" s="5"/>
      <c r="F1754" s="4"/>
      <c r="G1754" s="6">
        <f>IF(AND(A1754="",B1754=""),"",IF(COUNTIFS($A$2:$A$2001,A1754,$B$2:$B$2001,B1754)&gt;1,"DUPLICADO","OK"))</f>
      </c>
      <c r="H1754" s="6">
        <f>IF(COUNTA(A1754:F1754)=0,"",IF(AND(A1754&lt;&gt;"",B1754&lt;&gt;"",E1754&lt;&gt;""),"OK","ERRO: faltam "&amp;IF(A1754="","Conta; ","")&amp;IF(B1754="","Oportunidade; ","")&amp;IF(E1754="","Novo gerente; ","")))</f>
      </c>
      <c r="I1754" s="6">
        <f>IF(COUNTA(A1754:F1754)=0,"",IF(AND(G1754="OK",H1754="OK"),"OK","REVISAR"))</f>
      </c>
    </row>
    <row r="1755">
      <c r="A1755" s="5"/>
      <c r="B1755" s="5"/>
      <c r="C1755" s="4"/>
      <c r="D1755" s="4"/>
      <c r="E1755" s="5"/>
      <c r="F1755" s="4"/>
      <c r="G1755" s="6">
        <f>IF(AND(A1755="",B1755=""),"",IF(COUNTIFS($A$2:$A$2001,A1755,$B$2:$B$2001,B1755)&gt;1,"DUPLICADO","OK"))</f>
      </c>
      <c r="H1755" s="6">
        <f>IF(COUNTA(A1755:F1755)=0,"",IF(AND(A1755&lt;&gt;"",B1755&lt;&gt;"",E1755&lt;&gt;""),"OK","ERRO: faltam "&amp;IF(A1755="","Conta; ","")&amp;IF(B1755="","Oportunidade; ","")&amp;IF(E1755="","Novo gerente; ","")))</f>
      </c>
      <c r="I1755" s="6">
        <f>IF(COUNTA(A1755:F1755)=0,"",IF(AND(G1755="OK",H1755="OK"),"OK","REVISAR"))</f>
      </c>
    </row>
    <row r="1756">
      <c r="A1756" s="5"/>
      <c r="B1756" s="5"/>
      <c r="C1756" s="4"/>
      <c r="D1756" s="4"/>
      <c r="E1756" s="5"/>
      <c r="F1756" s="4"/>
      <c r="G1756" s="6">
        <f>IF(AND(A1756="",B1756=""),"",IF(COUNTIFS($A$2:$A$2001,A1756,$B$2:$B$2001,B1756)&gt;1,"DUPLICADO","OK"))</f>
      </c>
      <c r="H1756" s="6">
        <f>IF(COUNTA(A1756:F1756)=0,"",IF(AND(A1756&lt;&gt;"",B1756&lt;&gt;"",E1756&lt;&gt;""),"OK","ERRO: faltam "&amp;IF(A1756="","Conta; ","")&amp;IF(B1756="","Oportunidade; ","")&amp;IF(E1756="","Novo gerente; ","")))</f>
      </c>
      <c r="I1756" s="6">
        <f>IF(COUNTA(A1756:F1756)=0,"",IF(AND(G1756="OK",H1756="OK"),"OK","REVISAR"))</f>
      </c>
    </row>
    <row r="1757">
      <c r="A1757" s="5"/>
      <c r="B1757" s="5"/>
      <c r="C1757" s="4"/>
      <c r="D1757" s="4"/>
      <c r="E1757" s="5"/>
      <c r="F1757" s="4"/>
      <c r="G1757" s="6">
        <f>IF(AND(A1757="",B1757=""),"",IF(COUNTIFS($A$2:$A$2001,A1757,$B$2:$B$2001,B1757)&gt;1,"DUPLICADO","OK"))</f>
      </c>
      <c r="H1757" s="6">
        <f>IF(COUNTA(A1757:F1757)=0,"",IF(AND(A1757&lt;&gt;"",B1757&lt;&gt;"",E1757&lt;&gt;""),"OK","ERRO: faltam "&amp;IF(A1757="","Conta; ","")&amp;IF(B1757="","Oportunidade; ","")&amp;IF(E1757="","Novo gerente; ","")))</f>
      </c>
      <c r="I1757" s="6">
        <f>IF(COUNTA(A1757:F1757)=0,"",IF(AND(G1757="OK",H1757="OK"),"OK","REVISAR"))</f>
      </c>
    </row>
    <row r="1758">
      <c r="A1758" s="5"/>
      <c r="B1758" s="5"/>
      <c r="C1758" s="4"/>
      <c r="D1758" s="4"/>
      <c r="E1758" s="5"/>
      <c r="F1758" s="4"/>
      <c r="G1758" s="6">
        <f>IF(AND(A1758="",B1758=""),"",IF(COUNTIFS($A$2:$A$2001,A1758,$B$2:$B$2001,B1758)&gt;1,"DUPLICADO","OK"))</f>
      </c>
      <c r="H1758" s="6">
        <f>IF(COUNTA(A1758:F1758)=0,"",IF(AND(A1758&lt;&gt;"",B1758&lt;&gt;"",E1758&lt;&gt;""),"OK","ERRO: faltam "&amp;IF(A1758="","Conta; ","")&amp;IF(B1758="","Oportunidade; ","")&amp;IF(E1758="","Novo gerente; ","")))</f>
      </c>
      <c r="I1758" s="6">
        <f>IF(COUNTA(A1758:F1758)=0,"",IF(AND(G1758="OK",H1758="OK"),"OK","REVISAR"))</f>
      </c>
    </row>
    <row r="1759">
      <c r="A1759" s="5"/>
      <c r="B1759" s="5"/>
      <c r="C1759" s="4"/>
      <c r="D1759" s="4"/>
      <c r="E1759" s="5"/>
      <c r="F1759" s="4"/>
      <c r="G1759" s="6">
        <f>IF(AND(A1759="",B1759=""),"",IF(COUNTIFS($A$2:$A$2001,A1759,$B$2:$B$2001,B1759)&gt;1,"DUPLICADO","OK"))</f>
      </c>
      <c r="H1759" s="6">
        <f>IF(COUNTA(A1759:F1759)=0,"",IF(AND(A1759&lt;&gt;"",B1759&lt;&gt;"",E1759&lt;&gt;""),"OK","ERRO: faltam "&amp;IF(A1759="","Conta; ","")&amp;IF(B1759="","Oportunidade; ","")&amp;IF(E1759="","Novo gerente; ","")))</f>
      </c>
      <c r="I1759" s="6">
        <f>IF(COUNTA(A1759:F1759)=0,"",IF(AND(G1759="OK",H1759="OK"),"OK","REVISAR"))</f>
      </c>
    </row>
    <row r="1760">
      <c r="A1760" s="5"/>
      <c r="B1760" s="5"/>
      <c r="C1760" s="4"/>
      <c r="D1760" s="4"/>
      <c r="E1760" s="5"/>
      <c r="F1760" s="4"/>
      <c r="G1760" s="6">
        <f>IF(AND(A1760="",B1760=""),"",IF(COUNTIFS($A$2:$A$2001,A1760,$B$2:$B$2001,B1760)&gt;1,"DUPLICADO","OK"))</f>
      </c>
      <c r="H1760" s="6">
        <f>IF(COUNTA(A1760:F1760)=0,"",IF(AND(A1760&lt;&gt;"",B1760&lt;&gt;"",E1760&lt;&gt;""),"OK","ERRO: faltam "&amp;IF(A1760="","Conta; ","")&amp;IF(B1760="","Oportunidade; ","")&amp;IF(E1760="","Novo gerente; ","")))</f>
      </c>
      <c r="I1760" s="6">
        <f>IF(COUNTA(A1760:F1760)=0,"",IF(AND(G1760="OK",H1760="OK"),"OK","REVISAR"))</f>
      </c>
    </row>
    <row r="1761">
      <c r="A1761" s="5"/>
      <c r="B1761" s="5"/>
      <c r="C1761" s="4"/>
      <c r="D1761" s="4"/>
      <c r="E1761" s="5"/>
      <c r="F1761" s="4"/>
      <c r="G1761" s="6">
        <f>IF(AND(A1761="",B1761=""),"",IF(COUNTIFS($A$2:$A$2001,A1761,$B$2:$B$2001,B1761)&gt;1,"DUPLICADO","OK"))</f>
      </c>
      <c r="H1761" s="6">
        <f>IF(COUNTA(A1761:F1761)=0,"",IF(AND(A1761&lt;&gt;"",B1761&lt;&gt;"",E1761&lt;&gt;""),"OK","ERRO: faltam "&amp;IF(A1761="","Conta; ","")&amp;IF(B1761="","Oportunidade; ","")&amp;IF(E1761="","Novo gerente; ","")))</f>
      </c>
      <c r="I1761" s="6">
        <f>IF(COUNTA(A1761:F1761)=0,"",IF(AND(G1761="OK",H1761="OK"),"OK","REVISAR"))</f>
      </c>
    </row>
    <row r="1762">
      <c r="A1762" s="5"/>
      <c r="B1762" s="5"/>
      <c r="C1762" s="4"/>
      <c r="D1762" s="4"/>
      <c r="E1762" s="5"/>
      <c r="F1762" s="4"/>
      <c r="G1762" s="6">
        <f>IF(AND(A1762="",B1762=""),"",IF(COUNTIFS($A$2:$A$2001,A1762,$B$2:$B$2001,B1762)&gt;1,"DUPLICADO","OK"))</f>
      </c>
      <c r="H1762" s="6">
        <f>IF(COUNTA(A1762:F1762)=0,"",IF(AND(A1762&lt;&gt;"",B1762&lt;&gt;"",E1762&lt;&gt;""),"OK","ERRO: faltam "&amp;IF(A1762="","Conta; ","")&amp;IF(B1762="","Oportunidade; ","")&amp;IF(E1762="","Novo gerente; ","")))</f>
      </c>
      <c r="I1762" s="6">
        <f>IF(COUNTA(A1762:F1762)=0,"",IF(AND(G1762="OK",H1762="OK"),"OK","REVISAR"))</f>
      </c>
    </row>
    <row r="1763">
      <c r="A1763" s="5"/>
      <c r="B1763" s="5"/>
      <c r="C1763" s="4"/>
      <c r="D1763" s="4"/>
      <c r="E1763" s="5"/>
      <c r="F1763" s="4"/>
      <c r="G1763" s="6">
        <f>IF(AND(A1763="",B1763=""),"",IF(COUNTIFS($A$2:$A$2001,A1763,$B$2:$B$2001,B1763)&gt;1,"DUPLICADO","OK"))</f>
      </c>
      <c r="H1763" s="6">
        <f>IF(COUNTA(A1763:F1763)=0,"",IF(AND(A1763&lt;&gt;"",B1763&lt;&gt;"",E1763&lt;&gt;""),"OK","ERRO: faltam "&amp;IF(A1763="","Conta; ","")&amp;IF(B1763="","Oportunidade; ","")&amp;IF(E1763="","Novo gerente; ","")))</f>
      </c>
      <c r="I1763" s="6">
        <f>IF(COUNTA(A1763:F1763)=0,"",IF(AND(G1763="OK",H1763="OK"),"OK","REVISAR"))</f>
      </c>
    </row>
    <row r="1764">
      <c r="A1764" s="5"/>
      <c r="B1764" s="5"/>
      <c r="C1764" s="4"/>
      <c r="D1764" s="4"/>
      <c r="E1764" s="5"/>
      <c r="F1764" s="4"/>
      <c r="G1764" s="6">
        <f>IF(AND(A1764="",B1764=""),"",IF(COUNTIFS($A$2:$A$2001,A1764,$B$2:$B$2001,B1764)&gt;1,"DUPLICADO","OK"))</f>
      </c>
      <c r="H1764" s="6">
        <f>IF(COUNTA(A1764:F1764)=0,"",IF(AND(A1764&lt;&gt;"",B1764&lt;&gt;"",E1764&lt;&gt;""),"OK","ERRO: faltam "&amp;IF(A1764="","Conta; ","")&amp;IF(B1764="","Oportunidade; ","")&amp;IF(E1764="","Novo gerente; ","")))</f>
      </c>
      <c r="I1764" s="6">
        <f>IF(COUNTA(A1764:F1764)=0,"",IF(AND(G1764="OK",H1764="OK"),"OK","REVISAR"))</f>
      </c>
    </row>
    <row r="1765">
      <c r="A1765" s="5"/>
      <c r="B1765" s="5"/>
      <c r="C1765" s="4"/>
      <c r="D1765" s="4"/>
      <c r="E1765" s="5"/>
      <c r="F1765" s="4"/>
      <c r="G1765" s="6">
        <f>IF(AND(A1765="",B1765=""),"",IF(COUNTIFS($A$2:$A$2001,A1765,$B$2:$B$2001,B1765)&gt;1,"DUPLICADO","OK"))</f>
      </c>
      <c r="H1765" s="6">
        <f>IF(COUNTA(A1765:F1765)=0,"",IF(AND(A1765&lt;&gt;"",B1765&lt;&gt;"",E1765&lt;&gt;""),"OK","ERRO: faltam "&amp;IF(A1765="","Conta; ","")&amp;IF(B1765="","Oportunidade; ","")&amp;IF(E1765="","Novo gerente; ","")))</f>
      </c>
      <c r="I1765" s="6">
        <f>IF(COUNTA(A1765:F1765)=0,"",IF(AND(G1765="OK",H1765="OK"),"OK","REVISAR"))</f>
      </c>
    </row>
    <row r="1766">
      <c r="A1766" s="5"/>
      <c r="B1766" s="5"/>
      <c r="C1766" s="4"/>
      <c r="D1766" s="4"/>
      <c r="E1766" s="5"/>
      <c r="F1766" s="4"/>
      <c r="G1766" s="6">
        <f>IF(AND(A1766="",B1766=""),"",IF(COUNTIFS($A$2:$A$2001,A1766,$B$2:$B$2001,B1766)&gt;1,"DUPLICADO","OK"))</f>
      </c>
      <c r="H1766" s="6">
        <f>IF(COUNTA(A1766:F1766)=0,"",IF(AND(A1766&lt;&gt;"",B1766&lt;&gt;"",E1766&lt;&gt;""),"OK","ERRO: faltam "&amp;IF(A1766="","Conta; ","")&amp;IF(B1766="","Oportunidade; ","")&amp;IF(E1766="","Novo gerente; ","")))</f>
      </c>
      <c r="I1766" s="6">
        <f>IF(COUNTA(A1766:F1766)=0,"",IF(AND(G1766="OK",H1766="OK"),"OK","REVISAR"))</f>
      </c>
    </row>
    <row r="1767">
      <c r="A1767" s="5"/>
      <c r="B1767" s="5"/>
      <c r="C1767" s="4"/>
      <c r="D1767" s="4"/>
      <c r="E1767" s="5"/>
      <c r="F1767" s="4"/>
      <c r="G1767" s="6">
        <f>IF(AND(A1767="",B1767=""),"",IF(COUNTIFS($A$2:$A$2001,A1767,$B$2:$B$2001,B1767)&gt;1,"DUPLICADO","OK"))</f>
      </c>
      <c r="H1767" s="6">
        <f>IF(COUNTA(A1767:F1767)=0,"",IF(AND(A1767&lt;&gt;"",B1767&lt;&gt;"",E1767&lt;&gt;""),"OK","ERRO: faltam "&amp;IF(A1767="","Conta; ","")&amp;IF(B1767="","Oportunidade; ","")&amp;IF(E1767="","Novo gerente; ","")))</f>
      </c>
      <c r="I1767" s="6">
        <f>IF(COUNTA(A1767:F1767)=0,"",IF(AND(G1767="OK",H1767="OK"),"OK","REVISAR"))</f>
      </c>
    </row>
    <row r="1768">
      <c r="A1768" s="5"/>
      <c r="B1768" s="5"/>
      <c r="C1768" s="4"/>
      <c r="D1768" s="4"/>
      <c r="E1768" s="5"/>
      <c r="F1768" s="4"/>
      <c r="G1768" s="6">
        <f>IF(AND(A1768="",B1768=""),"",IF(COUNTIFS($A$2:$A$2001,A1768,$B$2:$B$2001,B1768)&gt;1,"DUPLICADO","OK"))</f>
      </c>
      <c r="H1768" s="6">
        <f>IF(COUNTA(A1768:F1768)=0,"",IF(AND(A1768&lt;&gt;"",B1768&lt;&gt;"",E1768&lt;&gt;""),"OK","ERRO: faltam "&amp;IF(A1768="","Conta; ","")&amp;IF(B1768="","Oportunidade; ","")&amp;IF(E1768="","Novo gerente; ","")))</f>
      </c>
      <c r="I1768" s="6">
        <f>IF(COUNTA(A1768:F1768)=0,"",IF(AND(G1768="OK",H1768="OK"),"OK","REVISAR"))</f>
      </c>
    </row>
    <row r="1769">
      <c r="A1769" s="5"/>
      <c r="B1769" s="5"/>
      <c r="C1769" s="4"/>
      <c r="D1769" s="4"/>
      <c r="E1769" s="5"/>
      <c r="F1769" s="4"/>
      <c r="G1769" s="6">
        <f>IF(AND(A1769="",B1769=""),"",IF(COUNTIFS($A$2:$A$2001,A1769,$B$2:$B$2001,B1769)&gt;1,"DUPLICADO","OK"))</f>
      </c>
      <c r="H1769" s="6">
        <f>IF(COUNTA(A1769:F1769)=0,"",IF(AND(A1769&lt;&gt;"",B1769&lt;&gt;"",E1769&lt;&gt;""),"OK","ERRO: faltam "&amp;IF(A1769="","Conta; ","")&amp;IF(B1769="","Oportunidade; ","")&amp;IF(E1769="","Novo gerente; ","")))</f>
      </c>
      <c r="I1769" s="6">
        <f>IF(COUNTA(A1769:F1769)=0,"",IF(AND(G1769="OK",H1769="OK"),"OK","REVISAR"))</f>
      </c>
    </row>
    <row r="1770">
      <c r="A1770" s="5"/>
      <c r="B1770" s="5"/>
      <c r="C1770" s="4"/>
      <c r="D1770" s="4"/>
      <c r="E1770" s="5"/>
      <c r="F1770" s="4"/>
      <c r="G1770" s="6">
        <f>IF(AND(A1770="",B1770=""),"",IF(COUNTIFS($A$2:$A$2001,A1770,$B$2:$B$2001,B1770)&gt;1,"DUPLICADO","OK"))</f>
      </c>
      <c r="H1770" s="6">
        <f>IF(COUNTA(A1770:F1770)=0,"",IF(AND(A1770&lt;&gt;"",B1770&lt;&gt;"",E1770&lt;&gt;""),"OK","ERRO: faltam "&amp;IF(A1770="","Conta; ","")&amp;IF(B1770="","Oportunidade; ","")&amp;IF(E1770="","Novo gerente; ","")))</f>
      </c>
      <c r="I1770" s="6">
        <f>IF(COUNTA(A1770:F1770)=0,"",IF(AND(G1770="OK",H1770="OK"),"OK","REVISAR"))</f>
      </c>
    </row>
    <row r="1771">
      <c r="A1771" s="5"/>
      <c r="B1771" s="5"/>
      <c r="C1771" s="4"/>
      <c r="D1771" s="4"/>
      <c r="E1771" s="5"/>
      <c r="F1771" s="4"/>
      <c r="G1771" s="6">
        <f>IF(AND(A1771="",B1771=""),"",IF(COUNTIFS($A$2:$A$2001,A1771,$B$2:$B$2001,B1771)&gt;1,"DUPLICADO","OK"))</f>
      </c>
      <c r="H1771" s="6">
        <f>IF(COUNTA(A1771:F1771)=0,"",IF(AND(A1771&lt;&gt;"",B1771&lt;&gt;"",E1771&lt;&gt;""),"OK","ERRO: faltam "&amp;IF(A1771="","Conta; ","")&amp;IF(B1771="","Oportunidade; ","")&amp;IF(E1771="","Novo gerente; ","")))</f>
      </c>
      <c r="I1771" s="6">
        <f>IF(COUNTA(A1771:F1771)=0,"",IF(AND(G1771="OK",H1771="OK"),"OK","REVISAR"))</f>
      </c>
    </row>
    <row r="1772">
      <c r="A1772" s="5"/>
      <c r="B1772" s="5"/>
      <c r="C1772" s="4"/>
      <c r="D1772" s="4"/>
      <c r="E1772" s="5"/>
      <c r="F1772" s="4"/>
      <c r="G1772" s="6">
        <f>IF(AND(A1772="",B1772=""),"",IF(COUNTIFS($A$2:$A$2001,A1772,$B$2:$B$2001,B1772)&gt;1,"DUPLICADO","OK"))</f>
      </c>
      <c r="H1772" s="6">
        <f>IF(COUNTA(A1772:F1772)=0,"",IF(AND(A1772&lt;&gt;"",B1772&lt;&gt;"",E1772&lt;&gt;""),"OK","ERRO: faltam "&amp;IF(A1772="","Conta; ","")&amp;IF(B1772="","Oportunidade; ","")&amp;IF(E1772="","Novo gerente; ","")))</f>
      </c>
      <c r="I1772" s="6">
        <f>IF(COUNTA(A1772:F1772)=0,"",IF(AND(G1772="OK",H1772="OK"),"OK","REVISAR"))</f>
      </c>
    </row>
    <row r="1773">
      <c r="A1773" s="5"/>
      <c r="B1773" s="5"/>
      <c r="C1773" s="4"/>
      <c r="D1773" s="4"/>
      <c r="E1773" s="5"/>
      <c r="F1773" s="4"/>
      <c r="G1773" s="6">
        <f>IF(AND(A1773="",B1773=""),"",IF(COUNTIFS($A$2:$A$2001,A1773,$B$2:$B$2001,B1773)&gt;1,"DUPLICADO","OK"))</f>
      </c>
      <c r="H1773" s="6">
        <f>IF(COUNTA(A1773:F1773)=0,"",IF(AND(A1773&lt;&gt;"",B1773&lt;&gt;"",E1773&lt;&gt;""),"OK","ERRO: faltam "&amp;IF(A1773="","Conta; ","")&amp;IF(B1773="","Oportunidade; ","")&amp;IF(E1773="","Novo gerente; ","")))</f>
      </c>
      <c r="I1773" s="6">
        <f>IF(COUNTA(A1773:F1773)=0,"",IF(AND(G1773="OK",H1773="OK"),"OK","REVISAR"))</f>
      </c>
    </row>
    <row r="1774">
      <c r="A1774" s="5"/>
      <c r="B1774" s="5"/>
      <c r="C1774" s="4"/>
      <c r="D1774" s="4"/>
      <c r="E1774" s="5"/>
      <c r="F1774" s="4"/>
      <c r="G1774" s="6">
        <f>IF(AND(A1774="",B1774=""),"",IF(COUNTIFS($A$2:$A$2001,A1774,$B$2:$B$2001,B1774)&gt;1,"DUPLICADO","OK"))</f>
      </c>
      <c r="H1774" s="6">
        <f>IF(COUNTA(A1774:F1774)=0,"",IF(AND(A1774&lt;&gt;"",B1774&lt;&gt;"",E1774&lt;&gt;""),"OK","ERRO: faltam "&amp;IF(A1774="","Conta; ","")&amp;IF(B1774="","Oportunidade; ","")&amp;IF(E1774="","Novo gerente; ","")))</f>
      </c>
      <c r="I1774" s="6">
        <f>IF(COUNTA(A1774:F1774)=0,"",IF(AND(G1774="OK",H1774="OK"),"OK","REVISAR"))</f>
      </c>
    </row>
    <row r="1775">
      <c r="A1775" s="5"/>
      <c r="B1775" s="5"/>
      <c r="C1775" s="4"/>
      <c r="D1775" s="4"/>
      <c r="E1775" s="5"/>
      <c r="F1775" s="4"/>
      <c r="G1775" s="6">
        <f>IF(AND(A1775="",B1775=""),"",IF(COUNTIFS($A$2:$A$2001,A1775,$B$2:$B$2001,B1775)&gt;1,"DUPLICADO","OK"))</f>
      </c>
      <c r="H1775" s="6">
        <f>IF(COUNTA(A1775:F1775)=0,"",IF(AND(A1775&lt;&gt;"",B1775&lt;&gt;"",E1775&lt;&gt;""),"OK","ERRO: faltam "&amp;IF(A1775="","Conta; ","")&amp;IF(B1775="","Oportunidade; ","")&amp;IF(E1775="","Novo gerente; ","")))</f>
      </c>
      <c r="I1775" s="6">
        <f>IF(COUNTA(A1775:F1775)=0,"",IF(AND(G1775="OK",H1775="OK"),"OK","REVISAR"))</f>
      </c>
    </row>
    <row r="1776">
      <c r="A1776" s="5"/>
      <c r="B1776" s="5"/>
      <c r="C1776" s="4"/>
      <c r="D1776" s="4"/>
      <c r="E1776" s="5"/>
      <c r="F1776" s="4"/>
      <c r="G1776" s="6">
        <f>IF(AND(A1776="",B1776=""),"",IF(COUNTIFS($A$2:$A$2001,A1776,$B$2:$B$2001,B1776)&gt;1,"DUPLICADO","OK"))</f>
      </c>
      <c r="H1776" s="6">
        <f>IF(COUNTA(A1776:F1776)=0,"",IF(AND(A1776&lt;&gt;"",B1776&lt;&gt;"",E1776&lt;&gt;""),"OK","ERRO: faltam "&amp;IF(A1776="","Conta; ","")&amp;IF(B1776="","Oportunidade; ","")&amp;IF(E1776="","Novo gerente; ","")))</f>
      </c>
      <c r="I1776" s="6">
        <f>IF(COUNTA(A1776:F1776)=0,"",IF(AND(G1776="OK",H1776="OK"),"OK","REVISAR"))</f>
      </c>
    </row>
    <row r="1777">
      <c r="A1777" s="5"/>
      <c r="B1777" s="5"/>
      <c r="C1777" s="4"/>
      <c r="D1777" s="4"/>
      <c r="E1777" s="5"/>
      <c r="F1777" s="4"/>
      <c r="G1777" s="6">
        <f>IF(AND(A1777="",B1777=""),"",IF(COUNTIFS($A$2:$A$2001,A1777,$B$2:$B$2001,B1777)&gt;1,"DUPLICADO","OK"))</f>
      </c>
      <c r="H1777" s="6">
        <f>IF(COUNTA(A1777:F1777)=0,"",IF(AND(A1777&lt;&gt;"",B1777&lt;&gt;"",E1777&lt;&gt;""),"OK","ERRO: faltam "&amp;IF(A1777="","Conta; ","")&amp;IF(B1777="","Oportunidade; ","")&amp;IF(E1777="","Novo gerente; ","")))</f>
      </c>
      <c r="I1777" s="6">
        <f>IF(COUNTA(A1777:F1777)=0,"",IF(AND(G1777="OK",H1777="OK"),"OK","REVISAR"))</f>
      </c>
    </row>
    <row r="1778">
      <c r="A1778" s="5"/>
      <c r="B1778" s="5"/>
      <c r="C1778" s="4"/>
      <c r="D1778" s="4"/>
      <c r="E1778" s="5"/>
      <c r="F1778" s="4"/>
      <c r="G1778" s="6">
        <f>IF(AND(A1778="",B1778=""),"",IF(COUNTIFS($A$2:$A$2001,A1778,$B$2:$B$2001,B1778)&gt;1,"DUPLICADO","OK"))</f>
      </c>
      <c r="H1778" s="6">
        <f>IF(COUNTA(A1778:F1778)=0,"",IF(AND(A1778&lt;&gt;"",B1778&lt;&gt;"",E1778&lt;&gt;""),"OK","ERRO: faltam "&amp;IF(A1778="","Conta; ","")&amp;IF(B1778="","Oportunidade; ","")&amp;IF(E1778="","Novo gerente; ","")))</f>
      </c>
      <c r="I1778" s="6">
        <f>IF(COUNTA(A1778:F1778)=0,"",IF(AND(G1778="OK",H1778="OK"),"OK","REVISAR"))</f>
      </c>
    </row>
    <row r="1779">
      <c r="A1779" s="5"/>
      <c r="B1779" s="5"/>
      <c r="C1779" s="4"/>
      <c r="D1779" s="4"/>
      <c r="E1779" s="5"/>
      <c r="F1779" s="4"/>
      <c r="G1779" s="6">
        <f>IF(AND(A1779="",B1779=""),"",IF(COUNTIFS($A$2:$A$2001,A1779,$B$2:$B$2001,B1779)&gt;1,"DUPLICADO","OK"))</f>
      </c>
      <c r="H1779" s="6">
        <f>IF(COUNTA(A1779:F1779)=0,"",IF(AND(A1779&lt;&gt;"",B1779&lt;&gt;"",E1779&lt;&gt;""),"OK","ERRO: faltam "&amp;IF(A1779="","Conta; ","")&amp;IF(B1779="","Oportunidade; ","")&amp;IF(E1779="","Novo gerente; ","")))</f>
      </c>
      <c r="I1779" s="6">
        <f>IF(COUNTA(A1779:F1779)=0,"",IF(AND(G1779="OK",H1779="OK"),"OK","REVISAR"))</f>
      </c>
    </row>
    <row r="1780">
      <c r="A1780" s="5"/>
      <c r="B1780" s="5"/>
      <c r="C1780" s="4"/>
      <c r="D1780" s="4"/>
      <c r="E1780" s="5"/>
      <c r="F1780" s="4"/>
      <c r="G1780" s="6">
        <f>IF(AND(A1780="",B1780=""),"",IF(COUNTIFS($A$2:$A$2001,A1780,$B$2:$B$2001,B1780)&gt;1,"DUPLICADO","OK"))</f>
      </c>
      <c r="H1780" s="6">
        <f>IF(COUNTA(A1780:F1780)=0,"",IF(AND(A1780&lt;&gt;"",B1780&lt;&gt;"",E1780&lt;&gt;""),"OK","ERRO: faltam "&amp;IF(A1780="","Conta; ","")&amp;IF(B1780="","Oportunidade; ","")&amp;IF(E1780="","Novo gerente; ","")))</f>
      </c>
      <c r="I1780" s="6">
        <f>IF(COUNTA(A1780:F1780)=0,"",IF(AND(G1780="OK",H1780="OK"),"OK","REVISAR"))</f>
      </c>
    </row>
    <row r="1781">
      <c r="A1781" s="5"/>
      <c r="B1781" s="5"/>
      <c r="C1781" s="4"/>
      <c r="D1781" s="4"/>
      <c r="E1781" s="5"/>
      <c r="F1781" s="4"/>
      <c r="G1781" s="6">
        <f>IF(AND(A1781="",B1781=""),"",IF(COUNTIFS($A$2:$A$2001,A1781,$B$2:$B$2001,B1781)&gt;1,"DUPLICADO","OK"))</f>
      </c>
      <c r="H1781" s="6">
        <f>IF(COUNTA(A1781:F1781)=0,"",IF(AND(A1781&lt;&gt;"",B1781&lt;&gt;"",E1781&lt;&gt;""),"OK","ERRO: faltam "&amp;IF(A1781="","Conta; ","")&amp;IF(B1781="","Oportunidade; ","")&amp;IF(E1781="","Novo gerente; ","")))</f>
      </c>
      <c r="I1781" s="6">
        <f>IF(COUNTA(A1781:F1781)=0,"",IF(AND(G1781="OK",H1781="OK"),"OK","REVISAR"))</f>
      </c>
    </row>
    <row r="1782">
      <c r="A1782" s="5"/>
      <c r="B1782" s="5"/>
      <c r="C1782" s="4"/>
      <c r="D1782" s="4"/>
      <c r="E1782" s="5"/>
      <c r="F1782" s="4"/>
      <c r="G1782" s="6">
        <f>IF(AND(A1782="",B1782=""),"",IF(COUNTIFS($A$2:$A$2001,A1782,$B$2:$B$2001,B1782)&gt;1,"DUPLICADO","OK"))</f>
      </c>
      <c r="H1782" s="6">
        <f>IF(COUNTA(A1782:F1782)=0,"",IF(AND(A1782&lt;&gt;"",B1782&lt;&gt;"",E1782&lt;&gt;""),"OK","ERRO: faltam "&amp;IF(A1782="","Conta; ","")&amp;IF(B1782="","Oportunidade; ","")&amp;IF(E1782="","Novo gerente; ","")))</f>
      </c>
      <c r="I1782" s="6">
        <f>IF(COUNTA(A1782:F1782)=0,"",IF(AND(G1782="OK",H1782="OK"),"OK","REVISAR"))</f>
      </c>
    </row>
    <row r="1783">
      <c r="A1783" s="5"/>
      <c r="B1783" s="5"/>
      <c r="C1783" s="4"/>
      <c r="D1783" s="4"/>
      <c r="E1783" s="5"/>
      <c r="F1783" s="4"/>
      <c r="G1783" s="6">
        <f>IF(AND(A1783="",B1783=""),"",IF(COUNTIFS($A$2:$A$2001,A1783,$B$2:$B$2001,B1783)&gt;1,"DUPLICADO","OK"))</f>
      </c>
      <c r="H1783" s="6">
        <f>IF(COUNTA(A1783:F1783)=0,"",IF(AND(A1783&lt;&gt;"",B1783&lt;&gt;"",E1783&lt;&gt;""),"OK","ERRO: faltam "&amp;IF(A1783="","Conta; ","")&amp;IF(B1783="","Oportunidade; ","")&amp;IF(E1783="","Novo gerente; ","")))</f>
      </c>
      <c r="I1783" s="6">
        <f>IF(COUNTA(A1783:F1783)=0,"",IF(AND(G1783="OK",H1783="OK"),"OK","REVISAR"))</f>
      </c>
    </row>
    <row r="1784">
      <c r="A1784" s="5"/>
      <c r="B1784" s="5"/>
      <c r="C1784" s="4"/>
      <c r="D1784" s="4"/>
      <c r="E1784" s="5"/>
      <c r="F1784" s="4"/>
      <c r="G1784" s="6">
        <f>IF(AND(A1784="",B1784=""),"",IF(COUNTIFS($A$2:$A$2001,A1784,$B$2:$B$2001,B1784)&gt;1,"DUPLICADO","OK"))</f>
      </c>
      <c r="H1784" s="6">
        <f>IF(COUNTA(A1784:F1784)=0,"",IF(AND(A1784&lt;&gt;"",B1784&lt;&gt;"",E1784&lt;&gt;""),"OK","ERRO: faltam "&amp;IF(A1784="","Conta; ","")&amp;IF(B1784="","Oportunidade; ","")&amp;IF(E1784="","Novo gerente; ","")))</f>
      </c>
      <c r="I1784" s="6">
        <f>IF(COUNTA(A1784:F1784)=0,"",IF(AND(G1784="OK",H1784="OK"),"OK","REVISAR"))</f>
      </c>
    </row>
    <row r="1785">
      <c r="A1785" s="5"/>
      <c r="B1785" s="5"/>
      <c r="C1785" s="4"/>
      <c r="D1785" s="4"/>
      <c r="E1785" s="5"/>
      <c r="F1785" s="4"/>
      <c r="G1785" s="6">
        <f>IF(AND(A1785="",B1785=""),"",IF(COUNTIFS($A$2:$A$2001,A1785,$B$2:$B$2001,B1785)&gt;1,"DUPLICADO","OK"))</f>
      </c>
      <c r="H1785" s="6">
        <f>IF(COUNTA(A1785:F1785)=0,"",IF(AND(A1785&lt;&gt;"",B1785&lt;&gt;"",E1785&lt;&gt;""),"OK","ERRO: faltam "&amp;IF(A1785="","Conta; ","")&amp;IF(B1785="","Oportunidade; ","")&amp;IF(E1785="","Novo gerente; ","")))</f>
      </c>
      <c r="I1785" s="6">
        <f>IF(COUNTA(A1785:F1785)=0,"",IF(AND(G1785="OK",H1785="OK"),"OK","REVISAR"))</f>
      </c>
    </row>
    <row r="1786">
      <c r="A1786" s="5"/>
      <c r="B1786" s="5"/>
      <c r="C1786" s="4"/>
      <c r="D1786" s="4"/>
      <c r="E1786" s="5"/>
      <c r="F1786" s="4"/>
      <c r="G1786" s="6">
        <f>IF(AND(A1786="",B1786=""),"",IF(COUNTIFS($A$2:$A$2001,A1786,$B$2:$B$2001,B1786)&gt;1,"DUPLICADO","OK"))</f>
      </c>
      <c r="H1786" s="6">
        <f>IF(COUNTA(A1786:F1786)=0,"",IF(AND(A1786&lt;&gt;"",B1786&lt;&gt;"",E1786&lt;&gt;""),"OK","ERRO: faltam "&amp;IF(A1786="","Conta; ","")&amp;IF(B1786="","Oportunidade; ","")&amp;IF(E1786="","Novo gerente; ","")))</f>
      </c>
      <c r="I1786" s="6">
        <f>IF(COUNTA(A1786:F1786)=0,"",IF(AND(G1786="OK",H1786="OK"),"OK","REVISAR"))</f>
      </c>
    </row>
    <row r="1787">
      <c r="A1787" s="5"/>
      <c r="B1787" s="5"/>
      <c r="C1787" s="4"/>
      <c r="D1787" s="4"/>
      <c r="E1787" s="5"/>
      <c r="F1787" s="4"/>
      <c r="G1787" s="6">
        <f>IF(AND(A1787="",B1787=""),"",IF(COUNTIFS($A$2:$A$2001,A1787,$B$2:$B$2001,B1787)&gt;1,"DUPLICADO","OK"))</f>
      </c>
      <c r="H1787" s="6">
        <f>IF(COUNTA(A1787:F1787)=0,"",IF(AND(A1787&lt;&gt;"",B1787&lt;&gt;"",E1787&lt;&gt;""),"OK","ERRO: faltam "&amp;IF(A1787="","Conta; ","")&amp;IF(B1787="","Oportunidade; ","")&amp;IF(E1787="","Novo gerente; ","")))</f>
      </c>
      <c r="I1787" s="6">
        <f>IF(COUNTA(A1787:F1787)=0,"",IF(AND(G1787="OK",H1787="OK"),"OK","REVISAR"))</f>
      </c>
    </row>
    <row r="1788">
      <c r="A1788" s="5"/>
      <c r="B1788" s="5"/>
      <c r="C1788" s="4"/>
      <c r="D1788" s="4"/>
      <c r="E1788" s="5"/>
      <c r="F1788" s="4"/>
      <c r="G1788" s="6">
        <f>IF(AND(A1788="",B1788=""),"",IF(COUNTIFS($A$2:$A$2001,A1788,$B$2:$B$2001,B1788)&gt;1,"DUPLICADO","OK"))</f>
      </c>
      <c r="H1788" s="6">
        <f>IF(COUNTA(A1788:F1788)=0,"",IF(AND(A1788&lt;&gt;"",B1788&lt;&gt;"",E1788&lt;&gt;""),"OK","ERRO: faltam "&amp;IF(A1788="","Conta; ","")&amp;IF(B1788="","Oportunidade; ","")&amp;IF(E1788="","Novo gerente; ","")))</f>
      </c>
      <c r="I1788" s="6">
        <f>IF(COUNTA(A1788:F1788)=0,"",IF(AND(G1788="OK",H1788="OK"),"OK","REVISAR"))</f>
      </c>
    </row>
    <row r="1789">
      <c r="A1789" s="5"/>
      <c r="B1789" s="5"/>
      <c r="C1789" s="4"/>
      <c r="D1789" s="4"/>
      <c r="E1789" s="5"/>
      <c r="F1789" s="4"/>
      <c r="G1789" s="6">
        <f>IF(AND(A1789="",B1789=""),"",IF(COUNTIFS($A$2:$A$2001,A1789,$B$2:$B$2001,B1789)&gt;1,"DUPLICADO","OK"))</f>
      </c>
      <c r="H1789" s="6">
        <f>IF(COUNTA(A1789:F1789)=0,"",IF(AND(A1789&lt;&gt;"",B1789&lt;&gt;"",E1789&lt;&gt;""),"OK","ERRO: faltam "&amp;IF(A1789="","Conta; ","")&amp;IF(B1789="","Oportunidade; ","")&amp;IF(E1789="","Novo gerente; ","")))</f>
      </c>
      <c r="I1789" s="6">
        <f>IF(COUNTA(A1789:F1789)=0,"",IF(AND(G1789="OK",H1789="OK"),"OK","REVISAR"))</f>
      </c>
    </row>
    <row r="1790">
      <c r="A1790" s="5"/>
      <c r="B1790" s="5"/>
      <c r="C1790" s="4"/>
      <c r="D1790" s="4"/>
      <c r="E1790" s="5"/>
      <c r="F1790" s="4"/>
      <c r="G1790" s="6">
        <f>IF(AND(A1790="",B1790=""),"",IF(COUNTIFS($A$2:$A$2001,A1790,$B$2:$B$2001,B1790)&gt;1,"DUPLICADO","OK"))</f>
      </c>
      <c r="H1790" s="6">
        <f>IF(COUNTA(A1790:F1790)=0,"",IF(AND(A1790&lt;&gt;"",B1790&lt;&gt;"",E1790&lt;&gt;""),"OK","ERRO: faltam "&amp;IF(A1790="","Conta; ","")&amp;IF(B1790="","Oportunidade; ","")&amp;IF(E1790="","Novo gerente; ","")))</f>
      </c>
      <c r="I1790" s="6">
        <f>IF(COUNTA(A1790:F1790)=0,"",IF(AND(G1790="OK",H1790="OK"),"OK","REVISAR"))</f>
      </c>
    </row>
    <row r="1791">
      <c r="A1791" s="5"/>
      <c r="B1791" s="5"/>
      <c r="C1791" s="4"/>
      <c r="D1791" s="4"/>
      <c r="E1791" s="5"/>
      <c r="F1791" s="4"/>
      <c r="G1791" s="6">
        <f>IF(AND(A1791="",B1791=""),"",IF(COUNTIFS($A$2:$A$2001,A1791,$B$2:$B$2001,B1791)&gt;1,"DUPLICADO","OK"))</f>
      </c>
      <c r="H1791" s="6">
        <f>IF(COUNTA(A1791:F1791)=0,"",IF(AND(A1791&lt;&gt;"",B1791&lt;&gt;"",E1791&lt;&gt;""),"OK","ERRO: faltam "&amp;IF(A1791="","Conta; ","")&amp;IF(B1791="","Oportunidade; ","")&amp;IF(E1791="","Novo gerente; ","")))</f>
      </c>
      <c r="I1791" s="6">
        <f>IF(COUNTA(A1791:F1791)=0,"",IF(AND(G1791="OK",H1791="OK"),"OK","REVISAR"))</f>
      </c>
    </row>
    <row r="1792">
      <c r="A1792" s="5"/>
      <c r="B1792" s="5"/>
      <c r="C1792" s="4"/>
      <c r="D1792" s="4"/>
      <c r="E1792" s="5"/>
      <c r="F1792" s="4"/>
      <c r="G1792" s="6">
        <f>IF(AND(A1792="",B1792=""),"",IF(COUNTIFS($A$2:$A$2001,A1792,$B$2:$B$2001,B1792)&gt;1,"DUPLICADO","OK"))</f>
      </c>
      <c r="H1792" s="6">
        <f>IF(COUNTA(A1792:F1792)=0,"",IF(AND(A1792&lt;&gt;"",B1792&lt;&gt;"",E1792&lt;&gt;""),"OK","ERRO: faltam "&amp;IF(A1792="","Conta; ","")&amp;IF(B1792="","Oportunidade; ","")&amp;IF(E1792="","Novo gerente; ","")))</f>
      </c>
      <c r="I1792" s="6">
        <f>IF(COUNTA(A1792:F1792)=0,"",IF(AND(G1792="OK",H1792="OK"),"OK","REVISAR"))</f>
      </c>
    </row>
    <row r="1793">
      <c r="A1793" s="5"/>
      <c r="B1793" s="5"/>
      <c r="C1793" s="4"/>
      <c r="D1793" s="4"/>
      <c r="E1793" s="5"/>
      <c r="F1793" s="4"/>
      <c r="G1793" s="6">
        <f>IF(AND(A1793="",B1793=""),"",IF(COUNTIFS($A$2:$A$2001,A1793,$B$2:$B$2001,B1793)&gt;1,"DUPLICADO","OK"))</f>
      </c>
      <c r="H1793" s="6">
        <f>IF(COUNTA(A1793:F1793)=0,"",IF(AND(A1793&lt;&gt;"",B1793&lt;&gt;"",E1793&lt;&gt;""),"OK","ERRO: faltam "&amp;IF(A1793="","Conta; ","")&amp;IF(B1793="","Oportunidade; ","")&amp;IF(E1793="","Novo gerente; ","")))</f>
      </c>
      <c r="I1793" s="6">
        <f>IF(COUNTA(A1793:F1793)=0,"",IF(AND(G1793="OK",H1793="OK"),"OK","REVISAR"))</f>
      </c>
    </row>
    <row r="1794">
      <c r="A1794" s="5"/>
      <c r="B1794" s="5"/>
      <c r="C1794" s="4"/>
      <c r="D1794" s="4"/>
      <c r="E1794" s="5"/>
      <c r="F1794" s="4"/>
      <c r="G1794" s="6">
        <f>IF(AND(A1794="",B1794=""),"",IF(COUNTIFS($A$2:$A$2001,A1794,$B$2:$B$2001,B1794)&gt;1,"DUPLICADO","OK"))</f>
      </c>
      <c r="H1794" s="6">
        <f>IF(COUNTA(A1794:F1794)=0,"",IF(AND(A1794&lt;&gt;"",B1794&lt;&gt;"",E1794&lt;&gt;""),"OK","ERRO: faltam "&amp;IF(A1794="","Conta; ","")&amp;IF(B1794="","Oportunidade; ","")&amp;IF(E1794="","Novo gerente; ","")))</f>
      </c>
      <c r="I1794" s="6">
        <f>IF(COUNTA(A1794:F1794)=0,"",IF(AND(G1794="OK",H1794="OK"),"OK","REVISAR"))</f>
      </c>
    </row>
    <row r="1795">
      <c r="A1795" s="5"/>
      <c r="B1795" s="5"/>
      <c r="C1795" s="4"/>
      <c r="D1795" s="4"/>
      <c r="E1795" s="5"/>
      <c r="F1795" s="4"/>
      <c r="G1795" s="6">
        <f>IF(AND(A1795="",B1795=""),"",IF(COUNTIFS($A$2:$A$2001,A1795,$B$2:$B$2001,B1795)&gt;1,"DUPLICADO","OK"))</f>
      </c>
      <c r="H1795" s="6">
        <f>IF(COUNTA(A1795:F1795)=0,"",IF(AND(A1795&lt;&gt;"",B1795&lt;&gt;"",E1795&lt;&gt;""),"OK","ERRO: faltam "&amp;IF(A1795="","Conta; ","")&amp;IF(B1795="","Oportunidade; ","")&amp;IF(E1795="","Novo gerente; ","")))</f>
      </c>
      <c r="I1795" s="6">
        <f>IF(COUNTA(A1795:F1795)=0,"",IF(AND(G1795="OK",H1795="OK"),"OK","REVISAR"))</f>
      </c>
    </row>
    <row r="1796">
      <c r="A1796" s="5"/>
      <c r="B1796" s="5"/>
      <c r="C1796" s="4"/>
      <c r="D1796" s="4"/>
      <c r="E1796" s="5"/>
      <c r="F1796" s="4"/>
      <c r="G1796" s="6">
        <f>IF(AND(A1796="",B1796=""),"",IF(COUNTIFS($A$2:$A$2001,A1796,$B$2:$B$2001,B1796)&gt;1,"DUPLICADO","OK"))</f>
      </c>
      <c r="H1796" s="6">
        <f>IF(COUNTA(A1796:F1796)=0,"",IF(AND(A1796&lt;&gt;"",B1796&lt;&gt;"",E1796&lt;&gt;""),"OK","ERRO: faltam "&amp;IF(A1796="","Conta; ","")&amp;IF(B1796="","Oportunidade; ","")&amp;IF(E1796="","Novo gerente; ","")))</f>
      </c>
      <c r="I1796" s="6">
        <f>IF(COUNTA(A1796:F1796)=0,"",IF(AND(G1796="OK",H1796="OK"),"OK","REVISAR"))</f>
      </c>
    </row>
    <row r="1797">
      <c r="A1797" s="5"/>
      <c r="B1797" s="5"/>
      <c r="C1797" s="4"/>
      <c r="D1797" s="4"/>
      <c r="E1797" s="5"/>
      <c r="F1797" s="4"/>
      <c r="G1797" s="6">
        <f>IF(AND(A1797="",B1797=""),"",IF(COUNTIFS($A$2:$A$2001,A1797,$B$2:$B$2001,B1797)&gt;1,"DUPLICADO","OK"))</f>
      </c>
      <c r="H1797" s="6">
        <f>IF(COUNTA(A1797:F1797)=0,"",IF(AND(A1797&lt;&gt;"",B1797&lt;&gt;"",E1797&lt;&gt;""),"OK","ERRO: faltam "&amp;IF(A1797="","Conta; ","")&amp;IF(B1797="","Oportunidade; ","")&amp;IF(E1797="","Novo gerente; ","")))</f>
      </c>
      <c r="I1797" s="6">
        <f>IF(COUNTA(A1797:F1797)=0,"",IF(AND(G1797="OK",H1797="OK"),"OK","REVISAR"))</f>
      </c>
    </row>
    <row r="1798">
      <c r="A1798" s="5"/>
      <c r="B1798" s="5"/>
      <c r="C1798" s="4"/>
      <c r="D1798" s="4"/>
      <c r="E1798" s="5"/>
      <c r="F1798" s="4"/>
      <c r="G1798" s="6">
        <f>IF(AND(A1798="",B1798=""),"",IF(COUNTIFS($A$2:$A$2001,A1798,$B$2:$B$2001,B1798)&gt;1,"DUPLICADO","OK"))</f>
      </c>
      <c r="H1798" s="6">
        <f>IF(COUNTA(A1798:F1798)=0,"",IF(AND(A1798&lt;&gt;"",B1798&lt;&gt;"",E1798&lt;&gt;""),"OK","ERRO: faltam "&amp;IF(A1798="","Conta; ","")&amp;IF(B1798="","Oportunidade; ","")&amp;IF(E1798="","Novo gerente; ","")))</f>
      </c>
      <c r="I1798" s="6">
        <f>IF(COUNTA(A1798:F1798)=0,"",IF(AND(G1798="OK",H1798="OK"),"OK","REVISAR"))</f>
      </c>
    </row>
    <row r="1799">
      <c r="A1799" s="5"/>
      <c r="B1799" s="5"/>
      <c r="C1799" s="4"/>
      <c r="D1799" s="4"/>
      <c r="E1799" s="5"/>
      <c r="F1799" s="4"/>
      <c r="G1799" s="6">
        <f>IF(AND(A1799="",B1799=""),"",IF(COUNTIFS($A$2:$A$2001,A1799,$B$2:$B$2001,B1799)&gt;1,"DUPLICADO","OK"))</f>
      </c>
      <c r="H1799" s="6">
        <f>IF(COUNTA(A1799:F1799)=0,"",IF(AND(A1799&lt;&gt;"",B1799&lt;&gt;"",E1799&lt;&gt;""),"OK","ERRO: faltam "&amp;IF(A1799="","Conta; ","")&amp;IF(B1799="","Oportunidade; ","")&amp;IF(E1799="","Novo gerente; ","")))</f>
      </c>
      <c r="I1799" s="6">
        <f>IF(COUNTA(A1799:F1799)=0,"",IF(AND(G1799="OK",H1799="OK"),"OK","REVISAR"))</f>
      </c>
    </row>
    <row r="1800">
      <c r="A1800" s="5"/>
      <c r="B1800" s="5"/>
      <c r="C1800" s="4"/>
      <c r="D1800" s="4"/>
      <c r="E1800" s="5"/>
      <c r="F1800" s="4"/>
      <c r="G1800" s="6">
        <f>IF(AND(A1800="",B1800=""),"",IF(COUNTIFS($A$2:$A$2001,A1800,$B$2:$B$2001,B1800)&gt;1,"DUPLICADO","OK"))</f>
      </c>
      <c r="H1800" s="6">
        <f>IF(COUNTA(A1800:F1800)=0,"",IF(AND(A1800&lt;&gt;"",B1800&lt;&gt;"",E1800&lt;&gt;""),"OK","ERRO: faltam "&amp;IF(A1800="","Conta; ","")&amp;IF(B1800="","Oportunidade; ","")&amp;IF(E1800="","Novo gerente; ","")))</f>
      </c>
      <c r="I1800" s="6">
        <f>IF(COUNTA(A1800:F1800)=0,"",IF(AND(G1800="OK",H1800="OK"),"OK","REVISAR"))</f>
      </c>
    </row>
    <row r="1801">
      <c r="A1801" s="5"/>
      <c r="B1801" s="5"/>
      <c r="C1801" s="4"/>
      <c r="D1801" s="4"/>
      <c r="E1801" s="5"/>
      <c r="F1801" s="4"/>
      <c r="G1801" s="6">
        <f>IF(AND(A1801="",B1801=""),"",IF(COUNTIFS($A$2:$A$2001,A1801,$B$2:$B$2001,B1801)&gt;1,"DUPLICADO","OK"))</f>
      </c>
      <c r="H1801" s="6">
        <f>IF(COUNTA(A1801:F1801)=0,"",IF(AND(A1801&lt;&gt;"",B1801&lt;&gt;"",E1801&lt;&gt;""),"OK","ERRO: faltam "&amp;IF(A1801="","Conta; ","")&amp;IF(B1801="","Oportunidade; ","")&amp;IF(E1801="","Novo gerente; ","")))</f>
      </c>
      <c r="I1801" s="6">
        <f>IF(COUNTA(A1801:F1801)=0,"",IF(AND(G1801="OK",H1801="OK"),"OK","REVISAR"))</f>
      </c>
    </row>
    <row r="1802">
      <c r="A1802" s="5"/>
      <c r="B1802" s="5"/>
      <c r="C1802" s="4"/>
      <c r="D1802" s="4"/>
      <c r="E1802" s="5"/>
      <c r="F1802" s="4"/>
      <c r="G1802" s="6">
        <f>IF(AND(A1802="",B1802=""),"",IF(COUNTIFS($A$2:$A$2001,A1802,$B$2:$B$2001,B1802)&gt;1,"DUPLICADO","OK"))</f>
      </c>
      <c r="H1802" s="6">
        <f>IF(COUNTA(A1802:F1802)=0,"",IF(AND(A1802&lt;&gt;"",B1802&lt;&gt;"",E1802&lt;&gt;""),"OK","ERRO: faltam "&amp;IF(A1802="","Conta; ","")&amp;IF(B1802="","Oportunidade; ","")&amp;IF(E1802="","Novo gerente; ","")))</f>
      </c>
      <c r="I1802" s="6">
        <f>IF(COUNTA(A1802:F1802)=0,"",IF(AND(G1802="OK",H1802="OK"),"OK","REVISAR"))</f>
      </c>
    </row>
    <row r="1803">
      <c r="A1803" s="5"/>
      <c r="B1803" s="5"/>
      <c r="C1803" s="4"/>
      <c r="D1803" s="4"/>
      <c r="E1803" s="5"/>
      <c r="F1803" s="4"/>
      <c r="G1803" s="6">
        <f>IF(AND(A1803="",B1803=""),"",IF(COUNTIFS($A$2:$A$2001,A1803,$B$2:$B$2001,B1803)&gt;1,"DUPLICADO","OK"))</f>
      </c>
      <c r="H1803" s="6">
        <f>IF(COUNTA(A1803:F1803)=0,"",IF(AND(A1803&lt;&gt;"",B1803&lt;&gt;"",E1803&lt;&gt;""),"OK","ERRO: faltam "&amp;IF(A1803="","Conta; ","")&amp;IF(B1803="","Oportunidade; ","")&amp;IF(E1803="","Novo gerente; ","")))</f>
      </c>
      <c r="I1803" s="6">
        <f>IF(COUNTA(A1803:F1803)=0,"",IF(AND(G1803="OK",H1803="OK"),"OK","REVISAR"))</f>
      </c>
    </row>
    <row r="1804">
      <c r="A1804" s="5"/>
      <c r="B1804" s="5"/>
      <c r="C1804" s="4"/>
      <c r="D1804" s="4"/>
      <c r="E1804" s="5"/>
      <c r="F1804" s="4"/>
      <c r="G1804" s="6">
        <f>IF(AND(A1804="",B1804=""),"",IF(COUNTIFS($A$2:$A$2001,A1804,$B$2:$B$2001,B1804)&gt;1,"DUPLICADO","OK"))</f>
      </c>
      <c r="H1804" s="6">
        <f>IF(COUNTA(A1804:F1804)=0,"",IF(AND(A1804&lt;&gt;"",B1804&lt;&gt;"",E1804&lt;&gt;""),"OK","ERRO: faltam "&amp;IF(A1804="","Conta; ","")&amp;IF(B1804="","Oportunidade; ","")&amp;IF(E1804="","Novo gerente; ","")))</f>
      </c>
      <c r="I1804" s="6">
        <f>IF(COUNTA(A1804:F1804)=0,"",IF(AND(G1804="OK",H1804="OK"),"OK","REVISAR"))</f>
      </c>
    </row>
    <row r="1805">
      <c r="A1805" s="5"/>
      <c r="B1805" s="5"/>
      <c r="C1805" s="4"/>
      <c r="D1805" s="4"/>
      <c r="E1805" s="5"/>
      <c r="F1805" s="4"/>
      <c r="G1805" s="6">
        <f>IF(AND(A1805="",B1805=""),"",IF(COUNTIFS($A$2:$A$2001,A1805,$B$2:$B$2001,B1805)&gt;1,"DUPLICADO","OK"))</f>
      </c>
      <c r="H1805" s="6">
        <f>IF(COUNTA(A1805:F1805)=0,"",IF(AND(A1805&lt;&gt;"",B1805&lt;&gt;"",E1805&lt;&gt;""),"OK","ERRO: faltam "&amp;IF(A1805="","Conta; ","")&amp;IF(B1805="","Oportunidade; ","")&amp;IF(E1805="","Novo gerente; ","")))</f>
      </c>
      <c r="I1805" s="6">
        <f>IF(COUNTA(A1805:F1805)=0,"",IF(AND(G1805="OK",H1805="OK"),"OK","REVISAR"))</f>
      </c>
    </row>
    <row r="1806">
      <c r="A1806" s="5"/>
      <c r="B1806" s="5"/>
      <c r="C1806" s="4"/>
      <c r="D1806" s="4"/>
      <c r="E1806" s="5"/>
      <c r="F1806" s="4"/>
      <c r="G1806" s="6">
        <f>IF(AND(A1806="",B1806=""),"",IF(COUNTIFS($A$2:$A$2001,A1806,$B$2:$B$2001,B1806)&gt;1,"DUPLICADO","OK"))</f>
      </c>
      <c r="H1806" s="6">
        <f>IF(COUNTA(A1806:F1806)=0,"",IF(AND(A1806&lt;&gt;"",B1806&lt;&gt;"",E1806&lt;&gt;""),"OK","ERRO: faltam "&amp;IF(A1806="","Conta; ","")&amp;IF(B1806="","Oportunidade; ","")&amp;IF(E1806="","Novo gerente; ","")))</f>
      </c>
      <c r="I1806" s="6">
        <f>IF(COUNTA(A1806:F1806)=0,"",IF(AND(G1806="OK",H1806="OK"),"OK","REVISAR"))</f>
      </c>
    </row>
    <row r="1807">
      <c r="A1807" s="5"/>
      <c r="B1807" s="5"/>
      <c r="C1807" s="4"/>
      <c r="D1807" s="4"/>
      <c r="E1807" s="5"/>
      <c r="F1807" s="4"/>
      <c r="G1807" s="6">
        <f>IF(AND(A1807="",B1807=""),"",IF(COUNTIFS($A$2:$A$2001,A1807,$B$2:$B$2001,B1807)&gt;1,"DUPLICADO","OK"))</f>
      </c>
      <c r="H1807" s="6">
        <f>IF(COUNTA(A1807:F1807)=0,"",IF(AND(A1807&lt;&gt;"",B1807&lt;&gt;"",E1807&lt;&gt;""),"OK","ERRO: faltam "&amp;IF(A1807="","Conta; ","")&amp;IF(B1807="","Oportunidade; ","")&amp;IF(E1807="","Novo gerente; ","")))</f>
      </c>
      <c r="I1807" s="6">
        <f>IF(COUNTA(A1807:F1807)=0,"",IF(AND(G1807="OK",H1807="OK"),"OK","REVISAR"))</f>
      </c>
    </row>
    <row r="1808">
      <c r="A1808" s="5"/>
      <c r="B1808" s="5"/>
      <c r="C1808" s="4"/>
      <c r="D1808" s="4"/>
      <c r="E1808" s="5"/>
      <c r="F1808" s="4"/>
      <c r="G1808" s="6">
        <f>IF(AND(A1808="",B1808=""),"",IF(COUNTIFS($A$2:$A$2001,A1808,$B$2:$B$2001,B1808)&gt;1,"DUPLICADO","OK"))</f>
      </c>
      <c r="H1808" s="6">
        <f>IF(COUNTA(A1808:F1808)=0,"",IF(AND(A1808&lt;&gt;"",B1808&lt;&gt;"",E1808&lt;&gt;""),"OK","ERRO: faltam "&amp;IF(A1808="","Conta; ","")&amp;IF(B1808="","Oportunidade; ","")&amp;IF(E1808="","Novo gerente; ","")))</f>
      </c>
      <c r="I1808" s="6">
        <f>IF(COUNTA(A1808:F1808)=0,"",IF(AND(G1808="OK",H1808="OK"),"OK","REVISAR"))</f>
      </c>
    </row>
    <row r="1809">
      <c r="A1809" s="5"/>
      <c r="B1809" s="5"/>
      <c r="C1809" s="4"/>
      <c r="D1809" s="4"/>
      <c r="E1809" s="5"/>
      <c r="F1809" s="4"/>
      <c r="G1809" s="6">
        <f>IF(AND(A1809="",B1809=""),"",IF(COUNTIFS($A$2:$A$2001,A1809,$B$2:$B$2001,B1809)&gt;1,"DUPLICADO","OK"))</f>
      </c>
      <c r="H1809" s="6">
        <f>IF(COUNTA(A1809:F1809)=0,"",IF(AND(A1809&lt;&gt;"",B1809&lt;&gt;"",E1809&lt;&gt;""),"OK","ERRO: faltam "&amp;IF(A1809="","Conta; ","")&amp;IF(B1809="","Oportunidade; ","")&amp;IF(E1809="","Novo gerente; ","")))</f>
      </c>
      <c r="I1809" s="6">
        <f>IF(COUNTA(A1809:F1809)=0,"",IF(AND(G1809="OK",H1809="OK"),"OK","REVISAR"))</f>
      </c>
    </row>
    <row r="1810">
      <c r="A1810" s="5"/>
      <c r="B1810" s="5"/>
      <c r="C1810" s="4"/>
      <c r="D1810" s="4"/>
      <c r="E1810" s="5"/>
      <c r="F1810" s="4"/>
      <c r="G1810" s="6">
        <f>IF(AND(A1810="",B1810=""),"",IF(COUNTIFS($A$2:$A$2001,A1810,$B$2:$B$2001,B1810)&gt;1,"DUPLICADO","OK"))</f>
      </c>
      <c r="H1810" s="6">
        <f>IF(COUNTA(A1810:F1810)=0,"",IF(AND(A1810&lt;&gt;"",B1810&lt;&gt;"",E1810&lt;&gt;""),"OK","ERRO: faltam "&amp;IF(A1810="","Conta; ","")&amp;IF(B1810="","Oportunidade; ","")&amp;IF(E1810="","Novo gerente; ","")))</f>
      </c>
      <c r="I1810" s="6">
        <f>IF(COUNTA(A1810:F1810)=0,"",IF(AND(G1810="OK",H1810="OK"),"OK","REVISAR"))</f>
      </c>
    </row>
    <row r="1811">
      <c r="A1811" s="5"/>
      <c r="B1811" s="5"/>
      <c r="C1811" s="4"/>
      <c r="D1811" s="4"/>
      <c r="E1811" s="5"/>
      <c r="F1811" s="4"/>
      <c r="G1811" s="6">
        <f>IF(AND(A1811="",B1811=""),"",IF(COUNTIFS($A$2:$A$2001,A1811,$B$2:$B$2001,B1811)&gt;1,"DUPLICADO","OK"))</f>
      </c>
      <c r="H1811" s="6">
        <f>IF(COUNTA(A1811:F1811)=0,"",IF(AND(A1811&lt;&gt;"",B1811&lt;&gt;"",E1811&lt;&gt;""),"OK","ERRO: faltam "&amp;IF(A1811="","Conta; ","")&amp;IF(B1811="","Oportunidade; ","")&amp;IF(E1811="","Novo gerente; ","")))</f>
      </c>
      <c r="I1811" s="6">
        <f>IF(COUNTA(A1811:F1811)=0,"",IF(AND(G1811="OK",H1811="OK"),"OK","REVISAR"))</f>
      </c>
    </row>
    <row r="1812">
      <c r="A1812" s="5"/>
      <c r="B1812" s="5"/>
      <c r="C1812" s="4"/>
      <c r="D1812" s="4"/>
      <c r="E1812" s="5"/>
      <c r="F1812" s="4"/>
      <c r="G1812" s="6">
        <f>IF(AND(A1812="",B1812=""),"",IF(COUNTIFS($A$2:$A$2001,A1812,$B$2:$B$2001,B1812)&gt;1,"DUPLICADO","OK"))</f>
      </c>
      <c r="H1812" s="6">
        <f>IF(COUNTA(A1812:F1812)=0,"",IF(AND(A1812&lt;&gt;"",B1812&lt;&gt;"",E1812&lt;&gt;""),"OK","ERRO: faltam "&amp;IF(A1812="","Conta; ","")&amp;IF(B1812="","Oportunidade; ","")&amp;IF(E1812="","Novo gerente; ","")))</f>
      </c>
      <c r="I1812" s="6">
        <f>IF(COUNTA(A1812:F1812)=0,"",IF(AND(G1812="OK",H1812="OK"),"OK","REVISAR"))</f>
      </c>
    </row>
    <row r="1813">
      <c r="A1813" s="5"/>
      <c r="B1813" s="5"/>
      <c r="C1813" s="4"/>
      <c r="D1813" s="4"/>
      <c r="E1813" s="5"/>
      <c r="F1813" s="4"/>
      <c r="G1813" s="6">
        <f>IF(AND(A1813="",B1813=""),"",IF(COUNTIFS($A$2:$A$2001,A1813,$B$2:$B$2001,B1813)&gt;1,"DUPLICADO","OK"))</f>
      </c>
      <c r="H1813" s="6">
        <f>IF(COUNTA(A1813:F1813)=0,"",IF(AND(A1813&lt;&gt;"",B1813&lt;&gt;"",E1813&lt;&gt;""),"OK","ERRO: faltam "&amp;IF(A1813="","Conta; ","")&amp;IF(B1813="","Oportunidade; ","")&amp;IF(E1813="","Novo gerente; ","")))</f>
      </c>
      <c r="I1813" s="6">
        <f>IF(COUNTA(A1813:F1813)=0,"",IF(AND(G1813="OK",H1813="OK"),"OK","REVISAR"))</f>
      </c>
    </row>
    <row r="1814">
      <c r="A1814" s="5"/>
      <c r="B1814" s="5"/>
      <c r="C1814" s="4"/>
      <c r="D1814" s="4"/>
      <c r="E1814" s="5"/>
      <c r="F1814" s="4"/>
      <c r="G1814" s="6">
        <f>IF(AND(A1814="",B1814=""),"",IF(COUNTIFS($A$2:$A$2001,A1814,$B$2:$B$2001,B1814)&gt;1,"DUPLICADO","OK"))</f>
      </c>
      <c r="H1814" s="6">
        <f>IF(COUNTA(A1814:F1814)=0,"",IF(AND(A1814&lt;&gt;"",B1814&lt;&gt;"",E1814&lt;&gt;""),"OK","ERRO: faltam "&amp;IF(A1814="","Conta; ","")&amp;IF(B1814="","Oportunidade; ","")&amp;IF(E1814="","Novo gerente; ","")))</f>
      </c>
      <c r="I1814" s="6">
        <f>IF(COUNTA(A1814:F1814)=0,"",IF(AND(G1814="OK",H1814="OK"),"OK","REVISAR"))</f>
      </c>
    </row>
    <row r="1815">
      <c r="A1815" s="5"/>
      <c r="B1815" s="5"/>
      <c r="C1815" s="4"/>
      <c r="D1815" s="4"/>
      <c r="E1815" s="5"/>
      <c r="F1815" s="4"/>
      <c r="G1815" s="6">
        <f>IF(AND(A1815="",B1815=""),"",IF(COUNTIFS($A$2:$A$2001,A1815,$B$2:$B$2001,B1815)&gt;1,"DUPLICADO","OK"))</f>
      </c>
      <c r="H1815" s="6">
        <f>IF(COUNTA(A1815:F1815)=0,"",IF(AND(A1815&lt;&gt;"",B1815&lt;&gt;"",E1815&lt;&gt;""),"OK","ERRO: faltam "&amp;IF(A1815="","Conta; ","")&amp;IF(B1815="","Oportunidade; ","")&amp;IF(E1815="","Novo gerente; ","")))</f>
      </c>
      <c r="I1815" s="6">
        <f>IF(COUNTA(A1815:F1815)=0,"",IF(AND(G1815="OK",H1815="OK"),"OK","REVISAR"))</f>
      </c>
    </row>
    <row r="1816">
      <c r="A1816" s="5"/>
      <c r="B1816" s="5"/>
      <c r="C1816" s="4"/>
      <c r="D1816" s="4"/>
      <c r="E1816" s="5"/>
      <c r="F1816" s="4"/>
      <c r="G1816" s="6">
        <f>IF(AND(A1816="",B1816=""),"",IF(COUNTIFS($A$2:$A$2001,A1816,$B$2:$B$2001,B1816)&gt;1,"DUPLICADO","OK"))</f>
      </c>
      <c r="H1816" s="6">
        <f>IF(COUNTA(A1816:F1816)=0,"",IF(AND(A1816&lt;&gt;"",B1816&lt;&gt;"",E1816&lt;&gt;""),"OK","ERRO: faltam "&amp;IF(A1816="","Conta; ","")&amp;IF(B1816="","Oportunidade; ","")&amp;IF(E1816="","Novo gerente; ","")))</f>
      </c>
      <c r="I1816" s="6">
        <f>IF(COUNTA(A1816:F1816)=0,"",IF(AND(G1816="OK",H1816="OK"),"OK","REVISAR"))</f>
      </c>
    </row>
    <row r="1817">
      <c r="A1817" s="5"/>
      <c r="B1817" s="5"/>
      <c r="C1817" s="4"/>
      <c r="D1817" s="4"/>
      <c r="E1817" s="5"/>
      <c r="F1817" s="4"/>
      <c r="G1817" s="6">
        <f>IF(AND(A1817="",B1817=""),"",IF(COUNTIFS($A$2:$A$2001,A1817,$B$2:$B$2001,B1817)&gt;1,"DUPLICADO","OK"))</f>
      </c>
      <c r="H1817" s="6">
        <f>IF(COUNTA(A1817:F1817)=0,"",IF(AND(A1817&lt;&gt;"",B1817&lt;&gt;"",E1817&lt;&gt;""),"OK","ERRO: faltam "&amp;IF(A1817="","Conta; ","")&amp;IF(B1817="","Oportunidade; ","")&amp;IF(E1817="","Novo gerente; ","")))</f>
      </c>
      <c r="I1817" s="6">
        <f>IF(COUNTA(A1817:F1817)=0,"",IF(AND(G1817="OK",H1817="OK"),"OK","REVISAR"))</f>
      </c>
    </row>
    <row r="1818">
      <c r="A1818" s="5"/>
      <c r="B1818" s="5"/>
      <c r="C1818" s="4"/>
      <c r="D1818" s="4"/>
      <c r="E1818" s="5"/>
      <c r="F1818" s="4"/>
      <c r="G1818" s="6">
        <f>IF(AND(A1818="",B1818=""),"",IF(COUNTIFS($A$2:$A$2001,A1818,$B$2:$B$2001,B1818)&gt;1,"DUPLICADO","OK"))</f>
      </c>
      <c r="H1818" s="6">
        <f>IF(COUNTA(A1818:F1818)=0,"",IF(AND(A1818&lt;&gt;"",B1818&lt;&gt;"",E1818&lt;&gt;""),"OK","ERRO: faltam "&amp;IF(A1818="","Conta; ","")&amp;IF(B1818="","Oportunidade; ","")&amp;IF(E1818="","Novo gerente; ","")))</f>
      </c>
      <c r="I1818" s="6">
        <f>IF(COUNTA(A1818:F1818)=0,"",IF(AND(G1818="OK",H1818="OK"),"OK","REVISAR"))</f>
      </c>
    </row>
    <row r="1819">
      <c r="A1819" s="5"/>
      <c r="B1819" s="5"/>
      <c r="C1819" s="4"/>
      <c r="D1819" s="4"/>
      <c r="E1819" s="5"/>
      <c r="F1819" s="4"/>
      <c r="G1819" s="6">
        <f>IF(AND(A1819="",B1819=""),"",IF(COUNTIFS($A$2:$A$2001,A1819,$B$2:$B$2001,B1819)&gt;1,"DUPLICADO","OK"))</f>
      </c>
      <c r="H1819" s="6">
        <f>IF(COUNTA(A1819:F1819)=0,"",IF(AND(A1819&lt;&gt;"",B1819&lt;&gt;"",E1819&lt;&gt;""),"OK","ERRO: faltam "&amp;IF(A1819="","Conta; ","")&amp;IF(B1819="","Oportunidade; ","")&amp;IF(E1819="","Novo gerente; ","")))</f>
      </c>
      <c r="I1819" s="6">
        <f>IF(COUNTA(A1819:F1819)=0,"",IF(AND(G1819="OK",H1819="OK"),"OK","REVISAR"))</f>
      </c>
    </row>
    <row r="1820">
      <c r="A1820" s="5"/>
      <c r="B1820" s="5"/>
      <c r="C1820" s="4"/>
      <c r="D1820" s="4"/>
      <c r="E1820" s="5"/>
      <c r="F1820" s="4"/>
      <c r="G1820" s="6">
        <f>IF(AND(A1820="",B1820=""),"",IF(COUNTIFS($A$2:$A$2001,A1820,$B$2:$B$2001,B1820)&gt;1,"DUPLICADO","OK"))</f>
      </c>
      <c r="H1820" s="6">
        <f>IF(COUNTA(A1820:F1820)=0,"",IF(AND(A1820&lt;&gt;"",B1820&lt;&gt;"",E1820&lt;&gt;""),"OK","ERRO: faltam "&amp;IF(A1820="","Conta; ","")&amp;IF(B1820="","Oportunidade; ","")&amp;IF(E1820="","Novo gerente; ","")))</f>
      </c>
      <c r="I1820" s="6">
        <f>IF(COUNTA(A1820:F1820)=0,"",IF(AND(G1820="OK",H1820="OK"),"OK","REVISAR"))</f>
      </c>
    </row>
    <row r="1821">
      <c r="A1821" s="5"/>
      <c r="B1821" s="5"/>
      <c r="C1821" s="4"/>
      <c r="D1821" s="4"/>
      <c r="E1821" s="5"/>
      <c r="F1821" s="4"/>
      <c r="G1821" s="6">
        <f>IF(AND(A1821="",B1821=""),"",IF(COUNTIFS($A$2:$A$2001,A1821,$B$2:$B$2001,B1821)&gt;1,"DUPLICADO","OK"))</f>
      </c>
      <c r="H1821" s="6">
        <f>IF(COUNTA(A1821:F1821)=0,"",IF(AND(A1821&lt;&gt;"",B1821&lt;&gt;"",E1821&lt;&gt;""),"OK","ERRO: faltam "&amp;IF(A1821="","Conta; ","")&amp;IF(B1821="","Oportunidade; ","")&amp;IF(E1821="","Novo gerente; ","")))</f>
      </c>
      <c r="I1821" s="6">
        <f>IF(COUNTA(A1821:F1821)=0,"",IF(AND(G1821="OK",H1821="OK"),"OK","REVISAR"))</f>
      </c>
    </row>
    <row r="1822">
      <c r="A1822" s="5"/>
      <c r="B1822" s="5"/>
      <c r="C1822" s="4"/>
      <c r="D1822" s="4"/>
      <c r="E1822" s="5"/>
      <c r="F1822" s="4"/>
      <c r="G1822" s="6">
        <f>IF(AND(A1822="",B1822=""),"",IF(COUNTIFS($A$2:$A$2001,A1822,$B$2:$B$2001,B1822)&gt;1,"DUPLICADO","OK"))</f>
      </c>
      <c r="H1822" s="6">
        <f>IF(COUNTA(A1822:F1822)=0,"",IF(AND(A1822&lt;&gt;"",B1822&lt;&gt;"",E1822&lt;&gt;""),"OK","ERRO: faltam "&amp;IF(A1822="","Conta; ","")&amp;IF(B1822="","Oportunidade; ","")&amp;IF(E1822="","Novo gerente; ","")))</f>
      </c>
      <c r="I1822" s="6">
        <f>IF(COUNTA(A1822:F1822)=0,"",IF(AND(G1822="OK",H1822="OK"),"OK","REVISAR"))</f>
      </c>
    </row>
    <row r="1823">
      <c r="A1823" s="5"/>
      <c r="B1823" s="5"/>
      <c r="C1823" s="4"/>
      <c r="D1823" s="4"/>
      <c r="E1823" s="5"/>
      <c r="F1823" s="4"/>
      <c r="G1823" s="6">
        <f>IF(AND(A1823="",B1823=""),"",IF(COUNTIFS($A$2:$A$2001,A1823,$B$2:$B$2001,B1823)&gt;1,"DUPLICADO","OK"))</f>
      </c>
      <c r="H1823" s="6">
        <f>IF(COUNTA(A1823:F1823)=0,"",IF(AND(A1823&lt;&gt;"",B1823&lt;&gt;"",E1823&lt;&gt;""),"OK","ERRO: faltam "&amp;IF(A1823="","Conta; ","")&amp;IF(B1823="","Oportunidade; ","")&amp;IF(E1823="","Novo gerente; ","")))</f>
      </c>
      <c r="I1823" s="6">
        <f>IF(COUNTA(A1823:F1823)=0,"",IF(AND(G1823="OK",H1823="OK"),"OK","REVISAR"))</f>
      </c>
    </row>
    <row r="1824">
      <c r="A1824" s="5"/>
      <c r="B1824" s="5"/>
      <c r="C1824" s="4"/>
      <c r="D1824" s="4"/>
      <c r="E1824" s="5"/>
      <c r="F1824" s="4"/>
      <c r="G1824" s="6">
        <f>IF(AND(A1824="",B1824=""),"",IF(COUNTIFS($A$2:$A$2001,A1824,$B$2:$B$2001,B1824)&gt;1,"DUPLICADO","OK"))</f>
      </c>
      <c r="H1824" s="6">
        <f>IF(COUNTA(A1824:F1824)=0,"",IF(AND(A1824&lt;&gt;"",B1824&lt;&gt;"",E1824&lt;&gt;""),"OK","ERRO: faltam "&amp;IF(A1824="","Conta; ","")&amp;IF(B1824="","Oportunidade; ","")&amp;IF(E1824="","Novo gerente; ","")))</f>
      </c>
      <c r="I1824" s="6">
        <f>IF(COUNTA(A1824:F1824)=0,"",IF(AND(G1824="OK",H1824="OK"),"OK","REVISAR"))</f>
      </c>
    </row>
    <row r="1825">
      <c r="A1825" s="5"/>
      <c r="B1825" s="5"/>
      <c r="C1825" s="4"/>
      <c r="D1825" s="4"/>
      <c r="E1825" s="5"/>
      <c r="F1825" s="4"/>
      <c r="G1825" s="6">
        <f>IF(AND(A1825="",B1825=""),"",IF(COUNTIFS($A$2:$A$2001,A1825,$B$2:$B$2001,B1825)&gt;1,"DUPLICADO","OK"))</f>
      </c>
      <c r="H1825" s="6">
        <f>IF(COUNTA(A1825:F1825)=0,"",IF(AND(A1825&lt;&gt;"",B1825&lt;&gt;"",E1825&lt;&gt;""),"OK","ERRO: faltam "&amp;IF(A1825="","Conta; ","")&amp;IF(B1825="","Oportunidade; ","")&amp;IF(E1825="","Novo gerente; ","")))</f>
      </c>
      <c r="I1825" s="6">
        <f>IF(COUNTA(A1825:F1825)=0,"",IF(AND(G1825="OK",H1825="OK"),"OK","REVISAR"))</f>
      </c>
    </row>
    <row r="1826">
      <c r="A1826" s="5"/>
      <c r="B1826" s="5"/>
      <c r="C1826" s="4"/>
      <c r="D1826" s="4"/>
      <c r="E1826" s="5"/>
      <c r="F1826" s="4"/>
      <c r="G1826" s="6">
        <f>IF(AND(A1826="",B1826=""),"",IF(COUNTIFS($A$2:$A$2001,A1826,$B$2:$B$2001,B1826)&gt;1,"DUPLICADO","OK"))</f>
      </c>
      <c r="H1826" s="6">
        <f>IF(COUNTA(A1826:F1826)=0,"",IF(AND(A1826&lt;&gt;"",B1826&lt;&gt;"",E1826&lt;&gt;""),"OK","ERRO: faltam "&amp;IF(A1826="","Conta; ","")&amp;IF(B1826="","Oportunidade; ","")&amp;IF(E1826="","Novo gerente; ","")))</f>
      </c>
      <c r="I1826" s="6">
        <f>IF(COUNTA(A1826:F1826)=0,"",IF(AND(G1826="OK",H1826="OK"),"OK","REVISAR"))</f>
      </c>
    </row>
    <row r="1827">
      <c r="A1827" s="5"/>
      <c r="B1827" s="5"/>
      <c r="C1827" s="4"/>
      <c r="D1827" s="4"/>
      <c r="E1827" s="5"/>
      <c r="F1827" s="4"/>
      <c r="G1827" s="6">
        <f>IF(AND(A1827="",B1827=""),"",IF(COUNTIFS($A$2:$A$2001,A1827,$B$2:$B$2001,B1827)&gt;1,"DUPLICADO","OK"))</f>
      </c>
      <c r="H1827" s="6">
        <f>IF(COUNTA(A1827:F1827)=0,"",IF(AND(A1827&lt;&gt;"",B1827&lt;&gt;"",E1827&lt;&gt;""),"OK","ERRO: faltam "&amp;IF(A1827="","Conta; ","")&amp;IF(B1827="","Oportunidade; ","")&amp;IF(E1827="","Novo gerente; ","")))</f>
      </c>
      <c r="I1827" s="6">
        <f>IF(COUNTA(A1827:F1827)=0,"",IF(AND(G1827="OK",H1827="OK"),"OK","REVISAR"))</f>
      </c>
    </row>
    <row r="1828">
      <c r="A1828" s="5"/>
      <c r="B1828" s="5"/>
      <c r="C1828" s="4"/>
      <c r="D1828" s="4"/>
      <c r="E1828" s="5"/>
      <c r="F1828" s="4"/>
      <c r="G1828" s="6">
        <f>IF(AND(A1828="",B1828=""),"",IF(COUNTIFS($A$2:$A$2001,A1828,$B$2:$B$2001,B1828)&gt;1,"DUPLICADO","OK"))</f>
      </c>
      <c r="H1828" s="6">
        <f>IF(COUNTA(A1828:F1828)=0,"",IF(AND(A1828&lt;&gt;"",B1828&lt;&gt;"",E1828&lt;&gt;""),"OK","ERRO: faltam "&amp;IF(A1828="","Conta; ","")&amp;IF(B1828="","Oportunidade; ","")&amp;IF(E1828="","Novo gerente; ","")))</f>
      </c>
      <c r="I1828" s="6">
        <f>IF(COUNTA(A1828:F1828)=0,"",IF(AND(G1828="OK",H1828="OK"),"OK","REVISAR"))</f>
      </c>
    </row>
    <row r="1829">
      <c r="A1829" s="5"/>
      <c r="B1829" s="5"/>
      <c r="C1829" s="4"/>
      <c r="D1829" s="4"/>
      <c r="E1829" s="5"/>
      <c r="F1829" s="4"/>
      <c r="G1829" s="6">
        <f>IF(AND(A1829="",B1829=""),"",IF(COUNTIFS($A$2:$A$2001,A1829,$B$2:$B$2001,B1829)&gt;1,"DUPLICADO","OK"))</f>
      </c>
      <c r="H1829" s="6">
        <f>IF(COUNTA(A1829:F1829)=0,"",IF(AND(A1829&lt;&gt;"",B1829&lt;&gt;"",E1829&lt;&gt;""),"OK","ERRO: faltam "&amp;IF(A1829="","Conta; ","")&amp;IF(B1829="","Oportunidade; ","")&amp;IF(E1829="","Novo gerente; ","")))</f>
      </c>
      <c r="I1829" s="6">
        <f>IF(COUNTA(A1829:F1829)=0,"",IF(AND(G1829="OK",H1829="OK"),"OK","REVISAR"))</f>
      </c>
    </row>
    <row r="1830">
      <c r="A1830" s="5"/>
      <c r="B1830" s="5"/>
      <c r="C1830" s="4"/>
      <c r="D1830" s="4"/>
      <c r="E1830" s="5"/>
      <c r="F1830" s="4"/>
      <c r="G1830" s="6">
        <f>IF(AND(A1830="",B1830=""),"",IF(COUNTIFS($A$2:$A$2001,A1830,$B$2:$B$2001,B1830)&gt;1,"DUPLICADO","OK"))</f>
      </c>
      <c r="H1830" s="6">
        <f>IF(COUNTA(A1830:F1830)=0,"",IF(AND(A1830&lt;&gt;"",B1830&lt;&gt;"",E1830&lt;&gt;""),"OK","ERRO: faltam "&amp;IF(A1830="","Conta; ","")&amp;IF(B1830="","Oportunidade; ","")&amp;IF(E1830="","Novo gerente; ","")))</f>
      </c>
      <c r="I1830" s="6">
        <f>IF(COUNTA(A1830:F1830)=0,"",IF(AND(G1830="OK",H1830="OK"),"OK","REVISAR"))</f>
      </c>
    </row>
    <row r="1831">
      <c r="A1831" s="5"/>
      <c r="B1831" s="5"/>
      <c r="C1831" s="4"/>
      <c r="D1831" s="4"/>
      <c r="E1831" s="5"/>
      <c r="F1831" s="4"/>
      <c r="G1831" s="6">
        <f>IF(AND(A1831="",B1831=""),"",IF(COUNTIFS($A$2:$A$2001,A1831,$B$2:$B$2001,B1831)&gt;1,"DUPLICADO","OK"))</f>
      </c>
      <c r="H1831" s="6">
        <f>IF(COUNTA(A1831:F1831)=0,"",IF(AND(A1831&lt;&gt;"",B1831&lt;&gt;"",E1831&lt;&gt;""),"OK","ERRO: faltam "&amp;IF(A1831="","Conta; ","")&amp;IF(B1831="","Oportunidade; ","")&amp;IF(E1831="","Novo gerente; ","")))</f>
      </c>
      <c r="I1831" s="6">
        <f>IF(COUNTA(A1831:F1831)=0,"",IF(AND(G1831="OK",H1831="OK"),"OK","REVISAR"))</f>
      </c>
    </row>
    <row r="1832">
      <c r="A1832" s="5"/>
      <c r="B1832" s="5"/>
      <c r="C1832" s="4"/>
      <c r="D1832" s="4"/>
      <c r="E1832" s="5"/>
      <c r="F1832" s="4"/>
      <c r="G1832" s="6">
        <f>IF(AND(A1832="",B1832=""),"",IF(COUNTIFS($A$2:$A$2001,A1832,$B$2:$B$2001,B1832)&gt;1,"DUPLICADO","OK"))</f>
      </c>
      <c r="H1832" s="6">
        <f>IF(COUNTA(A1832:F1832)=0,"",IF(AND(A1832&lt;&gt;"",B1832&lt;&gt;"",E1832&lt;&gt;""),"OK","ERRO: faltam "&amp;IF(A1832="","Conta; ","")&amp;IF(B1832="","Oportunidade; ","")&amp;IF(E1832="","Novo gerente; ","")))</f>
      </c>
      <c r="I1832" s="6">
        <f>IF(COUNTA(A1832:F1832)=0,"",IF(AND(G1832="OK",H1832="OK"),"OK","REVISAR"))</f>
      </c>
    </row>
    <row r="1833">
      <c r="A1833" s="5"/>
      <c r="B1833" s="5"/>
      <c r="C1833" s="4"/>
      <c r="D1833" s="4"/>
      <c r="E1833" s="5"/>
      <c r="F1833" s="4"/>
      <c r="G1833" s="6">
        <f>IF(AND(A1833="",B1833=""),"",IF(COUNTIFS($A$2:$A$2001,A1833,$B$2:$B$2001,B1833)&gt;1,"DUPLICADO","OK"))</f>
      </c>
      <c r="H1833" s="6">
        <f>IF(COUNTA(A1833:F1833)=0,"",IF(AND(A1833&lt;&gt;"",B1833&lt;&gt;"",E1833&lt;&gt;""),"OK","ERRO: faltam "&amp;IF(A1833="","Conta; ","")&amp;IF(B1833="","Oportunidade; ","")&amp;IF(E1833="","Novo gerente; ","")))</f>
      </c>
      <c r="I1833" s="6">
        <f>IF(COUNTA(A1833:F1833)=0,"",IF(AND(G1833="OK",H1833="OK"),"OK","REVISAR"))</f>
      </c>
    </row>
    <row r="1834">
      <c r="A1834" s="5"/>
      <c r="B1834" s="5"/>
      <c r="C1834" s="4"/>
      <c r="D1834" s="4"/>
      <c r="E1834" s="5"/>
      <c r="F1834" s="4"/>
      <c r="G1834" s="6">
        <f>IF(AND(A1834="",B1834=""),"",IF(COUNTIFS($A$2:$A$2001,A1834,$B$2:$B$2001,B1834)&gt;1,"DUPLICADO","OK"))</f>
      </c>
      <c r="H1834" s="6">
        <f>IF(COUNTA(A1834:F1834)=0,"",IF(AND(A1834&lt;&gt;"",B1834&lt;&gt;"",E1834&lt;&gt;""),"OK","ERRO: faltam "&amp;IF(A1834="","Conta; ","")&amp;IF(B1834="","Oportunidade; ","")&amp;IF(E1834="","Novo gerente; ","")))</f>
      </c>
      <c r="I1834" s="6">
        <f>IF(COUNTA(A1834:F1834)=0,"",IF(AND(G1834="OK",H1834="OK"),"OK","REVISAR"))</f>
      </c>
    </row>
    <row r="1835">
      <c r="A1835" s="5"/>
      <c r="B1835" s="5"/>
      <c r="C1835" s="4"/>
      <c r="D1835" s="4"/>
      <c r="E1835" s="5"/>
      <c r="F1835" s="4"/>
      <c r="G1835" s="6">
        <f>IF(AND(A1835="",B1835=""),"",IF(COUNTIFS($A$2:$A$2001,A1835,$B$2:$B$2001,B1835)&gt;1,"DUPLICADO","OK"))</f>
      </c>
      <c r="H1835" s="6">
        <f>IF(COUNTA(A1835:F1835)=0,"",IF(AND(A1835&lt;&gt;"",B1835&lt;&gt;"",E1835&lt;&gt;""),"OK","ERRO: faltam "&amp;IF(A1835="","Conta; ","")&amp;IF(B1835="","Oportunidade; ","")&amp;IF(E1835="","Novo gerente; ","")))</f>
      </c>
      <c r="I1835" s="6">
        <f>IF(COUNTA(A1835:F1835)=0,"",IF(AND(G1835="OK",H1835="OK"),"OK","REVISAR"))</f>
      </c>
    </row>
    <row r="1836">
      <c r="A1836" s="5"/>
      <c r="B1836" s="5"/>
      <c r="C1836" s="4"/>
      <c r="D1836" s="4"/>
      <c r="E1836" s="5"/>
      <c r="F1836" s="4"/>
      <c r="G1836" s="6">
        <f>IF(AND(A1836="",B1836=""),"",IF(COUNTIFS($A$2:$A$2001,A1836,$B$2:$B$2001,B1836)&gt;1,"DUPLICADO","OK"))</f>
      </c>
      <c r="H1836" s="6">
        <f>IF(COUNTA(A1836:F1836)=0,"",IF(AND(A1836&lt;&gt;"",B1836&lt;&gt;"",E1836&lt;&gt;""),"OK","ERRO: faltam "&amp;IF(A1836="","Conta; ","")&amp;IF(B1836="","Oportunidade; ","")&amp;IF(E1836="","Novo gerente; ","")))</f>
      </c>
      <c r="I1836" s="6">
        <f>IF(COUNTA(A1836:F1836)=0,"",IF(AND(G1836="OK",H1836="OK"),"OK","REVISAR"))</f>
      </c>
    </row>
    <row r="1837">
      <c r="A1837" s="5"/>
      <c r="B1837" s="5"/>
      <c r="C1837" s="4"/>
      <c r="D1837" s="4"/>
      <c r="E1837" s="5"/>
      <c r="F1837" s="4"/>
      <c r="G1837" s="6">
        <f>IF(AND(A1837="",B1837=""),"",IF(COUNTIFS($A$2:$A$2001,A1837,$B$2:$B$2001,B1837)&gt;1,"DUPLICADO","OK"))</f>
      </c>
      <c r="H1837" s="6">
        <f>IF(COUNTA(A1837:F1837)=0,"",IF(AND(A1837&lt;&gt;"",B1837&lt;&gt;"",E1837&lt;&gt;""),"OK","ERRO: faltam "&amp;IF(A1837="","Conta; ","")&amp;IF(B1837="","Oportunidade; ","")&amp;IF(E1837="","Novo gerente; ","")))</f>
      </c>
      <c r="I1837" s="6">
        <f>IF(COUNTA(A1837:F1837)=0,"",IF(AND(G1837="OK",H1837="OK"),"OK","REVISAR"))</f>
      </c>
    </row>
    <row r="1838">
      <c r="A1838" s="5"/>
      <c r="B1838" s="5"/>
      <c r="C1838" s="4"/>
      <c r="D1838" s="4"/>
      <c r="E1838" s="5"/>
      <c r="F1838" s="4"/>
      <c r="G1838" s="6">
        <f>IF(AND(A1838="",B1838=""),"",IF(COUNTIFS($A$2:$A$2001,A1838,$B$2:$B$2001,B1838)&gt;1,"DUPLICADO","OK"))</f>
      </c>
      <c r="H1838" s="6">
        <f>IF(COUNTA(A1838:F1838)=0,"",IF(AND(A1838&lt;&gt;"",B1838&lt;&gt;"",E1838&lt;&gt;""),"OK","ERRO: faltam "&amp;IF(A1838="","Conta; ","")&amp;IF(B1838="","Oportunidade; ","")&amp;IF(E1838="","Novo gerente; ","")))</f>
      </c>
      <c r="I1838" s="6">
        <f>IF(COUNTA(A1838:F1838)=0,"",IF(AND(G1838="OK",H1838="OK"),"OK","REVISAR"))</f>
      </c>
    </row>
    <row r="1839">
      <c r="A1839" s="5"/>
      <c r="B1839" s="5"/>
      <c r="C1839" s="4"/>
      <c r="D1839" s="4"/>
      <c r="E1839" s="5"/>
      <c r="F1839" s="4"/>
      <c r="G1839" s="6">
        <f>IF(AND(A1839="",B1839=""),"",IF(COUNTIFS($A$2:$A$2001,A1839,$B$2:$B$2001,B1839)&gt;1,"DUPLICADO","OK"))</f>
      </c>
      <c r="H1839" s="6">
        <f>IF(COUNTA(A1839:F1839)=0,"",IF(AND(A1839&lt;&gt;"",B1839&lt;&gt;"",E1839&lt;&gt;""),"OK","ERRO: faltam "&amp;IF(A1839="","Conta; ","")&amp;IF(B1839="","Oportunidade; ","")&amp;IF(E1839="","Novo gerente; ","")))</f>
      </c>
      <c r="I1839" s="6">
        <f>IF(COUNTA(A1839:F1839)=0,"",IF(AND(G1839="OK",H1839="OK"),"OK","REVISAR"))</f>
      </c>
    </row>
    <row r="1840">
      <c r="A1840" s="5"/>
      <c r="B1840" s="5"/>
      <c r="C1840" s="4"/>
      <c r="D1840" s="4"/>
      <c r="E1840" s="5"/>
      <c r="F1840" s="4"/>
      <c r="G1840" s="6">
        <f>IF(AND(A1840="",B1840=""),"",IF(COUNTIFS($A$2:$A$2001,A1840,$B$2:$B$2001,B1840)&gt;1,"DUPLICADO","OK"))</f>
      </c>
      <c r="H1840" s="6">
        <f>IF(COUNTA(A1840:F1840)=0,"",IF(AND(A1840&lt;&gt;"",B1840&lt;&gt;"",E1840&lt;&gt;""),"OK","ERRO: faltam "&amp;IF(A1840="","Conta; ","")&amp;IF(B1840="","Oportunidade; ","")&amp;IF(E1840="","Novo gerente; ","")))</f>
      </c>
      <c r="I1840" s="6">
        <f>IF(COUNTA(A1840:F1840)=0,"",IF(AND(G1840="OK",H1840="OK"),"OK","REVISAR"))</f>
      </c>
    </row>
    <row r="1841">
      <c r="A1841" s="5"/>
      <c r="B1841" s="5"/>
      <c r="C1841" s="4"/>
      <c r="D1841" s="4"/>
      <c r="E1841" s="5"/>
      <c r="F1841" s="4"/>
      <c r="G1841" s="6">
        <f>IF(AND(A1841="",B1841=""),"",IF(COUNTIFS($A$2:$A$2001,A1841,$B$2:$B$2001,B1841)&gt;1,"DUPLICADO","OK"))</f>
      </c>
      <c r="H1841" s="6">
        <f>IF(COUNTA(A1841:F1841)=0,"",IF(AND(A1841&lt;&gt;"",B1841&lt;&gt;"",E1841&lt;&gt;""),"OK","ERRO: faltam "&amp;IF(A1841="","Conta; ","")&amp;IF(B1841="","Oportunidade; ","")&amp;IF(E1841="","Novo gerente; ","")))</f>
      </c>
      <c r="I1841" s="6">
        <f>IF(COUNTA(A1841:F1841)=0,"",IF(AND(G1841="OK",H1841="OK"),"OK","REVISAR"))</f>
      </c>
    </row>
    <row r="1842">
      <c r="A1842" s="5"/>
      <c r="B1842" s="5"/>
      <c r="C1842" s="4"/>
      <c r="D1842" s="4"/>
      <c r="E1842" s="5"/>
      <c r="F1842" s="4"/>
      <c r="G1842" s="6">
        <f>IF(AND(A1842="",B1842=""),"",IF(COUNTIFS($A$2:$A$2001,A1842,$B$2:$B$2001,B1842)&gt;1,"DUPLICADO","OK"))</f>
      </c>
      <c r="H1842" s="6">
        <f>IF(COUNTA(A1842:F1842)=0,"",IF(AND(A1842&lt;&gt;"",B1842&lt;&gt;"",E1842&lt;&gt;""),"OK","ERRO: faltam "&amp;IF(A1842="","Conta; ","")&amp;IF(B1842="","Oportunidade; ","")&amp;IF(E1842="","Novo gerente; ","")))</f>
      </c>
      <c r="I1842" s="6">
        <f>IF(COUNTA(A1842:F1842)=0,"",IF(AND(G1842="OK",H1842="OK"),"OK","REVISAR"))</f>
      </c>
    </row>
    <row r="1843">
      <c r="A1843" s="5"/>
      <c r="B1843" s="5"/>
      <c r="C1843" s="4"/>
      <c r="D1843" s="4"/>
      <c r="E1843" s="5"/>
      <c r="F1843" s="4"/>
      <c r="G1843" s="6">
        <f>IF(AND(A1843="",B1843=""),"",IF(COUNTIFS($A$2:$A$2001,A1843,$B$2:$B$2001,B1843)&gt;1,"DUPLICADO","OK"))</f>
      </c>
      <c r="H1843" s="6">
        <f>IF(COUNTA(A1843:F1843)=0,"",IF(AND(A1843&lt;&gt;"",B1843&lt;&gt;"",E1843&lt;&gt;""),"OK","ERRO: faltam "&amp;IF(A1843="","Conta; ","")&amp;IF(B1843="","Oportunidade; ","")&amp;IF(E1843="","Novo gerente; ","")))</f>
      </c>
      <c r="I1843" s="6">
        <f>IF(COUNTA(A1843:F1843)=0,"",IF(AND(G1843="OK",H1843="OK"),"OK","REVISAR"))</f>
      </c>
    </row>
    <row r="1844">
      <c r="A1844" s="5"/>
      <c r="B1844" s="5"/>
      <c r="C1844" s="4"/>
      <c r="D1844" s="4"/>
      <c r="E1844" s="5"/>
      <c r="F1844" s="4"/>
      <c r="G1844" s="6">
        <f>IF(AND(A1844="",B1844=""),"",IF(COUNTIFS($A$2:$A$2001,A1844,$B$2:$B$2001,B1844)&gt;1,"DUPLICADO","OK"))</f>
      </c>
      <c r="H1844" s="6">
        <f>IF(COUNTA(A1844:F1844)=0,"",IF(AND(A1844&lt;&gt;"",B1844&lt;&gt;"",E1844&lt;&gt;""),"OK","ERRO: faltam "&amp;IF(A1844="","Conta; ","")&amp;IF(B1844="","Oportunidade; ","")&amp;IF(E1844="","Novo gerente; ","")))</f>
      </c>
      <c r="I1844" s="6">
        <f>IF(COUNTA(A1844:F1844)=0,"",IF(AND(G1844="OK",H1844="OK"),"OK","REVISAR"))</f>
      </c>
    </row>
    <row r="1845">
      <c r="A1845" s="5"/>
      <c r="B1845" s="5"/>
      <c r="C1845" s="4"/>
      <c r="D1845" s="4"/>
      <c r="E1845" s="5"/>
      <c r="F1845" s="4"/>
      <c r="G1845" s="6">
        <f>IF(AND(A1845="",B1845=""),"",IF(COUNTIFS($A$2:$A$2001,A1845,$B$2:$B$2001,B1845)&gt;1,"DUPLICADO","OK"))</f>
      </c>
      <c r="H1845" s="6">
        <f>IF(COUNTA(A1845:F1845)=0,"",IF(AND(A1845&lt;&gt;"",B1845&lt;&gt;"",E1845&lt;&gt;""),"OK","ERRO: faltam "&amp;IF(A1845="","Conta; ","")&amp;IF(B1845="","Oportunidade; ","")&amp;IF(E1845="","Novo gerente; ","")))</f>
      </c>
      <c r="I1845" s="6">
        <f>IF(COUNTA(A1845:F1845)=0,"",IF(AND(G1845="OK",H1845="OK"),"OK","REVISAR"))</f>
      </c>
    </row>
    <row r="1846">
      <c r="A1846" s="5"/>
      <c r="B1846" s="5"/>
      <c r="C1846" s="4"/>
      <c r="D1846" s="4"/>
      <c r="E1846" s="5"/>
      <c r="F1846" s="4"/>
      <c r="G1846" s="6">
        <f>IF(AND(A1846="",B1846=""),"",IF(COUNTIFS($A$2:$A$2001,A1846,$B$2:$B$2001,B1846)&gt;1,"DUPLICADO","OK"))</f>
      </c>
      <c r="H1846" s="6">
        <f>IF(COUNTA(A1846:F1846)=0,"",IF(AND(A1846&lt;&gt;"",B1846&lt;&gt;"",E1846&lt;&gt;""),"OK","ERRO: faltam "&amp;IF(A1846="","Conta; ","")&amp;IF(B1846="","Oportunidade; ","")&amp;IF(E1846="","Novo gerente; ","")))</f>
      </c>
      <c r="I1846" s="6">
        <f>IF(COUNTA(A1846:F1846)=0,"",IF(AND(G1846="OK",H1846="OK"),"OK","REVISAR"))</f>
      </c>
    </row>
    <row r="1847">
      <c r="A1847" s="5"/>
      <c r="B1847" s="5"/>
      <c r="C1847" s="4"/>
      <c r="D1847" s="4"/>
      <c r="E1847" s="5"/>
      <c r="F1847" s="4"/>
      <c r="G1847" s="6">
        <f>IF(AND(A1847="",B1847=""),"",IF(COUNTIFS($A$2:$A$2001,A1847,$B$2:$B$2001,B1847)&gt;1,"DUPLICADO","OK"))</f>
      </c>
      <c r="H1847" s="6">
        <f>IF(COUNTA(A1847:F1847)=0,"",IF(AND(A1847&lt;&gt;"",B1847&lt;&gt;"",E1847&lt;&gt;""),"OK","ERRO: faltam "&amp;IF(A1847="","Conta; ","")&amp;IF(B1847="","Oportunidade; ","")&amp;IF(E1847="","Novo gerente; ","")))</f>
      </c>
      <c r="I1847" s="6">
        <f>IF(COUNTA(A1847:F1847)=0,"",IF(AND(G1847="OK",H1847="OK"),"OK","REVISAR"))</f>
      </c>
    </row>
    <row r="1848">
      <c r="A1848" s="5"/>
      <c r="B1848" s="5"/>
      <c r="C1848" s="4"/>
      <c r="D1848" s="4"/>
      <c r="E1848" s="5"/>
      <c r="F1848" s="4"/>
      <c r="G1848" s="6">
        <f>IF(AND(A1848="",B1848=""),"",IF(COUNTIFS($A$2:$A$2001,A1848,$B$2:$B$2001,B1848)&gt;1,"DUPLICADO","OK"))</f>
      </c>
      <c r="H1848" s="6">
        <f>IF(COUNTA(A1848:F1848)=0,"",IF(AND(A1848&lt;&gt;"",B1848&lt;&gt;"",E1848&lt;&gt;""),"OK","ERRO: faltam "&amp;IF(A1848="","Conta; ","")&amp;IF(B1848="","Oportunidade; ","")&amp;IF(E1848="","Novo gerente; ","")))</f>
      </c>
      <c r="I1848" s="6">
        <f>IF(COUNTA(A1848:F1848)=0,"",IF(AND(G1848="OK",H1848="OK"),"OK","REVISAR"))</f>
      </c>
    </row>
    <row r="1849">
      <c r="A1849" s="5"/>
      <c r="B1849" s="5"/>
      <c r="C1849" s="4"/>
      <c r="D1849" s="4"/>
      <c r="E1849" s="5"/>
      <c r="F1849" s="4"/>
      <c r="G1849" s="6">
        <f>IF(AND(A1849="",B1849=""),"",IF(COUNTIFS($A$2:$A$2001,A1849,$B$2:$B$2001,B1849)&gt;1,"DUPLICADO","OK"))</f>
      </c>
      <c r="H1849" s="6">
        <f>IF(COUNTA(A1849:F1849)=0,"",IF(AND(A1849&lt;&gt;"",B1849&lt;&gt;"",E1849&lt;&gt;""),"OK","ERRO: faltam "&amp;IF(A1849="","Conta; ","")&amp;IF(B1849="","Oportunidade; ","")&amp;IF(E1849="","Novo gerente; ","")))</f>
      </c>
      <c r="I1849" s="6">
        <f>IF(COUNTA(A1849:F1849)=0,"",IF(AND(G1849="OK",H1849="OK"),"OK","REVISAR"))</f>
      </c>
    </row>
    <row r="1850">
      <c r="A1850" s="5"/>
      <c r="B1850" s="5"/>
      <c r="C1850" s="4"/>
      <c r="D1850" s="4"/>
      <c r="E1850" s="5"/>
      <c r="F1850" s="4"/>
      <c r="G1850" s="6">
        <f>IF(AND(A1850="",B1850=""),"",IF(COUNTIFS($A$2:$A$2001,A1850,$B$2:$B$2001,B1850)&gt;1,"DUPLICADO","OK"))</f>
      </c>
      <c r="H1850" s="6">
        <f>IF(COUNTA(A1850:F1850)=0,"",IF(AND(A1850&lt;&gt;"",B1850&lt;&gt;"",E1850&lt;&gt;""),"OK","ERRO: faltam "&amp;IF(A1850="","Conta; ","")&amp;IF(B1850="","Oportunidade; ","")&amp;IF(E1850="","Novo gerente; ","")))</f>
      </c>
      <c r="I1850" s="6">
        <f>IF(COUNTA(A1850:F1850)=0,"",IF(AND(G1850="OK",H1850="OK"),"OK","REVISAR"))</f>
      </c>
    </row>
    <row r="1851">
      <c r="A1851" s="5"/>
      <c r="B1851" s="5"/>
      <c r="C1851" s="4"/>
      <c r="D1851" s="4"/>
      <c r="E1851" s="5"/>
      <c r="F1851" s="4"/>
      <c r="G1851" s="6">
        <f>IF(AND(A1851="",B1851=""),"",IF(COUNTIFS($A$2:$A$2001,A1851,$B$2:$B$2001,B1851)&gt;1,"DUPLICADO","OK"))</f>
      </c>
      <c r="H1851" s="6">
        <f>IF(COUNTA(A1851:F1851)=0,"",IF(AND(A1851&lt;&gt;"",B1851&lt;&gt;"",E1851&lt;&gt;""),"OK","ERRO: faltam "&amp;IF(A1851="","Conta; ","")&amp;IF(B1851="","Oportunidade; ","")&amp;IF(E1851="","Novo gerente; ","")))</f>
      </c>
      <c r="I1851" s="6">
        <f>IF(COUNTA(A1851:F1851)=0,"",IF(AND(G1851="OK",H1851="OK"),"OK","REVISAR"))</f>
      </c>
    </row>
    <row r="1852">
      <c r="A1852" s="5"/>
      <c r="B1852" s="5"/>
      <c r="C1852" s="4"/>
      <c r="D1852" s="4"/>
      <c r="E1852" s="5"/>
      <c r="F1852" s="4"/>
      <c r="G1852" s="6">
        <f>IF(AND(A1852="",B1852=""),"",IF(COUNTIFS($A$2:$A$2001,A1852,$B$2:$B$2001,B1852)&gt;1,"DUPLICADO","OK"))</f>
      </c>
      <c r="H1852" s="6">
        <f>IF(COUNTA(A1852:F1852)=0,"",IF(AND(A1852&lt;&gt;"",B1852&lt;&gt;"",E1852&lt;&gt;""),"OK","ERRO: faltam "&amp;IF(A1852="","Conta; ","")&amp;IF(B1852="","Oportunidade; ","")&amp;IF(E1852="","Novo gerente; ","")))</f>
      </c>
      <c r="I1852" s="6">
        <f>IF(COUNTA(A1852:F1852)=0,"",IF(AND(G1852="OK",H1852="OK"),"OK","REVISAR"))</f>
      </c>
    </row>
    <row r="1853">
      <c r="A1853" s="5"/>
      <c r="B1853" s="5"/>
      <c r="C1853" s="4"/>
      <c r="D1853" s="4"/>
      <c r="E1853" s="5"/>
      <c r="F1853" s="4"/>
      <c r="G1853" s="6">
        <f>IF(AND(A1853="",B1853=""),"",IF(COUNTIFS($A$2:$A$2001,A1853,$B$2:$B$2001,B1853)&gt;1,"DUPLICADO","OK"))</f>
      </c>
      <c r="H1853" s="6">
        <f>IF(COUNTA(A1853:F1853)=0,"",IF(AND(A1853&lt;&gt;"",B1853&lt;&gt;"",E1853&lt;&gt;""),"OK","ERRO: faltam "&amp;IF(A1853="","Conta; ","")&amp;IF(B1853="","Oportunidade; ","")&amp;IF(E1853="","Novo gerente; ","")))</f>
      </c>
      <c r="I1853" s="6">
        <f>IF(COUNTA(A1853:F1853)=0,"",IF(AND(G1853="OK",H1853="OK"),"OK","REVISAR"))</f>
      </c>
    </row>
    <row r="1854">
      <c r="A1854" s="5"/>
      <c r="B1854" s="5"/>
      <c r="C1854" s="4"/>
      <c r="D1854" s="4"/>
      <c r="E1854" s="5"/>
      <c r="F1854" s="4"/>
      <c r="G1854" s="6">
        <f>IF(AND(A1854="",B1854=""),"",IF(COUNTIFS($A$2:$A$2001,A1854,$B$2:$B$2001,B1854)&gt;1,"DUPLICADO","OK"))</f>
      </c>
      <c r="H1854" s="6">
        <f>IF(COUNTA(A1854:F1854)=0,"",IF(AND(A1854&lt;&gt;"",B1854&lt;&gt;"",E1854&lt;&gt;""),"OK","ERRO: faltam "&amp;IF(A1854="","Conta; ","")&amp;IF(B1854="","Oportunidade; ","")&amp;IF(E1854="","Novo gerente; ","")))</f>
      </c>
      <c r="I1854" s="6">
        <f>IF(COUNTA(A1854:F1854)=0,"",IF(AND(G1854="OK",H1854="OK"),"OK","REVISAR"))</f>
      </c>
    </row>
    <row r="1855">
      <c r="A1855" s="5"/>
      <c r="B1855" s="5"/>
      <c r="C1855" s="4"/>
      <c r="D1855" s="4"/>
      <c r="E1855" s="5"/>
      <c r="F1855" s="4"/>
      <c r="G1855" s="6">
        <f>IF(AND(A1855="",B1855=""),"",IF(COUNTIFS($A$2:$A$2001,A1855,$B$2:$B$2001,B1855)&gt;1,"DUPLICADO","OK"))</f>
      </c>
      <c r="H1855" s="6">
        <f>IF(COUNTA(A1855:F1855)=0,"",IF(AND(A1855&lt;&gt;"",B1855&lt;&gt;"",E1855&lt;&gt;""),"OK","ERRO: faltam "&amp;IF(A1855="","Conta; ","")&amp;IF(B1855="","Oportunidade; ","")&amp;IF(E1855="","Novo gerente; ","")))</f>
      </c>
      <c r="I1855" s="6">
        <f>IF(COUNTA(A1855:F1855)=0,"",IF(AND(G1855="OK",H1855="OK"),"OK","REVISAR"))</f>
      </c>
    </row>
    <row r="1856">
      <c r="A1856" s="5"/>
      <c r="B1856" s="5"/>
      <c r="C1856" s="4"/>
      <c r="D1856" s="4"/>
      <c r="E1856" s="5"/>
      <c r="F1856" s="4"/>
      <c r="G1856" s="6">
        <f>IF(AND(A1856="",B1856=""),"",IF(COUNTIFS($A$2:$A$2001,A1856,$B$2:$B$2001,B1856)&gt;1,"DUPLICADO","OK"))</f>
      </c>
      <c r="H1856" s="6">
        <f>IF(COUNTA(A1856:F1856)=0,"",IF(AND(A1856&lt;&gt;"",B1856&lt;&gt;"",E1856&lt;&gt;""),"OK","ERRO: faltam "&amp;IF(A1856="","Conta; ","")&amp;IF(B1856="","Oportunidade; ","")&amp;IF(E1856="","Novo gerente; ","")))</f>
      </c>
      <c r="I1856" s="6">
        <f>IF(COUNTA(A1856:F1856)=0,"",IF(AND(G1856="OK",H1856="OK"),"OK","REVISAR"))</f>
      </c>
    </row>
    <row r="1857">
      <c r="A1857" s="5"/>
      <c r="B1857" s="5"/>
      <c r="C1857" s="4"/>
      <c r="D1857" s="4"/>
      <c r="E1857" s="5"/>
      <c r="F1857" s="4"/>
      <c r="G1857" s="6">
        <f>IF(AND(A1857="",B1857=""),"",IF(COUNTIFS($A$2:$A$2001,A1857,$B$2:$B$2001,B1857)&gt;1,"DUPLICADO","OK"))</f>
      </c>
      <c r="H1857" s="6">
        <f>IF(COUNTA(A1857:F1857)=0,"",IF(AND(A1857&lt;&gt;"",B1857&lt;&gt;"",E1857&lt;&gt;""),"OK","ERRO: faltam "&amp;IF(A1857="","Conta; ","")&amp;IF(B1857="","Oportunidade; ","")&amp;IF(E1857="","Novo gerente; ","")))</f>
      </c>
      <c r="I1857" s="6">
        <f>IF(COUNTA(A1857:F1857)=0,"",IF(AND(G1857="OK",H1857="OK"),"OK","REVISAR"))</f>
      </c>
    </row>
    <row r="1858">
      <c r="A1858" s="5"/>
      <c r="B1858" s="5"/>
      <c r="C1858" s="4"/>
      <c r="D1858" s="4"/>
      <c r="E1858" s="5"/>
      <c r="F1858" s="4"/>
      <c r="G1858" s="6">
        <f>IF(AND(A1858="",B1858=""),"",IF(COUNTIFS($A$2:$A$2001,A1858,$B$2:$B$2001,B1858)&gt;1,"DUPLICADO","OK"))</f>
      </c>
      <c r="H1858" s="6">
        <f>IF(COUNTA(A1858:F1858)=0,"",IF(AND(A1858&lt;&gt;"",B1858&lt;&gt;"",E1858&lt;&gt;""),"OK","ERRO: faltam "&amp;IF(A1858="","Conta; ","")&amp;IF(B1858="","Oportunidade; ","")&amp;IF(E1858="","Novo gerente; ","")))</f>
      </c>
      <c r="I1858" s="6">
        <f>IF(COUNTA(A1858:F1858)=0,"",IF(AND(G1858="OK",H1858="OK"),"OK","REVISAR"))</f>
      </c>
    </row>
    <row r="1859">
      <c r="A1859" s="5"/>
      <c r="B1859" s="5"/>
      <c r="C1859" s="4"/>
      <c r="D1859" s="4"/>
      <c r="E1859" s="5"/>
      <c r="F1859" s="4"/>
      <c r="G1859" s="6">
        <f>IF(AND(A1859="",B1859=""),"",IF(COUNTIFS($A$2:$A$2001,A1859,$B$2:$B$2001,B1859)&gt;1,"DUPLICADO","OK"))</f>
      </c>
      <c r="H1859" s="6">
        <f>IF(COUNTA(A1859:F1859)=0,"",IF(AND(A1859&lt;&gt;"",B1859&lt;&gt;"",E1859&lt;&gt;""),"OK","ERRO: faltam "&amp;IF(A1859="","Conta; ","")&amp;IF(B1859="","Oportunidade; ","")&amp;IF(E1859="","Novo gerente; ","")))</f>
      </c>
      <c r="I1859" s="6">
        <f>IF(COUNTA(A1859:F1859)=0,"",IF(AND(G1859="OK",H1859="OK"),"OK","REVISAR"))</f>
      </c>
    </row>
    <row r="1860">
      <c r="A1860" s="5"/>
      <c r="B1860" s="5"/>
      <c r="C1860" s="4"/>
      <c r="D1860" s="4"/>
      <c r="E1860" s="5"/>
      <c r="F1860" s="4"/>
      <c r="G1860" s="6">
        <f>IF(AND(A1860="",B1860=""),"",IF(COUNTIFS($A$2:$A$2001,A1860,$B$2:$B$2001,B1860)&gt;1,"DUPLICADO","OK"))</f>
      </c>
      <c r="H1860" s="6">
        <f>IF(COUNTA(A1860:F1860)=0,"",IF(AND(A1860&lt;&gt;"",B1860&lt;&gt;"",E1860&lt;&gt;""),"OK","ERRO: faltam "&amp;IF(A1860="","Conta; ","")&amp;IF(B1860="","Oportunidade; ","")&amp;IF(E1860="","Novo gerente; ","")))</f>
      </c>
      <c r="I1860" s="6">
        <f>IF(COUNTA(A1860:F1860)=0,"",IF(AND(G1860="OK",H1860="OK"),"OK","REVISAR"))</f>
      </c>
    </row>
    <row r="1861">
      <c r="A1861" s="5"/>
      <c r="B1861" s="5"/>
      <c r="C1861" s="4"/>
      <c r="D1861" s="4"/>
      <c r="E1861" s="5"/>
      <c r="F1861" s="4"/>
      <c r="G1861" s="6">
        <f>IF(AND(A1861="",B1861=""),"",IF(COUNTIFS($A$2:$A$2001,A1861,$B$2:$B$2001,B1861)&gt;1,"DUPLICADO","OK"))</f>
      </c>
      <c r="H1861" s="6">
        <f>IF(COUNTA(A1861:F1861)=0,"",IF(AND(A1861&lt;&gt;"",B1861&lt;&gt;"",E1861&lt;&gt;""),"OK","ERRO: faltam "&amp;IF(A1861="","Conta; ","")&amp;IF(B1861="","Oportunidade; ","")&amp;IF(E1861="","Novo gerente; ","")))</f>
      </c>
      <c r="I1861" s="6">
        <f>IF(COUNTA(A1861:F1861)=0,"",IF(AND(G1861="OK",H1861="OK"),"OK","REVISAR"))</f>
      </c>
    </row>
    <row r="1862">
      <c r="A1862" s="5"/>
      <c r="B1862" s="5"/>
      <c r="C1862" s="4"/>
      <c r="D1862" s="4"/>
      <c r="E1862" s="5"/>
      <c r="F1862" s="4"/>
      <c r="G1862" s="6">
        <f>IF(AND(A1862="",B1862=""),"",IF(COUNTIFS($A$2:$A$2001,A1862,$B$2:$B$2001,B1862)&gt;1,"DUPLICADO","OK"))</f>
      </c>
      <c r="H1862" s="6">
        <f>IF(COUNTA(A1862:F1862)=0,"",IF(AND(A1862&lt;&gt;"",B1862&lt;&gt;"",E1862&lt;&gt;""),"OK","ERRO: faltam "&amp;IF(A1862="","Conta; ","")&amp;IF(B1862="","Oportunidade; ","")&amp;IF(E1862="","Novo gerente; ","")))</f>
      </c>
      <c r="I1862" s="6">
        <f>IF(COUNTA(A1862:F1862)=0,"",IF(AND(G1862="OK",H1862="OK"),"OK","REVISAR"))</f>
      </c>
    </row>
    <row r="1863">
      <c r="A1863" s="5"/>
      <c r="B1863" s="5"/>
      <c r="C1863" s="4"/>
      <c r="D1863" s="4"/>
      <c r="E1863" s="5"/>
      <c r="F1863" s="4"/>
      <c r="G1863" s="6">
        <f>IF(AND(A1863="",B1863=""),"",IF(COUNTIFS($A$2:$A$2001,A1863,$B$2:$B$2001,B1863)&gt;1,"DUPLICADO","OK"))</f>
      </c>
      <c r="H1863" s="6">
        <f>IF(COUNTA(A1863:F1863)=0,"",IF(AND(A1863&lt;&gt;"",B1863&lt;&gt;"",E1863&lt;&gt;""),"OK","ERRO: faltam "&amp;IF(A1863="","Conta; ","")&amp;IF(B1863="","Oportunidade; ","")&amp;IF(E1863="","Novo gerente; ","")))</f>
      </c>
      <c r="I1863" s="6">
        <f>IF(COUNTA(A1863:F1863)=0,"",IF(AND(G1863="OK",H1863="OK"),"OK","REVISAR"))</f>
      </c>
    </row>
    <row r="1864">
      <c r="A1864" s="5"/>
      <c r="B1864" s="5"/>
      <c r="C1864" s="4"/>
      <c r="D1864" s="4"/>
      <c r="E1864" s="5"/>
      <c r="F1864" s="4"/>
      <c r="G1864" s="6">
        <f>IF(AND(A1864="",B1864=""),"",IF(COUNTIFS($A$2:$A$2001,A1864,$B$2:$B$2001,B1864)&gt;1,"DUPLICADO","OK"))</f>
      </c>
      <c r="H1864" s="6">
        <f>IF(COUNTA(A1864:F1864)=0,"",IF(AND(A1864&lt;&gt;"",B1864&lt;&gt;"",E1864&lt;&gt;""),"OK","ERRO: faltam "&amp;IF(A1864="","Conta; ","")&amp;IF(B1864="","Oportunidade; ","")&amp;IF(E1864="","Novo gerente; ","")))</f>
      </c>
      <c r="I1864" s="6">
        <f>IF(COUNTA(A1864:F1864)=0,"",IF(AND(G1864="OK",H1864="OK"),"OK","REVISAR"))</f>
      </c>
    </row>
    <row r="1865">
      <c r="A1865" s="5"/>
      <c r="B1865" s="5"/>
      <c r="C1865" s="4"/>
      <c r="D1865" s="4"/>
      <c r="E1865" s="5"/>
      <c r="F1865" s="4"/>
      <c r="G1865" s="6">
        <f>IF(AND(A1865="",B1865=""),"",IF(COUNTIFS($A$2:$A$2001,A1865,$B$2:$B$2001,B1865)&gt;1,"DUPLICADO","OK"))</f>
      </c>
      <c r="H1865" s="6">
        <f>IF(COUNTA(A1865:F1865)=0,"",IF(AND(A1865&lt;&gt;"",B1865&lt;&gt;"",E1865&lt;&gt;""),"OK","ERRO: faltam "&amp;IF(A1865="","Conta; ","")&amp;IF(B1865="","Oportunidade; ","")&amp;IF(E1865="","Novo gerente; ","")))</f>
      </c>
      <c r="I1865" s="6">
        <f>IF(COUNTA(A1865:F1865)=0,"",IF(AND(G1865="OK",H1865="OK"),"OK","REVISAR"))</f>
      </c>
    </row>
    <row r="1866">
      <c r="A1866" s="5"/>
      <c r="B1866" s="5"/>
      <c r="C1866" s="4"/>
      <c r="D1866" s="4"/>
      <c r="E1866" s="5"/>
      <c r="F1866" s="4"/>
      <c r="G1866" s="6">
        <f>IF(AND(A1866="",B1866=""),"",IF(COUNTIFS($A$2:$A$2001,A1866,$B$2:$B$2001,B1866)&gt;1,"DUPLICADO","OK"))</f>
      </c>
      <c r="H1866" s="6">
        <f>IF(COUNTA(A1866:F1866)=0,"",IF(AND(A1866&lt;&gt;"",B1866&lt;&gt;"",E1866&lt;&gt;""),"OK","ERRO: faltam "&amp;IF(A1866="","Conta; ","")&amp;IF(B1866="","Oportunidade; ","")&amp;IF(E1866="","Novo gerente; ","")))</f>
      </c>
      <c r="I1866" s="6">
        <f>IF(COUNTA(A1866:F1866)=0,"",IF(AND(G1866="OK",H1866="OK"),"OK","REVISAR"))</f>
      </c>
    </row>
    <row r="1867">
      <c r="A1867" s="5"/>
      <c r="B1867" s="5"/>
      <c r="C1867" s="4"/>
      <c r="D1867" s="4"/>
      <c r="E1867" s="5"/>
      <c r="F1867" s="4"/>
      <c r="G1867" s="6">
        <f>IF(AND(A1867="",B1867=""),"",IF(COUNTIFS($A$2:$A$2001,A1867,$B$2:$B$2001,B1867)&gt;1,"DUPLICADO","OK"))</f>
      </c>
      <c r="H1867" s="6">
        <f>IF(COUNTA(A1867:F1867)=0,"",IF(AND(A1867&lt;&gt;"",B1867&lt;&gt;"",E1867&lt;&gt;""),"OK","ERRO: faltam "&amp;IF(A1867="","Conta; ","")&amp;IF(B1867="","Oportunidade; ","")&amp;IF(E1867="","Novo gerente; ","")))</f>
      </c>
      <c r="I1867" s="6">
        <f>IF(COUNTA(A1867:F1867)=0,"",IF(AND(G1867="OK",H1867="OK"),"OK","REVISAR"))</f>
      </c>
    </row>
    <row r="1868">
      <c r="A1868" s="5"/>
      <c r="B1868" s="5"/>
      <c r="C1868" s="4"/>
      <c r="D1868" s="4"/>
      <c r="E1868" s="5"/>
      <c r="F1868" s="4"/>
      <c r="G1868" s="6">
        <f>IF(AND(A1868="",B1868=""),"",IF(COUNTIFS($A$2:$A$2001,A1868,$B$2:$B$2001,B1868)&gt;1,"DUPLICADO","OK"))</f>
      </c>
      <c r="H1868" s="6">
        <f>IF(COUNTA(A1868:F1868)=0,"",IF(AND(A1868&lt;&gt;"",B1868&lt;&gt;"",E1868&lt;&gt;""),"OK","ERRO: faltam "&amp;IF(A1868="","Conta; ","")&amp;IF(B1868="","Oportunidade; ","")&amp;IF(E1868="","Novo gerente; ","")))</f>
      </c>
      <c r="I1868" s="6">
        <f>IF(COUNTA(A1868:F1868)=0,"",IF(AND(G1868="OK",H1868="OK"),"OK","REVISAR"))</f>
      </c>
    </row>
    <row r="1869">
      <c r="A1869" s="5"/>
      <c r="B1869" s="5"/>
      <c r="C1869" s="4"/>
      <c r="D1869" s="4"/>
      <c r="E1869" s="5"/>
      <c r="F1869" s="4"/>
      <c r="G1869" s="6">
        <f>IF(AND(A1869="",B1869=""),"",IF(COUNTIFS($A$2:$A$2001,A1869,$B$2:$B$2001,B1869)&gt;1,"DUPLICADO","OK"))</f>
      </c>
      <c r="H1869" s="6">
        <f>IF(COUNTA(A1869:F1869)=0,"",IF(AND(A1869&lt;&gt;"",B1869&lt;&gt;"",E1869&lt;&gt;""),"OK","ERRO: faltam "&amp;IF(A1869="","Conta; ","")&amp;IF(B1869="","Oportunidade; ","")&amp;IF(E1869="","Novo gerente; ","")))</f>
      </c>
      <c r="I1869" s="6">
        <f>IF(COUNTA(A1869:F1869)=0,"",IF(AND(G1869="OK",H1869="OK"),"OK","REVISAR"))</f>
      </c>
    </row>
    <row r="1870">
      <c r="A1870" s="5"/>
      <c r="B1870" s="5"/>
      <c r="C1870" s="4"/>
      <c r="D1870" s="4"/>
      <c r="E1870" s="5"/>
      <c r="F1870" s="4"/>
      <c r="G1870" s="6">
        <f>IF(AND(A1870="",B1870=""),"",IF(COUNTIFS($A$2:$A$2001,A1870,$B$2:$B$2001,B1870)&gt;1,"DUPLICADO","OK"))</f>
      </c>
      <c r="H1870" s="6">
        <f>IF(COUNTA(A1870:F1870)=0,"",IF(AND(A1870&lt;&gt;"",B1870&lt;&gt;"",E1870&lt;&gt;""),"OK","ERRO: faltam "&amp;IF(A1870="","Conta; ","")&amp;IF(B1870="","Oportunidade; ","")&amp;IF(E1870="","Novo gerente; ","")))</f>
      </c>
      <c r="I1870" s="6">
        <f>IF(COUNTA(A1870:F1870)=0,"",IF(AND(G1870="OK",H1870="OK"),"OK","REVISAR"))</f>
      </c>
    </row>
    <row r="1871">
      <c r="A1871" s="5"/>
      <c r="B1871" s="5"/>
      <c r="C1871" s="4"/>
      <c r="D1871" s="4"/>
      <c r="E1871" s="5"/>
      <c r="F1871" s="4"/>
      <c r="G1871" s="6">
        <f>IF(AND(A1871="",B1871=""),"",IF(COUNTIFS($A$2:$A$2001,A1871,$B$2:$B$2001,B1871)&gt;1,"DUPLICADO","OK"))</f>
      </c>
      <c r="H1871" s="6">
        <f>IF(COUNTA(A1871:F1871)=0,"",IF(AND(A1871&lt;&gt;"",B1871&lt;&gt;"",E1871&lt;&gt;""),"OK","ERRO: faltam "&amp;IF(A1871="","Conta; ","")&amp;IF(B1871="","Oportunidade; ","")&amp;IF(E1871="","Novo gerente; ","")))</f>
      </c>
      <c r="I1871" s="6">
        <f>IF(COUNTA(A1871:F1871)=0,"",IF(AND(G1871="OK",H1871="OK"),"OK","REVISAR"))</f>
      </c>
    </row>
    <row r="1872">
      <c r="A1872" s="5"/>
      <c r="B1872" s="5"/>
      <c r="C1872" s="4"/>
      <c r="D1872" s="4"/>
      <c r="E1872" s="5"/>
      <c r="F1872" s="4"/>
      <c r="G1872" s="6">
        <f>IF(AND(A1872="",B1872=""),"",IF(COUNTIFS($A$2:$A$2001,A1872,$B$2:$B$2001,B1872)&gt;1,"DUPLICADO","OK"))</f>
      </c>
      <c r="H1872" s="6">
        <f>IF(COUNTA(A1872:F1872)=0,"",IF(AND(A1872&lt;&gt;"",B1872&lt;&gt;"",E1872&lt;&gt;""),"OK","ERRO: faltam "&amp;IF(A1872="","Conta; ","")&amp;IF(B1872="","Oportunidade; ","")&amp;IF(E1872="","Novo gerente; ","")))</f>
      </c>
      <c r="I1872" s="6">
        <f>IF(COUNTA(A1872:F1872)=0,"",IF(AND(G1872="OK",H1872="OK"),"OK","REVISAR"))</f>
      </c>
    </row>
    <row r="1873">
      <c r="A1873" s="5"/>
      <c r="B1873" s="5"/>
      <c r="C1873" s="4"/>
      <c r="D1873" s="4"/>
      <c r="E1873" s="5"/>
      <c r="F1873" s="4"/>
      <c r="G1873" s="6">
        <f>IF(AND(A1873="",B1873=""),"",IF(COUNTIFS($A$2:$A$2001,A1873,$B$2:$B$2001,B1873)&gt;1,"DUPLICADO","OK"))</f>
      </c>
      <c r="H1873" s="6">
        <f>IF(COUNTA(A1873:F1873)=0,"",IF(AND(A1873&lt;&gt;"",B1873&lt;&gt;"",E1873&lt;&gt;""),"OK","ERRO: faltam "&amp;IF(A1873="","Conta; ","")&amp;IF(B1873="","Oportunidade; ","")&amp;IF(E1873="","Novo gerente; ","")))</f>
      </c>
      <c r="I1873" s="6">
        <f>IF(COUNTA(A1873:F1873)=0,"",IF(AND(G1873="OK",H1873="OK"),"OK","REVISAR"))</f>
      </c>
    </row>
    <row r="1874">
      <c r="A1874" s="5"/>
      <c r="B1874" s="5"/>
      <c r="C1874" s="4"/>
      <c r="D1874" s="4"/>
      <c r="E1874" s="5"/>
      <c r="F1874" s="4"/>
      <c r="G1874" s="6">
        <f>IF(AND(A1874="",B1874=""),"",IF(COUNTIFS($A$2:$A$2001,A1874,$B$2:$B$2001,B1874)&gt;1,"DUPLICADO","OK"))</f>
      </c>
      <c r="H1874" s="6">
        <f>IF(COUNTA(A1874:F1874)=0,"",IF(AND(A1874&lt;&gt;"",B1874&lt;&gt;"",E1874&lt;&gt;""),"OK","ERRO: faltam "&amp;IF(A1874="","Conta; ","")&amp;IF(B1874="","Oportunidade; ","")&amp;IF(E1874="","Novo gerente; ","")))</f>
      </c>
      <c r="I1874" s="6">
        <f>IF(COUNTA(A1874:F1874)=0,"",IF(AND(G1874="OK",H1874="OK"),"OK","REVISAR"))</f>
      </c>
    </row>
    <row r="1875">
      <c r="A1875" s="5"/>
      <c r="B1875" s="5"/>
      <c r="C1875" s="4"/>
      <c r="D1875" s="4"/>
      <c r="E1875" s="5"/>
      <c r="F1875" s="4"/>
      <c r="G1875" s="6">
        <f>IF(AND(A1875="",B1875=""),"",IF(COUNTIFS($A$2:$A$2001,A1875,$B$2:$B$2001,B1875)&gt;1,"DUPLICADO","OK"))</f>
      </c>
      <c r="H1875" s="6">
        <f>IF(COUNTA(A1875:F1875)=0,"",IF(AND(A1875&lt;&gt;"",B1875&lt;&gt;"",E1875&lt;&gt;""),"OK","ERRO: faltam "&amp;IF(A1875="","Conta; ","")&amp;IF(B1875="","Oportunidade; ","")&amp;IF(E1875="","Novo gerente; ","")))</f>
      </c>
      <c r="I1875" s="6">
        <f>IF(COUNTA(A1875:F1875)=0,"",IF(AND(G1875="OK",H1875="OK"),"OK","REVISAR"))</f>
      </c>
    </row>
    <row r="1876">
      <c r="A1876" s="5"/>
      <c r="B1876" s="5"/>
      <c r="C1876" s="4"/>
      <c r="D1876" s="4"/>
      <c r="E1876" s="5"/>
      <c r="F1876" s="4"/>
      <c r="G1876" s="6">
        <f>IF(AND(A1876="",B1876=""),"",IF(COUNTIFS($A$2:$A$2001,A1876,$B$2:$B$2001,B1876)&gt;1,"DUPLICADO","OK"))</f>
      </c>
      <c r="H1876" s="6">
        <f>IF(COUNTA(A1876:F1876)=0,"",IF(AND(A1876&lt;&gt;"",B1876&lt;&gt;"",E1876&lt;&gt;""),"OK","ERRO: faltam "&amp;IF(A1876="","Conta; ","")&amp;IF(B1876="","Oportunidade; ","")&amp;IF(E1876="","Novo gerente; ","")))</f>
      </c>
      <c r="I1876" s="6">
        <f>IF(COUNTA(A1876:F1876)=0,"",IF(AND(G1876="OK",H1876="OK"),"OK","REVISAR"))</f>
      </c>
    </row>
    <row r="1877">
      <c r="A1877" s="5"/>
      <c r="B1877" s="5"/>
      <c r="C1877" s="4"/>
      <c r="D1877" s="4"/>
      <c r="E1877" s="5"/>
      <c r="F1877" s="4"/>
      <c r="G1877" s="6">
        <f>IF(AND(A1877="",B1877=""),"",IF(COUNTIFS($A$2:$A$2001,A1877,$B$2:$B$2001,B1877)&gt;1,"DUPLICADO","OK"))</f>
      </c>
      <c r="H1877" s="6">
        <f>IF(COUNTA(A1877:F1877)=0,"",IF(AND(A1877&lt;&gt;"",B1877&lt;&gt;"",E1877&lt;&gt;""),"OK","ERRO: faltam "&amp;IF(A1877="","Conta; ","")&amp;IF(B1877="","Oportunidade; ","")&amp;IF(E1877="","Novo gerente; ","")))</f>
      </c>
      <c r="I1877" s="6">
        <f>IF(COUNTA(A1877:F1877)=0,"",IF(AND(G1877="OK",H1877="OK"),"OK","REVISAR"))</f>
      </c>
    </row>
    <row r="1878">
      <c r="A1878" s="5"/>
      <c r="B1878" s="5"/>
      <c r="C1878" s="4"/>
      <c r="D1878" s="4"/>
      <c r="E1878" s="5"/>
      <c r="F1878" s="4"/>
      <c r="G1878" s="6">
        <f>IF(AND(A1878="",B1878=""),"",IF(COUNTIFS($A$2:$A$2001,A1878,$B$2:$B$2001,B1878)&gt;1,"DUPLICADO","OK"))</f>
      </c>
      <c r="H1878" s="6">
        <f>IF(COUNTA(A1878:F1878)=0,"",IF(AND(A1878&lt;&gt;"",B1878&lt;&gt;"",E1878&lt;&gt;""),"OK","ERRO: faltam "&amp;IF(A1878="","Conta; ","")&amp;IF(B1878="","Oportunidade; ","")&amp;IF(E1878="","Novo gerente; ","")))</f>
      </c>
      <c r="I1878" s="6">
        <f>IF(COUNTA(A1878:F1878)=0,"",IF(AND(G1878="OK",H1878="OK"),"OK","REVISAR"))</f>
      </c>
    </row>
    <row r="1879">
      <c r="A1879" s="5"/>
      <c r="B1879" s="5"/>
      <c r="C1879" s="4"/>
      <c r="D1879" s="4"/>
      <c r="E1879" s="5"/>
      <c r="F1879" s="4"/>
      <c r="G1879" s="6">
        <f>IF(AND(A1879="",B1879=""),"",IF(COUNTIFS($A$2:$A$2001,A1879,$B$2:$B$2001,B1879)&gt;1,"DUPLICADO","OK"))</f>
      </c>
      <c r="H1879" s="6">
        <f>IF(COUNTA(A1879:F1879)=0,"",IF(AND(A1879&lt;&gt;"",B1879&lt;&gt;"",E1879&lt;&gt;""),"OK","ERRO: faltam "&amp;IF(A1879="","Conta; ","")&amp;IF(B1879="","Oportunidade; ","")&amp;IF(E1879="","Novo gerente; ","")))</f>
      </c>
      <c r="I1879" s="6">
        <f>IF(COUNTA(A1879:F1879)=0,"",IF(AND(G1879="OK",H1879="OK"),"OK","REVISAR"))</f>
      </c>
    </row>
    <row r="1880">
      <c r="A1880" s="5"/>
      <c r="B1880" s="5"/>
      <c r="C1880" s="4"/>
      <c r="D1880" s="4"/>
      <c r="E1880" s="5"/>
      <c r="F1880" s="4"/>
      <c r="G1880" s="6">
        <f>IF(AND(A1880="",B1880=""),"",IF(COUNTIFS($A$2:$A$2001,A1880,$B$2:$B$2001,B1880)&gt;1,"DUPLICADO","OK"))</f>
      </c>
      <c r="H1880" s="6">
        <f>IF(COUNTA(A1880:F1880)=0,"",IF(AND(A1880&lt;&gt;"",B1880&lt;&gt;"",E1880&lt;&gt;""),"OK","ERRO: faltam "&amp;IF(A1880="","Conta; ","")&amp;IF(B1880="","Oportunidade; ","")&amp;IF(E1880="","Novo gerente; ","")))</f>
      </c>
      <c r="I1880" s="6">
        <f>IF(COUNTA(A1880:F1880)=0,"",IF(AND(G1880="OK",H1880="OK"),"OK","REVISAR"))</f>
      </c>
    </row>
    <row r="1881">
      <c r="A1881" s="5"/>
      <c r="B1881" s="5"/>
      <c r="C1881" s="4"/>
      <c r="D1881" s="4"/>
      <c r="E1881" s="5"/>
      <c r="F1881" s="4"/>
      <c r="G1881" s="6">
        <f>IF(AND(A1881="",B1881=""),"",IF(COUNTIFS($A$2:$A$2001,A1881,$B$2:$B$2001,B1881)&gt;1,"DUPLICADO","OK"))</f>
      </c>
      <c r="H1881" s="6">
        <f>IF(COUNTA(A1881:F1881)=0,"",IF(AND(A1881&lt;&gt;"",B1881&lt;&gt;"",E1881&lt;&gt;""),"OK","ERRO: faltam "&amp;IF(A1881="","Conta; ","")&amp;IF(B1881="","Oportunidade; ","")&amp;IF(E1881="","Novo gerente; ","")))</f>
      </c>
      <c r="I1881" s="6">
        <f>IF(COUNTA(A1881:F1881)=0,"",IF(AND(G1881="OK",H1881="OK"),"OK","REVISAR"))</f>
      </c>
    </row>
    <row r="1882">
      <c r="A1882" s="5"/>
      <c r="B1882" s="5"/>
      <c r="C1882" s="4"/>
      <c r="D1882" s="4"/>
      <c r="E1882" s="5"/>
      <c r="F1882" s="4"/>
      <c r="G1882" s="6">
        <f>IF(AND(A1882="",B1882=""),"",IF(COUNTIFS($A$2:$A$2001,A1882,$B$2:$B$2001,B1882)&gt;1,"DUPLICADO","OK"))</f>
      </c>
      <c r="H1882" s="6">
        <f>IF(COUNTA(A1882:F1882)=0,"",IF(AND(A1882&lt;&gt;"",B1882&lt;&gt;"",E1882&lt;&gt;""),"OK","ERRO: faltam "&amp;IF(A1882="","Conta; ","")&amp;IF(B1882="","Oportunidade; ","")&amp;IF(E1882="","Novo gerente; ","")))</f>
      </c>
      <c r="I1882" s="6">
        <f>IF(COUNTA(A1882:F1882)=0,"",IF(AND(G1882="OK",H1882="OK"),"OK","REVISAR"))</f>
      </c>
    </row>
    <row r="1883">
      <c r="A1883" s="5"/>
      <c r="B1883" s="5"/>
      <c r="C1883" s="4"/>
      <c r="D1883" s="4"/>
      <c r="E1883" s="5"/>
      <c r="F1883" s="4"/>
      <c r="G1883" s="6">
        <f>IF(AND(A1883="",B1883=""),"",IF(COUNTIFS($A$2:$A$2001,A1883,$B$2:$B$2001,B1883)&gt;1,"DUPLICADO","OK"))</f>
      </c>
      <c r="H1883" s="6">
        <f>IF(COUNTA(A1883:F1883)=0,"",IF(AND(A1883&lt;&gt;"",B1883&lt;&gt;"",E1883&lt;&gt;""),"OK","ERRO: faltam "&amp;IF(A1883="","Conta; ","")&amp;IF(B1883="","Oportunidade; ","")&amp;IF(E1883="","Novo gerente; ","")))</f>
      </c>
      <c r="I1883" s="6">
        <f>IF(COUNTA(A1883:F1883)=0,"",IF(AND(G1883="OK",H1883="OK"),"OK","REVISAR"))</f>
      </c>
    </row>
    <row r="1884">
      <c r="A1884" s="5"/>
      <c r="B1884" s="5"/>
      <c r="C1884" s="4"/>
      <c r="D1884" s="4"/>
      <c r="E1884" s="5"/>
      <c r="F1884" s="4"/>
      <c r="G1884" s="6">
        <f>IF(AND(A1884="",B1884=""),"",IF(COUNTIFS($A$2:$A$2001,A1884,$B$2:$B$2001,B1884)&gt;1,"DUPLICADO","OK"))</f>
      </c>
      <c r="H1884" s="6">
        <f>IF(COUNTA(A1884:F1884)=0,"",IF(AND(A1884&lt;&gt;"",B1884&lt;&gt;"",E1884&lt;&gt;""),"OK","ERRO: faltam "&amp;IF(A1884="","Conta; ","")&amp;IF(B1884="","Oportunidade; ","")&amp;IF(E1884="","Novo gerente; ","")))</f>
      </c>
      <c r="I1884" s="6">
        <f>IF(COUNTA(A1884:F1884)=0,"",IF(AND(G1884="OK",H1884="OK"),"OK","REVISAR"))</f>
      </c>
    </row>
    <row r="1885">
      <c r="A1885" s="5"/>
      <c r="B1885" s="5"/>
      <c r="C1885" s="4"/>
      <c r="D1885" s="4"/>
      <c r="E1885" s="5"/>
      <c r="F1885" s="4"/>
      <c r="G1885" s="6">
        <f>IF(AND(A1885="",B1885=""),"",IF(COUNTIFS($A$2:$A$2001,A1885,$B$2:$B$2001,B1885)&gt;1,"DUPLICADO","OK"))</f>
      </c>
      <c r="H1885" s="6">
        <f>IF(COUNTA(A1885:F1885)=0,"",IF(AND(A1885&lt;&gt;"",B1885&lt;&gt;"",E1885&lt;&gt;""),"OK","ERRO: faltam "&amp;IF(A1885="","Conta; ","")&amp;IF(B1885="","Oportunidade; ","")&amp;IF(E1885="","Novo gerente; ","")))</f>
      </c>
      <c r="I1885" s="6">
        <f>IF(COUNTA(A1885:F1885)=0,"",IF(AND(G1885="OK",H1885="OK"),"OK","REVISAR"))</f>
      </c>
    </row>
    <row r="1886">
      <c r="A1886" s="5"/>
      <c r="B1886" s="5"/>
      <c r="C1886" s="4"/>
      <c r="D1886" s="4"/>
      <c r="E1886" s="5"/>
      <c r="F1886" s="4"/>
      <c r="G1886" s="6">
        <f>IF(AND(A1886="",B1886=""),"",IF(COUNTIFS($A$2:$A$2001,A1886,$B$2:$B$2001,B1886)&gt;1,"DUPLICADO","OK"))</f>
      </c>
      <c r="H1886" s="6">
        <f>IF(COUNTA(A1886:F1886)=0,"",IF(AND(A1886&lt;&gt;"",B1886&lt;&gt;"",E1886&lt;&gt;""),"OK","ERRO: faltam "&amp;IF(A1886="","Conta; ","")&amp;IF(B1886="","Oportunidade; ","")&amp;IF(E1886="","Novo gerente; ","")))</f>
      </c>
      <c r="I1886" s="6">
        <f>IF(COUNTA(A1886:F1886)=0,"",IF(AND(G1886="OK",H1886="OK"),"OK","REVISAR"))</f>
      </c>
    </row>
    <row r="1887">
      <c r="A1887" s="5"/>
      <c r="B1887" s="5"/>
      <c r="C1887" s="4"/>
      <c r="D1887" s="4"/>
      <c r="E1887" s="5"/>
      <c r="F1887" s="4"/>
      <c r="G1887" s="6">
        <f>IF(AND(A1887="",B1887=""),"",IF(COUNTIFS($A$2:$A$2001,A1887,$B$2:$B$2001,B1887)&gt;1,"DUPLICADO","OK"))</f>
      </c>
      <c r="H1887" s="6">
        <f>IF(COUNTA(A1887:F1887)=0,"",IF(AND(A1887&lt;&gt;"",B1887&lt;&gt;"",E1887&lt;&gt;""),"OK","ERRO: faltam "&amp;IF(A1887="","Conta; ","")&amp;IF(B1887="","Oportunidade; ","")&amp;IF(E1887="","Novo gerente; ","")))</f>
      </c>
      <c r="I1887" s="6">
        <f>IF(COUNTA(A1887:F1887)=0,"",IF(AND(G1887="OK",H1887="OK"),"OK","REVISAR"))</f>
      </c>
    </row>
    <row r="1888">
      <c r="A1888" s="5"/>
      <c r="B1888" s="5"/>
      <c r="C1888" s="4"/>
      <c r="D1888" s="4"/>
      <c r="E1888" s="5"/>
      <c r="F1888" s="4"/>
      <c r="G1888" s="6">
        <f>IF(AND(A1888="",B1888=""),"",IF(COUNTIFS($A$2:$A$2001,A1888,$B$2:$B$2001,B1888)&gt;1,"DUPLICADO","OK"))</f>
      </c>
      <c r="H1888" s="6">
        <f>IF(COUNTA(A1888:F1888)=0,"",IF(AND(A1888&lt;&gt;"",B1888&lt;&gt;"",E1888&lt;&gt;""),"OK","ERRO: faltam "&amp;IF(A1888="","Conta; ","")&amp;IF(B1888="","Oportunidade; ","")&amp;IF(E1888="","Novo gerente; ","")))</f>
      </c>
      <c r="I1888" s="6">
        <f>IF(COUNTA(A1888:F1888)=0,"",IF(AND(G1888="OK",H1888="OK"),"OK","REVISAR"))</f>
      </c>
    </row>
    <row r="1889">
      <c r="A1889" s="5"/>
      <c r="B1889" s="5"/>
      <c r="C1889" s="4"/>
      <c r="D1889" s="4"/>
      <c r="E1889" s="5"/>
      <c r="F1889" s="4"/>
      <c r="G1889" s="6">
        <f>IF(AND(A1889="",B1889=""),"",IF(COUNTIFS($A$2:$A$2001,A1889,$B$2:$B$2001,B1889)&gt;1,"DUPLICADO","OK"))</f>
      </c>
      <c r="H1889" s="6">
        <f>IF(COUNTA(A1889:F1889)=0,"",IF(AND(A1889&lt;&gt;"",B1889&lt;&gt;"",E1889&lt;&gt;""),"OK","ERRO: faltam "&amp;IF(A1889="","Conta; ","")&amp;IF(B1889="","Oportunidade; ","")&amp;IF(E1889="","Novo gerente; ","")))</f>
      </c>
      <c r="I1889" s="6">
        <f>IF(COUNTA(A1889:F1889)=0,"",IF(AND(G1889="OK",H1889="OK"),"OK","REVISAR"))</f>
      </c>
    </row>
    <row r="1890">
      <c r="A1890" s="5"/>
      <c r="B1890" s="5"/>
      <c r="C1890" s="4"/>
      <c r="D1890" s="4"/>
      <c r="E1890" s="5"/>
      <c r="F1890" s="4"/>
      <c r="G1890" s="6">
        <f>IF(AND(A1890="",B1890=""),"",IF(COUNTIFS($A$2:$A$2001,A1890,$B$2:$B$2001,B1890)&gt;1,"DUPLICADO","OK"))</f>
      </c>
      <c r="H1890" s="6">
        <f>IF(COUNTA(A1890:F1890)=0,"",IF(AND(A1890&lt;&gt;"",B1890&lt;&gt;"",E1890&lt;&gt;""),"OK","ERRO: faltam "&amp;IF(A1890="","Conta; ","")&amp;IF(B1890="","Oportunidade; ","")&amp;IF(E1890="","Novo gerente; ","")))</f>
      </c>
      <c r="I1890" s="6">
        <f>IF(COUNTA(A1890:F1890)=0,"",IF(AND(G1890="OK",H1890="OK"),"OK","REVISAR"))</f>
      </c>
    </row>
    <row r="1891">
      <c r="A1891" s="5"/>
      <c r="B1891" s="5"/>
      <c r="C1891" s="4"/>
      <c r="D1891" s="4"/>
      <c r="E1891" s="5"/>
      <c r="F1891" s="4"/>
      <c r="G1891" s="6">
        <f>IF(AND(A1891="",B1891=""),"",IF(COUNTIFS($A$2:$A$2001,A1891,$B$2:$B$2001,B1891)&gt;1,"DUPLICADO","OK"))</f>
      </c>
      <c r="H1891" s="6">
        <f>IF(COUNTA(A1891:F1891)=0,"",IF(AND(A1891&lt;&gt;"",B1891&lt;&gt;"",E1891&lt;&gt;""),"OK","ERRO: faltam "&amp;IF(A1891="","Conta; ","")&amp;IF(B1891="","Oportunidade; ","")&amp;IF(E1891="","Novo gerente; ","")))</f>
      </c>
      <c r="I1891" s="6">
        <f>IF(COUNTA(A1891:F1891)=0,"",IF(AND(G1891="OK",H1891="OK"),"OK","REVISAR"))</f>
      </c>
    </row>
    <row r="1892">
      <c r="A1892" s="5"/>
      <c r="B1892" s="5"/>
      <c r="C1892" s="4"/>
      <c r="D1892" s="4"/>
      <c r="E1892" s="5"/>
      <c r="F1892" s="4"/>
      <c r="G1892" s="6">
        <f>IF(AND(A1892="",B1892=""),"",IF(COUNTIFS($A$2:$A$2001,A1892,$B$2:$B$2001,B1892)&gt;1,"DUPLICADO","OK"))</f>
      </c>
      <c r="H1892" s="6">
        <f>IF(COUNTA(A1892:F1892)=0,"",IF(AND(A1892&lt;&gt;"",B1892&lt;&gt;"",E1892&lt;&gt;""),"OK","ERRO: faltam "&amp;IF(A1892="","Conta; ","")&amp;IF(B1892="","Oportunidade; ","")&amp;IF(E1892="","Novo gerente; ","")))</f>
      </c>
      <c r="I1892" s="6">
        <f>IF(COUNTA(A1892:F1892)=0,"",IF(AND(G1892="OK",H1892="OK"),"OK","REVISAR"))</f>
      </c>
    </row>
    <row r="1893">
      <c r="A1893" s="5"/>
      <c r="B1893" s="5"/>
      <c r="C1893" s="4"/>
      <c r="D1893" s="4"/>
      <c r="E1893" s="5"/>
      <c r="F1893" s="4"/>
      <c r="G1893" s="6">
        <f>IF(AND(A1893="",B1893=""),"",IF(COUNTIFS($A$2:$A$2001,A1893,$B$2:$B$2001,B1893)&gt;1,"DUPLICADO","OK"))</f>
      </c>
      <c r="H1893" s="6">
        <f>IF(COUNTA(A1893:F1893)=0,"",IF(AND(A1893&lt;&gt;"",B1893&lt;&gt;"",E1893&lt;&gt;""),"OK","ERRO: faltam "&amp;IF(A1893="","Conta; ","")&amp;IF(B1893="","Oportunidade; ","")&amp;IF(E1893="","Novo gerente; ","")))</f>
      </c>
      <c r="I1893" s="6">
        <f>IF(COUNTA(A1893:F1893)=0,"",IF(AND(G1893="OK",H1893="OK"),"OK","REVISAR"))</f>
      </c>
    </row>
    <row r="1894">
      <c r="A1894" s="5"/>
      <c r="B1894" s="5"/>
      <c r="C1894" s="4"/>
      <c r="D1894" s="4"/>
      <c r="E1894" s="5"/>
      <c r="F1894" s="4"/>
      <c r="G1894" s="6">
        <f>IF(AND(A1894="",B1894=""),"",IF(COUNTIFS($A$2:$A$2001,A1894,$B$2:$B$2001,B1894)&gt;1,"DUPLICADO","OK"))</f>
      </c>
      <c r="H1894" s="6">
        <f>IF(COUNTA(A1894:F1894)=0,"",IF(AND(A1894&lt;&gt;"",B1894&lt;&gt;"",E1894&lt;&gt;""),"OK","ERRO: faltam "&amp;IF(A1894="","Conta; ","")&amp;IF(B1894="","Oportunidade; ","")&amp;IF(E1894="","Novo gerente; ","")))</f>
      </c>
      <c r="I1894" s="6">
        <f>IF(COUNTA(A1894:F1894)=0,"",IF(AND(G1894="OK",H1894="OK"),"OK","REVISAR"))</f>
      </c>
    </row>
    <row r="1895">
      <c r="A1895" s="5"/>
      <c r="B1895" s="5"/>
      <c r="C1895" s="4"/>
      <c r="D1895" s="4"/>
      <c r="E1895" s="5"/>
      <c r="F1895" s="4"/>
      <c r="G1895" s="6">
        <f>IF(AND(A1895="",B1895=""),"",IF(COUNTIFS($A$2:$A$2001,A1895,$B$2:$B$2001,B1895)&gt;1,"DUPLICADO","OK"))</f>
      </c>
      <c r="H1895" s="6">
        <f>IF(COUNTA(A1895:F1895)=0,"",IF(AND(A1895&lt;&gt;"",B1895&lt;&gt;"",E1895&lt;&gt;""),"OK","ERRO: faltam "&amp;IF(A1895="","Conta; ","")&amp;IF(B1895="","Oportunidade; ","")&amp;IF(E1895="","Novo gerente; ","")))</f>
      </c>
      <c r="I1895" s="6">
        <f>IF(COUNTA(A1895:F1895)=0,"",IF(AND(G1895="OK",H1895="OK"),"OK","REVISAR"))</f>
      </c>
    </row>
    <row r="1896">
      <c r="A1896" s="5"/>
      <c r="B1896" s="5"/>
      <c r="C1896" s="4"/>
      <c r="D1896" s="4"/>
      <c r="E1896" s="5"/>
      <c r="F1896" s="4"/>
      <c r="G1896" s="6">
        <f>IF(AND(A1896="",B1896=""),"",IF(COUNTIFS($A$2:$A$2001,A1896,$B$2:$B$2001,B1896)&gt;1,"DUPLICADO","OK"))</f>
      </c>
      <c r="H1896" s="6">
        <f>IF(COUNTA(A1896:F1896)=0,"",IF(AND(A1896&lt;&gt;"",B1896&lt;&gt;"",E1896&lt;&gt;""),"OK","ERRO: faltam "&amp;IF(A1896="","Conta; ","")&amp;IF(B1896="","Oportunidade; ","")&amp;IF(E1896="","Novo gerente; ","")))</f>
      </c>
      <c r="I1896" s="6">
        <f>IF(COUNTA(A1896:F1896)=0,"",IF(AND(G1896="OK",H1896="OK"),"OK","REVISAR"))</f>
      </c>
    </row>
    <row r="1897">
      <c r="A1897" s="5"/>
      <c r="B1897" s="5"/>
      <c r="C1897" s="4"/>
      <c r="D1897" s="4"/>
      <c r="E1897" s="5"/>
      <c r="F1897" s="4"/>
      <c r="G1897" s="6">
        <f>IF(AND(A1897="",B1897=""),"",IF(COUNTIFS($A$2:$A$2001,A1897,$B$2:$B$2001,B1897)&gt;1,"DUPLICADO","OK"))</f>
      </c>
      <c r="H1897" s="6">
        <f>IF(COUNTA(A1897:F1897)=0,"",IF(AND(A1897&lt;&gt;"",B1897&lt;&gt;"",E1897&lt;&gt;""),"OK","ERRO: faltam "&amp;IF(A1897="","Conta; ","")&amp;IF(B1897="","Oportunidade; ","")&amp;IF(E1897="","Novo gerente; ","")))</f>
      </c>
      <c r="I1897" s="6">
        <f>IF(COUNTA(A1897:F1897)=0,"",IF(AND(G1897="OK",H1897="OK"),"OK","REVISAR"))</f>
      </c>
    </row>
    <row r="1898">
      <c r="A1898" s="5"/>
      <c r="B1898" s="5"/>
      <c r="C1898" s="4"/>
      <c r="D1898" s="4"/>
      <c r="E1898" s="5"/>
      <c r="F1898" s="4"/>
      <c r="G1898" s="6">
        <f>IF(AND(A1898="",B1898=""),"",IF(COUNTIFS($A$2:$A$2001,A1898,$B$2:$B$2001,B1898)&gt;1,"DUPLICADO","OK"))</f>
      </c>
      <c r="H1898" s="6">
        <f>IF(COUNTA(A1898:F1898)=0,"",IF(AND(A1898&lt;&gt;"",B1898&lt;&gt;"",E1898&lt;&gt;""),"OK","ERRO: faltam "&amp;IF(A1898="","Conta; ","")&amp;IF(B1898="","Oportunidade; ","")&amp;IF(E1898="","Novo gerente; ","")))</f>
      </c>
      <c r="I1898" s="6">
        <f>IF(COUNTA(A1898:F1898)=0,"",IF(AND(G1898="OK",H1898="OK"),"OK","REVISAR"))</f>
      </c>
    </row>
    <row r="1899">
      <c r="A1899" s="5"/>
      <c r="B1899" s="5"/>
      <c r="C1899" s="4"/>
      <c r="D1899" s="4"/>
      <c r="E1899" s="5"/>
      <c r="F1899" s="4"/>
      <c r="G1899" s="6">
        <f>IF(AND(A1899="",B1899=""),"",IF(COUNTIFS($A$2:$A$2001,A1899,$B$2:$B$2001,B1899)&gt;1,"DUPLICADO","OK"))</f>
      </c>
      <c r="H1899" s="6">
        <f>IF(COUNTA(A1899:F1899)=0,"",IF(AND(A1899&lt;&gt;"",B1899&lt;&gt;"",E1899&lt;&gt;""),"OK","ERRO: faltam "&amp;IF(A1899="","Conta; ","")&amp;IF(B1899="","Oportunidade; ","")&amp;IF(E1899="","Novo gerente; ","")))</f>
      </c>
      <c r="I1899" s="6">
        <f>IF(COUNTA(A1899:F1899)=0,"",IF(AND(G1899="OK",H1899="OK"),"OK","REVISAR"))</f>
      </c>
    </row>
    <row r="1900">
      <c r="A1900" s="5"/>
      <c r="B1900" s="5"/>
      <c r="C1900" s="4"/>
      <c r="D1900" s="4"/>
      <c r="E1900" s="5"/>
      <c r="F1900" s="4"/>
      <c r="G1900" s="6">
        <f>IF(AND(A1900="",B1900=""),"",IF(COUNTIFS($A$2:$A$2001,A1900,$B$2:$B$2001,B1900)&gt;1,"DUPLICADO","OK"))</f>
      </c>
      <c r="H1900" s="6">
        <f>IF(COUNTA(A1900:F1900)=0,"",IF(AND(A1900&lt;&gt;"",B1900&lt;&gt;"",E1900&lt;&gt;""),"OK","ERRO: faltam "&amp;IF(A1900="","Conta; ","")&amp;IF(B1900="","Oportunidade; ","")&amp;IF(E1900="","Novo gerente; ","")))</f>
      </c>
      <c r="I1900" s="6">
        <f>IF(COUNTA(A1900:F1900)=0,"",IF(AND(G1900="OK",H1900="OK"),"OK","REVISAR"))</f>
      </c>
    </row>
    <row r="1901">
      <c r="A1901" s="5"/>
      <c r="B1901" s="5"/>
      <c r="C1901" s="4"/>
      <c r="D1901" s="4"/>
      <c r="E1901" s="5"/>
      <c r="F1901" s="4"/>
      <c r="G1901" s="6">
        <f>IF(AND(A1901="",B1901=""),"",IF(COUNTIFS($A$2:$A$2001,A1901,$B$2:$B$2001,B1901)&gt;1,"DUPLICADO","OK"))</f>
      </c>
      <c r="H1901" s="6">
        <f>IF(COUNTA(A1901:F1901)=0,"",IF(AND(A1901&lt;&gt;"",B1901&lt;&gt;"",E1901&lt;&gt;""),"OK","ERRO: faltam "&amp;IF(A1901="","Conta; ","")&amp;IF(B1901="","Oportunidade; ","")&amp;IF(E1901="","Novo gerente; ","")))</f>
      </c>
      <c r="I1901" s="6">
        <f>IF(COUNTA(A1901:F1901)=0,"",IF(AND(G1901="OK",H1901="OK"),"OK","REVISAR"))</f>
      </c>
    </row>
    <row r="1902">
      <c r="A1902" s="5"/>
      <c r="B1902" s="5"/>
      <c r="C1902" s="4"/>
      <c r="D1902" s="4"/>
      <c r="E1902" s="5"/>
      <c r="F1902" s="4"/>
      <c r="G1902" s="6">
        <f>IF(AND(A1902="",B1902=""),"",IF(COUNTIFS($A$2:$A$2001,A1902,$B$2:$B$2001,B1902)&gt;1,"DUPLICADO","OK"))</f>
      </c>
      <c r="H1902" s="6">
        <f>IF(COUNTA(A1902:F1902)=0,"",IF(AND(A1902&lt;&gt;"",B1902&lt;&gt;"",E1902&lt;&gt;""),"OK","ERRO: faltam "&amp;IF(A1902="","Conta; ","")&amp;IF(B1902="","Oportunidade; ","")&amp;IF(E1902="","Novo gerente; ","")))</f>
      </c>
      <c r="I1902" s="6">
        <f>IF(COUNTA(A1902:F1902)=0,"",IF(AND(G1902="OK",H1902="OK"),"OK","REVISAR"))</f>
      </c>
    </row>
    <row r="1903">
      <c r="A1903" s="5"/>
      <c r="B1903" s="5"/>
      <c r="C1903" s="4"/>
      <c r="D1903" s="4"/>
      <c r="E1903" s="5"/>
      <c r="F1903" s="4"/>
      <c r="G1903" s="6">
        <f>IF(AND(A1903="",B1903=""),"",IF(COUNTIFS($A$2:$A$2001,A1903,$B$2:$B$2001,B1903)&gt;1,"DUPLICADO","OK"))</f>
      </c>
      <c r="H1903" s="6">
        <f>IF(COUNTA(A1903:F1903)=0,"",IF(AND(A1903&lt;&gt;"",B1903&lt;&gt;"",E1903&lt;&gt;""),"OK","ERRO: faltam "&amp;IF(A1903="","Conta; ","")&amp;IF(B1903="","Oportunidade; ","")&amp;IF(E1903="","Novo gerente; ","")))</f>
      </c>
      <c r="I1903" s="6">
        <f>IF(COUNTA(A1903:F1903)=0,"",IF(AND(G1903="OK",H1903="OK"),"OK","REVISAR"))</f>
      </c>
    </row>
    <row r="1904">
      <c r="A1904" s="5"/>
      <c r="B1904" s="5"/>
      <c r="C1904" s="4"/>
      <c r="D1904" s="4"/>
      <c r="E1904" s="5"/>
      <c r="F1904" s="4"/>
      <c r="G1904" s="6">
        <f>IF(AND(A1904="",B1904=""),"",IF(COUNTIFS($A$2:$A$2001,A1904,$B$2:$B$2001,B1904)&gt;1,"DUPLICADO","OK"))</f>
      </c>
      <c r="H1904" s="6">
        <f>IF(COUNTA(A1904:F1904)=0,"",IF(AND(A1904&lt;&gt;"",B1904&lt;&gt;"",E1904&lt;&gt;""),"OK","ERRO: faltam "&amp;IF(A1904="","Conta; ","")&amp;IF(B1904="","Oportunidade; ","")&amp;IF(E1904="","Novo gerente; ","")))</f>
      </c>
      <c r="I1904" s="6">
        <f>IF(COUNTA(A1904:F1904)=0,"",IF(AND(G1904="OK",H1904="OK"),"OK","REVISAR"))</f>
      </c>
    </row>
    <row r="1905">
      <c r="A1905" s="5"/>
      <c r="B1905" s="5"/>
      <c r="C1905" s="4"/>
      <c r="D1905" s="4"/>
      <c r="E1905" s="5"/>
      <c r="F1905" s="4"/>
      <c r="G1905" s="6">
        <f>IF(AND(A1905="",B1905=""),"",IF(COUNTIFS($A$2:$A$2001,A1905,$B$2:$B$2001,B1905)&gt;1,"DUPLICADO","OK"))</f>
      </c>
      <c r="H1905" s="6">
        <f>IF(COUNTA(A1905:F1905)=0,"",IF(AND(A1905&lt;&gt;"",B1905&lt;&gt;"",E1905&lt;&gt;""),"OK","ERRO: faltam "&amp;IF(A1905="","Conta; ","")&amp;IF(B1905="","Oportunidade; ","")&amp;IF(E1905="","Novo gerente; ","")))</f>
      </c>
      <c r="I1905" s="6">
        <f>IF(COUNTA(A1905:F1905)=0,"",IF(AND(G1905="OK",H1905="OK"),"OK","REVISAR"))</f>
      </c>
    </row>
    <row r="1906">
      <c r="A1906" s="5"/>
      <c r="B1906" s="5"/>
      <c r="C1906" s="4"/>
      <c r="D1906" s="4"/>
      <c r="E1906" s="5"/>
      <c r="F1906" s="4"/>
      <c r="G1906" s="6">
        <f>IF(AND(A1906="",B1906=""),"",IF(COUNTIFS($A$2:$A$2001,A1906,$B$2:$B$2001,B1906)&gt;1,"DUPLICADO","OK"))</f>
      </c>
      <c r="H1906" s="6">
        <f>IF(COUNTA(A1906:F1906)=0,"",IF(AND(A1906&lt;&gt;"",B1906&lt;&gt;"",E1906&lt;&gt;""),"OK","ERRO: faltam "&amp;IF(A1906="","Conta; ","")&amp;IF(B1906="","Oportunidade; ","")&amp;IF(E1906="","Novo gerente; ","")))</f>
      </c>
      <c r="I1906" s="6">
        <f>IF(COUNTA(A1906:F1906)=0,"",IF(AND(G1906="OK",H1906="OK"),"OK","REVISAR"))</f>
      </c>
    </row>
    <row r="1907">
      <c r="A1907" s="5"/>
      <c r="B1907" s="5"/>
      <c r="C1907" s="4"/>
      <c r="D1907" s="4"/>
      <c r="E1907" s="5"/>
      <c r="F1907" s="4"/>
      <c r="G1907" s="6">
        <f>IF(AND(A1907="",B1907=""),"",IF(COUNTIFS($A$2:$A$2001,A1907,$B$2:$B$2001,B1907)&gt;1,"DUPLICADO","OK"))</f>
      </c>
      <c r="H1907" s="6">
        <f>IF(COUNTA(A1907:F1907)=0,"",IF(AND(A1907&lt;&gt;"",B1907&lt;&gt;"",E1907&lt;&gt;""),"OK","ERRO: faltam "&amp;IF(A1907="","Conta; ","")&amp;IF(B1907="","Oportunidade; ","")&amp;IF(E1907="","Novo gerente; ","")))</f>
      </c>
      <c r="I1907" s="6">
        <f>IF(COUNTA(A1907:F1907)=0,"",IF(AND(G1907="OK",H1907="OK"),"OK","REVISAR"))</f>
      </c>
    </row>
    <row r="1908">
      <c r="A1908" s="5"/>
      <c r="B1908" s="5"/>
      <c r="C1908" s="4"/>
      <c r="D1908" s="4"/>
      <c r="E1908" s="5"/>
      <c r="F1908" s="4"/>
      <c r="G1908" s="6">
        <f>IF(AND(A1908="",B1908=""),"",IF(COUNTIFS($A$2:$A$2001,A1908,$B$2:$B$2001,B1908)&gt;1,"DUPLICADO","OK"))</f>
      </c>
      <c r="H1908" s="6">
        <f>IF(COUNTA(A1908:F1908)=0,"",IF(AND(A1908&lt;&gt;"",B1908&lt;&gt;"",E1908&lt;&gt;""),"OK","ERRO: faltam "&amp;IF(A1908="","Conta; ","")&amp;IF(B1908="","Oportunidade; ","")&amp;IF(E1908="","Novo gerente; ","")))</f>
      </c>
      <c r="I1908" s="6">
        <f>IF(COUNTA(A1908:F1908)=0,"",IF(AND(G1908="OK",H1908="OK"),"OK","REVISAR"))</f>
      </c>
    </row>
    <row r="1909">
      <c r="A1909" s="5"/>
      <c r="B1909" s="5"/>
      <c r="C1909" s="4"/>
      <c r="D1909" s="4"/>
      <c r="E1909" s="5"/>
      <c r="F1909" s="4"/>
      <c r="G1909" s="6">
        <f>IF(AND(A1909="",B1909=""),"",IF(COUNTIFS($A$2:$A$2001,A1909,$B$2:$B$2001,B1909)&gt;1,"DUPLICADO","OK"))</f>
      </c>
      <c r="H1909" s="6">
        <f>IF(COUNTA(A1909:F1909)=0,"",IF(AND(A1909&lt;&gt;"",B1909&lt;&gt;"",E1909&lt;&gt;""),"OK","ERRO: faltam "&amp;IF(A1909="","Conta; ","")&amp;IF(B1909="","Oportunidade; ","")&amp;IF(E1909="","Novo gerente; ","")))</f>
      </c>
      <c r="I1909" s="6">
        <f>IF(COUNTA(A1909:F1909)=0,"",IF(AND(G1909="OK",H1909="OK"),"OK","REVISAR"))</f>
      </c>
    </row>
    <row r="1910">
      <c r="A1910" s="5"/>
      <c r="B1910" s="5"/>
      <c r="C1910" s="4"/>
      <c r="D1910" s="4"/>
      <c r="E1910" s="5"/>
      <c r="F1910" s="4"/>
      <c r="G1910" s="6">
        <f>IF(AND(A1910="",B1910=""),"",IF(COUNTIFS($A$2:$A$2001,A1910,$B$2:$B$2001,B1910)&gt;1,"DUPLICADO","OK"))</f>
      </c>
      <c r="H1910" s="6">
        <f>IF(COUNTA(A1910:F1910)=0,"",IF(AND(A1910&lt;&gt;"",B1910&lt;&gt;"",E1910&lt;&gt;""),"OK","ERRO: faltam "&amp;IF(A1910="","Conta; ","")&amp;IF(B1910="","Oportunidade; ","")&amp;IF(E1910="","Novo gerente; ","")))</f>
      </c>
      <c r="I1910" s="6">
        <f>IF(COUNTA(A1910:F1910)=0,"",IF(AND(G1910="OK",H1910="OK"),"OK","REVISAR"))</f>
      </c>
    </row>
    <row r="1911">
      <c r="A1911" s="5"/>
      <c r="B1911" s="5"/>
      <c r="C1911" s="4"/>
      <c r="D1911" s="4"/>
      <c r="E1911" s="5"/>
      <c r="F1911" s="4"/>
      <c r="G1911" s="6">
        <f>IF(AND(A1911="",B1911=""),"",IF(COUNTIFS($A$2:$A$2001,A1911,$B$2:$B$2001,B1911)&gt;1,"DUPLICADO","OK"))</f>
      </c>
      <c r="H1911" s="6">
        <f>IF(COUNTA(A1911:F1911)=0,"",IF(AND(A1911&lt;&gt;"",B1911&lt;&gt;"",E1911&lt;&gt;""),"OK","ERRO: faltam "&amp;IF(A1911="","Conta; ","")&amp;IF(B1911="","Oportunidade; ","")&amp;IF(E1911="","Novo gerente; ","")))</f>
      </c>
      <c r="I1911" s="6">
        <f>IF(COUNTA(A1911:F1911)=0,"",IF(AND(G1911="OK",H1911="OK"),"OK","REVISAR"))</f>
      </c>
    </row>
    <row r="1912">
      <c r="A1912" s="5"/>
      <c r="B1912" s="5"/>
      <c r="C1912" s="4"/>
      <c r="D1912" s="4"/>
      <c r="E1912" s="5"/>
      <c r="F1912" s="4"/>
      <c r="G1912" s="6">
        <f>IF(AND(A1912="",B1912=""),"",IF(COUNTIFS($A$2:$A$2001,A1912,$B$2:$B$2001,B1912)&gt;1,"DUPLICADO","OK"))</f>
      </c>
      <c r="H1912" s="6">
        <f>IF(COUNTA(A1912:F1912)=0,"",IF(AND(A1912&lt;&gt;"",B1912&lt;&gt;"",E1912&lt;&gt;""),"OK","ERRO: faltam "&amp;IF(A1912="","Conta; ","")&amp;IF(B1912="","Oportunidade; ","")&amp;IF(E1912="","Novo gerente; ","")))</f>
      </c>
      <c r="I1912" s="6">
        <f>IF(COUNTA(A1912:F1912)=0,"",IF(AND(G1912="OK",H1912="OK"),"OK","REVISAR"))</f>
      </c>
    </row>
    <row r="1913">
      <c r="A1913" s="5"/>
      <c r="B1913" s="5"/>
      <c r="C1913" s="4"/>
      <c r="D1913" s="4"/>
      <c r="E1913" s="5"/>
      <c r="F1913" s="4"/>
      <c r="G1913" s="6">
        <f>IF(AND(A1913="",B1913=""),"",IF(COUNTIFS($A$2:$A$2001,A1913,$B$2:$B$2001,B1913)&gt;1,"DUPLICADO","OK"))</f>
      </c>
      <c r="H1913" s="6">
        <f>IF(COUNTA(A1913:F1913)=0,"",IF(AND(A1913&lt;&gt;"",B1913&lt;&gt;"",E1913&lt;&gt;""),"OK","ERRO: faltam "&amp;IF(A1913="","Conta; ","")&amp;IF(B1913="","Oportunidade; ","")&amp;IF(E1913="","Novo gerente; ","")))</f>
      </c>
      <c r="I1913" s="6">
        <f>IF(COUNTA(A1913:F1913)=0,"",IF(AND(G1913="OK",H1913="OK"),"OK","REVISAR"))</f>
      </c>
    </row>
    <row r="1914">
      <c r="A1914" s="5"/>
      <c r="B1914" s="5"/>
      <c r="C1914" s="4"/>
      <c r="D1914" s="4"/>
      <c r="E1914" s="5"/>
      <c r="F1914" s="4"/>
      <c r="G1914" s="6">
        <f>IF(AND(A1914="",B1914=""),"",IF(COUNTIFS($A$2:$A$2001,A1914,$B$2:$B$2001,B1914)&gt;1,"DUPLICADO","OK"))</f>
      </c>
      <c r="H1914" s="6">
        <f>IF(COUNTA(A1914:F1914)=0,"",IF(AND(A1914&lt;&gt;"",B1914&lt;&gt;"",E1914&lt;&gt;""),"OK","ERRO: faltam "&amp;IF(A1914="","Conta; ","")&amp;IF(B1914="","Oportunidade; ","")&amp;IF(E1914="","Novo gerente; ","")))</f>
      </c>
      <c r="I1914" s="6">
        <f>IF(COUNTA(A1914:F1914)=0,"",IF(AND(G1914="OK",H1914="OK"),"OK","REVISAR"))</f>
      </c>
    </row>
    <row r="1915">
      <c r="A1915" s="5"/>
      <c r="B1915" s="5"/>
      <c r="C1915" s="4"/>
      <c r="D1915" s="4"/>
      <c r="E1915" s="5"/>
      <c r="F1915" s="4"/>
      <c r="G1915" s="6">
        <f>IF(AND(A1915="",B1915=""),"",IF(COUNTIFS($A$2:$A$2001,A1915,$B$2:$B$2001,B1915)&gt;1,"DUPLICADO","OK"))</f>
      </c>
      <c r="H1915" s="6">
        <f>IF(COUNTA(A1915:F1915)=0,"",IF(AND(A1915&lt;&gt;"",B1915&lt;&gt;"",E1915&lt;&gt;""),"OK","ERRO: faltam "&amp;IF(A1915="","Conta; ","")&amp;IF(B1915="","Oportunidade; ","")&amp;IF(E1915="","Novo gerente; ","")))</f>
      </c>
      <c r="I1915" s="6">
        <f>IF(COUNTA(A1915:F1915)=0,"",IF(AND(G1915="OK",H1915="OK"),"OK","REVISAR"))</f>
      </c>
    </row>
    <row r="1916">
      <c r="A1916" s="5"/>
      <c r="B1916" s="5"/>
      <c r="C1916" s="4"/>
      <c r="D1916" s="4"/>
      <c r="E1916" s="5"/>
      <c r="F1916" s="4"/>
      <c r="G1916" s="6">
        <f>IF(AND(A1916="",B1916=""),"",IF(COUNTIFS($A$2:$A$2001,A1916,$B$2:$B$2001,B1916)&gt;1,"DUPLICADO","OK"))</f>
      </c>
      <c r="H1916" s="6">
        <f>IF(COUNTA(A1916:F1916)=0,"",IF(AND(A1916&lt;&gt;"",B1916&lt;&gt;"",E1916&lt;&gt;""),"OK","ERRO: faltam "&amp;IF(A1916="","Conta; ","")&amp;IF(B1916="","Oportunidade; ","")&amp;IF(E1916="","Novo gerente; ","")))</f>
      </c>
      <c r="I1916" s="6">
        <f>IF(COUNTA(A1916:F1916)=0,"",IF(AND(G1916="OK",H1916="OK"),"OK","REVISAR"))</f>
      </c>
    </row>
    <row r="1917">
      <c r="A1917" s="5"/>
      <c r="B1917" s="5"/>
      <c r="C1917" s="4"/>
      <c r="D1917" s="4"/>
      <c r="E1917" s="5"/>
      <c r="F1917" s="4"/>
      <c r="G1917" s="6">
        <f>IF(AND(A1917="",B1917=""),"",IF(COUNTIFS($A$2:$A$2001,A1917,$B$2:$B$2001,B1917)&gt;1,"DUPLICADO","OK"))</f>
      </c>
      <c r="H1917" s="6">
        <f>IF(COUNTA(A1917:F1917)=0,"",IF(AND(A1917&lt;&gt;"",B1917&lt;&gt;"",E1917&lt;&gt;""),"OK","ERRO: faltam "&amp;IF(A1917="","Conta; ","")&amp;IF(B1917="","Oportunidade; ","")&amp;IF(E1917="","Novo gerente; ","")))</f>
      </c>
      <c r="I1917" s="6">
        <f>IF(COUNTA(A1917:F1917)=0,"",IF(AND(G1917="OK",H1917="OK"),"OK","REVISAR"))</f>
      </c>
    </row>
    <row r="1918">
      <c r="A1918" s="5"/>
      <c r="B1918" s="5"/>
      <c r="C1918" s="4"/>
      <c r="D1918" s="4"/>
      <c r="E1918" s="5"/>
      <c r="F1918" s="4"/>
      <c r="G1918" s="6">
        <f>IF(AND(A1918="",B1918=""),"",IF(COUNTIFS($A$2:$A$2001,A1918,$B$2:$B$2001,B1918)&gt;1,"DUPLICADO","OK"))</f>
      </c>
      <c r="H1918" s="6">
        <f>IF(COUNTA(A1918:F1918)=0,"",IF(AND(A1918&lt;&gt;"",B1918&lt;&gt;"",E1918&lt;&gt;""),"OK","ERRO: faltam "&amp;IF(A1918="","Conta; ","")&amp;IF(B1918="","Oportunidade; ","")&amp;IF(E1918="","Novo gerente; ","")))</f>
      </c>
      <c r="I1918" s="6">
        <f>IF(COUNTA(A1918:F1918)=0,"",IF(AND(G1918="OK",H1918="OK"),"OK","REVISAR"))</f>
      </c>
    </row>
    <row r="1919">
      <c r="A1919" s="5"/>
      <c r="B1919" s="5"/>
      <c r="C1919" s="4"/>
      <c r="D1919" s="4"/>
      <c r="E1919" s="5"/>
      <c r="F1919" s="4"/>
      <c r="G1919" s="6">
        <f>IF(AND(A1919="",B1919=""),"",IF(COUNTIFS($A$2:$A$2001,A1919,$B$2:$B$2001,B1919)&gt;1,"DUPLICADO","OK"))</f>
      </c>
      <c r="H1919" s="6">
        <f>IF(COUNTA(A1919:F1919)=0,"",IF(AND(A1919&lt;&gt;"",B1919&lt;&gt;"",E1919&lt;&gt;""),"OK","ERRO: faltam "&amp;IF(A1919="","Conta; ","")&amp;IF(B1919="","Oportunidade; ","")&amp;IF(E1919="","Novo gerente; ","")))</f>
      </c>
      <c r="I1919" s="6">
        <f>IF(COUNTA(A1919:F1919)=0,"",IF(AND(G1919="OK",H1919="OK"),"OK","REVISAR"))</f>
      </c>
    </row>
    <row r="1920">
      <c r="A1920" s="5"/>
      <c r="B1920" s="5"/>
      <c r="C1920" s="4"/>
      <c r="D1920" s="4"/>
      <c r="E1920" s="5"/>
      <c r="F1920" s="4"/>
      <c r="G1920" s="6">
        <f>IF(AND(A1920="",B1920=""),"",IF(COUNTIFS($A$2:$A$2001,A1920,$B$2:$B$2001,B1920)&gt;1,"DUPLICADO","OK"))</f>
      </c>
      <c r="H1920" s="6">
        <f>IF(COUNTA(A1920:F1920)=0,"",IF(AND(A1920&lt;&gt;"",B1920&lt;&gt;"",E1920&lt;&gt;""),"OK","ERRO: faltam "&amp;IF(A1920="","Conta; ","")&amp;IF(B1920="","Oportunidade; ","")&amp;IF(E1920="","Novo gerente; ","")))</f>
      </c>
      <c r="I1920" s="6">
        <f>IF(COUNTA(A1920:F1920)=0,"",IF(AND(G1920="OK",H1920="OK"),"OK","REVISAR"))</f>
      </c>
    </row>
    <row r="1921">
      <c r="A1921" s="5"/>
      <c r="B1921" s="5"/>
      <c r="C1921" s="4"/>
      <c r="D1921" s="4"/>
      <c r="E1921" s="5"/>
      <c r="F1921" s="4"/>
      <c r="G1921" s="6">
        <f>IF(AND(A1921="",B1921=""),"",IF(COUNTIFS($A$2:$A$2001,A1921,$B$2:$B$2001,B1921)&gt;1,"DUPLICADO","OK"))</f>
      </c>
      <c r="H1921" s="6">
        <f>IF(COUNTA(A1921:F1921)=0,"",IF(AND(A1921&lt;&gt;"",B1921&lt;&gt;"",E1921&lt;&gt;""),"OK","ERRO: faltam "&amp;IF(A1921="","Conta; ","")&amp;IF(B1921="","Oportunidade; ","")&amp;IF(E1921="","Novo gerente; ","")))</f>
      </c>
      <c r="I1921" s="6">
        <f>IF(COUNTA(A1921:F1921)=0,"",IF(AND(G1921="OK",H1921="OK"),"OK","REVISAR"))</f>
      </c>
    </row>
    <row r="1922">
      <c r="A1922" s="5"/>
      <c r="B1922" s="5"/>
      <c r="C1922" s="4"/>
      <c r="D1922" s="4"/>
      <c r="E1922" s="5"/>
      <c r="F1922" s="4"/>
      <c r="G1922" s="6">
        <f>IF(AND(A1922="",B1922=""),"",IF(COUNTIFS($A$2:$A$2001,A1922,$B$2:$B$2001,B1922)&gt;1,"DUPLICADO","OK"))</f>
      </c>
      <c r="H1922" s="6">
        <f>IF(COUNTA(A1922:F1922)=0,"",IF(AND(A1922&lt;&gt;"",B1922&lt;&gt;"",E1922&lt;&gt;""),"OK","ERRO: faltam "&amp;IF(A1922="","Conta; ","")&amp;IF(B1922="","Oportunidade; ","")&amp;IF(E1922="","Novo gerente; ","")))</f>
      </c>
      <c r="I1922" s="6">
        <f>IF(COUNTA(A1922:F1922)=0,"",IF(AND(G1922="OK",H1922="OK"),"OK","REVISAR"))</f>
      </c>
    </row>
    <row r="1923">
      <c r="A1923" s="5"/>
      <c r="B1923" s="5"/>
      <c r="C1923" s="4"/>
      <c r="D1923" s="4"/>
      <c r="E1923" s="5"/>
      <c r="F1923" s="4"/>
      <c r="G1923" s="6">
        <f>IF(AND(A1923="",B1923=""),"",IF(COUNTIFS($A$2:$A$2001,A1923,$B$2:$B$2001,B1923)&gt;1,"DUPLICADO","OK"))</f>
      </c>
      <c r="H1923" s="6">
        <f>IF(COUNTA(A1923:F1923)=0,"",IF(AND(A1923&lt;&gt;"",B1923&lt;&gt;"",E1923&lt;&gt;""),"OK","ERRO: faltam "&amp;IF(A1923="","Conta; ","")&amp;IF(B1923="","Oportunidade; ","")&amp;IF(E1923="","Novo gerente; ","")))</f>
      </c>
      <c r="I1923" s="6">
        <f>IF(COUNTA(A1923:F1923)=0,"",IF(AND(G1923="OK",H1923="OK"),"OK","REVISAR"))</f>
      </c>
    </row>
    <row r="1924">
      <c r="A1924" s="5"/>
      <c r="B1924" s="5"/>
      <c r="C1924" s="4"/>
      <c r="D1924" s="4"/>
      <c r="E1924" s="5"/>
      <c r="F1924" s="4"/>
      <c r="G1924" s="6">
        <f>IF(AND(A1924="",B1924=""),"",IF(COUNTIFS($A$2:$A$2001,A1924,$B$2:$B$2001,B1924)&gt;1,"DUPLICADO","OK"))</f>
      </c>
      <c r="H1924" s="6">
        <f>IF(COUNTA(A1924:F1924)=0,"",IF(AND(A1924&lt;&gt;"",B1924&lt;&gt;"",E1924&lt;&gt;""),"OK","ERRO: faltam "&amp;IF(A1924="","Conta; ","")&amp;IF(B1924="","Oportunidade; ","")&amp;IF(E1924="","Novo gerente; ","")))</f>
      </c>
      <c r="I1924" s="6">
        <f>IF(COUNTA(A1924:F1924)=0,"",IF(AND(G1924="OK",H1924="OK"),"OK","REVISAR"))</f>
      </c>
    </row>
    <row r="1925">
      <c r="A1925" s="5"/>
      <c r="B1925" s="5"/>
      <c r="C1925" s="4"/>
      <c r="D1925" s="4"/>
      <c r="E1925" s="5"/>
      <c r="F1925" s="4"/>
      <c r="G1925" s="6">
        <f>IF(AND(A1925="",B1925=""),"",IF(COUNTIFS($A$2:$A$2001,A1925,$B$2:$B$2001,B1925)&gt;1,"DUPLICADO","OK"))</f>
      </c>
      <c r="H1925" s="6">
        <f>IF(COUNTA(A1925:F1925)=0,"",IF(AND(A1925&lt;&gt;"",B1925&lt;&gt;"",E1925&lt;&gt;""),"OK","ERRO: faltam "&amp;IF(A1925="","Conta; ","")&amp;IF(B1925="","Oportunidade; ","")&amp;IF(E1925="","Novo gerente; ","")))</f>
      </c>
      <c r="I1925" s="6">
        <f>IF(COUNTA(A1925:F1925)=0,"",IF(AND(G1925="OK",H1925="OK"),"OK","REVISAR"))</f>
      </c>
    </row>
    <row r="1926">
      <c r="A1926" s="5"/>
      <c r="B1926" s="5"/>
      <c r="C1926" s="4"/>
      <c r="D1926" s="4"/>
      <c r="E1926" s="5"/>
      <c r="F1926" s="4"/>
      <c r="G1926" s="6">
        <f>IF(AND(A1926="",B1926=""),"",IF(COUNTIFS($A$2:$A$2001,A1926,$B$2:$B$2001,B1926)&gt;1,"DUPLICADO","OK"))</f>
      </c>
      <c r="H1926" s="6">
        <f>IF(COUNTA(A1926:F1926)=0,"",IF(AND(A1926&lt;&gt;"",B1926&lt;&gt;"",E1926&lt;&gt;""),"OK","ERRO: faltam "&amp;IF(A1926="","Conta; ","")&amp;IF(B1926="","Oportunidade; ","")&amp;IF(E1926="","Novo gerente; ","")))</f>
      </c>
      <c r="I1926" s="6">
        <f>IF(COUNTA(A1926:F1926)=0,"",IF(AND(G1926="OK",H1926="OK"),"OK","REVISAR"))</f>
      </c>
    </row>
    <row r="1927">
      <c r="A1927" s="5"/>
      <c r="B1927" s="5"/>
      <c r="C1927" s="4"/>
      <c r="D1927" s="4"/>
      <c r="E1927" s="5"/>
      <c r="F1927" s="4"/>
      <c r="G1927" s="6">
        <f>IF(AND(A1927="",B1927=""),"",IF(COUNTIFS($A$2:$A$2001,A1927,$B$2:$B$2001,B1927)&gt;1,"DUPLICADO","OK"))</f>
      </c>
      <c r="H1927" s="6">
        <f>IF(COUNTA(A1927:F1927)=0,"",IF(AND(A1927&lt;&gt;"",B1927&lt;&gt;"",E1927&lt;&gt;""),"OK","ERRO: faltam "&amp;IF(A1927="","Conta; ","")&amp;IF(B1927="","Oportunidade; ","")&amp;IF(E1927="","Novo gerente; ","")))</f>
      </c>
      <c r="I1927" s="6">
        <f>IF(COUNTA(A1927:F1927)=0,"",IF(AND(G1927="OK",H1927="OK"),"OK","REVISAR"))</f>
      </c>
    </row>
    <row r="1928">
      <c r="A1928" s="5"/>
      <c r="B1928" s="5"/>
      <c r="C1928" s="4"/>
      <c r="D1928" s="4"/>
      <c r="E1928" s="5"/>
      <c r="F1928" s="4"/>
      <c r="G1928" s="6">
        <f>IF(AND(A1928="",B1928=""),"",IF(COUNTIFS($A$2:$A$2001,A1928,$B$2:$B$2001,B1928)&gt;1,"DUPLICADO","OK"))</f>
      </c>
      <c r="H1928" s="6">
        <f>IF(COUNTA(A1928:F1928)=0,"",IF(AND(A1928&lt;&gt;"",B1928&lt;&gt;"",E1928&lt;&gt;""),"OK","ERRO: faltam "&amp;IF(A1928="","Conta; ","")&amp;IF(B1928="","Oportunidade; ","")&amp;IF(E1928="","Novo gerente; ","")))</f>
      </c>
      <c r="I1928" s="6">
        <f>IF(COUNTA(A1928:F1928)=0,"",IF(AND(G1928="OK",H1928="OK"),"OK","REVISAR"))</f>
      </c>
    </row>
    <row r="1929">
      <c r="A1929" s="5"/>
      <c r="B1929" s="5"/>
      <c r="C1929" s="4"/>
      <c r="D1929" s="4"/>
      <c r="E1929" s="5"/>
      <c r="F1929" s="4"/>
      <c r="G1929" s="6">
        <f>IF(AND(A1929="",B1929=""),"",IF(COUNTIFS($A$2:$A$2001,A1929,$B$2:$B$2001,B1929)&gt;1,"DUPLICADO","OK"))</f>
      </c>
      <c r="H1929" s="6">
        <f>IF(COUNTA(A1929:F1929)=0,"",IF(AND(A1929&lt;&gt;"",B1929&lt;&gt;"",E1929&lt;&gt;""),"OK","ERRO: faltam "&amp;IF(A1929="","Conta; ","")&amp;IF(B1929="","Oportunidade; ","")&amp;IF(E1929="","Novo gerente; ","")))</f>
      </c>
      <c r="I1929" s="6">
        <f>IF(COUNTA(A1929:F1929)=0,"",IF(AND(G1929="OK",H1929="OK"),"OK","REVISAR"))</f>
      </c>
    </row>
    <row r="1930">
      <c r="A1930" s="5"/>
      <c r="B1930" s="5"/>
      <c r="C1930" s="4"/>
      <c r="D1930" s="4"/>
      <c r="E1930" s="5"/>
      <c r="F1930" s="4"/>
      <c r="G1930" s="6">
        <f>IF(AND(A1930="",B1930=""),"",IF(COUNTIFS($A$2:$A$2001,A1930,$B$2:$B$2001,B1930)&gt;1,"DUPLICADO","OK"))</f>
      </c>
      <c r="H1930" s="6">
        <f>IF(COUNTA(A1930:F1930)=0,"",IF(AND(A1930&lt;&gt;"",B1930&lt;&gt;"",E1930&lt;&gt;""),"OK","ERRO: faltam "&amp;IF(A1930="","Conta; ","")&amp;IF(B1930="","Oportunidade; ","")&amp;IF(E1930="","Novo gerente; ","")))</f>
      </c>
      <c r="I1930" s="6">
        <f>IF(COUNTA(A1930:F1930)=0,"",IF(AND(G1930="OK",H1930="OK"),"OK","REVISAR"))</f>
      </c>
    </row>
    <row r="1931">
      <c r="A1931" s="5"/>
      <c r="B1931" s="5"/>
      <c r="C1931" s="4"/>
      <c r="D1931" s="4"/>
      <c r="E1931" s="5"/>
      <c r="F1931" s="4"/>
      <c r="G1931" s="6">
        <f>IF(AND(A1931="",B1931=""),"",IF(COUNTIFS($A$2:$A$2001,A1931,$B$2:$B$2001,B1931)&gt;1,"DUPLICADO","OK"))</f>
      </c>
      <c r="H1931" s="6">
        <f>IF(COUNTA(A1931:F1931)=0,"",IF(AND(A1931&lt;&gt;"",B1931&lt;&gt;"",E1931&lt;&gt;""),"OK","ERRO: faltam "&amp;IF(A1931="","Conta; ","")&amp;IF(B1931="","Oportunidade; ","")&amp;IF(E1931="","Novo gerente; ","")))</f>
      </c>
      <c r="I1931" s="6">
        <f>IF(COUNTA(A1931:F1931)=0,"",IF(AND(G1931="OK",H1931="OK"),"OK","REVISAR"))</f>
      </c>
    </row>
    <row r="1932">
      <c r="A1932" s="5"/>
      <c r="B1932" s="5"/>
      <c r="C1932" s="4"/>
      <c r="D1932" s="4"/>
      <c r="E1932" s="5"/>
      <c r="F1932" s="4"/>
      <c r="G1932" s="6">
        <f>IF(AND(A1932="",B1932=""),"",IF(COUNTIFS($A$2:$A$2001,A1932,$B$2:$B$2001,B1932)&gt;1,"DUPLICADO","OK"))</f>
      </c>
      <c r="H1932" s="6">
        <f>IF(COUNTA(A1932:F1932)=0,"",IF(AND(A1932&lt;&gt;"",B1932&lt;&gt;"",E1932&lt;&gt;""),"OK","ERRO: faltam "&amp;IF(A1932="","Conta; ","")&amp;IF(B1932="","Oportunidade; ","")&amp;IF(E1932="","Novo gerente; ","")))</f>
      </c>
      <c r="I1932" s="6">
        <f>IF(COUNTA(A1932:F1932)=0,"",IF(AND(G1932="OK",H1932="OK"),"OK","REVISAR"))</f>
      </c>
    </row>
    <row r="1933">
      <c r="A1933" s="5"/>
      <c r="B1933" s="5"/>
      <c r="C1933" s="4"/>
      <c r="D1933" s="4"/>
      <c r="E1933" s="5"/>
      <c r="F1933" s="4"/>
      <c r="G1933" s="6">
        <f>IF(AND(A1933="",B1933=""),"",IF(COUNTIFS($A$2:$A$2001,A1933,$B$2:$B$2001,B1933)&gt;1,"DUPLICADO","OK"))</f>
      </c>
      <c r="H1933" s="6">
        <f>IF(COUNTA(A1933:F1933)=0,"",IF(AND(A1933&lt;&gt;"",B1933&lt;&gt;"",E1933&lt;&gt;""),"OK","ERRO: faltam "&amp;IF(A1933="","Conta; ","")&amp;IF(B1933="","Oportunidade; ","")&amp;IF(E1933="","Novo gerente; ","")))</f>
      </c>
      <c r="I1933" s="6">
        <f>IF(COUNTA(A1933:F1933)=0,"",IF(AND(G1933="OK",H1933="OK"),"OK","REVISAR"))</f>
      </c>
    </row>
    <row r="1934">
      <c r="A1934" s="5"/>
      <c r="B1934" s="5"/>
      <c r="C1934" s="4"/>
      <c r="D1934" s="4"/>
      <c r="E1934" s="5"/>
      <c r="F1934" s="4"/>
      <c r="G1934" s="6">
        <f>IF(AND(A1934="",B1934=""),"",IF(COUNTIFS($A$2:$A$2001,A1934,$B$2:$B$2001,B1934)&gt;1,"DUPLICADO","OK"))</f>
      </c>
      <c r="H1934" s="6">
        <f>IF(COUNTA(A1934:F1934)=0,"",IF(AND(A1934&lt;&gt;"",B1934&lt;&gt;"",E1934&lt;&gt;""),"OK","ERRO: faltam "&amp;IF(A1934="","Conta; ","")&amp;IF(B1934="","Oportunidade; ","")&amp;IF(E1934="","Novo gerente; ","")))</f>
      </c>
      <c r="I1934" s="6">
        <f>IF(COUNTA(A1934:F1934)=0,"",IF(AND(G1934="OK",H1934="OK"),"OK","REVISAR"))</f>
      </c>
    </row>
    <row r="1935">
      <c r="A1935" s="5"/>
      <c r="B1935" s="5"/>
      <c r="C1935" s="4"/>
      <c r="D1935" s="4"/>
      <c r="E1935" s="5"/>
      <c r="F1935" s="4"/>
      <c r="G1935" s="6">
        <f>IF(AND(A1935="",B1935=""),"",IF(COUNTIFS($A$2:$A$2001,A1935,$B$2:$B$2001,B1935)&gt;1,"DUPLICADO","OK"))</f>
      </c>
      <c r="H1935" s="6">
        <f>IF(COUNTA(A1935:F1935)=0,"",IF(AND(A1935&lt;&gt;"",B1935&lt;&gt;"",E1935&lt;&gt;""),"OK","ERRO: faltam "&amp;IF(A1935="","Conta; ","")&amp;IF(B1935="","Oportunidade; ","")&amp;IF(E1935="","Novo gerente; ","")))</f>
      </c>
      <c r="I1935" s="6">
        <f>IF(COUNTA(A1935:F1935)=0,"",IF(AND(G1935="OK",H1935="OK"),"OK","REVISAR"))</f>
      </c>
    </row>
    <row r="1936">
      <c r="A1936" s="5"/>
      <c r="B1936" s="5"/>
      <c r="C1936" s="4"/>
      <c r="D1936" s="4"/>
      <c r="E1936" s="5"/>
      <c r="F1936" s="4"/>
      <c r="G1936" s="6">
        <f>IF(AND(A1936="",B1936=""),"",IF(COUNTIFS($A$2:$A$2001,A1936,$B$2:$B$2001,B1936)&gt;1,"DUPLICADO","OK"))</f>
      </c>
      <c r="H1936" s="6">
        <f>IF(COUNTA(A1936:F1936)=0,"",IF(AND(A1936&lt;&gt;"",B1936&lt;&gt;"",E1936&lt;&gt;""),"OK","ERRO: faltam "&amp;IF(A1936="","Conta; ","")&amp;IF(B1936="","Oportunidade; ","")&amp;IF(E1936="","Novo gerente; ","")))</f>
      </c>
      <c r="I1936" s="6">
        <f>IF(COUNTA(A1936:F1936)=0,"",IF(AND(G1936="OK",H1936="OK"),"OK","REVISAR"))</f>
      </c>
    </row>
    <row r="1937">
      <c r="A1937" s="5"/>
      <c r="B1937" s="5"/>
      <c r="C1937" s="4"/>
      <c r="D1937" s="4"/>
      <c r="E1937" s="5"/>
      <c r="F1937" s="4"/>
      <c r="G1937" s="6">
        <f>IF(AND(A1937="",B1937=""),"",IF(COUNTIFS($A$2:$A$2001,A1937,$B$2:$B$2001,B1937)&gt;1,"DUPLICADO","OK"))</f>
      </c>
      <c r="H1937" s="6">
        <f>IF(COUNTA(A1937:F1937)=0,"",IF(AND(A1937&lt;&gt;"",B1937&lt;&gt;"",E1937&lt;&gt;""),"OK","ERRO: faltam "&amp;IF(A1937="","Conta; ","")&amp;IF(B1937="","Oportunidade; ","")&amp;IF(E1937="","Novo gerente; ","")))</f>
      </c>
      <c r="I1937" s="6">
        <f>IF(COUNTA(A1937:F1937)=0,"",IF(AND(G1937="OK",H1937="OK"),"OK","REVISAR"))</f>
      </c>
    </row>
    <row r="1938">
      <c r="A1938" s="5"/>
      <c r="B1938" s="5"/>
      <c r="C1938" s="4"/>
      <c r="D1938" s="4"/>
      <c r="E1938" s="5"/>
      <c r="F1938" s="4"/>
      <c r="G1938" s="6">
        <f>IF(AND(A1938="",B1938=""),"",IF(COUNTIFS($A$2:$A$2001,A1938,$B$2:$B$2001,B1938)&gt;1,"DUPLICADO","OK"))</f>
      </c>
      <c r="H1938" s="6">
        <f>IF(COUNTA(A1938:F1938)=0,"",IF(AND(A1938&lt;&gt;"",B1938&lt;&gt;"",E1938&lt;&gt;""),"OK","ERRO: faltam "&amp;IF(A1938="","Conta; ","")&amp;IF(B1938="","Oportunidade; ","")&amp;IF(E1938="","Novo gerente; ","")))</f>
      </c>
      <c r="I1938" s="6">
        <f>IF(COUNTA(A1938:F1938)=0,"",IF(AND(G1938="OK",H1938="OK"),"OK","REVISAR"))</f>
      </c>
    </row>
    <row r="1939">
      <c r="A1939" s="5"/>
      <c r="B1939" s="5"/>
      <c r="C1939" s="4"/>
      <c r="D1939" s="4"/>
      <c r="E1939" s="5"/>
      <c r="F1939" s="4"/>
      <c r="G1939" s="6">
        <f>IF(AND(A1939="",B1939=""),"",IF(COUNTIFS($A$2:$A$2001,A1939,$B$2:$B$2001,B1939)&gt;1,"DUPLICADO","OK"))</f>
      </c>
      <c r="H1939" s="6">
        <f>IF(COUNTA(A1939:F1939)=0,"",IF(AND(A1939&lt;&gt;"",B1939&lt;&gt;"",E1939&lt;&gt;""),"OK","ERRO: faltam "&amp;IF(A1939="","Conta; ","")&amp;IF(B1939="","Oportunidade; ","")&amp;IF(E1939="","Novo gerente; ","")))</f>
      </c>
      <c r="I1939" s="6">
        <f>IF(COUNTA(A1939:F1939)=0,"",IF(AND(G1939="OK",H1939="OK"),"OK","REVISAR"))</f>
      </c>
    </row>
    <row r="1940">
      <c r="A1940" s="5"/>
      <c r="B1940" s="5"/>
      <c r="C1940" s="4"/>
      <c r="D1940" s="4"/>
      <c r="E1940" s="5"/>
      <c r="F1940" s="4"/>
      <c r="G1940" s="6">
        <f>IF(AND(A1940="",B1940=""),"",IF(COUNTIFS($A$2:$A$2001,A1940,$B$2:$B$2001,B1940)&gt;1,"DUPLICADO","OK"))</f>
      </c>
      <c r="H1940" s="6">
        <f>IF(COUNTA(A1940:F1940)=0,"",IF(AND(A1940&lt;&gt;"",B1940&lt;&gt;"",E1940&lt;&gt;""),"OK","ERRO: faltam "&amp;IF(A1940="","Conta; ","")&amp;IF(B1940="","Oportunidade; ","")&amp;IF(E1940="","Novo gerente; ","")))</f>
      </c>
      <c r="I1940" s="6">
        <f>IF(COUNTA(A1940:F1940)=0,"",IF(AND(G1940="OK",H1940="OK"),"OK","REVISAR"))</f>
      </c>
    </row>
    <row r="1941">
      <c r="A1941" s="5"/>
      <c r="B1941" s="5"/>
      <c r="C1941" s="4"/>
      <c r="D1941" s="4"/>
      <c r="E1941" s="5"/>
      <c r="F1941" s="4"/>
      <c r="G1941" s="6">
        <f>IF(AND(A1941="",B1941=""),"",IF(COUNTIFS($A$2:$A$2001,A1941,$B$2:$B$2001,B1941)&gt;1,"DUPLICADO","OK"))</f>
      </c>
      <c r="H1941" s="6">
        <f>IF(COUNTA(A1941:F1941)=0,"",IF(AND(A1941&lt;&gt;"",B1941&lt;&gt;"",E1941&lt;&gt;""),"OK","ERRO: faltam "&amp;IF(A1941="","Conta; ","")&amp;IF(B1941="","Oportunidade; ","")&amp;IF(E1941="","Novo gerente; ","")))</f>
      </c>
      <c r="I1941" s="6">
        <f>IF(COUNTA(A1941:F1941)=0,"",IF(AND(G1941="OK",H1941="OK"),"OK","REVISAR"))</f>
      </c>
    </row>
    <row r="1942">
      <c r="A1942" s="5"/>
      <c r="B1942" s="5"/>
      <c r="C1942" s="4"/>
      <c r="D1942" s="4"/>
      <c r="E1942" s="5"/>
      <c r="F1942" s="4"/>
      <c r="G1942" s="6">
        <f>IF(AND(A1942="",B1942=""),"",IF(COUNTIFS($A$2:$A$2001,A1942,$B$2:$B$2001,B1942)&gt;1,"DUPLICADO","OK"))</f>
      </c>
      <c r="H1942" s="6">
        <f>IF(COUNTA(A1942:F1942)=0,"",IF(AND(A1942&lt;&gt;"",B1942&lt;&gt;"",E1942&lt;&gt;""),"OK","ERRO: faltam "&amp;IF(A1942="","Conta; ","")&amp;IF(B1942="","Oportunidade; ","")&amp;IF(E1942="","Novo gerente; ","")))</f>
      </c>
      <c r="I1942" s="6">
        <f>IF(COUNTA(A1942:F1942)=0,"",IF(AND(G1942="OK",H1942="OK"),"OK","REVISAR"))</f>
      </c>
    </row>
    <row r="1943">
      <c r="A1943" s="5"/>
      <c r="B1943" s="5"/>
      <c r="C1943" s="4"/>
      <c r="D1943" s="4"/>
      <c r="E1943" s="5"/>
      <c r="F1943" s="4"/>
      <c r="G1943" s="6">
        <f>IF(AND(A1943="",B1943=""),"",IF(COUNTIFS($A$2:$A$2001,A1943,$B$2:$B$2001,B1943)&gt;1,"DUPLICADO","OK"))</f>
      </c>
      <c r="H1943" s="6">
        <f>IF(COUNTA(A1943:F1943)=0,"",IF(AND(A1943&lt;&gt;"",B1943&lt;&gt;"",E1943&lt;&gt;""),"OK","ERRO: faltam "&amp;IF(A1943="","Conta; ","")&amp;IF(B1943="","Oportunidade; ","")&amp;IF(E1943="","Novo gerente; ","")))</f>
      </c>
      <c r="I1943" s="6">
        <f>IF(COUNTA(A1943:F1943)=0,"",IF(AND(G1943="OK",H1943="OK"),"OK","REVISAR"))</f>
      </c>
    </row>
    <row r="1944">
      <c r="A1944" s="5"/>
      <c r="B1944" s="5"/>
      <c r="C1944" s="4"/>
      <c r="D1944" s="4"/>
      <c r="E1944" s="5"/>
      <c r="F1944" s="4"/>
      <c r="G1944" s="6">
        <f>IF(AND(A1944="",B1944=""),"",IF(COUNTIFS($A$2:$A$2001,A1944,$B$2:$B$2001,B1944)&gt;1,"DUPLICADO","OK"))</f>
      </c>
      <c r="H1944" s="6">
        <f>IF(COUNTA(A1944:F1944)=0,"",IF(AND(A1944&lt;&gt;"",B1944&lt;&gt;"",E1944&lt;&gt;""),"OK","ERRO: faltam "&amp;IF(A1944="","Conta; ","")&amp;IF(B1944="","Oportunidade; ","")&amp;IF(E1944="","Novo gerente; ","")))</f>
      </c>
      <c r="I1944" s="6">
        <f>IF(COUNTA(A1944:F1944)=0,"",IF(AND(G1944="OK",H1944="OK"),"OK","REVISAR"))</f>
      </c>
    </row>
    <row r="1945">
      <c r="A1945" s="5"/>
      <c r="B1945" s="5"/>
      <c r="C1945" s="4"/>
      <c r="D1945" s="4"/>
      <c r="E1945" s="5"/>
      <c r="F1945" s="4"/>
      <c r="G1945" s="6">
        <f>IF(AND(A1945="",B1945=""),"",IF(COUNTIFS($A$2:$A$2001,A1945,$B$2:$B$2001,B1945)&gt;1,"DUPLICADO","OK"))</f>
      </c>
      <c r="H1945" s="6">
        <f>IF(COUNTA(A1945:F1945)=0,"",IF(AND(A1945&lt;&gt;"",B1945&lt;&gt;"",E1945&lt;&gt;""),"OK","ERRO: faltam "&amp;IF(A1945="","Conta; ","")&amp;IF(B1945="","Oportunidade; ","")&amp;IF(E1945="","Novo gerente; ","")))</f>
      </c>
      <c r="I1945" s="6">
        <f>IF(COUNTA(A1945:F1945)=0,"",IF(AND(G1945="OK",H1945="OK"),"OK","REVISAR"))</f>
      </c>
    </row>
    <row r="1946">
      <c r="A1946" s="5"/>
      <c r="B1946" s="5"/>
      <c r="C1946" s="4"/>
      <c r="D1946" s="4"/>
      <c r="E1946" s="5"/>
      <c r="F1946" s="4"/>
      <c r="G1946" s="6">
        <f>IF(AND(A1946="",B1946=""),"",IF(COUNTIFS($A$2:$A$2001,A1946,$B$2:$B$2001,B1946)&gt;1,"DUPLICADO","OK"))</f>
      </c>
      <c r="H1946" s="6">
        <f>IF(COUNTA(A1946:F1946)=0,"",IF(AND(A1946&lt;&gt;"",B1946&lt;&gt;"",E1946&lt;&gt;""),"OK","ERRO: faltam "&amp;IF(A1946="","Conta; ","")&amp;IF(B1946="","Oportunidade; ","")&amp;IF(E1946="","Novo gerente; ","")))</f>
      </c>
      <c r="I1946" s="6">
        <f>IF(COUNTA(A1946:F1946)=0,"",IF(AND(G1946="OK",H1946="OK"),"OK","REVISAR"))</f>
      </c>
    </row>
    <row r="1947">
      <c r="A1947" s="5"/>
      <c r="B1947" s="5"/>
      <c r="C1947" s="4"/>
      <c r="D1947" s="4"/>
      <c r="E1947" s="5"/>
      <c r="F1947" s="4"/>
      <c r="G1947" s="6">
        <f>IF(AND(A1947="",B1947=""),"",IF(COUNTIFS($A$2:$A$2001,A1947,$B$2:$B$2001,B1947)&gt;1,"DUPLICADO","OK"))</f>
      </c>
      <c r="H1947" s="6">
        <f>IF(COUNTA(A1947:F1947)=0,"",IF(AND(A1947&lt;&gt;"",B1947&lt;&gt;"",E1947&lt;&gt;""),"OK","ERRO: faltam "&amp;IF(A1947="","Conta; ","")&amp;IF(B1947="","Oportunidade; ","")&amp;IF(E1947="","Novo gerente; ","")))</f>
      </c>
      <c r="I1947" s="6">
        <f>IF(COUNTA(A1947:F1947)=0,"",IF(AND(G1947="OK",H1947="OK"),"OK","REVISAR"))</f>
      </c>
    </row>
    <row r="1948">
      <c r="A1948" s="5"/>
      <c r="B1948" s="5"/>
      <c r="C1948" s="4"/>
      <c r="D1948" s="4"/>
      <c r="E1948" s="5"/>
      <c r="F1948" s="4"/>
      <c r="G1948" s="6">
        <f>IF(AND(A1948="",B1948=""),"",IF(COUNTIFS($A$2:$A$2001,A1948,$B$2:$B$2001,B1948)&gt;1,"DUPLICADO","OK"))</f>
      </c>
      <c r="H1948" s="6">
        <f>IF(COUNTA(A1948:F1948)=0,"",IF(AND(A1948&lt;&gt;"",B1948&lt;&gt;"",E1948&lt;&gt;""),"OK","ERRO: faltam "&amp;IF(A1948="","Conta; ","")&amp;IF(B1948="","Oportunidade; ","")&amp;IF(E1948="","Novo gerente; ","")))</f>
      </c>
      <c r="I1948" s="6">
        <f>IF(COUNTA(A1948:F1948)=0,"",IF(AND(G1948="OK",H1948="OK"),"OK","REVISAR"))</f>
      </c>
    </row>
    <row r="1949">
      <c r="A1949" s="5"/>
      <c r="B1949" s="5"/>
      <c r="C1949" s="4"/>
      <c r="D1949" s="4"/>
      <c r="E1949" s="5"/>
      <c r="F1949" s="4"/>
      <c r="G1949" s="6">
        <f>IF(AND(A1949="",B1949=""),"",IF(COUNTIFS($A$2:$A$2001,A1949,$B$2:$B$2001,B1949)&gt;1,"DUPLICADO","OK"))</f>
      </c>
      <c r="H1949" s="6">
        <f>IF(COUNTA(A1949:F1949)=0,"",IF(AND(A1949&lt;&gt;"",B1949&lt;&gt;"",E1949&lt;&gt;""),"OK","ERRO: faltam "&amp;IF(A1949="","Conta; ","")&amp;IF(B1949="","Oportunidade; ","")&amp;IF(E1949="","Novo gerente; ","")))</f>
      </c>
      <c r="I1949" s="6">
        <f>IF(COUNTA(A1949:F1949)=0,"",IF(AND(G1949="OK",H1949="OK"),"OK","REVISAR"))</f>
      </c>
    </row>
    <row r="1950">
      <c r="A1950" s="5"/>
      <c r="B1950" s="5"/>
      <c r="C1950" s="4"/>
      <c r="D1950" s="4"/>
      <c r="E1950" s="5"/>
      <c r="F1950" s="4"/>
      <c r="G1950" s="6">
        <f>IF(AND(A1950="",B1950=""),"",IF(COUNTIFS($A$2:$A$2001,A1950,$B$2:$B$2001,B1950)&gt;1,"DUPLICADO","OK"))</f>
      </c>
      <c r="H1950" s="6">
        <f>IF(COUNTA(A1950:F1950)=0,"",IF(AND(A1950&lt;&gt;"",B1950&lt;&gt;"",E1950&lt;&gt;""),"OK","ERRO: faltam "&amp;IF(A1950="","Conta; ","")&amp;IF(B1950="","Oportunidade; ","")&amp;IF(E1950="","Novo gerente; ","")))</f>
      </c>
      <c r="I1950" s="6">
        <f>IF(COUNTA(A1950:F1950)=0,"",IF(AND(G1950="OK",H1950="OK"),"OK","REVISAR"))</f>
      </c>
    </row>
    <row r="1951">
      <c r="A1951" s="5"/>
      <c r="B1951" s="5"/>
      <c r="C1951" s="4"/>
      <c r="D1951" s="4"/>
      <c r="E1951" s="5"/>
      <c r="F1951" s="4"/>
      <c r="G1951" s="6">
        <f>IF(AND(A1951="",B1951=""),"",IF(COUNTIFS($A$2:$A$2001,A1951,$B$2:$B$2001,B1951)&gt;1,"DUPLICADO","OK"))</f>
      </c>
      <c r="H1951" s="6">
        <f>IF(COUNTA(A1951:F1951)=0,"",IF(AND(A1951&lt;&gt;"",B1951&lt;&gt;"",E1951&lt;&gt;""),"OK","ERRO: faltam "&amp;IF(A1951="","Conta; ","")&amp;IF(B1951="","Oportunidade; ","")&amp;IF(E1951="","Novo gerente; ","")))</f>
      </c>
      <c r="I1951" s="6">
        <f>IF(COUNTA(A1951:F1951)=0,"",IF(AND(G1951="OK",H1951="OK"),"OK","REVISAR"))</f>
      </c>
    </row>
    <row r="1952">
      <c r="A1952" s="5"/>
      <c r="B1952" s="5"/>
      <c r="C1952" s="4"/>
      <c r="D1952" s="4"/>
      <c r="E1952" s="5"/>
      <c r="F1952" s="4"/>
      <c r="G1952" s="6">
        <f>IF(AND(A1952="",B1952=""),"",IF(COUNTIFS($A$2:$A$2001,A1952,$B$2:$B$2001,B1952)&gt;1,"DUPLICADO","OK"))</f>
      </c>
      <c r="H1952" s="6">
        <f>IF(COUNTA(A1952:F1952)=0,"",IF(AND(A1952&lt;&gt;"",B1952&lt;&gt;"",E1952&lt;&gt;""),"OK","ERRO: faltam "&amp;IF(A1952="","Conta; ","")&amp;IF(B1952="","Oportunidade; ","")&amp;IF(E1952="","Novo gerente; ","")))</f>
      </c>
      <c r="I1952" s="6">
        <f>IF(COUNTA(A1952:F1952)=0,"",IF(AND(G1952="OK",H1952="OK"),"OK","REVISAR"))</f>
      </c>
    </row>
    <row r="1953">
      <c r="A1953" s="5"/>
      <c r="B1953" s="5"/>
      <c r="C1953" s="4"/>
      <c r="D1953" s="4"/>
      <c r="E1953" s="5"/>
      <c r="F1953" s="4"/>
      <c r="G1953" s="6">
        <f>IF(AND(A1953="",B1953=""),"",IF(COUNTIFS($A$2:$A$2001,A1953,$B$2:$B$2001,B1953)&gt;1,"DUPLICADO","OK"))</f>
      </c>
      <c r="H1953" s="6">
        <f>IF(COUNTA(A1953:F1953)=0,"",IF(AND(A1953&lt;&gt;"",B1953&lt;&gt;"",E1953&lt;&gt;""),"OK","ERRO: faltam "&amp;IF(A1953="","Conta; ","")&amp;IF(B1953="","Oportunidade; ","")&amp;IF(E1953="","Novo gerente; ","")))</f>
      </c>
      <c r="I1953" s="6">
        <f>IF(COUNTA(A1953:F1953)=0,"",IF(AND(G1953="OK",H1953="OK"),"OK","REVISAR"))</f>
      </c>
    </row>
    <row r="1954">
      <c r="A1954" s="5"/>
      <c r="B1954" s="5"/>
      <c r="C1954" s="4"/>
      <c r="D1954" s="4"/>
      <c r="E1954" s="5"/>
      <c r="F1954" s="4"/>
      <c r="G1954" s="6">
        <f>IF(AND(A1954="",B1954=""),"",IF(COUNTIFS($A$2:$A$2001,A1954,$B$2:$B$2001,B1954)&gt;1,"DUPLICADO","OK"))</f>
      </c>
      <c r="H1954" s="6">
        <f>IF(COUNTA(A1954:F1954)=0,"",IF(AND(A1954&lt;&gt;"",B1954&lt;&gt;"",E1954&lt;&gt;""),"OK","ERRO: faltam "&amp;IF(A1954="","Conta; ","")&amp;IF(B1954="","Oportunidade; ","")&amp;IF(E1954="","Novo gerente; ","")))</f>
      </c>
      <c r="I1954" s="6">
        <f>IF(COUNTA(A1954:F1954)=0,"",IF(AND(G1954="OK",H1954="OK"),"OK","REVISAR"))</f>
      </c>
    </row>
    <row r="1955">
      <c r="A1955" s="5"/>
      <c r="B1955" s="5"/>
      <c r="C1955" s="4"/>
      <c r="D1955" s="4"/>
      <c r="E1955" s="5"/>
      <c r="F1955" s="4"/>
      <c r="G1955" s="6">
        <f>IF(AND(A1955="",B1955=""),"",IF(COUNTIFS($A$2:$A$2001,A1955,$B$2:$B$2001,B1955)&gt;1,"DUPLICADO","OK"))</f>
      </c>
      <c r="H1955" s="6">
        <f>IF(COUNTA(A1955:F1955)=0,"",IF(AND(A1955&lt;&gt;"",B1955&lt;&gt;"",E1955&lt;&gt;""),"OK","ERRO: faltam "&amp;IF(A1955="","Conta; ","")&amp;IF(B1955="","Oportunidade; ","")&amp;IF(E1955="","Novo gerente; ","")))</f>
      </c>
      <c r="I1955" s="6">
        <f>IF(COUNTA(A1955:F1955)=0,"",IF(AND(G1955="OK",H1955="OK"),"OK","REVISAR"))</f>
      </c>
    </row>
    <row r="1956">
      <c r="A1956" s="5"/>
      <c r="B1956" s="5"/>
      <c r="C1956" s="4"/>
      <c r="D1956" s="4"/>
      <c r="E1956" s="5"/>
      <c r="F1956" s="4"/>
      <c r="G1956" s="6">
        <f>IF(AND(A1956="",B1956=""),"",IF(COUNTIFS($A$2:$A$2001,A1956,$B$2:$B$2001,B1956)&gt;1,"DUPLICADO","OK"))</f>
      </c>
      <c r="H1956" s="6">
        <f>IF(COUNTA(A1956:F1956)=0,"",IF(AND(A1956&lt;&gt;"",B1956&lt;&gt;"",E1956&lt;&gt;""),"OK","ERRO: faltam "&amp;IF(A1956="","Conta; ","")&amp;IF(B1956="","Oportunidade; ","")&amp;IF(E1956="","Novo gerente; ","")))</f>
      </c>
      <c r="I1956" s="6">
        <f>IF(COUNTA(A1956:F1956)=0,"",IF(AND(G1956="OK",H1956="OK"),"OK","REVISAR"))</f>
      </c>
    </row>
    <row r="1957">
      <c r="A1957" s="5"/>
      <c r="B1957" s="5"/>
      <c r="C1957" s="4"/>
      <c r="D1957" s="4"/>
      <c r="E1957" s="5"/>
      <c r="F1957" s="4"/>
      <c r="G1957" s="6">
        <f>IF(AND(A1957="",B1957=""),"",IF(COUNTIFS($A$2:$A$2001,A1957,$B$2:$B$2001,B1957)&gt;1,"DUPLICADO","OK"))</f>
      </c>
      <c r="H1957" s="6">
        <f>IF(COUNTA(A1957:F1957)=0,"",IF(AND(A1957&lt;&gt;"",B1957&lt;&gt;"",E1957&lt;&gt;""),"OK","ERRO: faltam "&amp;IF(A1957="","Conta; ","")&amp;IF(B1957="","Oportunidade; ","")&amp;IF(E1957="","Novo gerente; ","")))</f>
      </c>
      <c r="I1957" s="6">
        <f>IF(COUNTA(A1957:F1957)=0,"",IF(AND(G1957="OK",H1957="OK"),"OK","REVISAR"))</f>
      </c>
    </row>
    <row r="1958">
      <c r="A1958" s="5"/>
      <c r="B1958" s="5"/>
      <c r="C1958" s="4"/>
      <c r="D1958" s="4"/>
      <c r="E1958" s="5"/>
      <c r="F1958" s="4"/>
      <c r="G1958" s="6">
        <f>IF(AND(A1958="",B1958=""),"",IF(COUNTIFS($A$2:$A$2001,A1958,$B$2:$B$2001,B1958)&gt;1,"DUPLICADO","OK"))</f>
      </c>
      <c r="H1958" s="6">
        <f>IF(COUNTA(A1958:F1958)=0,"",IF(AND(A1958&lt;&gt;"",B1958&lt;&gt;"",E1958&lt;&gt;""),"OK","ERRO: faltam "&amp;IF(A1958="","Conta; ","")&amp;IF(B1958="","Oportunidade; ","")&amp;IF(E1958="","Novo gerente; ","")))</f>
      </c>
      <c r="I1958" s="6">
        <f>IF(COUNTA(A1958:F1958)=0,"",IF(AND(G1958="OK",H1958="OK"),"OK","REVISAR"))</f>
      </c>
    </row>
    <row r="1959">
      <c r="A1959" s="5"/>
      <c r="B1959" s="5"/>
      <c r="C1959" s="4"/>
      <c r="D1959" s="4"/>
      <c r="E1959" s="5"/>
      <c r="F1959" s="4"/>
      <c r="G1959" s="6">
        <f>IF(AND(A1959="",B1959=""),"",IF(COUNTIFS($A$2:$A$2001,A1959,$B$2:$B$2001,B1959)&gt;1,"DUPLICADO","OK"))</f>
      </c>
      <c r="H1959" s="6">
        <f>IF(COUNTA(A1959:F1959)=0,"",IF(AND(A1959&lt;&gt;"",B1959&lt;&gt;"",E1959&lt;&gt;""),"OK","ERRO: faltam "&amp;IF(A1959="","Conta; ","")&amp;IF(B1959="","Oportunidade; ","")&amp;IF(E1959="","Novo gerente; ","")))</f>
      </c>
      <c r="I1959" s="6">
        <f>IF(COUNTA(A1959:F1959)=0,"",IF(AND(G1959="OK",H1959="OK"),"OK","REVISAR"))</f>
      </c>
    </row>
    <row r="1960">
      <c r="A1960" s="5"/>
      <c r="B1960" s="5"/>
      <c r="C1960" s="4"/>
      <c r="D1960" s="4"/>
      <c r="E1960" s="5"/>
      <c r="F1960" s="4"/>
      <c r="G1960" s="6">
        <f>IF(AND(A1960="",B1960=""),"",IF(COUNTIFS($A$2:$A$2001,A1960,$B$2:$B$2001,B1960)&gt;1,"DUPLICADO","OK"))</f>
      </c>
      <c r="H1960" s="6">
        <f>IF(COUNTA(A1960:F1960)=0,"",IF(AND(A1960&lt;&gt;"",B1960&lt;&gt;"",E1960&lt;&gt;""),"OK","ERRO: faltam "&amp;IF(A1960="","Conta; ","")&amp;IF(B1960="","Oportunidade; ","")&amp;IF(E1960="","Novo gerente; ","")))</f>
      </c>
      <c r="I1960" s="6">
        <f>IF(COUNTA(A1960:F1960)=0,"",IF(AND(G1960="OK",H1960="OK"),"OK","REVISAR"))</f>
      </c>
    </row>
    <row r="1961">
      <c r="A1961" s="5"/>
      <c r="B1961" s="5"/>
      <c r="C1961" s="4"/>
      <c r="D1961" s="4"/>
      <c r="E1961" s="5"/>
      <c r="F1961" s="4"/>
      <c r="G1961" s="6">
        <f>IF(AND(A1961="",B1961=""),"",IF(COUNTIFS($A$2:$A$2001,A1961,$B$2:$B$2001,B1961)&gt;1,"DUPLICADO","OK"))</f>
      </c>
      <c r="H1961" s="6">
        <f>IF(COUNTA(A1961:F1961)=0,"",IF(AND(A1961&lt;&gt;"",B1961&lt;&gt;"",E1961&lt;&gt;""),"OK","ERRO: faltam "&amp;IF(A1961="","Conta; ","")&amp;IF(B1961="","Oportunidade; ","")&amp;IF(E1961="","Novo gerente; ","")))</f>
      </c>
      <c r="I1961" s="6">
        <f>IF(COUNTA(A1961:F1961)=0,"",IF(AND(G1961="OK",H1961="OK"),"OK","REVISAR"))</f>
      </c>
    </row>
    <row r="1962">
      <c r="A1962" s="5"/>
      <c r="B1962" s="5"/>
      <c r="C1962" s="4"/>
      <c r="D1962" s="4"/>
      <c r="E1962" s="5"/>
      <c r="F1962" s="4"/>
      <c r="G1962" s="6">
        <f>IF(AND(A1962="",B1962=""),"",IF(COUNTIFS($A$2:$A$2001,A1962,$B$2:$B$2001,B1962)&gt;1,"DUPLICADO","OK"))</f>
      </c>
      <c r="H1962" s="6">
        <f>IF(COUNTA(A1962:F1962)=0,"",IF(AND(A1962&lt;&gt;"",B1962&lt;&gt;"",E1962&lt;&gt;""),"OK","ERRO: faltam "&amp;IF(A1962="","Conta; ","")&amp;IF(B1962="","Oportunidade; ","")&amp;IF(E1962="","Novo gerente; ","")))</f>
      </c>
      <c r="I1962" s="6">
        <f>IF(COUNTA(A1962:F1962)=0,"",IF(AND(G1962="OK",H1962="OK"),"OK","REVISAR"))</f>
      </c>
    </row>
    <row r="1963">
      <c r="A1963" s="5"/>
      <c r="B1963" s="5"/>
      <c r="C1963" s="4"/>
      <c r="D1963" s="4"/>
      <c r="E1963" s="5"/>
      <c r="F1963" s="4"/>
      <c r="G1963" s="6">
        <f>IF(AND(A1963="",B1963=""),"",IF(COUNTIFS($A$2:$A$2001,A1963,$B$2:$B$2001,B1963)&gt;1,"DUPLICADO","OK"))</f>
      </c>
      <c r="H1963" s="6">
        <f>IF(COUNTA(A1963:F1963)=0,"",IF(AND(A1963&lt;&gt;"",B1963&lt;&gt;"",E1963&lt;&gt;""),"OK","ERRO: faltam "&amp;IF(A1963="","Conta; ","")&amp;IF(B1963="","Oportunidade; ","")&amp;IF(E1963="","Novo gerente; ","")))</f>
      </c>
      <c r="I1963" s="6">
        <f>IF(COUNTA(A1963:F1963)=0,"",IF(AND(G1963="OK",H1963="OK"),"OK","REVISAR"))</f>
      </c>
    </row>
    <row r="1964">
      <c r="A1964" s="5"/>
      <c r="B1964" s="5"/>
      <c r="C1964" s="4"/>
      <c r="D1964" s="4"/>
      <c r="E1964" s="5"/>
      <c r="F1964" s="4"/>
      <c r="G1964" s="6">
        <f>IF(AND(A1964="",B1964=""),"",IF(COUNTIFS($A$2:$A$2001,A1964,$B$2:$B$2001,B1964)&gt;1,"DUPLICADO","OK"))</f>
      </c>
      <c r="H1964" s="6">
        <f>IF(COUNTA(A1964:F1964)=0,"",IF(AND(A1964&lt;&gt;"",B1964&lt;&gt;"",E1964&lt;&gt;""),"OK","ERRO: faltam "&amp;IF(A1964="","Conta; ","")&amp;IF(B1964="","Oportunidade; ","")&amp;IF(E1964="","Novo gerente; ","")))</f>
      </c>
      <c r="I1964" s="6">
        <f>IF(COUNTA(A1964:F1964)=0,"",IF(AND(G1964="OK",H1964="OK"),"OK","REVISAR"))</f>
      </c>
    </row>
    <row r="1965">
      <c r="A1965" s="5"/>
      <c r="B1965" s="5"/>
      <c r="C1965" s="4"/>
      <c r="D1965" s="4"/>
      <c r="E1965" s="5"/>
      <c r="F1965" s="4"/>
      <c r="G1965" s="6">
        <f>IF(AND(A1965="",B1965=""),"",IF(COUNTIFS($A$2:$A$2001,A1965,$B$2:$B$2001,B1965)&gt;1,"DUPLICADO","OK"))</f>
      </c>
      <c r="H1965" s="6">
        <f>IF(COUNTA(A1965:F1965)=0,"",IF(AND(A1965&lt;&gt;"",B1965&lt;&gt;"",E1965&lt;&gt;""),"OK","ERRO: faltam "&amp;IF(A1965="","Conta; ","")&amp;IF(B1965="","Oportunidade; ","")&amp;IF(E1965="","Novo gerente; ","")))</f>
      </c>
      <c r="I1965" s="6">
        <f>IF(COUNTA(A1965:F1965)=0,"",IF(AND(G1965="OK",H1965="OK"),"OK","REVISAR"))</f>
      </c>
    </row>
    <row r="1966">
      <c r="A1966" s="5"/>
      <c r="B1966" s="5"/>
      <c r="C1966" s="4"/>
      <c r="D1966" s="4"/>
      <c r="E1966" s="5"/>
      <c r="F1966" s="4"/>
      <c r="G1966" s="6">
        <f>IF(AND(A1966="",B1966=""),"",IF(COUNTIFS($A$2:$A$2001,A1966,$B$2:$B$2001,B1966)&gt;1,"DUPLICADO","OK"))</f>
      </c>
      <c r="H1966" s="6">
        <f>IF(COUNTA(A1966:F1966)=0,"",IF(AND(A1966&lt;&gt;"",B1966&lt;&gt;"",E1966&lt;&gt;""),"OK","ERRO: faltam "&amp;IF(A1966="","Conta; ","")&amp;IF(B1966="","Oportunidade; ","")&amp;IF(E1966="","Novo gerente; ","")))</f>
      </c>
      <c r="I1966" s="6">
        <f>IF(COUNTA(A1966:F1966)=0,"",IF(AND(G1966="OK",H1966="OK"),"OK","REVISAR"))</f>
      </c>
    </row>
    <row r="1967">
      <c r="A1967" s="5"/>
      <c r="B1967" s="5"/>
      <c r="C1967" s="4"/>
      <c r="D1967" s="4"/>
      <c r="E1967" s="5"/>
      <c r="F1967" s="4"/>
      <c r="G1967" s="6">
        <f>IF(AND(A1967="",B1967=""),"",IF(COUNTIFS($A$2:$A$2001,A1967,$B$2:$B$2001,B1967)&gt;1,"DUPLICADO","OK"))</f>
      </c>
      <c r="H1967" s="6">
        <f>IF(COUNTA(A1967:F1967)=0,"",IF(AND(A1967&lt;&gt;"",B1967&lt;&gt;"",E1967&lt;&gt;""),"OK","ERRO: faltam "&amp;IF(A1967="","Conta; ","")&amp;IF(B1967="","Oportunidade; ","")&amp;IF(E1967="","Novo gerente; ","")))</f>
      </c>
      <c r="I1967" s="6">
        <f>IF(COUNTA(A1967:F1967)=0,"",IF(AND(G1967="OK",H1967="OK"),"OK","REVISAR"))</f>
      </c>
    </row>
    <row r="1968">
      <c r="A1968" s="5"/>
      <c r="B1968" s="5"/>
      <c r="C1968" s="4"/>
      <c r="D1968" s="4"/>
      <c r="E1968" s="5"/>
      <c r="F1968" s="4"/>
      <c r="G1968" s="6">
        <f>IF(AND(A1968="",B1968=""),"",IF(COUNTIFS($A$2:$A$2001,A1968,$B$2:$B$2001,B1968)&gt;1,"DUPLICADO","OK"))</f>
      </c>
      <c r="H1968" s="6">
        <f>IF(COUNTA(A1968:F1968)=0,"",IF(AND(A1968&lt;&gt;"",B1968&lt;&gt;"",E1968&lt;&gt;""),"OK","ERRO: faltam "&amp;IF(A1968="","Conta; ","")&amp;IF(B1968="","Oportunidade; ","")&amp;IF(E1968="","Novo gerente; ","")))</f>
      </c>
      <c r="I1968" s="6">
        <f>IF(COUNTA(A1968:F1968)=0,"",IF(AND(G1968="OK",H1968="OK"),"OK","REVISAR"))</f>
      </c>
    </row>
    <row r="1969">
      <c r="A1969" s="5"/>
      <c r="B1969" s="5"/>
      <c r="C1969" s="4"/>
      <c r="D1969" s="4"/>
      <c r="E1969" s="5"/>
      <c r="F1969" s="4"/>
      <c r="G1969" s="6">
        <f>IF(AND(A1969="",B1969=""),"",IF(COUNTIFS($A$2:$A$2001,A1969,$B$2:$B$2001,B1969)&gt;1,"DUPLICADO","OK"))</f>
      </c>
      <c r="H1969" s="6">
        <f>IF(COUNTA(A1969:F1969)=0,"",IF(AND(A1969&lt;&gt;"",B1969&lt;&gt;"",E1969&lt;&gt;""),"OK","ERRO: faltam "&amp;IF(A1969="","Conta; ","")&amp;IF(B1969="","Oportunidade; ","")&amp;IF(E1969="","Novo gerente; ","")))</f>
      </c>
      <c r="I1969" s="6">
        <f>IF(COUNTA(A1969:F1969)=0,"",IF(AND(G1969="OK",H1969="OK"),"OK","REVISAR"))</f>
      </c>
    </row>
    <row r="1970">
      <c r="A1970" s="5"/>
      <c r="B1970" s="5"/>
      <c r="C1970" s="4"/>
      <c r="D1970" s="4"/>
      <c r="E1970" s="5"/>
      <c r="F1970" s="4"/>
      <c r="G1970" s="6">
        <f>IF(AND(A1970="",B1970=""),"",IF(COUNTIFS($A$2:$A$2001,A1970,$B$2:$B$2001,B1970)&gt;1,"DUPLICADO","OK"))</f>
      </c>
      <c r="H1970" s="6">
        <f>IF(COUNTA(A1970:F1970)=0,"",IF(AND(A1970&lt;&gt;"",B1970&lt;&gt;"",E1970&lt;&gt;""),"OK","ERRO: faltam "&amp;IF(A1970="","Conta; ","")&amp;IF(B1970="","Oportunidade; ","")&amp;IF(E1970="","Novo gerente; ","")))</f>
      </c>
      <c r="I1970" s="6">
        <f>IF(COUNTA(A1970:F1970)=0,"",IF(AND(G1970="OK",H1970="OK"),"OK","REVISAR"))</f>
      </c>
    </row>
    <row r="1971">
      <c r="A1971" s="5"/>
      <c r="B1971" s="5"/>
      <c r="C1971" s="4"/>
      <c r="D1971" s="4"/>
      <c r="E1971" s="5"/>
      <c r="F1971" s="4"/>
      <c r="G1971" s="6">
        <f>IF(AND(A1971="",B1971=""),"",IF(COUNTIFS($A$2:$A$2001,A1971,$B$2:$B$2001,B1971)&gt;1,"DUPLICADO","OK"))</f>
      </c>
      <c r="H1971" s="6">
        <f>IF(COUNTA(A1971:F1971)=0,"",IF(AND(A1971&lt;&gt;"",B1971&lt;&gt;"",E1971&lt;&gt;""),"OK","ERRO: faltam "&amp;IF(A1971="","Conta; ","")&amp;IF(B1971="","Oportunidade; ","")&amp;IF(E1971="","Novo gerente; ","")))</f>
      </c>
      <c r="I1971" s="6">
        <f>IF(COUNTA(A1971:F1971)=0,"",IF(AND(G1971="OK",H1971="OK"),"OK","REVISAR"))</f>
      </c>
    </row>
    <row r="1972">
      <c r="A1972" s="5"/>
      <c r="B1972" s="5"/>
      <c r="C1972" s="4"/>
      <c r="D1972" s="4"/>
      <c r="E1972" s="5"/>
      <c r="F1972" s="4"/>
      <c r="G1972" s="6">
        <f>IF(AND(A1972="",B1972=""),"",IF(COUNTIFS($A$2:$A$2001,A1972,$B$2:$B$2001,B1972)&gt;1,"DUPLICADO","OK"))</f>
      </c>
      <c r="H1972" s="6">
        <f>IF(COUNTA(A1972:F1972)=0,"",IF(AND(A1972&lt;&gt;"",B1972&lt;&gt;"",E1972&lt;&gt;""),"OK","ERRO: faltam "&amp;IF(A1972="","Conta; ","")&amp;IF(B1972="","Oportunidade; ","")&amp;IF(E1972="","Novo gerente; ","")))</f>
      </c>
      <c r="I1972" s="6">
        <f>IF(COUNTA(A1972:F1972)=0,"",IF(AND(G1972="OK",H1972="OK"),"OK","REVISAR"))</f>
      </c>
    </row>
    <row r="1973">
      <c r="A1973" s="5"/>
      <c r="B1973" s="5"/>
      <c r="C1973" s="4"/>
      <c r="D1973" s="4"/>
      <c r="E1973" s="5"/>
      <c r="F1973" s="4"/>
      <c r="G1973" s="6">
        <f>IF(AND(A1973="",B1973=""),"",IF(COUNTIFS($A$2:$A$2001,A1973,$B$2:$B$2001,B1973)&gt;1,"DUPLICADO","OK"))</f>
      </c>
      <c r="H1973" s="6">
        <f>IF(COUNTA(A1973:F1973)=0,"",IF(AND(A1973&lt;&gt;"",B1973&lt;&gt;"",E1973&lt;&gt;""),"OK","ERRO: faltam "&amp;IF(A1973="","Conta; ","")&amp;IF(B1973="","Oportunidade; ","")&amp;IF(E1973="","Novo gerente; ","")))</f>
      </c>
      <c r="I1973" s="6">
        <f>IF(COUNTA(A1973:F1973)=0,"",IF(AND(G1973="OK",H1973="OK"),"OK","REVISAR"))</f>
      </c>
    </row>
    <row r="1974">
      <c r="A1974" s="5"/>
      <c r="B1974" s="5"/>
      <c r="C1974" s="4"/>
      <c r="D1974" s="4"/>
      <c r="E1974" s="5"/>
      <c r="F1974" s="4"/>
      <c r="G1974" s="6">
        <f>IF(AND(A1974="",B1974=""),"",IF(COUNTIFS($A$2:$A$2001,A1974,$B$2:$B$2001,B1974)&gt;1,"DUPLICADO","OK"))</f>
      </c>
      <c r="H1974" s="6">
        <f>IF(COUNTA(A1974:F1974)=0,"",IF(AND(A1974&lt;&gt;"",B1974&lt;&gt;"",E1974&lt;&gt;""),"OK","ERRO: faltam "&amp;IF(A1974="","Conta; ","")&amp;IF(B1974="","Oportunidade; ","")&amp;IF(E1974="","Novo gerente; ","")))</f>
      </c>
      <c r="I1974" s="6">
        <f>IF(COUNTA(A1974:F1974)=0,"",IF(AND(G1974="OK",H1974="OK"),"OK","REVISAR"))</f>
      </c>
    </row>
    <row r="1975">
      <c r="A1975" s="5"/>
      <c r="B1975" s="5"/>
      <c r="C1975" s="4"/>
      <c r="D1975" s="4"/>
      <c r="E1975" s="5"/>
      <c r="F1975" s="4"/>
      <c r="G1975" s="6">
        <f>IF(AND(A1975="",B1975=""),"",IF(COUNTIFS($A$2:$A$2001,A1975,$B$2:$B$2001,B1975)&gt;1,"DUPLICADO","OK"))</f>
      </c>
      <c r="H1975" s="6">
        <f>IF(COUNTA(A1975:F1975)=0,"",IF(AND(A1975&lt;&gt;"",B1975&lt;&gt;"",E1975&lt;&gt;""),"OK","ERRO: faltam "&amp;IF(A1975="","Conta; ","")&amp;IF(B1975="","Oportunidade; ","")&amp;IF(E1975="","Novo gerente; ","")))</f>
      </c>
      <c r="I1975" s="6">
        <f>IF(COUNTA(A1975:F1975)=0,"",IF(AND(G1975="OK",H1975="OK"),"OK","REVISAR"))</f>
      </c>
    </row>
    <row r="1976">
      <c r="A1976" s="5"/>
      <c r="B1976" s="5"/>
      <c r="C1976" s="4"/>
      <c r="D1976" s="4"/>
      <c r="E1976" s="5"/>
      <c r="F1976" s="4"/>
      <c r="G1976" s="6">
        <f>IF(AND(A1976="",B1976=""),"",IF(COUNTIFS($A$2:$A$2001,A1976,$B$2:$B$2001,B1976)&gt;1,"DUPLICADO","OK"))</f>
      </c>
      <c r="H1976" s="6">
        <f>IF(COUNTA(A1976:F1976)=0,"",IF(AND(A1976&lt;&gt;"",B1976&lt;&gt;"",E1976&lt;&gt;""),"OK","ERRO: faltam "&amp;IF(A1976="","Conta; ","")&amp;IF(B1976="","Oportunidade; ","")&amp;IF(E1976="","Novo gerente; ","")))</f>
      </c>
      <c r="I1976" s="6">
        <f>IF(COUNTA(A1976:F1976)=0,"",IF(AND(G1976="OK",H1976="OK"),"OK","REVISAR"))</f>
      </c>
    </row>
    <row r="1977">
      <c r="A1977" s="5"/>
      <c r="B1977" s="5"/>
      <c r="C1977" s="4"/>
      <c r="D1977" s="4"/>
      <c r="E1977" s="5"/>
      <c r="F1977" s="4"/>
      <c r="G1977" s="6">
        <f>IF(AND(A1977="",B1977=""),"",IF(COUNTIFS($A$2:$A$2001,A1977,$B$2:$B$2001,B1977)&gt;1,"DUPLICADO","OK"))</f>
      </c>
      <c r="H1977" s="6">
        <f>IF(COUNTA(A1977:F1977)=0,"",IF(AND(A1977&lt;&gt;"",B1977&lt;&gt;"",E1977&lt;&gt;""),"OK","ERRO: faltam "&amp;IF(A1977="","Conta; ","")&amp;IF(B1977="","Oportunidade; ","")&amp;IF(E1977="","Novo gerente; ","")))</f>
      </c>
      <c r="I1977" s="6">
        <f>IF(COUNTA(A1977:F1977)=0,"",IF(AND(G1977="OK",H1977="OK"),"OK","REVISAR"))</f>
      </c>
    </row>
    <row r="1978">
      <c r="A1978" s="5"/>
      <c r="B1978" s="5"/>
      <c r="C1978" s="4"/>
      <c r="D1978" s="4"/>
      <c r="E1978" s="5"/>
      <c r="F1978" s="4"/>
      <c r="G1978" s="6">
        <f>IF(AND(A1978="",B1978=""),"",IF(COUNTIFS($A$2:$A$2001,A1978,$B$2:$B$2001,B1978)&gt;1,"DUPLICADO","OK"))</f>
      </c>
      <c r="H1978" s="6">
        <f>IF(COUNTA(A1978:F1978)=0,"",IF(AND(A1978&lt;&gt;"",B1978&lt;&gt;"",E1978&lt;&gt;""),"OK","ERRO: faltam "&amp;IF(A1978="","Conta; ","")&amp;IF(B1978="","Oportunidade; ","")&amp;IF(E1978="","Novo gerente; ","")))</f>
      </c>
      <c r="I1978" s="6">
        <f>IF(COUNTA(A1978:F1978)=0,"",IF(AND(G1978="OK",H1978="OK"),"OK","REVISAR"))</f>
      </c>
    </row>
    <row r="1979">
      <c r="A1979" s="5"/>
      <c r="B1979" s="5"/>
      <c r="C1979" s="4"/>
      <c r="D1979" s="4"/>
      <c r="E1979" s="5"/>
      <c r="F1979" s="4"/>
      <c r="G1979" s="6">
        <f>IF(AND(A1979="",B1979=""),"",IF(COUNTIFS($A$2:$A$2001,A1979,$B$2:$B$2001,B1979)&gt;1,"DUPLICADO","OK"))</f>
      </c>
      <c r="H1979" s="6">
        <f>IF(COUNTA(A1979:F1979)=0,"",IF(AND(A1979&lt;&gt;"",B1979&lt;&gt;"",E1979&lt;&gt;""),"OK","ERRO: faltam "&amp;IF(A1979="","Conta; ","")&amp;IF(B1979="","Oportunidade; ","")&amp;IF(E1979="","Novo gerente; ","")))</f>
      </c>
      <c r="I1979" s="6">
        <f>IF(COUNTA(A1979:F1979)=0,"",IF(AND(G1979="OK",H1979="OK"),"OK","REVISAR"))</f>
      </c>
    </row>
    <row r="1980">
      <c r="A1980" s="5"/>
      <c r="B1980" s="5"/>
      <c r="C1980" s="4"/>
      <c r="D1980" s="4"/>
      <c r="E1980" s="5"/>
      <c r="F1980" s="4"/>
      <c r="G1980" s="6">
        <f>IF(AND(A1980="",B1980=""),"",IF(COUNTIFS($A$2:$A$2001,A1980,$B$2:$B$2001,B1980)&gt;1,"DUPLICADO","OK"))</f>
      </c>
      <c r="H1980" s="6">
        <f>IF(COUNTA(A1980:F1980)=0,"",IF(AND(A1980&lt;&gt;"",B1980&lt;&gt;"",E1980&lt;&gt;""),"OK","ERRO: faltam "&amp;IF(A1980="","Conta; ","")&amp;IF(B1980="","Oportunidade; ","")&amp;IF(E1980="","Novo gerente; ","")))</f>
      </c>
      <c r="I1980" s="6">
        <f>IF(COUNTA(A1980:F1980)=0,"",IF(AND(G1980="OK",H1980="OK"),"OK","REVISAR"))</f>
      </c>
    </row>
    <row r="1981">
      <c r="A1981" s="5"/>
      <c r="B1981" s="5"/>
      <c r="C1981" s="4"/>
      <c r="D1981" s="4"/>
      <c r="E1981" s="5"/>
      <c r="F1981" s="4"/>
      <c r="G1981" s="6">
        <f>IF(AND(A1981="",B1981=""),"",IF(COUNTIFS($A$2:$A$2001,A1981,$B$2:$B$2001,B1981)&gt;1,"DUPLICADO","OK"))</f>
      </c>
      <c r="H1981" s="6">
        <f>IF(COUNTA(A1981:F1981)=0,"",IF(AND(A1981&lt;&gt;"",B1981&lt;&gt;"",E1981&lt;&gt;""),"OK","ERRO: faltam "&amp;IF(A1981="","Conta; ","")&amp;IF(B1981="","Oportunidade; ","")&amp;IF(E1981="","Novo gerente; ","")))</f>
      </c>
      <c r="I1981" s="6">
        <f>IF(COUNTA(A1981:F1981)=0,"",IF(AND(G1981="OK",H1981="OK"),"OK","REVISAR"))</f>
      </c>
    </row>
    <row r="1982">
      <c r="A1982" s="5"/>
      <c r="B1982" s="5"/>
      <c r="C1982" s="4"/>
      <c r="D1982" s="4"/>
      <c r="E1982" s="5"/>
      <c r="F1982" s="4"/>
      <c r="G1982" s="6">
        <f>IF(AND(A1982="",B1982=""),"",IF(COUNTIFS($A$2:$A$2001,A1982,$B$2:$B$2001,B1982)&gt;1,"DUPLICADO","OK"))</f>
      </c>
      <c r="H1982" s="6">
        <f>IF(COUNTA(A1982:F1982)=0,"",IF(AND(A1982&lt;&gt;"",B1982&lt;&gt;"",E1982&lt;&gt;""),"OK","ERRO: faltam "&amp;IF(A1982="","Conta; ","")&amp;IF(B1982="","Oportunidade; ","")&amp;IF(E1982="","Novo gerente; ","")))</f>
      </c>
      <c r="I1982" s="6">
        <f>IF(COUNTA(A1982:F1982)=0,"",IF(AND(G1982="OK",H1982="OK"),"OK","REVISAR"))</f>
      </c>
    </row>
    <row r="1983">
      <c r="A1983" s="5"/>
      <c r="B1983" s="5"/>
      <c r="C1983" s="4"/>
      <c r="D1983" s="4"/>
      <c r="E1983" s="5"/>
      <c r="F1983" s="4"/>
      <c r="G1983" s="6">
        <f>IF(AND(A1983="",B1983=""),"",IF(COUNTIFS($A$2:$A$2001,A1983,$B$2:$B$2001,B1983)&gt;1,"DUPLICADO","OK"))</f>
      </c>
      <c r="H1983" s="6">
        <f>IF(COUNTA(A1983:F1983)=0,"",IF(AND(A1983&lt;&gt;"",B1983&lt;&gt;"",E1983&lt;&gt;""),"OK","ERRO: faltam "&amp;IF(A1983="","Conta; ","")&amp;IF(B1983="","Oportunidade; ","")&amp;IF(E1983="","Novo gerente; ","")))</f>
      </c>
      <c r="I1983" s="6">
        <f>IF(COUNTA(A1983:F1983)=0,"",IF(AND(G1983="OK",H1983="OK"),"OK","REVISAR"))</f>
      </c>
    </row>
    <row r="1984">
      <c r="A1984" s="5"/>
      <c r="B1984" s="5"/>
      <c r="C1984" s="4"/>
      <c r="D1984" s="4"/>
      <c r="E1984" s="5"/>
      <c r="F1984" s="4"/>
      <c r="G1984" s="6">
        <f>IF(AND(A1984="",B1984=""),"",IF(COUNTIFS($A$2:$A$2001,A1984,$B$2:$B$2001,B1984)&gt;1,"DUPLICADO","OK"))</f>
      </c>
      <c r="H1984" s="6">
        <f>IF(COUNTA(A1984:F1984)=0,"",IF(AND(A1984&lt;&gt;"",B1984&lt;&gt;"",E1984&lt;&gt;""),"OK","ERRO: faltam "&amp;IF(A1984="","Conta; ","")&amp;IF(B1984="","Oportunidade; ","")&amp;IF(E1984="","Novo gerente; ","")))</f>
      </c>
      <c r="I1984" s="6">
        <f>IF(COUNTA(A1984:F1984)=0,"",IF(AND(G1984="OK",H1984="OK"),"OK","REVISAR"))</f>
      </c>
    </row>
    <row r="1985">
      <c r="A1985" s="5"/>
      <c r="B1985" s="5"/>
      <c r="C1985" s="4"/>
      <c r="D1985" s="4"/>
      <c r="E1985" s="5"/>
      <c r="F1985" s="4"/>
      <c r="G1985" s="6">
        <f>IF(AND(A1985="",B1985=""),"",IF(COUNTIFS($A$2:$A$2001,A1985,$B$2:$B$2001,B1985)&gt;1,"DUPLICADO","OK"))</f>
      </c>
      <c r="H1985" s="6">
        <f>IF(COUNTA(A1985:F1985)=0,"",IF(AND(A1985&lt;&gt;"",B1985&lt;&gt;"",E1985&lt;&gt;""),"OK","ERRO: faltam "&amp;IF(A1985="","Conta; ","")&amp;IF(B1985="","Oportunidade; ","")&amp;IF(E1985="","Novo gerente; ","")))</f>
      </c>
      <c r="I1985" s="6">
        <f>IF(COUNTA(A1985:F1985)=0,"",IF(AND(G1985="OK",H1985="OK"),"OK","REVISAR"))</f>
      </c>
    </row>
    <row r="1986">
      <c r="A1986" s="5"/>
      <c r="B1986" s="5"/>
      <c r="C1986" s="4"/>
      <c r="D1986" s="4"/>
      <c r="E1986" s="5"/>
      <c r="F1986" s="4"/>
      <c r="G1986" s="6">
        <f>IF(AND(A1986="",B1986=""),"",IF(COUNTIFS($A$2:$A$2001,A1986,$B$2:$B$2001,B1986)&gt;1,"DUPLICADO","OK"))</f>
      </c>
      <c r="H1986" s="6">
        <f>IF(COUNTA(A1986:F1986)=0,"",IF(AND(A1986&lt;&gt;"",B1986&lt;&gt;"",E1986&lt;&gt;""),"OK","ERRO: faltam "&amp;IF(A1986="","Conta; ","")&amp;IF(B1986="","Oportunidade; ","")&amp;IF(E1986="","Novo gerente; ","")))</f>
      </c>
      <c r="I1986" s="6">
        <f>IF(COUNTA(A1986:F1986)=0,"",IF(AND(G1986="OK",H1986="OK"),"OK","REVISAR"))</f>
      </c>
    </row>
    <row r="1987">
      <c r="A1987" s="5"/>
      <c r="B1987" s="5"/>
      <c r="C1987" s="4"/>
      <c r="D1987" s="4"/>
      <c r="E1987" s="5"/>
      <c r="F1987" s="4"/>
      <c r="G1987" s="6">
        <f>IF(AND(A1987="",B1987=""),"",IF(COUNTIFS($A$2:$A$2001,A1987,$B$2:$B$2001,B1987)&gt;1,"DUPLICADO","OK"))</f>
      </c>
      <c r="H1987" s="6">
        <f>IF(COUNTA(A1987:F1987)=0,"",IF(AND(A1987&lt;&gt;"",B1987&lt;&gt;"",E1987&lt;&gt;""),"OK","ERRO: faltam "&amp;IF(A1987="","Conta; ","")&amp;IF(B1987="","Oportunidade; ","")&amp;IF(E1987="","Novo gerente; ","")))</f>
      </c>
      <c r="I1987" s="6">
        <f>IF(COUNTA(A1987:F1987)=0,"",IF(AND(G1987="OK",H1987="OK"),"OK","REVISAR"))</f>
      </c>
    </row>
    <row r="1988">
      <c r="A1988" s="5"/>
      <c r="B1988" s="5"/>
      <c r="C1988" s="4"/>
      <c r="D1988" s="4"/>
      <c r="E1988" s="5"/>
      <c r="F1988" s="4"/>
      <c r="G1988" s="6">
        <f>IF(AND(A1988="",B1988=""),"",IF(COUNTIFS($A$2:$A$2001,A1988,$B$2:$B$2001,B1988)&gt;1,"DUPLICADO","OK"))</f>
      </c>
      <c r="H1988" s="6">
        <f>IF(COUNTA(A1988:F1988)=0,"",IF(AND(A1988&lt;&gt;"",B1988&lt;&gt;"",E1988&lt;&gt;""),"OK","ERRO: faltam "&amp;IF(A1988="","Conta; ","")&amp;IF(B1988="","Oportunidade; ","")&amp;IF(E1988="","Novo gerente; ","")))</f>
      </c>
      <c r="I1988" s="6">
        <f>IF(COUNTA(A1988:F1988)=0,"",IF(AND(G1988="OK",H1988="OK"),"OK","REVISAR"))</f>
      </c>
    </row>
    <row r="1989">
      <c r="A1989" s="5"/>
      <c r="B1989" s="5"/>
      <c r="C1989" s="4"/>
      <c r="D1989" s="4"/>
      <c r="E1989" s="5"/>
      <c r="F1989" s="4"/>
      <c r="G1989" s="6">
        <f>IF(AND(A1989="",B1989=""),"",IF(COUNTIFS($A$2:$A$2001,A1989,$B$2:$B$2001,B1989)&gt;1,"DUPLICADO","OK"))</f>
      </c>
      <c r="H1989" s="6">
        <f>IF(COUNTA(A1989:F1989)=0,"",IF(AND(A1989&lt;&gt;"",B1989&lt;&gt;"",E1989&lt;&gt;""),"OK","ERRO: faltam "&amp;IF(A1989="","Conta; ","")&amp;IF(B1989="","Oportunidade; ","")&amp;IF(E1989="","Novo gerente; ","")))</f>
      </c>
      <c r="I1989" s="6">
        <f>IF(COUNTA(A1989:F1989)=0,"",IF(AND(G1989="OK",H1989="OK"),"OK","REVISAR"))</f>
      </c>
    </row>
    <row r="1990">
      <c r="A1990" s="5"/>
      <c r="B1990" s="5"/>
      <c r="C1990" s="4"/>
      <c r="D1990" s="4"/>
      <c r="E1990" s="5"/>
      <c r="F1990" s="4"/>
      <c r="G1990" s="6">
        <f>IF(AND(A1990="",B1990=""),"",IF(COUNTIFS($A$2:$A$2001,A1990,$B$2:$B$2001,B1990)&gt;1,"DUPLICADO","OK"))</f>
      </c>
      <c r="H1990" s="6">
        <f>IF(COUNTA(A1990:F1990)=0,"",IF(AND(A1990&lt;&gt;"",B1990&lt;&gt;"",E1990&lt;&gt;""),"OK","ERRO: faltam "&amp;IF(A1990="","Conta; ","")&amp;IF(B1990="","Oportunidade; ","")&amp;IF(E1990="","Novo gerente; ","")))</f>
      </c>
      <c r="I1990" s="6">
        <f>IF(COUNTA(A1990:F1990)=0,"",IF(AND(G1990="OK",H1990="OK"),"OK","REVISAR"))</f>
      </c>
    </row>
    <row r="1991">
      <c r="A1991" s="5"/>
      <c r="B1991" s="5"/>
      <c r="C1991" s="4"/>
      <c r="D1991" s="4"/>
      <c r="E1991" s="5"/>
      <c r="F1991" s="4"/>
      <c r="G1991" s="6">
        <f>IF(AND(A1991="",B1991=""),"",IF(COUNTIFS($A$2:$A$2001,A1991,$B$2:$B$2001,B1991)&gt;1,"DUPLICADO","OK"))</f>
      </c>
      <c r="H1991" s="6">
        <f>IF(COUNTA(A1991:F1991)=0,"",IF(AND(A1991&lt;&gt;"",B1991&lt;&gt;"",E1991&lt;&gt;""),"OK","ERRO: faltam "&amp;IF(A1991="","Conta; ","")&amp;IF(B1991="","Oportunidade; ","")&amp;IF(E1991="","Novo gerente; ","")))</f>
      </c>
      <c r="I1991" s="6">
        <f>IF(COUNTA(A1991:F1991)=0,"",IF(AND(G1991="OK",H1991="OK"),"OK","REVISAR"))</f>
      </c>
    </row>
    <row r="1992">
      <c r="A1992" s="5"/>
      <c r="B1992" s="5"/>
      <c r="C1992" s="4"/>
      <c r="D1992" s="4"/>
      <c r="E1992" s="5"/>
      <c r="F1992" s="4"/>
      <c r="G1992" s="6">
        <f>IF(AND(A1992="",B1992=""),"",IF(COUNTIFS($A$2:$A$2001,A1992,$B$2:$B$2001,B1992)&gt;1,"DUPLICADO","OK"))</f>
      </c>
      <c r="H1992" s="6">
        <f>IF(COUNTA(A1992:F1992)=0,"",IF(AND(A1992&lt;&gt;"",B1992&lt;&gt;"",E1992&lt;&gt;""),"OK","ERRO: faltam "&amp;IF(A1992="","Conta; ","")&amp;IF(B1992="","Oportunidade; ","")&amp;IF(E1992="","Novo gerente; ","")))</f>
      </c>
      <c r="I1992" s="6">
        <f>IF(COUNTA(A1992:F1992)=0,"",IF(AND(G1992="OK",H1992="OK"),"OK","REVISAR"))</f>
      </c>
    </row>
    <row r="1993">
      <c r="A1993" s="5"/>
      <c r="B1993" s="5"/>
      <c r="C1993" s="4"/>
      <c r="D1993" s="4"/>
      <c r="E1993" s="5"/>
      <c r="F1993" s="4"/>
      <c r="G1993" s="6">
        <f>IF(AND(A1993="",B1993=""),"",IF(COUNTIFS($A$2:$A$2001,A1993,$B$2:$B$2001,B1993)&gt;1,"DUPLICADO","OK"))</f>
      </c>
      <c r="H1993" s="6">
        <f>IF(COUNTA(A1993:F1993)=0,"",IF(AND(A1993&lt;&gt;"",B1993&lt;&gt;"",E1993&lt;&gt;""),"OK","ERRO: faltam "&amp;IF(A1993="","Conta; ","")&amp;IF(B1993="","Oportunidade; ","")&amp;IF(E1993="","Novo gerente; ","")))</f>
      </c>
      <c r="I1993" s="6">
        <f>IF(COUNTA(A1993:F1993)=0,"",IF(AND(G1993="OK",H1993="OK"),"OK","REVISAR"))</f>
      </c>
    </row>
    <row r="1994">
      <c r="A1994" s="5"/>
      <c r="B1994" s="5"/>
      <c r="C1994" s="4"/>
      <c r="D1994" s="4"/>
      <c r="E1994" s="5"/>
      <c r="F1994" s="4"/>
      <c r="G1994" s="6">
        <f>IF(AND(A1994="",B1994=""),"",IF(COUNTIFS($A$2:$A$2001,A1994,$B$2:$B$2001,B1994)&gt;1,"DUPLICADO","OK"))</f>
      </c>
      <c r="H1994" s="6">
        <f>IF(COUNTA(A1994:F1994)=0,"",IF(AND(A1994&lt;&gt;"",B1994&lt;&gt;"",E1994&lt;&gt;""),"OK","ERRO: faltam "&amp;IF(A1994="","Conta; ","")&amp;IF(B1994="","Oportunidade; ","")&amp;IF(E1994="","Novo gerente; ","")))</f>
      </c>
      <c r="I1994" s="6">
        <f>IF(COUNTA(A1994:F1994)=0,"",IF(AND(G1994="OK",H1994="OK"),"OK","REVISAR"))</f>
      </c>
    </row>
    <row r="1995">
      <c r="A1995" s="5"/>
      <c r="B1995" s="5"/>
      <c r="C1995" s="4"/>
      <c r="D1995" s="4"/>
      <c r="E1995" s="5"/>
      <c r="F1995" s="4"/>
      <c r="G1995" s="6">
        <f>IF(AND(A1995="",B1995=""),"",IF(COUNTIFS($A$2:$A$2001,A1995,$B$2:$B$2001,B1995)&gt;1,"DUPLICADO","OK"))</f>
      </c>
      <c r="H1995" s="6">
        <f>IF(COUNTA(A1995:F1995)=0,"",IF(AND(A1995&lt;&gt;"",B1995&lt;&gt;"",E1995&lt;&gt;""),"OK","ERRO: faltam "&amp;IF(A1995="","Conta; ","")&amp;IF(B1995="","Oportunidade; ","")&amp;IF(E1995="","Novo gerente; ","")))</f>
      </c>
      <c r="I1995" s="6">
        <f>IF(COUNTA(A1995:F1995)=0,"",IF(AND(G1995="OK",H1995="OK"),"OK","REVISAR"))</f>
      </c>
    </row>
    <row r="1996">
      <c r="A1996" s="5"/>
      <c r="B1996" s="5"/>
      <c r="C1996" s="4"/>
      <c r="D1996" s="4"/>
      <c r="E1996" s="5"/>
      <c r="F1996" s="4"/>
      <c r="G1996" s="6">
        <f>IF(AND(A1996="",B1996=""),"",IF(COUNTIFS($A$2:$A$2001,A1996,$B$2:$B$2001,B1996)&gt;1,"DUPLICADO","OK"))</f>
      </c>
      <c r="H1996" s="6">
        <f>IF(COUNTA(A1996:F1996)=0,"",IF(AND(A1996&lt;&gt;"",B1996&lt;&gt;"",E1996&lt;&gt;""),"OK","ERRO: faltam "&amp;IF(A1996="","Conta; ","")&amp;IF(B1996="","Oportunidade; ","")&amp;IF(E1996="","Novo gerente; ","")))</f>
      </c>
      <c r="I1996" s="6">
        <f>IF(COUNTA(A1996:F1996)=0,"",IF(AND(G1996="OK",H1996="OK"),"OK","REVISAR"))</f>
      </c>
    </row>
    <row r="1997">
      <c r="A1997" s="5"/>
      <c r="B1997" s="5"/>
      <c r="C1997" s="4"/>
      <c r="D1997" s="4"/>
      <c r="E1997" s="5"/>
      <c r="F1997" s="4"/>
      <c r="G1997" s="6">
        <f>IF(AND(A1997="",B1997=""),"",IF(COUNTIFS($A$2:$A$2001,A1997,$B$2:$B$2001,B1997)&gt;1,"DUPLICADO","OK"))</f>
      </c>
      <c r="H1997" s="6">
        <f>IF(COUNTA(A1997:F1997)=0,"",IF(AND(A1997&lt;&gt;"",B1997&lt;&gt;"",E1997&lt;&gt;""),"OK","ERRO: faltam "&amp;IF(A1997="","Conta; ","")&amp;IF(B1997="","Oportunidade; ","")&amp;IF(E1997="","Novo gerente; ","")))</f>
      </c>
      <c r="I1997" s="6">
        <f>IF(COUNTA(A1997:F1997)=0,"",IF(AND(G1997="OK",H1997="OK"),"OK","REVISAR"))</f>
      </c>
    </row>
    <row r="1998">
      <c r="A1998" s="5"/>
      <c r="B1998" s="5"/>
      <c r="C1998" s="4"/>
      <c r="D1998" s="4"/>
      <c r="E1998" s="5"/>
      <c r="F1998" s="4"/>
      <c r="G1998" s="6">
        <f>IF(AND(A1998="",B1998=""),"",IF(COUNTIFS($A$2:$A$2001,A1998,$B$2:$B$2001,B1998)&gt;1,"DUPLICADO","OK"))</f>
      </c>
      <c r="H1998" s="6">
        <f>IF(COUNTA(A1998:F1998)=0,"",IF(AND(A1998&lt;&gt;"",B1998&lt;&gt;"",E1998&lt;&gt;""),"OK","ERRO: faltam "&amp;IF(A1998="","Conta; ","")&amp;IF(B1998="","Oportunidade; ","")&amp;IF(E1998="","Novo gerente; ","")))</f>
      </c>
      <c r="I1998" s="6">
        <f>IF(COUNTA(A1998:F1998)=0,"",IF(AND(G1998="OK",H1998="OK"),"OK","REVISAR"))</f>
      </c>
    </row>
    <row r="1999">
      <c r="A1999" s="5"/>
      <c r="B1999" s="5"/>
      <c r="C1999" s="4"/>
      <c r="D1999" s="4"/>
      <c r="E1999" s="5"/>
      <c r="F1999" s="4"/>
      <c r="G1999" s="6">
        <f>IF(AND(A1999="",B1999=""),"",IF(COUNTIFS($A$2:$A$2001,A1999,$B$2:$B$2001,B1999)&gt;1,"DUPLICADO","OK"))</f>
      </c>
      <c r="H1999" s="6">
        <f>IF(COUNTA(A1999:F1999)=0,"",IF(AND(A1999&lt;&gt;"",B1999&lt;&gt;"",E1999&lt;&gt;""),"OK","ERRO: faltam "&amp;IF(A1999="","Conta; ","")&amp;IF(B1999="","Oportunidade; ","")&amp;IF(E1999="","Novo gerente; ","")))</f>
      </c>
      <c r="I1999" s="6">
        <f>IF(COUNTA(A1999:F1999)=0,"",IF(AND(G1999="OK",H1999="OK"),"OK","REVISAR"))</f>
      </c>
    </row>
    <row r="2000">
      <c r="A2000" s="5"/>
      <c r="B2000" s="5"/>
      <c r="C2000" s="4"/>
      <c r="D2000" s="4"/>
      <c r="E2000" s="5"/>
      <c r="F2000" s="4"/>
      <c r="G2000" s="6">
        <f>IF(AND(A2000="",B2000=""),"",IF(COUNTIFS($A$2:$A$2001,A2000,$B$2:$B$2001,B2000)&gt;1,"DUPLICADO","OK"))</f>
      </c>
      <c r="H2000" s="6">
        <f>IF(COUNTA(A2000:F2000)=0,"",IF(AND(A2000&lt;&gt;"",B2000&lt;&gt;"",E2000&lt;&gt;""),"OK","ERRO: faltam "&amp;IF(A2000="","Conta; ","")&amp;IF(B2000="","Oportunidade; ","")&amp;IF(E2000="","Novo gerente; ","")))</f>
      </c>
      <c r="I2000" s="6">
        <f>IF(COUNTA(A2000:F2000)=0,"",IF(AND(G2000="OK",H2000="OK"),"OK","REVISAR"))</f>
      </c>
    </row>
    <row r="2001">
      <c r="A2001" s="5"/>
      <c r="B2001" s="5"/>
      <c r="C2001" s="4"/>
      <c r="D2001" s="4"/>
      <c r="E2001" s="5"/>
      <c r="F2001" s="4"/>
      <c r="G2001" s="6">
        <f>IF(AND(A2001="",B2001=""),"",IF(COUNTIFS($A$2:$A$2001,A2001,$B$2:$B$2001,B2001)&gt;1,"DUPLICADO","OK"))</f>
      </c>
      <c r="H2001" s="6">
        <f>IF(COUNTA(A2001:F2001)=0,"",IF(AND(A2001&lt;&gt;"",B2001&lt;&gt;"",E2001&lt;&gt;""),"OK","ERRO: faltam "&amp;IF(A2001="","Conta; ","")&amp;IF(B2001="","Oportunidade; ","")&amp;IF(E2001="","Novo gerente; ","")))</f>
      </c>
      <c r="I2001" s="6">
        <f>IF(COUNTA(A2001:F2001)=0,"",IF(AND(G2001="OK",H2001="OK"),"OK","REVISAR"))</f>
      </c>
    </row>
  </sheetData>
  <autoFilter ref="A1:I1"/>
  <conditionalFormatting sqref="G2:I2001">
    <cfRule type="containsText" dxfId="0" priority="1" operator="containsText" text="ERRO">
      <formula>NOT(ISERROR(SEARCH("ERRO",G2)))</formula>
    </cfRule>
    <cfRule type="containsText" dxfId="0" priority="2" operator="containsText" text="DUPLICADO">
      <formula>NOT(ISERROR(SEARCH("DUPLICADO",G2)))</formula>
    </cfRule>
    <cfRule type="containsText" dxfId="0" priority="3" operator="containsText" text="REVISAR">
      <formula>NOT(ISERROR(SEARCH("REVISAR",G2)))</formula>
    </cfRule>
    <cfRule type="containsText" dxfId="2" priority="4" operator="containsText" text="AVISO">
      <formula>NOT(ISERROR(SEARCH("AVISO",G2)))</formula>
    </cfRule>
  </conditionalFormatting>
  <conditionalFormatting sqref="I2:I2001">
    <cfRule type="cellIs" dxfId="1" priority="5" operator="equal">
      <formula>"OK"</formula>
    </cfRule>
  </conditionalFormatting>
  <dataValidations count="1">
    <dataValidation type="list" allowBlank="1" showErrorMessage="1" errorTitle="Novo gerente" error="Use o nome completo do usuário Salesforce como está na aba Listas (ou inclua o nome lá)." sqref="E2:E2001">
      <formula1>Listas!$A$2:$A$50</formula1>
    </dataValidation>
  </dataValidations>
  <pageMargins left="0.5" right="0.5" top="0.5" bottom="0.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2E75B6"/>
  </sheetPr>
  <sheetViews>
    <sheetView workbookViewId="0"/>
  </sheetViews>
  <sheetFormatPr defaultRowHeight="14"/>
  <cols>
    <col min="1" max="1" width="36" customWidth="1"/>
    <col min="3" max="3" width="100" customWidth="1"/>
  </cols>
  <sheetData>
    <row r="1">
      <c r="A1" s="1" t="inlineStr">
        <is>
          <t xml:space="preserve">Gerentes (nome completo do usuário)</t>
        </is>
      </c>
      <c r="C1" s="1" t="inlineStr">
        <is>
          <t xml:space="preserve">Nota</t>
        </is>
      </c>
    </row>
    <row r="2">
      <c r="A2" s="4" t="inlineStr">
        <is>
          <t xml:space="preserve">Marcelo Barbosa De Carvalho</t>
        </is>
      </c>
      <c r="C2" s="8" t="inlineStr">
        <is>
          <t xml:space="preserve">O nome precisa bater com exatamente um usuário ATIVO na org; o validador barra nome sem match, inativo ou ambíguo (nunca chuta).</t>
        </is>
      </c>
    </row>
    <row r="3">
      <c r="A3" s="4" t="inlineStr">
        <is>
          <t xml:space="preserve">Rodrigo Nascimento Piccolo</t>
        </is>
      </c>
      <c r="C3" s="8" t="inlineStr">
        <is>
          <t xml:space="preserve">Acrescente linhas para outros gerentes; as listas suspensas leem até a linha 50.</t>
        </is>
      </c>
    </row>
    <row r="4">
      <c r="A4" s="4" t="inlineStr">
        <is>
          <t xml:space="preserve">Eduardo Alessandro Afonso</t>
        </is>
      </c>
    </row>
    <row r="5">
      <c r="A5" s="4" t="inlineStr">
        <is>
          <t xml:space="preserve">Matheus Nardoni Benevides</t>
        </is>
      </c>
    </row>
  </sheetData>
  <pageMargins left="0.5" right="0.5" top="0.5" bottom="0.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1B7A4E"/>
  </sheetPr>
  <sheetViews>
    <sheetView workbookViewId="0"/>
  </sheetViews>
  <sheetFormatPr defaultRowHeight="14"/>
  <cols>
    <col min="1" max="1" width="150" customWidth="1"/>
  </cols>
  <sheetData>
    <row r="1">
      <c r="A1" s="7" t="inlineStr">
        <is>
          <t xml:space="preserve">Alteração do Gerente da conta (contas e oportunidades) — BrasilTecPar</t>
        </is>
      </c>
    </row>
    <row r="2">
      <c r="A2" s="0"/>
    </row>
    <row r="3">
      <c r="A3" s="9" t="inlineStr">
        <is>
          <t xml:space="preserve">O que este template altera</t>
        </is>
      </c>
    </row>
    <row r="4">
      <c r="A4" s="8" t="inlineStr">
        <is>
          <t xml:space="preserve">Conta: campo "Gerente da conta" (AccountManager__c). Oportunidade: campo "Gerente da Conta" (ManagerAccount__c), que define o aprovador da etapa "Aprovação - Comercial". O dono (proprietário) da conta e da oportunidade NUNCA é alterado por esta carga.</t>
        </is>
      </c>
    </row>
    <row r="5">
      <c r="A5" s="0"/>
    </row>
    <row r="6">
      <c r="A6" s="9" t="inlineStr">
        <is>
          <t xml:space="preserve">Como usar</t>
        </is>
      </c>
    </row>
    <row r="7">
      <c r="A7" s="8" t="inlineStr">
        <is>
          <t xml:space="preserve">1. Aba Contas: uma linha por CNPJ. Aba Oportunidades: uma linha por oportunidade (nome da conta + nome da oportunidade). Colunas amarelas são obrigatórias; as cinzas são conferência automática.</t>
        </is>
      </c>
    </row>
    <row r="8">
      <c r="A8" s="8" t="inlineStr">
        <is>
          <t xml:space="preserve">2. Só envie quando a coluna LINHA estiver OK em todas as linhas preenchidas.</t>
        </is>
      </c>
    </row>
    <row r="9">
      <c r="A9" s="8" t="inlineStr">
        <is>
          <t xml:space="preserve">3. A governança NÃO grava a partir desta planilha. Primeiro consulta a org (validar_gerente.py gera as consultas), casa cada linha com exatamente um registro pelo Id e só então gera os arquivos de update. Linha sem registro, com mais de um registro ou com nome divergente fica retida.</t>
        </is>
      </c>
    </row>
    <row r="10">
      <c r="A10" s="8" t="inlineStr">
        <is>
          <t xml:space="preserve">4. A gravação é feita pelo script Apex 37 em duas fases (listar, depois executar), em lotes, com conferência antes e depois.</t>
        </is>
      </c>
    </row>
    <row r="11">
      <c r="A11" s="0"/>
    </row>
    <row r="12">
      <c r="A12" s="9" t="inlineStr">
        <is>
          <t xml:space="preserve">O que pode segurar uma linha na org</t>
        </is>
      </c>
    </row>
    <row r="13">
      <c r="A13" s="8" t="inlineStr">
        <is>
          <t xml:space="preserve">Conta B2B sem "Cluster manual": a regra de validação exige cluster no usuário que executa; o script 37 preenche um cluster temporário no executor e limpa depois (mesmo método do chamado do Rodrigo, script 31).</t>
        </is>
      </c>
    </row>
    <row r="14">
      <c r="A14" s="8" t="inlineStr">
        <is>
          <t xml:space="preserve">Oportunidade em "Análise cliente" ou "Aguardando contrato": bloqueada por regra de validação; o script 37 grava junto com Bypass__c = true (mecanismo previsto na org).</t>
        </is>
      </c>
    </row>
    <row r="15">
      <c r="A15" s="8" t="inlineStr">
        <is>
          <t xml:space="preserve">Oportunidade em aprovação (Send4Approval = true, registro travado): o campo não aceita edição; o script 37 reatribui o item pendente "Aprovação - Comercial" ao novo gerente (como no script 27) e o campo é ajustado depois da aprovação.</t>
        </is>
      </c>
    </row>
    <row r="16">
      <c r="A16" s="8" t="inlineStr">
        <is>
          <t xml:space="preserve">Registro que já está com o gerente alvo: fica no arquivo C (sem mudança), não é reenviado.</t>
        </is>
      </c>
    </row>
    <row r="17">
      <c r="A17" s="0"/>
    </row>
    <row r="18">
      <c r="A18" s="9" t="inlineStr">
        <is>
          <t xml:space="preserve">Referências no diário</t>
        </is>
      </c>
    </row>
    <row r="19">
      <c r="A19" s="8" t="inlineStr">
        <is>
          <t xml:space="preserve">docs/2026-09-16-sustentacao-hierarquia-b2b.md (chamado do Rodrigo: scripts 29 a 33, regras de validação e bypass); scripts 24 a 28 (aprovação comercial SENAC: item de orquestração designado ao Gerente da Conta).</t>
        </is>
      </c>
    </row>
  </sheetData>
  <pageMargins left="0.5" right="0.5" top="0.5" bottom="0.5" header="0.3" footer="0.3"/>
</worksheet>
</file>