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diego38spicloud.com/Downloads/"/>
    </mc:Choice>
  </mc:AlternateContent>
  <xr:revisionPtr revIDLastSave="0" documentId="13_ncr:1_{757F4C2A-D485-9D41-BB10-00A6DF0932E3}" xr6:coauthVersionLast="47" xr6:coauthVersionMax="47" xr10:uidLastSave="{00000000-0000-0000-0000-000000000000}"/>
  <bookViews>
    <workbookView xWindow="0" yWindow="740" windowWidth="29400" windowHeight="16840" firstSheet="2" activeTab="2" xr2:uid="{00000000-000D-0000-FFFF-FFFF00000000}"/>
  </bookViews>
  <sheets>
    <sheet name="Instructions" sheetId="1" r:id="rId1"/>
    <sheet name="Overview" sheetId="2" r:id="rId2"/>
    <sheet name="Mapping" sheetId="3" r:id="rId3"/>
    <sheet name="Sample SAP" sheetId="4" r:id="rId4"/>
    <sheet name="Sample REST" sheetId="5" r:id="rId5"/>
    <sheet name="Reglas y Gobernanza" sheetId="6" r:id="rId6"/>
  </sheets>
  <definedNames>
    <definedName name="_xlnm._FilterDatabase" localSheetId="2" hidden="1">Mapping!$A$2:$S$9</definedName>
    <definedName name="_xlnm._FilterDatabase" localSheetId="4" hidden="1">'Sample REST'!$A$2:$S$9</definedName>
    <definedName name="_xlnm._FilterDatabase" localSheetId="3" hidden="1">'Sample SAP'!$A$2:$S$9</definedName>
    <definedName name="_xlnm.Databas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5" i="5" l="1"/>
  <c r="K15" i="5"/>
  <c r="M14" i="5"/>
  <c r="K14" i="5"/>
  <c r="M13" i="5"/>
  <c r="K13" i="5"/>
  <c r="M11" i="5"/>
  <c r="M10" i="5"/>
  <c r="M9" i="5"/>
  <c r="K9" i="5"/>
  <c r="M8" i="5"/>
  <c r="K8" i="5"/>
  <c r="M7" i="5"/>
  <c r="K7" i="5"/>
  <c r="M6" i="5"/>
  <c r="K6" i="5"/>
  <c r="M5" i="5"/>
  <c r="K5" i="5"/>
  <c r="M4" i="5"/>
  <c r="K4" i="5"/>
  <c r="M3" i="5"/>
  <c r="K3" i="5"/>
  <c r="M15" i="4"/>
  <c r="K15" i="4"/>
  <c r="M14" i="4"/>
  <c r="K14" i="4"/>
  <c r="M13" i="4"/>
  <c r="K13" i="4"/>
  <c r="M11" i="4"/>
  <c r="M10" i="4"/>
  <c r="M9" i="4"/>
  <c r="K9" i="4"/>
  <c r="M8" i="4"/>
  <c r="K8" i="4"/>
  <c r="M7" i="4"/>
  <c r="K7" i="4"/>
  <c r="M6" i="4"/>
  <c r="K6" i="4"/>
  <c r="M5" i="4"/>
  <c r="K5" i="4"/>
  <c r="M4" i="4"/>
  <c r="K4" i="4"/>
  <c r="M3" i="4"/>
  <c r="K3" i="4"/>
</calcChain>
</file>

<file path=xl/sharedStrings.xml><?xml version="1.0" encoding="utf-8"?>
<sst xmlns="http://schemas.openxmlformats.org/spreadsheetml/2006/main" count="801" uniqueCount="271">
  <si>
    <t>Overall</t>
  </si>
  <si>
    <t>Salesforce</t>
  </si>
  <si>
    <t>SAP Grupo Q</t>
  </si>
  <si>
    <t>Data Flow</t>
  </si>
  <si>
    <t>Way to extract or set data to/from system</t>
  </si>
  <si>
    <t>Object</t>
  </si>
  <si>
    <t>Data Field</t>
  </si>
  <si>
    <t>Field Description</t>
  </si>
  <si>
    <t>Data Type</t>
  </si>
  <si>
    <t>Data Example</t>
  </si>
  <si>
    <t>Entity/Table/Object</t>
  </si>
  <si>
    <t>Required by integration</t>
  </si>
  <si>
    <t>Can be updated?</t>
  </si>
  <si>
    <t>Notes</t>
  </si>
  <si>
    <t>Exceptions</t>
  </si>
  <si>
    <t>Tested?</t>
  </si>
  <si>
    <t>Action Items:</t>
  </si>
  <si>
    <t>SAP Grupo Q to Salesforce</t>
  </si>
  <si>
    <t>Salesforce Connector (Bulk API 2.0 carga inicial / Composite Tree delta)</t>
  </si>
  <si>
    <t>Account</t>
  </si>
  <si>
    <t>SAPCustomerCode__c (A CRIAR - pacote de deploy entregue)</t>
  </si>
  <si>
    <t>Codigo del cliente SAP - External Id (Unique)</t>
  </si>
  <si>
    <t>Text (External Id)</t>
  </si>
  <si>
    <t>C101-0000123456</t>
  </si>
  <si>
    <t>PartyIdentification/ID</t>
  </si>
  <si>
    <t>Numero BP/cliente SAP</t>
  </si>
  <si>
    <t>String/XML</t>
  </si>
  <si>
    <t>Si</t>
  </si>
  <si>
    <t>No (clave estable)</t>
  </si>
  <si>
    <t>DECISAO D-INT-ACC-01 FECHADA: nome canonico da Sec 56.6; SAPClientId__c das US fica aposentado. Chave = numero GLOBAL do Business Partner (PartyIdentification/ID). Evidencia da org que impoe party global: DocumentNumber__c Unique=true (Len 17) + Duplicate Rule ativa Duplicate_PersonAccount_DocumentNumber - um cliente em N sociedades NAO vira N Accounts. Eventuais codigos legados por sociedade viram crosswalk no MuleSoft (integrar via dado), nunca N contas.</t>
  </si>
  <si>
    <t>Verificar com o cliente (Vanessa/Juan Carlos): BP unificado no S/4. Nao bloqueia a criacao do campo.</t>
  </si>
  <si>
    <t>RecordTypeId</t>
  </si>
  <si>
    <t>Record Type segun tipo de cliente</t>
  </si>
  <si>
    <t>Reference</t>
  </si>
  <si>
    <t>RT PersonAccount / RT BusinessAccount</t>
  </si>
  <si>
    <t>CustomerTypeCode</t>
  </si>
  <si>
    <t>Individual / Organization</t>
  </si>
  <si>
    <t>RT PersonAccount / RT Business</t>
  </si>
  <si>
    <t>No (shape definido en el create)</t>
  </si>
  <si>
    <t>Transformacao: Individual-&gt;RecordType.DeveloperName=PersonAccount (PersonType=true, ativo - confirmado no describe); Organization-&gt;BusinessAccount. MuleSoft resolve o shape no create (Reglas R3).</t>
  </si>
  <si>
    <t>Registro ya creado con shape errado: remediacion via API en dos llamadas (ver Reglas R3).</t>
  </si>
  <si>
    <t>Country__c</t>
  </si>
  <si>
    <t>Pais del cliente</t>
  </si>
  <si>
    <t>Picklist</t>
  </si>
  <si>
    <t>CR</t>
  </si>
  <si>
    <t>[XSD STAR - elemento de pais]</t>
  </si>
  <si>
    <t>Pais de la direccion/sociedad</t>
  </si>
  <si>
    <t>Si (delta)</t>
  </si>
  <si>
    <t>Transformacion: de-para a API values del catalogo org. API values del catalogo org (espejo Lead.Country__c, Sec 67.3).</t>
  </si>
  <si>
    <t>Sociedad__c (CONFIRMADO - tipo TextArea 255)</t>
  </si>
  <si>
    <t>Sociedad de facturacion</t>
  </si>
  <si>
    <t>Picklist/Text</t>
  </si>
  <si>
    <t>C101</t>
  </si>
  <si>
    <t>[XSD STAR - company code]</t>
  </si>
  <si>
    <t>Sociedad SAP</t>
  </si>
  <si>
    <t>No (dato estructural)</t>
  </si>
  <si>
    <t>Existe na org como TEXTAREA(255). Recomendacao de higiene (nao bloqueia a carga): converter para Picklist restrito com as 17 sociedades - mudanca de tipo suportada preservando dados; TextArea nao agrupa em relatorio nem participa de dependencias.</t>
  </si>
  <si>
    <t>DocumentType__c</t>
  </si>
  <si>
    <t>Tipo de documento fiscal</t>
  </si>
  <si>
    <t>Cedula</t>
  </si>
  <si>
    <t>[XSD STAR - tax type]</t>
  </si>
  <si>
    <t>Tipo de identificacion fiscal</t>
  </si>
  <si>
    <t>Solo carga inicial - NO en regimen</t>
  </si>
  <si>
    <t>Transformacion: de-para de tipos fiscales por pais. CAMPO SENSIBLE US-006a. Inbound SOLO carga inicial/remediacion; post go-live la autoridad es Salesforce (Golden Record party) y el valor viaja SF-&gt;SAP via CDC. De-para de tipos por pais.</t>
  </si>
  <si>
    <t>Post go-live autoridad = Salesforce (US-006a); valor viaja SF-&gt;SAP via CDC.</t>
  </si>
  <si>
    <t>DocumentNumber__c</t>
  </si>
  <si>
    <t>Numero de documento fiscal</t>
  </si>
  <si>
    <t>Text</t>
  </si>
  <si>
    <t>1-2345-6789</t>
  </si>
  <si>
    <t>[XSD STAR - tax number]</t>
  </si>
  <si>
    <t>Numero de identificacion fiscal</t>
  </si>
  <si>
    <t>CONFIRMADO: STRING(17), UNIQUE=TRUE na org. Consequencia para a carga inicial: clientes SAP com documento duplicado REJEITAM - saneamento de origem e pre-requisito do cronograma. A constraint e a guarda fisica do Golden Record.</t>
  </si>
  <si>
    <t>Post go-live autoridade = Salesforce (US-006a); SF-&gt;SAP via CDC. Duplicados de origem: resolver ANTES da carga.</t>
  </si>
  <si>
    <t>ElectronicBillingEmail__c</t>
  </si>
  <si>
    <t>Email de facturacion electronica</t>
  </si>
  <si>
    <t>Email</t>
  </si>
  <si>
    <t>fact@cliente.cr</t>
  </si>
  <si>
    <t>[XSD STAR - e-mail facturacion]</t>
  </si>
  <si>
    <t>Correo de factura electronica</t>
  </si>
  <si>
    <t>No</t>
  </si>
  <si>
    <t>CAMPO SENSIBLE US-006a (cuarto campo del circuito). Distinto de PersonEmail (contacto).</t>
  </si>
  <si>
    <t>Idem - cuarto campo sensible.</t>
  </si>
  <si>
    <t>Phone</t>
  </si>
  <si>
    <t>Telefono principal</t>
  </si>
  <si>
    <t>+506 2222-0000</t>
  </si>
  <si>
    <t>[XSD STAR - telefono]</t>
  </si>
  <si>
    <t>Transformacion: normalizacion E.164. Normalizacion de formato en DataWeave.</t>
  </si>
  <si>
    <t>BillingStreet / City / StateCode / PostalCode / CountryCode</t>
  </si>
  <si>
    <t>Direccion de facturacion (compound)</t>
  </si>
  <si>
    <t>Address parts</t>
  </si>
  <si>
    <t>-</t>
  </si>
  <si>
    <t>[XSD STAR - direccion]</t>
  </si>
  <si>
    <t>Direccion principal</t>
  </si>
  <si>
    <t>CONFIRMADO: State &amp; Country Picklists ATIVO (BillingCountryCode presente, PICKLIST). Carga usa codigos ISO (CountryCode/StateCode), nunca texto livre em Country/State.</t>
  </si>
  <si>
    <t>Confirmar State &amp; Country Picklists (R7).</t>
  </si>
  <si>
    <t>CurrencyIsoCode</t>
  </si>
  <si>
    <t>Moneda del registro</t>
  </si>
  <si>
    <t>CRC</t>
  </si>
  <si>
    <t>N/A</t>
  </si>
  <si>
    <t>Derivada de la sociedad</t>
  </si>
  <si>
    <t>CONFIRMADO: multi-currency ATIVO na org. Transformacao: sociedade-&gt;moeda (C*-&gt;CRC, G*-&gt;GTQ, H*-&gt;HNL, N*-&gt;NIO, P*-&gt;USD, S*-&gt;USD) - tabela em DataWeave.</t>
  </si>
  <si>
    <t>OwnerId</t>
  </si>
  <si>
    <t>Propietario del registro</t>
  </si>
  <si>
    <t>Integration User</t>
  </si>
  <si>
    <t>No viene de SAP</t>
  </si>
  <si>
    <t>Valor fijo: Integration User. Carga con Owner = Integration User; reasignacion es proceso comercial (HU-009/routing), nunca dato de SAP.</t>
  </si>
  <si>
    <t>Reasignacion de Owner es proceso comercial, nunca dato SAP.</t>
  </si>
  <si>
    <t>Account (PersonAccount)</t>
  </si>
  <si>
    <t>FirstName</t>
  </si>
  <si>
    <t>Nombre de la persona</t>
  </si>
  <si>
    <t>Maria</t>
  </si>
  <si>
    <t>PrimaryContact/GivenName</t>
  </si>
  <si>
    <t>Nombre</t>
  </si>
  <si>
    <t>Si (PA)</t>
  </si>
  <si>
    <t>Solo cuando CustomerTypeCode = Individual.</t>
  </si>
  <si>
    <t>LastName</t>
  </si>
  <si>
    <t>Apellido</t>
  </si>
  <si>
    <t>Rodriguez</t>
  </si>
  <si>
    <t>PrimaryContact/FamilyName</t>
  </si>
  <si>
    <t>Transformacion: fallback nombre completo -&gt; LastName si SAP no trae split. Obligatorio en PA. Si SAP no trae split de nombre: nombre completo va a LastName (regla DataWeave documentada).</t>
  </si>
  <si>
    <t>PersonEmail</t>
  </si>
  <si>
    <t>Email de contacto de la persona</t>
  </si>
  <si>
    <t>maria@mail.com</t>
  </si>
  <si>
    <t>PrimaryContact/[e-mail]</t>
  </si>
  <si>
    <t>Email de contacto</t>
  </si>
  <si>
    <t>Papel distinto del ElectronicBillingEmail__c - no fusionar.</t>
  </si>
  <si>
    <t>PersonMobilePhone</t>
  </si>
  <si>
    <t>Celular</t>
  </si>
  <si>
    <t>+506 8888-0000</t>
  </si>
  <si>
    <t>PrimaryContact/[telefono movil]</t>
  </si>
  <si>
    <t>Transformacion: normalizacion E.164.</t>
  </si>
  <si>
    <t>Name</t>
  </si>
  <si>
    <t>Nombre completo</t>
  </si>
  <si>
    <t>(derivado)</t>
  </si>
  <si>
    <t>NO MAPEAR: Name en PersonAccount es derivado de FirstName+LastName, no escribible. En PersonAccount el Name es DERIVADO de FirstName+LastName y no es escribible - cualquier intento de mapeo rompe la carga. Coherente con el scope del gate de Razon Social (US-006a) en cuentas business.</t>
  </si>
  <si>
    <t>Intento de escritura rompe la carga.</t>
  </si>
  <si>
    <t>Account (Business)</t>
  </si>
  <si>
    <t>Razon social</t>
  </si>
  <si>
    <t>Transportes La Uruca S.A.</t>
  </si>
  <si>
    <t>SpecifiedOrganization/[nombre]</t>
  </si>
  <si>
    <t>Razon social de la organizacion</t>
  </si>
  <si>
    <t>Si (B2B)</t>
  </si>
  <si>
    <t>Escribible SOLO en business account. Campo sensible del circuito US-006a post go-live (misma regla de direccion que documento).</t>
  </si>
  <si>
    <t>Razon social = campo sensible US-006a en regimen.</t>
  </si>
  <si>
    <t>Industry</t>
  </si>
  <si>
    <t>Linea de negocio</t>
  </si>
  <si>
    <t>(interno)</t>
  </si>
  <si>
    <t>NO MAPEAR: Industry = linea de negocio interna (US-004). Semantica de proyecto (US-004): Industry = linea de negocio, sello interno de Salesforce. Nunca sobrescribir desde SAP.</t>
  </si>
  <si>
    <t>Nunca sobrescribir desde SAP.</t>
  </si>
  <si>
    <t>Contact (hijo de Business)</t>
  </si>
  <si>
    <t>FirstName / LastName</t>
  </si>
  <si>
    <t>Nombre del contacto</t>
  </si>
  <si>
    <t>Juan Perez</t>
  </si>
  <si>
    <t>PrimaryContact/GivenName+FamilyName</t>
  </si>
  <si>
    <t>Contacto principal</t>
  </si>
  <si>
    <t>Composite Tree: 1 Account + N Contacts atomico. Solo para Organization. Composite Tree: 1 Account + N Contacts en una transaccion (US-SAL-01-01B).</t>
  </si>
  <si>
    <t>Email / Phone</t>
  </si>
  <si>
    <t>Datos de contacto</t>
  </si>
  <si>
    <t>Email/Phone</t>
  </si>
  <si>
    <t>juan@empresa.cr</t>
  </si>
  <si>
    <t>PrimaryContact/[e-mail, telefono]</t>
  </si>
  <si>
    <t>PersonBirthdate</t>
  </si>
  <si>
    <t>Fecha de nacimiento</t>
  </si>
  <si>
    <t>Date</t>
  </si>
  <si>
    <t>1985-04-12</t>
  </si>
  <si>
    <t>[XSD STAR - fecha nacimiento]</t>
  </si>
  <si>
    <t>Campo confirmado updateable no describe. Mapear somente se o BOD trouxer.</t>
  </si>
  <si>
    <t xml:space="preserve">This workbook can be used as template to start data mapping activity for any complex integration. It has Mapping sheet which talks about main field/data mapping but  can be extended to meet the need of different system's mapping.
How to version this document - Versioning of this document is all depend on the collaboration tool used. Tools like confluence or sharepoint keep history of all changes made. If used this in plain excel format, it is recommended to use version in the name of file to differentiate new version.
</t>
  </si>
  <si>
    <t>Overview - Details such as name of the use case, short description, preparer, etc can be added in this sheet.</t>
  </si>
  <si>
    <t xml:space="preserve">Mapping - This sheet describes field/data specific mapping. It has multiple column to define different properties of the systems considered for the mapping. Click on  each column to know more about it. </t>
  </si>
  <si>
    <t xml:space="preserve">SampleData- This sheet has sample data to get idea of,  how the mapping sheet will look like after completion of the exercise. </t>
  </si>
  <si>
    <t>Customer Logo</t>
  </si>
  <si>
    <t>Name of the usecase</t>
  </si>
  <si>
    <t>Short description</t>
  </si>
  <si>
    <t>Prepared/Modified  By</t>
  </si>
  <si>
    <t>References</t>
  </si>
  <si>
    <t>Sr No</t>
  </si>
  <si>
    <t>Type</t>
  </si>
  <si>
    <t>Link</t>
  </si>
  <si>
    <t>BRD</t>
  </si>
  <si>
    <t>Design document</t>
  </si>
  <si>
    <t>Postman Collection</t>
  </si>
  <si>
    <t>Jira</t>
  </si>
  <si>
    <t>Sample SAP System</t>
  </si>
  <si>
    <t>Saledorce fo Sample SAP System</t>
  </si>
  <si>
    <t>Salesforce Connector</t>
  </si>
  <si>
    <t>Case</t>
  </si>
  <si>
    <t>Id</t>
  </si>
  <si>
    <t>Case id</t>
  </si>
  <si>
    <t>Record Id</t>
  </si>
  <si>
    <t>5008J0000036314QAA</t>
  </si>
  <si>
    <t>SAP Connector</t>
  </si>
  <si>
    <t>Z_SD_NPS_RECEIVE_FEEDBACK</t>
  </si>
  <si>
    <t>CASE_ID</t>
  </si>
  <si>
    <t>String</t>
  </si>
  <si>
    <t>All fields are sent as 'String'.</t>
  </si>
  <si>
    <t>CaseNumber</t>
  </si>
  <si>
    <t>Case number</t>
  </si>
  <si>
    <t>Auto Number</t>
  </si>
  <si>
    <t>CASE_NUMBER</t>
  </si>
  <si>
    <t>RecordType.Name</t>
  </si>
  <si>
    <t>Case record type name</t>
  </si>
  <si>
    <t>Record Type</t>
  </si>
  <si>
    <t>Argentina</t>
  </si>
  <si>
    <t>CASE_RECORD_TYPE</t>
  </si>
  <si>
    <t>Yes</t>
  </si>
  <si>
    <t>OWNING_TEAM_COUNTRY</t>
  </si>
  <si>
    <t>CreatedDate</t>
  </si>
  <si>
    <t>Case created date</t>
  </si>
  <si>
    <t>Date/Time</t>
  </si>
  <si>
    <t>2023-06-30T20:47:24.000Z</t>
  </si>
  <si>
    <t>CASE_CREATED_ON</t>
  </si>
  <si>
    <t>ClosedDate</t>
  </si>
  <si>
    <t>Case closed date</t>
  </si>
  <si>
    <t>CASE_CLOSED_ON</t>
  </si>
  <si>
    <t>Filter only closed cases from Salesforce in the period.</t>
  </si>
  <si>
    <t>TypeService__c</t>
  </si>
  <si>
    <t>Case service type</t>
  </si>
  <si>
    <t>Picklist(AfterSales, BuyBack, Campaigns, Commercial, Complaints, Dealers Support, Employee Service, Information, Legal, Quality, Sales)</t>
  </si>
  <si>
    <t>Information</t>
  </si>
  <si>
    <t>CASE_TYPE_SERVICE</t>
  </si>
  <si>
    <t>Filter only Complaits and Information case types.</t>
  </si>
  <si>
    <t>Account.PersonEmail</t>
  </si>
  <si>
    <t>Personal email of the case account</t>
  </si>
  <si>
    <t>Lookup(Account)</t>
  </si>
  <si>
    <t>integration@example.com</t>
  </si>
  <si>
    <t>EMAIL_ADDRESS</t>
  </si>
  <si>
    <t>Case account email. It's based on the case account record type.</t>
  </si>
  <si>
    <t>If the account is a Person Account ('IsPersonAccount' is true), it returns the person's email address ('PersonEmail'). If the account is not a Person Account ('IsPersonAccount' is false) and the 'BuyerEmail__c' field is not empty, it returns the 'BuyerEmail__c' value. Otherwise, it defaults to the person's email address ('PersonEmail').</t>
  </si>
  <si>
    <t>Account.BuyerEmail__c</t>
  </si>
  <si>
    <t>Business email of the case account</t>
  </si>
  <si>
    <t>Account.IsPersonAccount</t>
  </si>
  <si>
    <t>Indicates whether the case account is a person account or no.</t>
  </si>
  <si>
    <t>false</t>
  </si>
  <si>
    <t>Not used</t>
  </si>
  <si>
    <t>This field is used to define the account email.</t>
  </si>
  <si>
    <t>Account.Phone</t>
  </si>
  <si>
    <t>Case account phone</t>
  </si>
  <si>
    <t>01145645879</t>
  </si>
  <si>
    <t>PHONE_NUMBER</t>
  </si>
  <si>
    <t>Account.PersonHomePhone</t>
  </si>
  <si>
    <t>Case account person home phone</t>
  </si>
  <si>
    <t>31624352</t>
  </si>
  <si>
    <t>HOME_PHONE_NUMBER</t>
  </si>
  <si>
    <t>AccountLanguage__c</t>
  </si>
  <si>
    <t>Case account language. It's based on the record type of the case account.</t>
  </si>
  <si>
    <t>Formula (Text)</t>
  </si>
  <si>
    <t>Spanish</t>
  </si>
  <si>
    <t>LANGUAGE</t>
  </si>
  <si>
    <t>If the account is either a Person Account or a Company Account, it sets the language to Portuguese. If the account is any of the specific country Person or Company Accounts (Argentina, Chile, Colombia, or Peru), it sets the language to Spanish. Otherwise, it defaults to English.</t>
  </si>
  <si>
    <t>Sample REST System</t>
  </si>
  <si>
    <t>Saledorce fo Sample REST System</t>
  </si>
  <si>
    <t>HTTP Request</t>
  </si>
  <si>
    <t>Regla</t>
  </si>
  <si>
    <t>Contenido</t>
  </si>
  <si>
    <t>R1 - Regimenes de carga</t>
  </si>
  <si>
    <t>Inicial: Bulk API 2.0, ~180.000 Accounts+Contacts/PersonAccounts, snapshot pre-go-live (US-SAL-01-02A). Delta: STAR /star/customerInformation con Composite Tree cuando hay Account+Contacts que mantener atomicos (01-01A/B). Reconciliacion mensual de contagens y checksums (01-02B).</t>
  </si>
  <si>
    <t>R2 - Idempotencia y errores</t>
  </si>
  <si>
    <t>Upsert por External Id (Unique=true) - prerrequisito no negociable (Sec 56.6). Idempotency-Key = hash(SAPClientId + LastModifiedDate). Reintentos 2s/4s/8s/16s + circuit breaker; error persistente genera caso para CRM Operations (01-01D).</t>
  </si>
  <si>
    <t>R3 - Correccion arquitectural de la 01-01C</t>
  </si>
  <si>
    <t>El flow post-create de conversion Business-&gt;PersonAccount queda SUSTITUIDO: MuleSoft resuelve el shape en el CREATE via DataWeave (CustomerTypeCode=Individual -&gt; PersonAccount directo; Organization -&gt; Business+Contacts). Fundamento de plataforma: la conversion via API exige exactamente UN Contact, mismo owner, sin portal, y el update de RecordTypeId no admite campos adicionales en la misma llamada ("Cannot specify any additional fields when marrying or separating a Person-Account") - un flow en la misma transaccion del create, con las automaciones de Account activas (flujo MDM after-save), es fragil por construccion. El BOD STAR es formato de CABLE, no de persistencia. La conversion via API (dos llamadas: solo RecordTypeId, luego el resto) queda como herramienta de REMEDIACION para registros ya cargados con shape errado.</t>
  </si>
  <si>
    <t>R4 - Frontera de datos sensibles (US-006a)</t>
  </si>
  <si>
    <t>Razon social (Name business), DocumentType__c, DocumentNumber__c y ElectronicBillingEmail__c: inbound desde SAP SOLO en carga inicial y remediaciones señalizadas. Post go-live, Salesforce es Golden Record de party (decision MDG 08/05) y el valor aprobado viaja SF-&gt;SAP via CDC (canal /data/AccountChangeEvent, Replay Channel Listener MuleSoft). El canal inbound NUNCA sobrescribe estos campos en regimen.</t>
  </si>
  <si>
    <t>R5 - Gates y automaciones en la carga</t>
  </si>
  <si>
    <t>Integration User con Custom Permission Bypass_Gates_Automacao asignada al Permission Set (patron transversal). Carga inicial exige desactivacion previa de flows de Account que hagan callouts o clasificacion (Sec 56.7) - cada subrequest dispara automaciones y cuenta governor limits. ADICION (describe 06/07): tres Duplicate Rules ATIVAS em Account (Duplicate_Rule_Account, Standard_Account_Duplicate_Rule, Duplicate_PersonAccount_DocumentNumber) e uma em Contact - na carga inicial entram no pacote de desativacao temporaria junto com os flows; em regimen, upsert por External Id atualiza registros existentes e nao colide, mas a ACAO (Alert vs Block) de cada rule deve ser inventariada pelo Wilmar antes do go-live.</t>
  </si>
  <si>
    <t>R6 - Matching y duplicados</t>
  </si>
  <si>
    <t>El canal SAP no depende de Matching Rules: upsert por External Id. Las reglas de matching (Email OR documento) gobiernan la captura HUMANA y el circuito de Repuestos (Sec 39/66.4); el canal maquina no colisiona con ellas.</t>
  </si>
  <si>
    <t>R7 - Pendientes de describe (org decide)</t>
  </si>
  <si>
    <t>FECHADOS pelo describe de 06/07: (a) D-INT-ACC-01 = SAPCustomerCode__c, campo NAO existia, pacote de criacao entregue, chave = BP global; (b) Sociedad__c confirmado (TextArea 255 - recomendacao de conversao a picklist); (c) State &amp; Country Picklists ATIVO; (d) multi-currency ATIVO; (e) unico custom de pessoa relevante = Country__pc (read-only para o perfil executor - nao mapear). RESTANTES: FLS do INTEGRATION USER sobre todos os campos do mapeamento (o describe reflete o usuario executor - mesmo mecanismo do incidente de UAT do Wilmar); confirmacao BP unificado no S/4 (Vanessa/Juan Carlos); acao Alert/Block das Duplicate Rules.</t>
  </si>
  <si>
    <t>MuleSoft</t>
  </si>
  <si>
    <t>Customer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</si>
</sst>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4"/>
      <color theme="1"/>
      <name val="Calibri"/>
      <family val="2"/>
      <scheme val="minor"/>
    </font>
    <font>
      <b/>
      <sz val="11"/>
      <color theme="1"/>
      <name val="Calibri"/>
      <family val="2"/>
      <scheme val="minor"/>
    </font>
    <font>
      <sz val="11"/>
      <color rgb="FF000000"/>
      <name val="Calibri"/>
      <family val="2"/>
      <scheme val="minor"/>
    </font>
    <font>
      <sz val="10"/>
      <color theme="1"/>
      <name val="Arial"/>
      <family val="2"/>
    </font>
    <font>
      <u/>
      <sz val="11"/>
      <color theme="10"/>
      <name val="Calibri"/>
      <family val="2"/>
      <scheme val="minor"/>
    </font>
    <font>
      <sz val="9"/>
      <name val="Arial"/>
      <family val="2"/>
    </font>
    <font>
      <b/>
      <sz val="10"/>
      <name val="Arial"/>
      <family val="2"/>
    </font>
    <font>
      <b/>
      <sz val="9"/>
      <name val="Arial"/>
      <family val="2"/>
    </font>
  </fonts>
  <fills count="7">
    <fill>
      <patternFill patternType="none"/>
    </fill>
    <fill>
      <patternFill patternType="gray125"/>
    </fill>
    <fill>
      <patternFill patternType="solid">
        <fgColor theme="7"/>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4"/>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indexed="64"/>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indexed="64"/>
      </right>
      <top/>
      <bottom style="thin">
        <color indexed="64"/>
      </bottom>
      <diagonal/>
    </border>
    <border>
      <left/>
      <right style="thin">
        <color rgb="FF000000"/>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0" fontId="4" fillId="0" borderId="0"/>
    <xf numFmtId="0" fontId="5" fillId="0" borderId="0"/>
  </cellStyleXfs>
  <cellXfs count="90">
    <xf numFmtId="0" fontId="0" fillId="0" borderId="0" xfId="0"/>
    <xf numFmtId="0" fontId="0" fillId="0" borderId="0" xfId="0" applyAlignment="1">
      <alignment vertical="center" wrapText="1"/>
    </xf>
    <xf numFmtId="0" fontId="0" fillId="0" borderId="0" xfId="0" applyAlignment="1">
      <alignment vertical="top"/>
    </xf>
    <xf numFmtId="0" fontId="2" fillId="2" borderId="1" xfId="0" applyFont="1" applyFill="1" applyBorder="1" applyAlignment="1">
      <alignment horizontal="left" vertical="center" wrapText="1"/>
    </xf>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0" borderId="1" xfId="0" applyFont="1" applyBorder="1"/>
    <xf numFmtId="0" fontId="2" fillId="5" borderId="1" xfId="0" applyFont="1" applyFill="1" applyBorder="1" applyAlignment="1">
      <alignment vertical="center" wrapText="1"/>
    </xf>
    <xf numFmtId="0" fontId="0" fillId="0" borderId="0" xfId="0" applyAlignment="1">
      <alignment vertical="center"/>
    </xf>
    <xf numFmtId="0" fontId="2" fillId="5" borderId="1" xfId="0" applyFont="1" applyFill="1" applyBorder="1" applyAlignment="1">
      <alignment horizontal="left" vertical="center" wrapText="1"/>
    </xf>
    <xf numFmtId="0" fontId="0" fillId="0" borderId="0" xfId="0" applyAlignment="1">
      <alignment horizontal="left" vertical="center"/>
    </xf>
    <xf numFmtId="0" fontId="2" fillId="3" borderId="1" xfId="0" applyFont="1" applyFill="1" applyBorder="1" applyAlignment="1">
      <alignment horizontal="left" vertical="center" wrapText="1"/>
    </xf>
    <xf numFmtId="0" fontId="0" fillId="0" borderId="15" xfId="0" applyBorder="1" applyAlignment="1">
      <alignment vertical="center"/>
    </xf>
    <xf numFmtId="0" fontId="0" fillId="0" borderId="1" xfId="0" applyBorder="1" applyAlignment="1">
      <alignment vertical="center"/>
    </xf>
    <xf numFmtId="0" fontId="0" fillId="0" borderId="1" xfId="0" applyBorder="1" applyAlignment="1">
      <alignment vertical="center" wrapText="1"/>
    </xf>
    <xf numFmtId="0" fontId="0" fillId="0" borderId="15" xfId="0"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center" wrapText="1"/>
    </xf>
    <xf numFmtId="0" fontId="0" fillId="0" borderId="15" xfId="0" applyBorder="1" applyAlignment="1">
      <alignment horizontal="left" vertical="center" wrapText="1"/>
    </xf>
    <xf numFmtId="0" fontId="0" fillId="0" borderId="14" xfId="0" applyBorder="1" applyAlignment="1">
      <alignment vertical="center"/>
    </xf>
    <xf numFmtId="0" fontId="0" fillId="0" borderId="14" xfId="0" applyBorder="1" applyAlignment="1">
      <alignment vertical="center" wrapText="1"/>
    </xf>
    <xf numFmtId="49" fontId="0" fillId="0" borderId="11" xfId="0" applyNumberFormat="1" applyBorder="1" applyAlignment="1">
      <alignment horizontal="left" vertical="center" wrapText="1"/>
    </xf>
    <xf numFmtId="49" fontId="3" fillId="0" borderId="11" xfId="0" applyNumberFormat="1" applyFont="1" applyBorder="1" applyAlignment="1">
      <alignment horizontal="left" vertical="center" wrapText="1"/>
    </xf>
    <xf numFmtId="0" fontId="5" fillId="6" borderId="15" xfId="2" applyFill="1" applyBorder="1" applyAlignment="1">
      <alignment wrapText="1"/>
    </xf>
    <xf numFmtId="0" fontId="1" fillId="0" borderId="11" xfId="0" applyFont="1" applyBorder="1"/>
    <xf numFmtId="0" fontId="1" fillId="0" borderId="16" xfId="0" applyFont="1" applyBorder="1"/>
    <xf numFmtId="0" fontId="0" fillId="0" borderId="11" xfId="0" applyBorder="1" applyAlignment="1">
      <alignment horizontal="left" vertical="center" wrapText="1"/>
    </xf>
    <xf numFmtId="0" fontId="0" fillId="0" borderId="13" xfId="0" applyBorder="1" applyAlignment="1">
      <alignment vertical="center"/>
    </xf>
    <xf numFmtId="0" fontId="0" fillId="0" borderId="19" xfId="0" applyBorder="1" applyAlignment="1">
      <alignment vertical="center" wrapText="1"/>
    </xf>
    <xf numFmtId="0" fontId="0" fillId="0" borderId="18" xfId="0" applyBorder="1" applyAlignment="1">
      <alignment vertical="center"/>
    </xf>
    <xf numFmtId="0" fontId="0" fillId="0" borderId="17" xfId="0" applyBorder="1" applyAlignment="1">
      <alignment vertical="center" wrapText="1"/>
    </xf>
    <xf numFmtId="0" fontId="0" fillId="0" borderId="16" xfId="0" applyBorder="1" applyAlignment="1">
      <alignment vertical="center"/>
    </xf>
    <xf numFmtId="0" fontId="0" fillId="0" borderId="16" xfId="0" applyBorder="1" applyAlignment="1">
      <alignment vertical="center" wrapText="1"/>
    </xf>
    <xf numFmtId="0" fontId="0" fillId="0" borderId="18" xfId="0" applyBorder="1" applyAlignment="1">
      <alignment vertical="center" wrapText="1"/>
    </xf>
    <xf numFmtId="0" fontId="2" fillId="5" borderId="13" xfId="0" applyFont="1" applyFill="1" applyBorder="1" applyAlignment="1">
      <alignment vertical="center" wrapText="1"/>
    </xf>
    <xf numFmtId="0" fontId="0" fillId="0" borderId="20" xfId="0" applyBorder="1" applyAlignment="1">
      <alignment vertical="center"/>
    </xf>
    <xf numFmtId="0" fontId="0" fillId="0" borderId="20" xfId="0" applyBorder="1" applyAlignment="1">
      <alignment vertical="center" wrapText="1"/>
    </xf>
    <xf numFmtId="0" fontId="0" fillId="0" borderId="21" xfId="0" applyBorder="1" applyAlignment="1">
      <alignment vertical="center"/>
    </xf>
    <xf numFmtId="0" fontId="0" fillId="0" borderId="22" xfId="0" applyBorder="1" applyAlignment="1">
      <alignment vertical="center"/>
    </xf>
    <xf numFmtId="0" fontId="6" fillId="0" borderId="15" xfId="0" applyFont="1" applyBorder="1" applyAlignment="1">
      <alignment vertical="top" wrapText="1"/>
    </xf>
    <xf numFmtId="0" fontId="6" fillId="0" borderId="1" xfId="0" applyFont="1" applyBorder="1" applyAlignment="1">
      <alignment vertical="top" wrapText="1"/>
    </xf>
    <xf numFmtId="0" fontId="6" fillId="0" borderId="11" xfId="0" applyFont="1" applyBorder="1" applyAlignment="1">
      <alignment vertical="top" wrapText="1"/>
    </xf>
    <xf numFmtId="0" fontId="6" fillId="0" borderId="20" xfId="0" applyFont="1" applyBorder="1" applyAlignment="1">
      <alignment vertical="top" wrapText="1"/>
    </xf>
    <xf numFmtId="0" fontId="6" fillId="0" borderId="13" xfId="0" applyFont="1" applyBorder="1" applyAlignment="1">
      <alignment vertical="top" wrapText="1"/>
    </xf>
    <xf numFmtId="0" fontId="6" fillId="0" borderId="16" xfId="0" applyFont="1" applyBorder="1" applyAlignment="1">
      <alignment vertical="top" wrapText="1"/>
    </xf>
    <xf numFmtId="0" fontId="6" fillId="0" borderId="19" xfId="0" applyFont="1" applyBorder="1" applyAlignment="1">
      <alignment vertical="top" wrapText="1"/>
    </xf>
    <xf numFmtId="0" fontId="6" fillId="0" borderId="18" xfId="0" applyFont="1" applyBorder="1" applyAlignment="1">
      <alignment vertical="top" wrapText="1"/>
    </xf>
    <xf numFmtId="0" fontId="6" fillId="0" borderId="17" xfId="0" applyFont="1" applyBorder="1" applyAlignment="1">
      <alignment vertical="top" wrapText="1"/>
    </xf>
    <xf numFmtId="0" fontId="6" fillId="0" borderId="14" xfId="0" applyFont="1" applyBorder="1" applyAlignment="1">
      <alignment vertical="top" wrapText="1"/>
    </xf>
    <xf numFmtId="0" fontId="6" fillId="0" borderId="21" xfId="0" applyFont="1" applyBorder="1" applyAlignment="1">
      <alignment vertical="top" wrapText="1"/>
    </xf>
    <xf numFmtId="0" fontId="6" fillId="0" borderId="22" xfId="0" applyFont="1" applyBorder="1" applyAlignment="1">
      <alignment vertical="top" wrapText="1"/>
    </xf>
    <xf numFmtId="49" fontId="6" fillId="0" borderId="11" xfId="0" applyNumberFormat="1" applyFont="1" applyBorder="1" applyAlignment="1">
      <alignment vertical="top" wrapText="1"/>
    </xf>
    <xf numFmtId="0" fontId="6" fillId="0" borderId="0" xfId="0" applyFont="1" applyAlignment="1">
      <alignment vertical="top" wrapText="1"/>
    </xf>
    <xf numFmtId="0" fontId="7" fillId="0" borderId="0" xfId="0" applyFont="1"/>
    <xf numFmtId="0" fontId="8" fillId="0" borderId="0" xfId="0" applyFont="1"/>
    <xf numFmtId="0" fontId="2" fillId="2" borderId="1" xfId="0" applyFont="1" applyFill="1" applyBorder="1" applyAlignment="1">
      <alignment horizontal="center" vertical="center" wrapText="1"/>
    </xf>
    <xf numFmtId="0" fontId="0" fillId="0" borderId="12" xfId="0" applyBorder="1"/>
    <xf numFmtId="0" fontId="0" fillId="0" borderId="13" xfId="0" applyBorder="1"/>
    <xf numFmtId="0" fontId="2" fillId="5"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2" borderId="1" xfId="0" applyFont="1" applyFill="1" applyBorder="1" applyAlignment="1">
      <alignment horizontal="left" vertical="top" wrapText="1"/>
    </xf>
    <xf numFmtId="0" fontId="0" fillId="0" borderId="4" xfId="0" applyBorder="1" applyAlignment="1">
      <alignment horizontal="center"/>
    </xf>
    <xf numFmtId="0" fontId="0" fillId="0" borderId="3" xfId="0" applyBorder="1"/>
    <xf numFmtId="0" fontId="0" fillId="0" borderId="4" xfId="0" applyBorder="1"/>
    <xf numFmtId="0" fontId="1" fillId="4" borderId="27" xfId="0" applyFont="1" applyFill="1" applyBorder="1" applyAlignment="1">
      <alignment horizontal="left"/>
    </xf>
    <xf numFmtId="0" fontId="0" fillId="0" borderId="10" xfId="0" applyBorder="1"/>
    <xf numFmtId="0" fontId="1" fillId="4" borderId="1" xfId="0" applyFont="1" applyFill="1" applyBorder="1" applyAlignment="1">
      <alignment horizontal="center"/>
    </xf>
    <xf numFmtId="0" fontId="0" fillId="0" borderId="23" xfId="0" applyBorder="1"/>
    <xf numFmtId="0" fontId="0" fillId="0" borderId="24" xfId="0" applyBorder="1"/>
    <xf numFmtId="0" fontId="0" fillId="0" borderId="25" xfId="0" applyBorder="1"/>
    <xf numFmtId="0" fontId="0" fillId="0" borderId="26" xfId="0" applyBorder="1"/>
    <xf numFmtId="0" fontId="0" fillId="0" borderId="21" xfId="0" applyBorder="1"/>
    <xf numFmtId="0" fontId="0" fillId="0" borderId="27" xfId="0" applyBorder="1" applyAlignment="1">
      <alignment horizontal="center"/>
    </xf>
    <xf numFmtId="0" fontId="0" fillId="0" borderId="5" xfId="0" applyBorder="1"/>
    <xf numFmtId="0" fontId="0" fillId="0" borderId="6" xfId="0" applyBorder="1"/>
    <xf numFmtId="0" fontId="0" fillId="0" borderId="7" xfId="0" applyBorder="1"/>
    <xf numFmtId="0" fontId="0" fillId="0" borderId="9" xfId="0" applyBorder="1"/>
    <xf numFmtId="0" fontId="0" fillId="0" borderId="6" xfId="0" applyBorder="1" applyAlignment="1">
      <alignment horizontal="center"/>
    </xf>
    <xf numFmtId="0" fontId="0" fillId="0" borderId="0" xfId="0"/>
    <xf numFmtId="16" fontId="0" fillId="0" borderId="9" xfId="0" applyNumberFormat="1" applyBorder="1" applyAlignment="1">
      <alignment horizontal="center"/>
    </xf>
    <xf numFmtId="0" fontId="0" fillId="0" borderId="8" xfId="0" applyBorder="1"/>
    <xf numFmtId="0" fontId="0" fillId="0" borderId="6" xfId="0" applyBorder="1" applyAlignment="1">
      <alignment horizontal="center" wrapText="1"/>
    </xf>
  </cellXfs>
  <cellStyles count="3">
    <cellStyle name="Hiperlink" xfId="2" builtinId="8"/>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5:P17"/>
  <sheetViews>
    <sheetView workbookViewId="0"/>
  </sheetViews>
  <sheetFormatPr baseColWidth="10" defaultColWidth="11.5" defaultRowHeight="15" x14ac:dyDescent="0.2"/>
  <sheetData>
    <row r="5" spans="2:16" ht="94" customHeight="1" x14ac:dyDescent="0.2">
      <c r="B5" s="68" t="s">
        <v>167</v>
      </c>
      <c r="C5" s="64"/>
      <c r="D5" s="64"/>
      <c r="E5" s="64"/>
      <c r="F5" s="64"/>
      <c r="G5" s="64"/>
      <c r="H5" s="64"/>
      <c r="I5" s="64"/>
      <c r="J5" s="64"/>
      <c r="K5" s="64"/>
      <c r="L5" s="64"/>
      <c r="M5" s="65"/>
      <c r="N5" s="2"/>
      <c r="O5" s="2"/>
      <c r="P5" s="2"/>
    </row>
    <row r="6" spans="2:16" ht="53" customHeight="1" x14ac:dyDescent="0.2">
      <c r="B6" s="68" t="s">
        <v>168</v>
      </c>
      <c r="C6" s="64"/>
      <c r="D6" s="64"/>
      <c r="E6" s="64"/>
      <c r="F6" s="64"/>
      <c r="G6" s="64"/>
      <c r="H6" s="64"/>
      <c r="I6" s="64"/>
      <c r="J6" s="64"/>
      <c r="K6" s="64"/>
      <c r="L6" s="64"/>
      <c r="M6" s="65"/>
      <c r="N6" s="2"/>
      <c r="O6" s="2"/>
      <c r="P6" s="2"/>
    </row>
    <row r="7" spans="2:16" ht="53" customHeight="1" x14ac:dyDescent="0.2">
      <c r="B7" s="68" t="s">
        <v>169</v>
      </c>
      <c r="C7" s="64"/>
      <c r="D7" s="64"/>
      <c r="E7" s="64"/>
      <c r="F7" s="64"/>
      <c r="G7" s="64"/>
      <c r="H7" s="64"/>
      <c r="I7" s="64"/>
      <c r="J7" s="64"/>
      <c r="K7" s="64"/>
      <c r="L7" s="64"/>
      <c r="M7" s="65"/>
      <c r="N7" s="2"/>
      <c r="O7" s="2"/>
      <c r="P7" s="2"/>
    </row>
    <row r="8" spans="2:16" ht="44" customHeight="1" x14ac:dyDescent="0.2">
      <c r="B8" s="68" t="s">
        <v>170</v>
      </c>
      <c r="C8" s="64"/>
      <c r="D8" s="64"/>
      <c r="E8" s="64"/>
      <c r="F8" s="64"/>
      <c r="G8" s="64"/>
      <c r="H8" s="64"/>
      <c r="I8" s="64"/>
      <c r="J8" s="64"/>
      <c r="K8" s="64"/>
      <c r="L8" s="64"/>
      <c r="M8" s="65"/>
      <c r="N8" s="2"/>
      <c r="O8" s="2"/>
      <c r="P8" s="2"/>
    </row>
    <row r="9" spans="2:16" x14ac:dyDescent="0.2">
      <c r="B9" s="2"/>
      <c r="C9" s="2"/>
      <c r="D9" s="2"/>
      <c r="E9" s="2"/>
      <c r="F9" s="2"/>
      <c r="G9" s="2"/>
      <c r="H9" s="2"/>
      <c r="I9" s="2"/>
      <c r="J9" s="2"/>
      <c r="K9" s="2"/>
      <c r="L9" s="2"/>
      <c r="M9" s="2"/>
      <c r="N9" s="2"/>
      <c r="O9" s="2"/>
      <c r="P9" s="2"/>
    </row>
    <row r="10" spans="2:16" x14ac:dyDescent="0.2">
      <c r="B10" s="2"/>
      <c r="C10" s="2"/>
      <c r="D10" s="2"/>
      <c r="E10" s="2"/>
      <c r="F10" s="2"/>
      <c r="G10" s="2"/>
      <c r="H10" s="2"/>
      <c r="I10" s="2"/>
      <c r="J10" s="2"/>
      <c r="K10" s="2"/>
      <c r="L10" s="2"/>
      <c r="M10" s="2"/>
      <c r="N10" s="2"/>
      <c r="O10" s="2"/>
      <c r="P10" s="2"/>
    </row>
    <row r="11" spans="2:16" x14ac:dyDescent="0.2">
      <c r="B11" s="2"/>
      <c r="C11" s="2"/>
      <c r="D11" s="2"/>
      <c r="E11" s="2"/>
      <c r="F11" s="2"/>
      <c r="G11" s="2"/>
      <c r="H11" s="2"/>
      <c r="I11" s="2"/>
      <c r="J11" s="2"/>
      <c r="K11" s="2"/>
      <c r="L11" s="2"/>
      <c r="M11" s="2"/>
      <c r="N11" s="2"/>
      <c r="O11" s="2"/>
      <c r="P11" s="2"/>
    </row>
    <row r="12" spans="2:16" x14ac:dyDescent="0.2">
      <c r="B12" s="2"/>
      <c r="C12" s="2"/>
      <c r="D12" s="2"/>
      <c r="E12" s="2"/>
      <c r="F12" s="2"/>
      <c r="G12" s="2"/>
      <c r="H12" s="2"/>
      <c r="I12" s="2"/>
      <c r="J12" s="2"/>
      <c r="K12" s="2"/>
      <c r="L12" s="2"/>
      <c r="M12" s="2"/>
      <c r="N12" s="2"/>
      <c r="O12" s="2"/>
      <c r="P12" s="2"/>
    </row>
    <row r="13" spans="2:16" x14ac:dyDescent="0.2">
      <c r="B13" s="2"/>
      <c r="C13" s="2"/>
      <c r="D13" s="2"/>
      <c r="E13" s="2"/>
      <c r="F13" s="2"/>
      <c r="G13" s="2"/>
      <c r="H13" s="2"/>
      <c r="I13" s="2"/>
      <c r="J13" s="2"/>
      <c r="K13" s="2"/>
      <c r="L13" s="2"/>
      <c r="M13" s="2"/>
      <c r="N13" s="2"/>
      <c r="O13" s="2"/>
      <c r="P13" s="2"/>
    </row>
    <row r="14" spans="2:16" x14ac:dyDescent="0.2">
      <c r="B14" s="2"/>
      <c r="C14" s="2"/>
      <c r="D14" s="2"/>
      <c r="E14" s="2"/>
      <c r="F14" s="2"/>
      <c r="G14" s="2"/>
      <c r="H14" s="2"/>
      <c r="I14" s="2"/>
      <c r="J14" s="2"/>
      <c r="K14" s="2"/>
      <c r="L14" s="2"/>
      <c r="M14" s="2"/>
      <c r="N14" s="2"/>
      <c r="O14" s="2"/>
      <c r="P14" s="2"/>
    </row>
    <row r="15" spans="2:16" x14ac:dyDescent="0.2">
      <c r="B15" s="2"/>
      <c r="C15" s="2"/>
      <c r="D15" s="2"/>
      <c r="E15" s="2"/>
      <c r="F15" s="2"/>
      <c r="G15" s="2"/>
      <c r="H15" s="2"/>
      <c r="I15" s="2"/>
      <c r="J15" s="2"/>
      <c r="K15" s="2"/>
      <c r="L15" s="2"/>
      <c r="M15" s="2"/>
      <c r="N15" s="2"/>
      <c r="O15" s="2"/>
      <c r="P15" s="2"/>
    </row>
    <row r="16" spans="2:16" x14ac:dyDescent="0.2">
      <c r="B16" s="2"/>
      <c r="C16" s="2"/>
      <c r="D16" s="2"/>
      <c r="E16" s="2"/>
      <c r="F16" s="2"/>
      <c r="G16" s="2"/>
      <c r="H16" s="2"/>
      <c r="I16" s="2"/>
      <c r="J16" s="2"/>
      <c r="K16" s="2"/>
      <c r="L16" s="2"/>
      <c r="M16" s="2"/>
      <c r="N16" s="2"/>
      <c r="O16" s="2"/>
      <c r="P16" s="2"/>
    </row>
    <row r="17" spans="2:16" x14ac:dyDescent="0.2">
      <c r="B17" s="2"/>
      <c r="C17" s="2"/>
      <c r="D17" s="2"/>
      <c r="E17" s="2"/>
      <c r="F17" s="2"/>
      <c r="G17" s="2"/>
      <c r="H17" s="2"/>
      <c r="I17" s="2"/>
      <c r="J17" s="2"/>
      <c r="K17" s="2"/>
      <c r="L17" s="2"/>
      <c r="M17" s="2"/>
      <c r="N17" s="2"/>
      <c r="O17" s="2"/>
      <c r="P17" s="2"/>
    </row>
  </sheetData>
  <mergeCells count="4">
    <mergeCell ref="B6:M6"/>
    <mergeCell ref="B5:M5"/>
    <mergeCell ref="B8:M8"/>
    <mergeCell ref="B7:M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3"/>
  <sheetViews>
    <sheetView topLeftCell="A3" workbookViewId="0">
      <selection activeCell="A25" sqref="A25"/>
    </sheetView>
  </sheetViews>
  <sheetFormatPr baseColWidth="10" defaultColWidth="10.83203125" defaultRowHeight="15" x14ac:dyDescent="0.2"/>
  <cols>
    <col min="2" max="2" width="19.1640625" bestFit="1" customWidth="1"/>
  </cols>
  <sheetData>
    <row r="1" spans="1:12" ht="15" customHeight="1" thickBot="1" x14ac:dyDescent="0.25">
      <c r="A1" s="6"/>
      <c r="B1" s="7"/>
      <c r="C1" s="7"/>
      <c r="D1" s="7"/>
      <c r="E1" s="7"/>
      <c r="F1" s="7"/>
      <c r="G1" s="7"/>
      <c r="H1" s="7"/>
      <c r="I1" s="7"/>
      <c r="J1" s="7"/>
      <c r="K1" s="7"/>
      <c r="L1" s="8"/>
    </row>
    <row r="2" spans="1:12" ht="15" customHeight="1" thickBot="1" x14ac:dyDescent="0.25">
      <c r="E2" s="80" t="s">
        <v>171</v>
      </c>
      <c r="F2" s="73"/>
      <c r="L2" s="10"/>
    </row>
    <row r="3" spans="1:12" x14ac:dyDescent="0.2">
      <c r="E3" s="80"/>
      <c r="F3" s="71"/>
      <c r="L3" s="10"/>
    </row>
    <row r="4" spans="1:12" x14ac:dyDescent="0.2">
      <c r="E4" s="81"/>
      <c r="F4" s="82"/>
      <c r="L4" s="10"/>
    </row>
    <row r="5" spans="1:12" x14ac:dyDescent="0.2">
      <c r="E5" s="81"/>
      <c r="F5" s="82"/>
      <c r="L5" s="10"/>
    </row>
    <row r="6" spans="1:12" x14ac:dyDescent="0.2">
      <c r="E6" s="81"/>
      <c r="F6" s="82"/>
      <c r="L6" s="10"/>
    </row>
    <row r="7" spans="1:12" ht="15" customHeight="1" thickBot="1" x14ac:dyDescent="0.25">
      <c r="A7" s="9"/>
      <c r="E7" s="83"/>
      <c r="F7" s="84"/>
      <c r="L7" s="10"/>
    </row>
    <row r="8" spans="1:12" x14ac:dyDescent="0.2">
      <c r="L8" s="10"/>
    </row>
    <row r="9" spans="1:12" x14ac:dyDescent="0.2">
      <c r="L9" s="10"/>
    </row>
    <row r="10" spans="1:12" x14ac:dyDescent="0.2">
      <c r="L10" s="10"/>
    </row>
    <row r="11" spans="1:12" x14ac:dyDescent="0.2">
      <c r="L11" s="10"/>
    </row>
    <row r="12" spans="1:12" ht="15" customHeight="1" thickBot="1" x14ac:dyDescent="0.25">
      <c r="A12" s="9"/>
      <c r="L12" s="10"/>
    </row>
    <row r="13" spans="1:12" ht="28" customHeight="1" thickBot="1" x14ac:dyDescent="0.3">
      <c r="A13" s="72" t="s">
        <v>172</v>
      </c>
      <c r="B13" s="73"/>
      <c r="C13" s="69"/>
      <c r="D13" s="70"/>
      <c r="E13" s="70"/>
      <c r="F13" s="70"/>
      <c r="G13" s="70"/>
      <c r="H13" s="70"/>
      <c r="I13" s="70"/>
      <c r="J13" s="70"/>
      <c r="K13" s="70"/>
      <c r="L13" s="71"/>
    </row>
    <row r="14" spans="1:12" ht="64.25" customHeight="1" x14ac:dyDescent="0.25">
      <c r="A14" s="72" t="s">
        <v>173</v>
      </c>
      <c r="B14" s="73"/>
      <c r="C14" s="89"/>
      <c r="D14" s="86"/>
      <c r="E14" s="86"/>
      <c r="F14" s="86"/>
      <c r="G14" s="86"/>
      <c r="H14" s="86"/>
      <c r="I14" s="86"/>
      <c r="J14" s="86"/>
      <c r="K14" s="86"/>
      <c r="L14" s="82"/>
    </row>
    <row r="15" spans="1:12" ht="34" customHeight="1" thickBot="1" x14ac:dyDescent="0.3">
      <c r="A15" s="72" t="s">
        <v>174</v>
      </c>
      <c r="B15" s="73"/>
      <c r="C15" s="85"/>
      <c r="D15" s="86"/>
      <c r="E15" s="86"/>
      <c r="F15" s="86"/>
      <c r="G15" s="86"/>
      <c r="H15" s="86"/>
      <c r="I15" s="86"/>
      <c r="J15" s="86"/>
      <c r="K15" s="86"/>
      <c r="L15" s="82"/>
    </row>
    <row r="16" spans="1:12" ht="30" customHeight="1" thickBot="1" x14ac:dyDescent="0.3">
      <c r="A16" s="72" t="s">
        <v>163</v>
      </c>
      <c r="B16" s="73"/>
      <c r="C16" s="87"/>
      <c r="D16" s="88"/>
      <c r="E16" s="88"/>
      <c r="F16" s="88"/>
      <c r="G16" s="88"/>
      <c r="H16" s="88"/>
      <c r="I16" s="88"/>
      <c r="J16" s="88"/>
      <c r="K16" s="88"/>
      <c r="L16" s="84"/>
    </row>
    <row r="17" spans="1:12" x14ac:dyDescent="0.2">
      <c r="A17" s="9"/>
      <c r="L17" s="10"/>
    </row>
    <row r="18" spans="1:12" x14ac:dyDescent="0.2">
      <c r="A18" s="9"/>
      <c r="L18" s="10"/>
    </row>
    <row r="19" spans="1:12" ht="19" customHeight="1" x14ac:dyDescent="0.2">
      <c r="A19" s="74" t="s">
        <v>175</v>
      </c>
      <c r="B19" s="75"/>
      <c r="C19" s="76"/>
      <c r="L19" s="10"/>
    </row>
    <row r="20" spans="1:12" ht="19" customHeight="1" x14ac:dyDescent="0.2">
      <c r="A20" s="77"/>
      <c r="B20" s="78"/>
      <c r="C20" s="79"/>
      <c r="L20" s="10"/>
    </row>
    <row r="21" spans="1:12" ht="18" customHeight="1" x14ac:dyDescent="0.25">
      <c r="A21" s="14" t="s">
        <v>176</v>
      </c>
      <c r="B21" s="14" t="s">
        <v>177</v>
      </c>
      <c r="C21" s="14" t="s">
        <v>178</v>
      </c>
      <c r="L21" s="10"/>
    </row>
    <row r="22" spans="1:12" ht="18" customHeight="1" x14ac:dyDescent="0.25">
      <c r="A22" s="14">
        <v>1</v>
      </c>
      <c r="B22" s="14" t="s">
        <v>179</v>
      </c>
      <c r="C22" s="14"/>
      <c r="L22" s="10"/>
    </row>
    <row r="23" spans="1:12" ht="18" customHeight="1" x14ac:dyDescent="0.25">
      <c r="A23" s="14">
        <v>2</v>
      </c>
      <c r="B23" s="14" t="s">
        <v>180</v>
      </c>
      <c r="C23" s="14"/>
      <c r="L23" s="10"/>
    </row>
    <row r="24" spans="1:12" ht="18" customHeight="1" x14ac:dyDescent="0.25">
      <c r="A24" s="14">
        <v>3</v>
      </c>
      <c r="B24" s="14" t="s">
        <v>181</v>
      </c>
      <c r="C24" s="33"/>
      <c r="L24" s="10"/>
    </row>
    <row r="25" spans="1:12" ht="18" customHeight="1" x14ac:dyDescent="0.25">
      <c r="A25" s="14">
        <v>4</v>
      </c>
      <c r="B25" s="32" t="s">
        <v>182</v>
      </c>
      <c r="C25" s="31"/>
      <c r="L25" s="10"/>
    </row>
    <row r="26" spans="1:12" x14ac:dyDescent="0.2">
      <c r="A26" s="9"/>
      <c r="L26" s="10"/>
    </row>
    <row r="27" spans="1:12" x14ac:dyDescent="0.2">
      <c r="A27" s="9"/>
      <c r="L27" s="10"/>
    </row>
    <row r="28" spans="1:12" x14ac:dyDescent="0.2">
      <c r="A28" s="9"/>
      <c r="L28" s="10"/>
    </row>
    <row r="29" spans="1:12" x14ac:dyDescent="0.2">
      <c r="A29" s="9"/>
      <c r="L29" s="10"/>
    </row>
    <row r="30" spans="1:12" x14ac:dyDescent="0.2">
      <c r="A30" s="9"/>
      <c r="L30" s="10"/>
    </row>
    <row r="31" spans="1:12" x14ac:dyDescent="0.2">
      <c r="A31" s="9"/>
      <c r="L31" s="10"/>
    </row>
    <row r="32" spans="1:12" x14ac:dyDescent="0.2">
      <c r="A32" s="9"/>
      <c r="L32" s="10"/>
    </row>
    <row r="33" spans="1:12" x14ac:dyDescent="0.2">
      <c r="A33" s="9"/>
      <c r="L33" s="10"/>
    </row>
    <row r="34" spans="1:12" x14ac:dyDescent="0.2">
      <c r="A34" s="9"/>
      <c r="L34" s="10"/>
    </row>
    <row r="35" spans="1:12" x14ac:dyDescent="0.2">
      <c r="A35" s="9"/>
      <c r="L35" s="10"/>
    </row>
    <row r="36" spans="1:12" x14ac:dyDescent="0.2">
      <c r="A36" s="9"/>
      <c r="L36" s="10"/>
    </row>
    <row r="37" spans="1:12" x14ac:dyDescent="0.2">
      <c r="A37" s="9"/>
      <c r="L37" s="10"/>
    </row>
    <row r="38" spans="1:12" x14ac:dyDescent="0.2">
      <c r="A38" s="9"/>
      <c r="L38" s="10"/>
    </row>
    <row r="39" spans="1:12" x14ac:dyDescent="0.2">
      <c r="A39" s="9"/>
      <c r="L39" s="10"/>
    </row>
    <row r="40" spans="1:12" x14ac:dyDescent="0.2">
      <c r="A40" s="9"/>
      <c r="L40" s="10"/>
    </row>
    <row r="41" spans="1:12" x14ac:dyDescent="0.2">
      <c r="A41" s="9"/>
      <c r="L41" s="10"/>
    </row>
    <row r="42" spans="1:12" x14ac:dyDescent="0.2">
      <c r="A42" s="9"/>
      <c r="L42" s="10"/>
    </row>
    <row r="43" spans="1:12" x14ac:dyDescent="0.2">
      <c r="A43" s="9"/>
      <c r="L43" s="10"/>
    </row>
    <row r="44" spans="1:12" x14ac:dyDescent="0.2">
      <c r="A44" s="9"/>
      <c r="L44" s="10"/>
    </row>
    <row r="45" spans="1:12" x14ac:dyDescent="0.2">
      <c r="A45" s="9"/>
      <c r="L45" s="10"/>
    </row>
    <row r="46" spans="1:12" x14ac:dyDescent="0.2">
      <c r="A46" s="9"/>
      <c r="L46" s="10"/>
    </row>
    <row r="47" spans="1:12" x14ac:dyDescent="0.2">
      <c r="A47" s="9"/>
      <c r="L47" s="10"/>
    </row>
    <row r="48" spans="1:12" x14ac:dyDescent="0.2">
      <c r="A48" s="9"/>
      <c r="L48" s="10"/>
    </row>
    <row r="49" spans="1:12" x14ac:dyDescent="0.2">
      <c r="A49" s="9"/>
      <c r="L49" s="10"/>
    </row>
    <row r="50" spans="1:12" x14ac:dyDescent="0.2">
      <c r="A50" s="9"/>
      <c r="L50" s="10"/>
    </row>
    <row r="51" spans="1:12" x14ac:dyDescent="0.2">
      <c r="A51" s="9"/>
      <c r="L51" s="10"/>
    </row>
    <row r="52" spans="1:12" x14ac:dyDescent="0.2">
      <c r="A52" s="9"/>
      <c r="L52" s="10"/>
    </row>
    <row r="53" spans="1:12" ht="15" customHeight="1" thickBot="1" x14ac:dyDescent="0.25">
      <c r="A53" s="11"/>
      <c r="B53" s="12"/>
      <c r="C53" s="12"/>
      <c r="D53" s="12"/>
      <c r="E53" s="12"/>
      <c r="F53" s="12"/>
      <c r="G53" s="12"/>
      <c r="H53" s="12"/>
      <c r="I53" s="12"/>
      <c r="J53" s="12"/>
      <c r="K53" s="12"/>
      <c r="L53" s="13"/>
    </row>
  </sheetData>
  <mergeCells count="11">
    <mergeCell ref="E2:F2"/>
    <mergeCell ref="A13:B13"/>
    <mergeCell ref="A14:B14"/>
    <mergeCell ref="C15:L15"/>
    <mergeCell ref="C16:L16"/>
    <mergeCell ref="C14:L14"/>
    <mergeCell ref="C13:L13"/>
    <mergeCell ref="A16:B16"/>
    <mergeCell ref="A15:B15"/>
    <mergeCell ref="A19:C20"/>
    <mergeCell ref="E3:F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4"/>
  <sheetViews>
    <sheetView tabSelected="1" topLeftCell="F1" workbookViewId="0">
      <selection activeCell="L8" sqref="L8"/>
    </sheetView>
  </sheetViews>
  <sheetFormatPr baseColWidth="10" defaultColWidth="8.83203125" defaultRowHeight="15" x14ac:dyDescent="0.2"/>
  <cols>
    <col min="1" max="1" width="30.33203125" style="16" bestFit="1" customWidth="1"/>
    <col min="2" max="2" width="30" style="16" customWidth="1"/>
    <col min="3" max="3" width="22.83203125" style="16" bestFit="1" customWidth="1"/>
    <col min="4" max="4" width="36.6640625" style="16" bestFit="1" customWidth="1"/>
    <col min="5" max="5" width="33.5" style="16" customWidth="1"/>
    <col min="6" max="6" width="24.5" style="16" bestFit="1" customWidth="1"/>
    <col min="7" max="7" width="27.1640625" style="18" customWidth="1"/>
    <col min="8" max="8" width="30" style="16" bestFit="1" customWidth="1"/>
    <col min="9" max="9" width="26" style="16" customWidth="1"/>
    <col min="10" max="10" width="33.83203125" style="16" bestFit="1" customWidth="1"/>
    <col min="11" max="11" width="33.5" style="16" customWidth="1"/>
    <col min="12" max="12" width="21" style="16" customWidth="1"/>
    <col min="13" max="13" width="27" style="18" customWidth="1"/>
    <col min="14" max="14" width="12" style="16" bestFit="1" customWidth="1"/>
    <col min="15" max="15" width="26" style="16" customWidth="1"/>
    <col min="16" max="16" width="62" style="16" customWidth="1"/>
    <col min="17" max="17" width="40" style="16" bestFit="1" customWidth="1"/>
    <col min="18" max="18" width="25.5" style="16" customWidth="1"/>
    <col min="19" max="19" width="61" style="16" customWidth="1"/>
    <col min="20" max="20" width="34.83203125" style="16" customWidth="1"/>
    <col min="21" max="21" width="8.83203125" style="16" customWidth="1"/>
    <col min="22" max="16384" width="8.83203125" style="16"/>
  </cols>
  <sheetData>
    <row r="1" spans="1:21" ht="16" x14ac:dyDescent="0.2">
      <c r="A1" s="3" t="s">
        <v>0</v>
      </c>
      <c r="B1" s="67" t="s">
        <v>1</v>
      </c>
      <c r="C1" s="64"/>
      <c r="D1" s="64"/>
      <c r="E1" s="64"/>
      <c r="F1" s="64"/>
      <c r="G1" s="65"/>
      <c r="H1" s="66" t="s">
        <v>2</v>
      </c>
      <c r="I1" s="64"/>
      <c r="J1" s="64"/>
      <c r="K1" s="64"/>
      <c r="L1" s="64"/>
      <c r="M1" s="65"/>
      <c r="N1" s="63" t="s">
        <v>0</v>
      </c>
      <c r="O1" s="64"/>
      <c r="P1" s="64"/>
      <c r="Q1" s="64"/>
      <c r="R1" s="64"/>
      <c r="S1" s="65"/>
      <c r="T1" s="1"/>
      <c r="U1" s="1"/>
    </row>
    <row r="2" spans="1:21" ht="29" customHeight="1" x14ac:dyDescent="0.2">
      <c r="A2" s="4" t="s">
        <v>3</v>
      </c>
      <c r="B2" s="5" t="s">
        <v>4</v>
      </c>
      <c r="C2" s="5" t="s">
        <v>5</v>
      </c>
      <c r="D2" s="5" t="s">
        <v>6</v>
      </c>
      <c r="E2" s="5" t="s">
        <v>7</v>
      </c>
      <c r="F2" s="5" t="s">
        <v>8</v>
      </c>
      <c r="G2" s="19" t="s">
        <v>9</v>
      </c>
      <c r="H2" s="15" t="s">
        <v>4</v>
      </c>
      <c r="I2" s="15" t="s">
        <v>10</v>
      </c>
      <c r="J2" s="42" t="s">
        <v>6</v>
      </c>
      <c r="K2" s="15" t="s">
        <v>7</v>
      </c>
      <c r="L2" s="15" t="s">
        <v>8</v>
      </c>
      <c r="M2" s="17" t="s">
        <v>9</v>
      </c>
      <c r="N2" s="4" t="s">
        <v>11</v>
      </c>
      <c r="O2" s="4" t="s">
        <v>12</v>
      </c>
      <c r="P2" s="4" t="s">
        <v>13</v>
      </c>
      <c r="Q2" s="4" t="s">
        <v>14</v>
      </c>
      <c r="R2" s="3" t="s">
        <v>15</v>
      </c>
      <c r="S2" s="4" t="s">
        <v>16</v>
      </c>
      <c r="T2" s="1"/>
      <c r="U2" s="1"/>
    </row>
    <row r="3" spans="1:21" ht="15" customHeight="1" x14ac:dyDescent="0.2">
      <c r="A3" s="47" t="s">
        <v>17</v>
      </c>
      <c r="B3" s="48" t="s">
        <v>18</v>
      </c>
      <c r="C3" s="48" t="s">
        <v>19</v>
      </c>
      <c r="D3" s="48" t="s">
        <v>20</v>
      </c>
      <c r="E3" s="48" t="s">
        <v>21</v>
      </c>
      <c r="F3" s="48" t="s">
        <v>22</v>
      </c>
      <c r="G3" s="49" t="s">
        <v>23</v>
      </c>
      <c r="H3" s="48" t="s">
        <v>269</v>
      </c>
      <c r="I3" s="48" t="s">
        <v>270</v>
      </c>
      <c r="J3" s="50" t="s">
        <v>24</v>
      </c>
      <c r="K3" s="47" t="s">
        <v>25</v>
      </c>
      <c r="L3" s="47" t="s">
        <v>26</v>
      </c>
      <c r="M3" s="47" t="s">
        <v>23</v>
      </c>
      <c r="N3" s="48" t="s">
        <v>27</v>
      </c>
      <c r="O3" s="48" t="s">
        <v>28</v>
      </c>
      <c r="P3" s="48" t="s">
        <v>29</v>
      </c>
      <c r="Q3" s="48" t="s">
        <v>30</v>
      </c>
      <c r="R3" s="22"/>
      <c r="S3" s="22"/>
    </row>
    <row r="4" spans="1:21" ht="39" x14ac:dyDescent="0.2">
      <c r="A4" s="47" t="s">
        <v>17</v>
      </c>
      <c r="B4" s="48" t="s">
        <v>18</v>
      </c>
      <c r="C4" s="51" t="s">
        <v>19</v>
      </c>
      <c r="D4" s="48" t="s">
        <v>31</v>
      </c>
      <c r="E4" s="48" t="s">
        <v>32</v>
      </c>
      <c r="F4" s="48" t="s">
        <v>33</v>
      </c>
      <c r="G4" s="49" t="s">
        <v>34</v>
      </c>
      <c r="H4" s="48" t="s">
        <v>269</v>
      </c>
      <c r="I4" s="48" t="s">
        <v>270</v>
      </c>
      <c r="J4" s="50" t="s">
        <v>35</v>
      </c>
      <c r="K4" s="47" t="s">
        <v>36</v>
      </c>
      <c r="L4" s="47" t="s">
        <v>26</v>
      </c>
      <c r="M4" s="47" t="s">
        <v>37</v>
      </c>
      <c r="N4" s="48" t="s">
        <v>27</v>
      </c>
      <c r="O4" s="48" t="s">
        <v>38</v>
      </c>
      <c r="P4" s="48" t="s">
        <v>39</v>
      </c>
      <c r="Q4" s="48" t="s">
        <v>40</v>
      </c>
      <c r="R4" s="22"/>
      <c r="S4" s="22"/>
    </row>
    <row r="5" spans="1:21" ht="26" x14ac:dyDescent="0.2">
      <c r="A5" s="47" t="s">
        <v>17</v>
      </c>
      <c r="B5" s="48" t="s">
        <v>18</v>
      </c>
      <c r="C5" s="52" t="s">
        <v>19</v>
      </c>
      <c r="D5" s="52" t="s">
        <v>41</v>
      </c>
      <c r="E5" s="52" t="s">
        <v>42</v>
      </c>
      <c r="F5" s="52" t="s">
        <v>43</v>
      </c>
      <c r="G5" s="52" t="s">
        <v>44</v>
      </c>
      <c r="H5" s="48" t="s">
        <v>269</v>
      </c>
      <c r="I5" s="48" t="s">
        <v>270</v>
      </c>
      <c r="J5" s="50" t="s">
        <v>45</v>
      </c>
      <c r="K5" s="53" t="s">
        <v>46</v>
      </c>
      <c r="L5" s="54" t="s">
        <v>26</v>
      </c>
      <c r="M5" s="55" t="s">
        <v>44</v>
      </c>
      <c r="N5" s="48" t="s">
        <v>27</v>
      </c>
      <c r="O5" s="48" t="s">
        <v>47</v>
      </c>
      <c r="P5" s="48" t="s">
        <v>48</v>
      </c>
      <c r="Q5" s="48"/>
      <c r="R5" s="22"/>
      <c r="S5" s="22"/>
    </row>
    <row r="6" spans="1:21" ht="52" x14ac:dyDescent="0.2">
      <c r="A6" s="47" t="s">
        <v>17</v>
      </c>
      <c r="B6" s="48" t="s">
        <v>18</v>
      </c>
      <c r="C6" s="52" t="s">
        <v>19</v>
      </c>
      <c r="D6" s="52" t="s">
        <v>49</v>
      </c>
      <c r="E6" s="52" t="s">
        <v>50</v>
      </c>
      <c r="F6" s="52" t="s">
        <v>51</v>
      </c>
      <c r="G6" s="52" t="s">
        <v>52</v>
      </c>
      <c r="H6" s="48" t="s">
        <v>269</v>
      </c>
      <c r="I6" s="48" t="s">
        <v>270</v>
      </c>
      <c r="J6" s="51" t="s">
        <v>53</v>
      </c>
      <c r="K6" s="53" t="s">
        <v>54</v>
      </c>
      <c r="L6" s="54" t="s">
        <v>26</v>
      </c>
      <c r="M6" s="55" t="s">
        <v>52</v>
      </c>
      <c r="N6" s="48" t="s">
        <v>27</v>
      </c>
      <c r="O6" s="48" t="s">
        <v>55</v>
      </c>
      <c r="P6" s="48" t="s">
        <v>56</v>
      </c>
      <c r="Q6" s="48"/>
      <c r="R6" s="22"/>
      <c r="S6" s="22"/>
    </row>
    <row r="7" spans="1:21" ht="39" x14ac:dyDescent="0.2">
      <c r="A7" s="47" t="s">
        <v>17</v>
      </c>
      <c r="B7" s="48" t="s">
        <v>18</v>
      </c>
      <c r="C7" s="51" t="s">
        <v>19</v>
      </c>
      <c r="D7" s="47" t="s">
        <v>57</v>
      </c>
      <c r="E7" s="47" t="s">
        <v>58</v>
      </c>
      <c r="F7" s="47" t="s">
        <v>43</v>
      </c>
      <c r="G7" s="47" t="s">
        <v>59</v>
      </c>
      <c r="H7" s="48" t="s">
        <v>269</v>
      </c>
      <c r="I7" s="48" t="s">
        <v>270</v>
      </c>
      <c r="J7" s="50" t="s">
        <v>60</v>
      </c>
      <c r="K7" s="47" t="s">
        <v>61</v>
      </c>
      <c r="L7" s="47" t="s">
        <v>26</v>
      </c>
      <c r="M7" s="47" t="s">
        <v>59</v>
      </c>
      <c r="N7" s="48" t="s">
        <v>27</v>
      </c>
      <c r="O7" s="48" t="s">
        <v>62</v>
      </c>
      <c r="P7" s="48" t="s">
        <v>63</v>
      </c>
      <c r="Q7" s="48" t="s">
        <v>64</v>
      </c>
      <c r="R7" s="22"/>
      <c r="S7" s="22"/>
    </row>
    <row r="8" spans="1:21" ht="39" x14ac:dyDescent="0.2">
      <c r="A8" s="47" t="s">
        <v>17</v>
      </c>
      <c r="B8" s="48" t="s">
        <v>18</v>
      </c>
      <c r="C8" s="51" t="s">
        <v>19</v>
      </c>
      <c r="D8" s="56" t="s">
        <v>65</v>
      </c>
      <c r="E8" s="56" t="s">
        <v>66</v>
      </c>
      <c r="F8" s="48" t="s">
        <v>67</v>
      </c>
      <c r="G8" s="47" t="s">
        <v>68</v>
      </c>
      <c r="H8" s="48" t="s">
        <v>269</v>
      </c>
      <c r="I8" s="48" t="s">
        <v>270</v>
      </c>
      <c r="J8" s="57" t="s">
        <v>69</v>
      </c>
      <c r="K8" s="47" t="s">
        <v>70</v>
      </c>
      <c r="L8" s="47" t="s">
        <v>26</v>
      </c>
      <c r="M8" s="47" t="s">
        <v>68</v>
      </c>
      <c r="N8" s="48" t="s">
        <v>27</v>
      </c>
      <c r="O8" s="48" t="s">
        <v>62</v>
      </c>
      <c r="P8" s="48" t="s">
        <v>71</v>
      </c>
      <c r="Q8" s="48" t="s">
        <v>72</v>
      </c>
      <c r="R8" s="22"/>
      <c r="S8" s="22"/>
    </row>
    <row r="9" spans="1:21" ht="26" x14ac:dyDescent="0.2">
      <c r="A9" s="47" t="s">
        <v>17</v>
      </c>
      <c r="B9" s="48" t="s">
        <v>18</v>
      </c>
      <c r="C9" s="51" t="s">
        <v>19</v>
      </c>
      <c r="D9" s="48" t="s">
        <v>73</v>
      </c>
      <c r="E9" s="48" t="s">
        <v>74</v>
      </c>
      <c r="F9" s="48" t="s">
        <v>75</v>
      </c>
      <c r="G9" s="49" t="s">
        <v>76</v>
      </c>
      <c r="H9" s="48" t="s">
        <v>269</v>
      </c>
      <c r="I9" s="48" t="s">
        <v>270</v>
      </c>
      <c r="J9" s="51" t="s">
        <v>77</v>
      </c>
      <c r="K9" s="47" t="s">
        <v>78</v>
      </c>
      <c r="L9" s="47" t="s">
        <v>26</v>
      </c>
      <c r="M9" s="47" t="s">
        <v>76</v>
      </c>
      <c r="N9" s="48" t="s">
        <v>79</v>
      </c>
      <c r="O9" s="48" t="s">
        <v>62</v>
      </c>
      <c r="P9" s="48" t="s">
        <v>80</v>
      </c>
      <c r="Q9" s="48" t="s">
        <v>81</v>
      </c>
      <c r="R9" s="22"/>
      <c r="S9" s="22"/>
    </row>
    <row r="10" spans="1:21" ht="26" x14ac:dyDescent="0.2">
      <c r="A10" s="47" t="inlineStr">
        <is>
          <t xml:space="preserve">SAP Grupo Q to Salesforce</t>
        </is>
      </c>
      <c r="B10" s="48" t="inlineStr">
        <is>
          <t xml:space="preserve">Salesforce Connector (Bulk API 2.0 carga inicial / Composite Tree delta)</t>
        </is>
      </c>
      <c r="C10" s="51" t="inlineStr">
        <is>
          <t xml:space="preserve">Account</t>
        </is>
      </c>
      <c r="D10" s="48" t="inlineStr">
        <is>
          <t xml:space="preserve">CreditScenario__c</t>
        </is>
      </c>
      <c r="E10" s="48" t="inlineStr">
        <is>
          <t xml:space="preserve">Escenario de credito (condicion crediticia del cliente)</t>
        </is>
      </c>
      <c r="F10" s="48" t="inlineStr">
        <is>
          <t xml:space="preserve">Picklist</t>
        </is>
      </c>
      <c r="G10" s="49" t="inlineStr">
        <is>
          <t xml:space="preserve">SinCredito</t>
        </is>
      </c>
      <c r="H10" s="48" t="inlineStr">
        <is>
          <t xml:space="preserve">MuleSoft</t>
        </is>
      </c>
      <c r="I10" s="48" t="inlineStr">
        <is>
          <t xml:space="preserve">Customer Information</t>
        </is>
      </c>
      <c r="J10" s="51" t="inlineStr">
        <is>
          <t xml:space="preserve">[XSD STAR - credit scenario / condicion de credito]</t>
        </is>
      </c>
      <c r="K10" s="47" t="inlineStr">
        <is>
          <t xml:space="preserve">Escenario/condicion de credito SAP</t>
        </is>
      </c>
      <c r="L10" s="47" t="inlineStr">
        <is>
          <t xml:space="preserve">String/XML</t>
        </is>
      </c>
      <c r="M10" s="47" t="inlineStr">
        <is>
          <t xml:space="preserve">SinCredito</t>
        </is>
      </c>
      <c r="N10" s="48" t="inlineStr">
        <is>
          <t xml:space="preserve">Si</t>
        </is>
      </c>
      <c r="O10" s="48" t="inlineStr">
        <is>
          <t xml:space="preserve">Si (delta)</t>
        </is>
      </c>
      <c r="P10" s="48" t="inlineStr">
        <is>
          <t xml:space="preserve">CHAVE DE ROTEAMENTO US-006a (define o aprovador de datos sensibles via matriz Sociedad x Departamento x Escenario). Valores esperados: ContaCorriente / CrediQ / SinCredito. A solicitar ao SAP e encaixar na demanda de consulta de listas negras. Enquanto vazio, o US-006a roteia ao grupo MDG_Default (fallback).</t>
        </is>
      </c>
      <c r="Q10" s="48" t="inlineStr">
        <is>
          <t xml:space="preserve">Sem este campo, todas as contas caem no aprovador Default.</t>
        </is>
      </c>
      <c r="R10" s="22" t="inlineStr">
        <is>
          <t xml:space="preserve">No</t>
        </is>
      </c>
      <c r="S10" s="22" t="inlineStr">
        <is>
          <t xml:space="preserve">Solicitar campo ao SAP; incluir no payload da demanda de consulta de listas negras; mapear valores para ContaCorriente/CrediQ/SinCredito.</t>
        </is>
      </c>
    </row>
    <row r="11" spans="1:21" ht="50.25" customHeight="1" x14ac:dyDescent="0.2">
      <c r="A11" s="47" t="s">
        <v>17</v>
      </c>
      <c r="B11" s="48" t="s">
        <v>18</v>
      </c>
      <c r="C11" s="51" t="s">
        <v>19</v>
      </c>
      <c r="D11" s="48" t="s">
        <v>82</v>
      </c>
      <c r="E11" s="48" t="s">
        <v>83</v>
      </c>
      <c r="F11" s="48" t="s">
        <v>82</v>
      </c>
      <c r="G11" s="48" t="s">
        <v>84</v>
      </c>
      <c r="H11" s="48" t="s">
        <v>269</v>
      </c>
      <c r="I11" s="48" t="s">
        <v>270</v>
      </c>
      <c r="J11" s="58" t="s">
        <v>85</v>
      </c>
      <c r="K11" s="54" t="s">
        <v>83</v>
      </c>
      <c r="L11" s="54" t="s">
        <v>26</v>
      </c>
      <c r="M11" s="55" t="s">
        <v>84</v>
      </c>
      <c r="N11" s="48" t="s">
        <v>79</v>
      </c>
      <c r="O11" s="48" t="s">
        <v>47</v>
      </c>
      <c r="P11" s="52" t="s">
        <v>86</v>
      </c>
      <c r="Q11" s="48"/>
      <c r="R11" s="22"/>
      <c r="S11" s="22"/>
    </row>
    <row r="12" spans="1:21" ht="48" customHeight="1" x14ac:dyDescent="0.2">
      <c r="A12" s="47" t="s">
        <v>17</v>
      </c>
      <c r="B12" s="48" t="s">
        <v>18</v>
      </c>
      <c r="C12" s="51" t="s">
        <v>19</v>
      </c>
      <c r="D12" s="48" t="s">
        <v>87</v>
      </c>
      <c r="E12" s="48" t="s">
        <v>88</v>
      </c>
      <c r="F12" s="48" t="s">
        <v>89</v>
      </c>
      <c r="G12" s="48" t="s">
        <v>90</v>
      </c>
      <c r="H12" s="48" t="s">
        <v>269</v>
      </c>
      <c r="I12" s="48" t="s">
        <v>270</v>
      </c>
      <c r="J12" s="58" t="s">
        <v>91</v>
      </c>
      <c r="K12" s="54" t="s">
        <v>92</v>
      </c>
      <c r="L12" s="54" t="s">
        <v>26</v>
      </c>
      <c r="M12" s="55" t="s">
        <v>90</v>
      </c>
      <c r="N12" s="48" t="s">
        <v>79</v>
      </c>
      <c r="O12" s="48" t="s">
        <v>47</v>
      </c>
      <c r="P12" s="52" t="s">
        <v>93</v>
      </c>
      <c r="Q12" s="48" t="s">
        <v>94</v>
      </c>
      <c r="R12" s="22"/>
      <c r="S12" s="22"/>
    </row>
    <row r="13" spans="1:21" ht="26" x14ac:dyDescent="0.2">
      <c r="A13" s="47" t="s">
        <v>17</v>
      </c>
      <c r="B13" s="48" t="s">
        <v>18</v>
      </c>
      <c r="C13" s="51" t="s">
        <v>19</v>
      </c>
      <c r="D13" s="48" t="s">
        <v>95</v>
      </c>
      <c r="E13" s="48" t="s">
        <v>96</v>
      </c>
      <c r="F13" s="48" t="s">
        <v>43</v>
      </c>
      <c r="G13" s="59" t="s">
        <v>97</v>
      </c>
      <c r="H13" s="48" t="s">
        <v>269</v>
      </c>
      <c r="I13" s="48" t="s">
        <v>270</v>
      </c>
      <c r="J13" s="51" t="s">
        <v>98</v>
      </c>
      <c r="K13" s="48" t="s">
        <v>99</v>
      </c>
      <c r="L13" s="48" t="s">
        <v>26</v>
      </c>
      <c r="M13" s="48"/>
      <c r="N13" s="48" t="s">
        <v>27</v>
      </c>
      <c r="O13" s="48" t="s">
        <v>79</v>
      </c>
      <c r="P13" s="48" t="s">
        <v>100</v>
      </c>
      <c r="Q13" s="48"/>
      <c r="R13" s="22"/>
      <c r="S13" s="22"/>
    </row>
    <row r="14" spans="1:21" ht="26" x14ac:dyDescent="0.2">
      <c r="A14" s="47" t="s">
        <v>17</v>
      </c>
      <c r="B14" s="48" t="s">
        <v>18</v>
      </c>
      <c r="C14" s="51" t="s">
        <v>19</v>
      </c>
      <c r="D14" s="48" t="s">
        <v>101</v>
      </c>
      <c r="E14" s="48" t="s">
        <v>102</v>
      </c>
      <c r="F14" s="48" t="s">
        <v>33</v>
      </c>
      <c r="G14" s="59" t="s">
        <v>103</v>
      </c>
      <c r="H14" s="48" t="s">
        <v>269</v>
      </c>
      <c r="I14" s="48" t="s">
        <v>270</v>
      </c>
      <c r="J14" s="51" t="s">
        <v>98</v>
      </c>
      <c r="K14" s="47" t="s">
        <v>104</v>
      </c>
      <c r="L14" s="47" t="s">
        <v>26</v>
      </c>
      <c r="M14" s="47"/>
      <c r="N14" s="48" t="s">
        <v>27</v>
      </c>
      <c r="O14" s="48" t="s">
        <v>79</v>
      </c>
      <c r="P14" s="48" t="s">
        <v>105</v>
      </c>
      <c r="Q14" s="48" t="s">
        <v>106</v>
      </c>
      <c r="R14" s="22"/>
      <c r="S14" s="22"/>
    </row>
    <row r="15" spans="1:21" ht="26" x14ac:dyDescent="0.2">
      <c r="A15" s="47" t="s">
        <v>17</v>
      </c>
      <c r="B15" s="48" t="s">
        <v>18</v>
      </c>
      <c r="C15" s="51" t="s">
        <v>107</v>
      </c>
      <c r="D15" s="48" t="s">
        <v>108</v>
      </c>
      <c r="E15" s="47" t="s">
        <v>109</v>
      </c>
      <c r="F15" s="48" t="s">
        <v>67</v>
      </c>
      <c r="G15" s="59" t="s">
        <v>110</v>
      </c>
      <c r="H15" s="48" t="s">
        <v>269</v>
      </c>
      <c r="I15" s="48" t="s">
        <v>270</v>
      </c>
      <c r="J15" s="51" t="s">
        <v>111</v>
      </c>
      <c r="K15" s="47" t="s">
        <v>112</v>
      </c>
      <c r="L15" s="47" t="s">
        <v>26</v>
      </c>
      <c r="M15" s="47" t="s">
        <v>110</v>
      </c>
      <c r="N15" s="48" t="s">
        <v>113</v>
      </c>
      <c r="O15" s="48" t="s">
        <v>47</v>
      </c>
      <c r="P15" s="48" t="s">
        <v>114</v>
      </c>
      <c r="Q15" s="48"/>
      <c r="R15" s="22"/>
      <c r="S15" s="22"/>
    </row>
    <row r="16" spans="1:21" ht="39" x14ac:dyDescent="0.2">
      <c r="A16" s="47" t="s">
        <v>17</v>
      </c>
      <c r="B16" s="48" t="s">
        <v>18</v>
      </c>
      <c r="C16" s="51" t="s">
        <v>107</v>
      </c>
      <c r="D16" s="48" t="s">
        <v>115</v>
      </c>
      <c r="E16" s="48" t="s">
        <v>116</v>
      </c>
      <c r="F16" s="48" t="s">
        <v>67</v>
      </c>
      <c r="G16" s="59" t="s">
        <v>117</v>
      </c>
      <c r="H16" s="48" t="s">
        <v>269</v>
      </c>
      <c r="I16" s="48" t="s">
        <v>270</v>
      </c>
      <c r="J16" s="51" t="s">
        <v>118</v>
      </c>
      <c r="K16" s="47" t="s">
        <v>116</v>
      </c>
      <c r="L16" s="47" t="s">
        <v>26</v>
      </c>
      <c r="M16" s="47" t="s">
        <v>117</v>
      </c>
      <c r="N16" s="48" t="s">
        <v>113</v>
      </c>
      <c r="O16" s="48" t="s">
        <v>47</v>
      </c>
      <c r="P16" s="48" t="s">
        <v>119</v>
      </c>
      <c r="Q16" s="48"/>
      <c r="R16" s="22"/>
      <c r="S16" s="22"/>
    </row>
    <row r="17" spans="1:21" ht="26" x14ac:dyDescent="0.2">
      <c r="A17" s="60" t="s">
        <v>17</v>
      </c>
      <c r="B17" s="60" t="s">
        <v>18</v>
      </c>
      <c r="C17" s="60" t="s">
        <v>107</v>
      </c>
      <c r="D17" s="60" t="s">
        <v>120</v>
      </c>
      <c r="E17" s="60" t="s">
        <v>121</v>
      </c>
      <c r="F17" s="60" t="s">
        <v>75</v>
      </c>
      <c r="G17" s="60" t="s">
        <v>122</v>
      </c>
      <c r="H17" s="60" t="s">
        <v>269</v>
      </c>
      <c r="I17" s="60" t="s">
        <v>270</v>
      </c>
      <c r="J17" s="60" t="s">
        <v>123</v>
      </c>
      <c r="K17" s="60" t="s">
        <v>124</v>
      </c>
      <c r="L17" s="60" t="s">
        <v>26</v>
      </c>
      <c r="M17" s="60" t="s">
        <v>122</v>
      </c>
      <c r="N17" s="60" t="s">
        <v>79</v>
      </c>
      <c r="O17" s="60" t="s">
        <v>47</v>
      </c>
      <c r="P17" s="60" t="s">
        <v>125</v>
      </c>
      <c r="Q17" s="60"/>
    </row>
    <row r="18" spans="1:17" ht="26" x14ac:dyDescent="0.2">
      <c r="A18" s="60" t="s">
        <v>17</v>
      </c>
      <c r="B18" s="60" t="s">
        <v>18</v>
      </c>
      <c r="C18" s="60" t="s">
        <v>107</v>
      </c>
      <c r="D18" s="60" t="s">
        <v>126</v>
      </c>
      <c r="E18" s="60" t="s">
        <v>127</v>
      </c>
      <c r="F18" s="60" t="s">
        <v>82</v>
      </c>
      <c r="G18" s="60" t="s">
        <v>128</v>
      </c>
      <c r="H18" s="60" t="s">
        <v>269</v>
      </c>
      <c r="I18" s="60" t="s">
        <v>270</v>
      </c>
      <c r="J18" s="60" t="s">
        <v>129</v>
      </c>
      <c r="K18" s="60" t="s">
        <v>127</v>
      </c>
      <c r="L18" s="60" t="s">
        <v>26</v>
      </c>
      <c r="M18" s="60" t="s">
        <v>128</v>
      </c>
      <c r="N18" s="60" t="s">
        <v>79</v>
      </c>
      <c r="O18" s="60" t="s">
        <v>47</v>
      </c>
      <c r="P18" s="60" t="s">
        <v>130</v>
      </c>
      <c r="Q18" s="60"/>
    </row>
    <row r="19" spans="1:17" ht="52" x14ac:dyDescent="0.2">
      <c r="A19" s="60" t="s">
        <v>17</v>
      </c>
      <c r="B19" s="60" t="s">
        <v>18</v>
      </c>
      <c r="C19" s="60" t="s">
        <v>107</v>
      </c>
      <c r="D19" s="60" t="s">
        <v>131</v>
      </c>
      <c r="E19" s="60" t="s">
        <v>132</v>
      </c>
      <c r="F19" s="60" t="s">
        <v>67</v>
      </c>
      <c r="G19" s="60" t="s">
        <v>133</v>
      </c>
      <c r="H19" s="60" t="s">
        <v>269</v>
      </c>
      <c r="I19" s="60" t="s">
        <v>270</v>
      </c>
      <c r="J19" s="60" t="s">
        <v>98</v>
      </c>
      <c r="K19" s="60" t="s">
        <v>98</v>
      </c>
      <c r="L19" s="60" t="s">
        <v>26</v>
      </c>
      <c r="M19" s="60"/>
      <c r="N19" s="60" t="s">
        <v>98</v>
      </c>
      <c r="O19" s="60" t="s">
        <v>98</v>
      </c>
      <c r="P19" s="60" t="s">
        <v>134</v>
      </c>
      <c r="Q19" s="60" t="s">
        <v>135</v>
      </c>
    </row>
    <row r="20" spans="1:17" ht="26" x14ac:dyDescent="0.2">
      <c r="A20" s="60" t="s">
        <v>17</v>
      </c>
      <c r="B20" s="60" t="s">
        <v>18</v>
      </c>
      <c r="C20" s="60" t="s">
        <v>136</v>
      </c>
      <c r="D20" s="60" t="s">
        <v>131</v>
      </c>
      <c r="E20" s="60" t="s">
        <v>137</v>
      </c>
      <c r="F20" s="60" t="s">
        <v>67</v>
      </c>
      <c r="G20" s="60" t="s">
        <v>138</v>
      </c>
      <c r="H20" s="60" t="s">
        <v>269</v>
      </c>
      <c r="I20" s="60" t="s">
        <v>270</v>
      </c>
      <c r="J20" s="60" t="s">
        <v>139</v>
      </c>
      <c r="K20" s="60" t="s">
        <v>140</v>
      </c>
      <c r="L20" s="60" t="s">
        <v>26</v>
      </c>
      <c r="M20" s="60" t="s">
        <v>138</v>
      </c>
      <c r="N20" s="60" t="s">
        <v>141</v>
      </c>
      <c r="O20" s="60" t="s">
        <v>62</v>
      </c>
      <c r="P20" s="60" t="s">
        <v>142</v>
      </c>
      <c r="Q20" s="60" t="s">
        <v>143</v>
      </c>
    </row>
    <row r="21" spans="1:17" ht="39" x14ac:dyDescent="0.2">
      <c r="A21" s="60" t="s">
        <v>17</v>
      </c>
      <c r="B21" s="60" t="s">
        <v>18</v>
      </c>
      <c r="C21" s="60" t="s">
        <v>136</v>
      </c>
      <c r="D21" s="60" t="s">
        <v>144</v>
      </c>
      <c r="E21" s="60" t="s">
        <v>145</v>
      </c>
      <c r="F21" s="60" t="s">
        <v>43</v>
      </c>
      <c r="G21" s="60" t="s">
        <v>146</v>
      </c>
      <c r="H21" s="60" t="s">
        <v>269</v>
      </c>
      <c r="I21" s="60" t="s">
        <v>270</v>
      </c>
      <c r="J21" s="60" t="s">
        <v>98</v>
      </c>
      <c r="K21" s="60" t="s">
        <v>98</v>
      </c>
      <c r="L21" s="60" t="s">
        <v>26</v>
      </c>
      <c r="M21" s="60"/>
      <c r="N21" s="60" t="s">
        <v>98</v>
      </c>
      <c r="O21" s="60" t="s">
        <v>98</v>
      </c>
      <c r="P21" s="60" t="s">
        <v>147</v>
      </c>
      <c r="Q21" s="60" t="s">
        <v>148</v>
      </c>
    </row>
    <row r="22" spans="1:17" ht="26" x14ac:dyDescent="0.2">
      <c r="A22" s="60" t="s">
        <v>17</v>
      </c>
      <c r="B22" s="60" t="s">
        <v>18</v>
      </c>
      <c r="C22" s="60" t="s">
        <v>149</v>
      </c>
      <c r="D22" s="60" t="s">
        <v>150</v>
      </c>
      <c r="E22" s="60" t="s">
        <v>151</v>
      </c>
      <c r="F22" s="60" t="s">
        <v>67</v>
      </c>
      <c r="G22" s="60" t="s">
        <v>152</v>
      </c>
      <c r="H22" s="60" t="s">
        <v>269</v>
      </c>
      <c r="I22" s="60" t="s">
        <v>270</v>
      </c>
      <c r="J22" s="60" t="s">
        <v>153</v>
      </c>
      <c r="K22" s="60" t="s">
        <v>154</v>
      </c>
      <c r="L22" s="60" t="s">
        <v>26</v>
      </c>
      <c r="M22" s="60" t="s">
        <v>152</v>
      </c>
      <c r="N22" s="60" t="s">
        <v>27</v>
      </c>
      <c r="O22" s="60" t="s">
        <v>47</v>
      </c>
      <c r="P22" s="60" t="s">
        <v>155</v>
      </c>
      <c r="Q22" s="60"/>
    </row>
    <row r="23" spans="1:17" ht="26" x14ac:dyDescent="0.2">
      <c r="A23" s="60" t="s">
        <v>17</v>
      </c>
      <c r="B23" s="60" t="s">
        <v>18</v>
      </c>
      <c r="C23" s="60" t="s">
        <v>149</v>
      </c>
      <c r="D23" s="60" t="s">
        <v>156</v>
      </c>
      <c r="E23" s="60" t="s">
        <v>157</v>
      </c>
      <c r="F23" s="60" t="s">
        <v>158</v>
      </c>
      <c r="G23" s="60" t="s">
        <v>159</v>
      </c>
      <c r="H23" s="60" t="s">
        <v>269</v>
      </c>
      <c r="I23" s="60" t="s">
        <v>270</v>
      </c>
      <c r="J23" s="60" t="s">
        <v>160</v>
      </c>
      <c r="K23" s="60" t="s">
        <v>154</v>
      </c>
      <c r="L23" s="60" t="s">
        <v>26</v>
      </c>
      <c r="M23" s="60" t="s">
        <v>159</v>
      </c>
      <c r="N23" s="60" t="s">
        <v>79</v>
      </c>
      <c r="O23" s="60" t="s">
        <v>47</v>
      </c>
      <c r="P23" s="60"/>
      <c r="Q23" s="60"/>
    </row>
    <row r="24" spans="1:17" ht="26" x14ac:dyDescent="0.2">
      <c r="A24" s="60" t="s">
        <v>17</v>
      </c>
      <c r="B24" s="60" t="s">
        <v>18</v>
      </c>
      <c r="C24" s="60" t="s">
        <v>107</v>
      </c>
      <c r="D24" s="60" t="s">
        <v>161</v>
      </c>
      <c r="E24" s="60" t="s">
        <v>162</v>
      </c>
      <c r="F24" s="60" t="s">
        <v>163</v>
      </c>
      <c r="G24" s="60" t="s">
        <v>164</v>
      </c>
      <c r="H24" s="60" t="s">
        <v>269</v>
      </c>
      <c r="I24" s="60" t="s">
        <v>270</v>
      </c>
      <c r="J24" s="60" t="s">
        <v>165</v>
      </c>
      <c r="K24" s="60" t="s">
        <v>162</v>
      </c>
      <c r="L24" s="60" t="s">
        <v>26</v>
      </c>
      <c r="M24" s="60" t="s">
        <v>164</v>
      </c>
      <c r="N24" s="60" t="s">
        <v>79</v>
      </c>
      <c r="O24" s="60" t="s">
        <v>47</v>
      </c>
      <c r="P24" s="60" t="s">
        <v>166</v>
      </c>
      <c r="Q24" s="60"/>
    </row>
  </sheetData>
  <autoFilter ref="A2:S9" xr:uid="{00000000-0009-0000-0000-000002000000}"/>
  <mergeCells count="3">
    <mergeCell ref="N1:S1"/>
    <mergeCell ref="H1:M1"/>
    <mergeCell ref="B1:G1"/>
  </mergeCells>
  <dataValidations xWindow="180" yWindow="306" count="17">
    <dataValidation allowBlank="1" showInputMessage="1" showErrorMessage="1" promptTitle="System 1" prompt="System 1 specific details. This can be renamed to actual system name. Like Cayenta, workday, etc." sqref="H1:M1" xr:uid="{00000000-0002-0000-0200-000000000000}"/>
    <dataValidation allowBlank="1" showInputMessage="1" showErrorMessage="1" promptTitle="Overall" prompt="Columns which are not related to any specific systems (source or destination) in the mapping excercise." sqref="A1 N1:S1" xr:uid="{00000000-0002-0000-0200-000001000000}"/>
    <dataValidation allowBlank="1" showInputMessage="1" showErrorMessage="1" promptTitle="System 2" prompt="System 2 specific details. This can be renamed to actual system name. Like Cayenta, workday, etc." sqref="B1:M1" xr:uid="{00000000-0002-0000-0200-000002000000}"/>
    <dataValidation allowBlank="1" showInputMessage="1" showErrorMessage="1" promptTitle="Field description" prompt="Description of the field" sqref="E2 K2" xr:uid="{00000000-0002-0000-0200-000003000000}"/>
    <dataValidation allowBlank="1" showInputMessage="1" showErrorMessage="1" promptTitle="Required by Integration" prompt="Set to True or False to indicate if this field is mandatory or not " sqref="N2:O2" xr:uid="{00000000-0002-0000-0200-000004000000}"/>
    <dataValidation allowBlank="1" showInputMessage="1" showErrorMessage="1" promptTitle="Exception" prompt="Any field specific exceptions to be raised in case the mapping fails or fields does not populated and so on." sqref="Q2" xr:uid="{00000000-0002-0000-0200-000005000000}"/>
    <dataValidation allowBlank="1" showInputMessage="1" showErrorMessage="1" promptTitle="Dataflow" prompt="This column records the direction of the mapping. It is very important when we have bi directional integration and need similar fileds to be populated but based on direction source and destination get flips with each other. Example From System 1 to System" sqref="A2" xr:uid="{00000000-0002-0000-0200-000006000000}"/>
    <dataValidation allowBlank="1" showInputMessage="1" showErrorMessage="1" promptTitle="Way to extract or set data" prompt="Based on data flow chosen, the value in this column describes the way how to extract or set data to/from the System. It could be an API resource or a query and so on." sqref="B2 H2:I2" xr:uid="{00000000-0002-0000-0200-000007000000}"/>
    <dataValidation allowBlank="1" showInputMessage="1" showErrorMessage="1" promptTitle="Data Field" prompt="Based on the Data flow direction, Name of the fileds to extract or set to/from System." sqref="J2" xr:uid="{00000000-0002-0000-0200-000008000000}"/>
    <dataValidation allowBlank="1" showInputMessage="1" showErrorMessage="1" promptTitle="Data Type" prompt="Data Type" sqref="F2 L2" xr:uid="{00000000-0002-0000-0200-000009000000}"/>
    <dataValidation allowBlank="1" showInputMessage="1" showErrorMessage="1" promptTitle="Data example" prompt="Sample data for the field" sqref="G2:M2" xr:uid="{00000000-0002-0000-0200-00000A000000}"/>
    <dataValidation allowBlank="1" showInputMessage="1" showErrorMessage="1" promptTitle="Data Field" prompt="Based on the Data flow direction, Name of the fileds to extract or set to/from System" sqref="D2" xr:uid="{00000000-0002-0000-0200-00000B000000}"/>
    <dataValidation allowBlank="1" showInputMessage="1" showErrorMessage="1" promptTitle="Notes" prompt="Field mapping specific instruction on how the value from source to destination field to be set, any transformation to be applied, and so on." sqref="P2" xr:uid="{00000000-0002-0000-0200-00000C000000}"/>
    <dataValidation allowBlank="1" showInputMessage="1" showErrorMessage="1" promptTitle="Tested" prompt="Has the mapping and notes written for this specific field been tested. If yes no action needed. If no details on how it can be tested needs to be added in Action Items column" sqref="R2" xr:uid="{00000000-0002-0000-0200-00000D000000}"/>
    <dataValidation allowBlank="1" showInputMessage="1" showErrorMessage="1" promptTitle="Action Items" prompt="Any Action items on the preparer or any other user specific to the row" sqref="S2" xr:uid="{00000000-0002-0000-0200-00000E000000}"/>
    <dataValidation allowBlank="1" showInputMessage="1" showErrorMessage="1" promptTitle="Table  / Object" prompt="Based on the Data flow direction, Name of the table/object to extract or set to/from System" sqref="C2" xr:uid="{00000000-0002-0000-0200-00000F000000}"/>
    <dataValidation type="list" allowBlank="1" showInputMessage="1" showErrorMessage="1" sqref="N3:O15" xr:uid="{00000000-0002-0000-0200-000010000000}">
      <formula1>"Yes,No,Not used"</formula1>
    </dataValidation>
  </dataValidation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5"/>
  <sheetViews>
    <sheetView workbookViewId="0">
      <selection activeCell="B16" sqref="B16"/>
    </sheetView>
  </sheetViews>
  <sheetFormatPr baseColWidth="10" defaultColWidth="8.83203125" defaultRowHeight="15" x14ac:dyDescent="0.2"/>
  <cols>
    <col min="1" max="1" width="30.33203125" style="16" bestFit="1" customWidth="1"/>
    <col min="2" max="2" width="21.83203125" style="16" customWidth="1"/>
    <col min="3" max="3" width="22.83203125" style="16" bestFit="1" customWidth="1"/>
    <col min="4" max="4" width="36.6640625" style="16" bestFit="1" customWidth="1"/>
    <col min="5" max="5" width="33.5" style="16" customWidth="1"/>
    <col min="6" max="6" width="24.5" style="16" bestFit="1" customWidth="1"/>
    <col min="7" max="7" width="27.1640625" style="18" customWidth="1"/>
    <col min="8" max="8" width="18.83203125" style="16" bestFit="1" customWidth="1"/>
    <col min="9" max="9" width="18.83203125" style="16" customWidth="1"/>
    <col min="10" max="10" width="33.83203125" style="16" bestFit="1" customWidth="1"/>
    <col min="11" max="11" width="33.5" style="16" customWidth="1"/>
    <col min="12" max="12" width="21" style="16" customWidth="1"/>
    <col min="13" max="13" width="27" style="18" customWidth="1"/>
    <col min="14" max="14" width="13.33203125" style="16" bestFit="1" customWidth="1"/>
    <col min="15" max="15" width="13.33203125" style="16" customWidth="1"/>
    <col min="16" max="16" width="55.33203125" style="16" customWidth="1"/>
    <col min="17" max="17" width="66.6640625" style="16" bestFit="1" customWidth="1"/>
    <col min="18" max="18" width="25.5" style="16" customWidth="1"/>
    <col min="19" max="19" width="61" style="16" customWidth="1"/>
    <col min="20" max="20" width="34.83203125" style="16" customWidth="1"/>
    <col min="21" max="21" width="8.83203125" style="16" customWidth="1"/>
    <col min="22" max="16384" width="8.83203125" style="16"/>
  </cols>
  <sheetData>
    <row r="1" spans="1:21" ht="16" x14ac:dyDescent="0.2">
      <c r="A1" s="3" t="s">
        <v>0</v>
      </c>
      <c r="B1" s="67" t="s">
        <v>1</v>
      </c>
      <c r="C1" s="64"/>
      <c r="D1" s="64"/>
      <c r="E1" s="64"/>
      <c r="F1" s="64"/>
      <c r="G1" s="65"/>
      <c r="H1" s="66" t="s">
        <v>183</v>
      </c>
      <c r="I1" s="64"/>
      <c r="J1" s="64"/>
      <c r="K1" s="64"/>
      <c r="L1" s="64"/>
      <c r="M1" s="65"/>
      <c r="N1" s="63" t="s">
        <v>0</v>
      </c>
      <c r="O1" s="64"/>
      <c r="P1" s="64"/>
      <c r="Q1" s="64"/>
      <c r="R1" s="64"/>
      <c r="S1" s="65"/>
      <c r="T1" s="1"/>
      <c r="U1" s="1"/>
    </row>
    <row r="2" spans="1:21" ht="29" customHeight="1" x14ac:dyDescent="0.2">
      <c r="A2" s="4" t="s">
        <v>3</v>
      </c>
      <c r="B2" s="5" t="s">
        <v>4</v>
      </c>
      <c r="C2" s="5" t="s">
        <v>5</v>
      </c>
      <c r="D2" s="5" t="s">
        <v>6</v>
      </c>
      <c r="E2" s="5" t="s">
        <v>7</v>
      </c>
      <c r="F2" s="5" t="s">
        <v>8</v>
      </c>
      <c r="G2" s="19" t="s">
        <v>9</v>
      </c>
      <c r="H2" s="15" t="s">
        <v>4</v>
      </c>
      <c r="I2" s="15" t="s">
        <v>10</v>
      </c>
      <c r="J2" s="42" t="s">
        <v>6</v>
      </c>
      <c r="K2" s="15" t="s">
        <v>7</v>
      </c>
      <c r="L2" s="15" t="s">
        <v>8</v>
      </c>
      <c r="M2" s="17" t="s">
        <v>9</v>
      </c>
      <c r="N2" s="4" t="s">
        <v>11</v>
      </c>
      <c r="O2" s="4" t="s">
        <v>12</v>
      </c>
      <c r="P2" s="4" t="s">
        <v>13</v>
      </c>
      <c r="Q2" s="4" t="s">
        <v>14</v>
      </c>
      <c r="R2" s="3" t="s">
        <v>15</v>
      </c>
      <c r="S2" s="4" t="s">
        <v>16</v>
      </c>
      <c r="T2" s="1"/>
      <c r="U2" s="1"/>
    </row>
    <row r="3" spans="1:21" ht="16" x14ac:dyDescent="0.2">
      <c r="A3" s="20" t="s">
        <v>184</v>
      </c>
      <c r="B3" s="21" t="s">
        <v>185</v>
      </c>
      <c r="C3" s="21" t="s">
        <v>186</v>
      </c>
      <c r="D3" s="21" t="s">
        <v>187</v>
      </c>
      <c r="E3" s="22" t="s">
        <v>188</v>
      </c>
      <c r="F3" s="22" t="s">
        <v>189</v>
      </c>
      <c r="G3" s="34" t="s">
        <v>190</v>
      </c>
      <c r="H3" s="21" t="s">
        <v>191</v>
      </c>
      <c r="I3" s="21" t="s">
        <v>192</v>
      </c>
      <c r="J3" s="43" t="s">
        <v>193</v>
      </c>
      <c r="K3" s="23" t="str">
        <f>E3</f>
        <v>Case id</v>
      </c>
      <c r="L3" s="20" t="s">
        <v>194</v>
      </c>
      <c r="M3" s="23" t="str">
        <f>G3</f>
        <v>5008J0000036314QAA</v>
      </c>
      <c r="N3" s="21" t="s">
        <v>79</v>
      </c>
      <c r="O3" s="21" t="s">
        <v>79</v>
      </c>
      <c r="P3" s="22" t="s">
        <v>195</v>
      </c>
      <c r="Q3" s="22"/>
      <c r="R3" s="22"/>
      <c r="S3" s="22"/>
    </row>
    <row r="4" spans="1:21" ht="16" x14ac:dyDescent="0.2">
      <c r="A4" s="20" t="s">
        <v>184</v>
      </c>
      <c r="B4" s="21" t="s">
        <v>185</v>
      </c>
      <c r="C4" s="35" t="s">
        <v>186</v>
      </c>
      <c r="D4" s="21" t="s">
        <v>196</v>
      </c>
      <c r="E4" s="22" t="s">
        <v>197</v>
      </c>
      <c r="F4" s="22" t="s">
        <v>198</v>
      </c>
      <c r="G4" s="34">
        <v>1198</v>
      </c>
      <c r="H4" s="21" t="s">
        <v>191</v>
      </c>
      <c r="I4" s="21" t="s">
        <v>192</v>
      </c>
      <c r="J4" s="43" t="s">
        <v>199</v>
      </c>
      <c r="K4" s="23" t="str">
        <f>E4</f>
        <v>Case number</v>
      </c>
      <c r="L4" s="20" t="s">
        <v>194</v>
      </c>
      <c r="M4" s="26">
        <f>G4</f>
        <v>1198</v>
      </c>
      <c r="N4" s="21" t="s">
        <v>79</v>
      </c>
      <c r="O4" s="21" t="s">
        <v>79</v>
      </c>
      <c r="P4" s="22"/>
      <c r="Q4" s="22"/>
      <c r="R4" s="22"/>
      <c r="S4" s="22"/>
    </row>
    <row r="5" spans="1:21" ht="16" x14ac:dyDescent="0.2">
      <c r="A5" s="20" t="s">
        <v>184</v>
      </c>
      <c r="B5" s="21" t="s">
        <v>185</v>
      </c>
      <c r="C5" s="39" t="s">
        <v>186</v>
      </c>
      <c r="D5" s="39" t="s">
        <v>200</v>
      </c>
      <c r="E5" s="40" t="s">
        <v>201</v>
      </c>
      <c r="F5" s="40" t="s">
        <v>202</v>
      </c>
      <c r="G5" s="40" t="s">
        <v>203</v>
      </c>
      <c r="H5" s="21" t="s">
        <v>191</v>
      </c>
      <c r="I5" s="21" t="s">
        <v>192</v>
      </c>
      <c r="J5" s="43" t="s">
        <v>204</v>
      </c>
      <c r="K5" s="36" t="str">
        <f>E5</f>
        <v>Case record type name</v>
      </c>
      <c r="L5" s="37" t="s">
        <v>194</v>
      </c>
      <c r="M5" s="38" t="str">
        <f>G5</f>
        <v>Argentina</v>
      </c>
      <c r="N5" s="21" t="s">
        <v>205</v>
      </c>
      <c r="O5" s="21" t="s">
        <v>79</v>
      </c>
      <c r="P5" s="22"/>
      <c r="Q5" s="22"/>
      <c r="R5" s="22"/>
      <c r="S5" s="22"/>
    </row>
    <row r="6" spans="1:21" ht="16" x14ac:dyDescent="0.2">
      <c r="A6" s="20" t="s">
        <v>184</v>
      </c>
      <c r="B6" s="21" t="s">
        <v>185</v>
      </c>
      <c r="C6" s="39" t="s">
        <v>186</v>
      </c>
      <c r="D6" s="39" t="s">
        <v>200</v>
      </c>
      <c r="E6" s="40" t="s">
        <v>201</v>
      </c>
      <c r="F6" s="40" t="s">
        <v>202</v>
      </c>
      <c r="G6" s="40" t="s">
        <v>203</v>
      </c>
      <c r="H6" s="21" t="s">
        <v>191</v>
      </c>
      <c r="I6" s="21" t="s">
        <v>192</v>
      </c>
      <c r="J6" s="35" t="s">
        <v>206</v>
      </c>
      <c r="K6" s="36" t="str">
        <f>E5</f>
        <v>Case record type name</v>
      </c>
      <c r="L6" s="37" t="s">
        <v>194</v>
      </c>
      <c r="M6" s="38" t="str">
        <f>G5</f>
        <v>Argentina</v>
      </c>
      <c r="N6" s="21" t="s">
        <v>205</v>
      </c>
      <c r="O6" s="21" t="s">
        <v>79</v>
      </c>
      <c r="P6" s="22"/>
      <c r="Q6" s="22"/>
      <c r="R6" s="22"/>
      <c r="S6" s="22"/>
    </row>
    <row r="7" spans="1:21" ht="16" x14ac:dyDescent="0.2">
      <c r="A7" s="20" t="s">
        <v>184</v>
      </c>
      <c r="B7" s="21" t="s">
        <v>185</v>
      </c>
      <c r="C7" s="35" t="s">
        <v>186</v>
      </c>
      <c r="D7" s="23" t="s">
        <v>207</v>
      </c>
      <c r="E7" s="23" t="s">
        <v>208</v>
      </c>
      <c r="F7" s="23" t="s">
        <v>209</v>
      </c>
      <c r="G7" s="23" t="s">
        <v>210</v>
      </c>
      <c r="H7" s="21" t="s">
        <v>191</v>
      </c>
      <c r="I7" s="21" t="s">
        <v>192</v>
      </c>
      <c r="J7" s="44" t="s">
        <v>211</v>
      </c>
      <c r="K7" s="23" t="str">
        <f>E7</f>
        <v>Case created date</v>
      </c>
      <c r="L7" s="20" t="s">
        <v>194</v>
      </c>
      <c r="M7" s="23" t="str">
        <f>G7</f>
        <v>2023-06-30T20:47:24.000Z</v>
      </c>
      <c r="N7" s="21" t="s">
        <v>79</v>
      </c>
      <c r="O7" s="21" t="s">
        <v>79</v>
      </c>
      <c r="P7" s="22"/>
      <c r="Q7" s="22"/>
      <c r="R7" s="22"/>
      <c r="S7" s="22"/>
    </row>
    <row r="8" spans="1:21" ht="16" x14ac:dyDescent="0.2">
      <c r="A8" s="20" t="s">
        <v>184</v>
      </c>
      <c r="B8" s="21" t="s">
        <v>185</v>
      </c>
      <c r="C8" s="35" t="s">
        <v>186</v>
      </c>
      <c r="D8" s="27" t="s">
        <v>212</v>
      </c>
      <c r="E8" s="28" t="s">
        <v>213</v>
      </c>
      <c r="F8" s="25" t="s">
        <v>209</v>
      </c>
      <c r="G8" s="23" t="s">
        <v>210</v>
      </c>
      <c r="H8" s="21" t="s">
        <v>191</v>
      </c>
      <c r="I8" s="21" t="s">
        <v>192</v>
      </c>
      <c r="J8" s="45" t="s">
        <v>214</v>
      </c>
      <c r="K8" s="23" t="str">
        <f>E8</f>
        <v>Case closed date</v>
      </c>
      <c r="L8" s="20" t="s">
        <v>194</v>
      </c>
      <c r="M8" s="23" t="str">
        <f>G8</f>
        <v>2023-06-30T20:47:24.000Z</v>
      </c>
      <c r="N8" s="21" t="s">
        <v>79</v>
      </c>
      <c r="O8" s="21" t="s">
        <v>79</v>
      </c>
      <c r="P8" s="22" t="s">
        <v>215</v>
      </c>
      <c r="Q8" s="22"/>
      <c r="R8" s="22"/>
      <c r="S8" s="22"/>
    </row>
    <row r="9" spans="1:21" ht="86.5" customHeight="1" x14ac:dyDescent="0.2">
      <c r="A9" s="20" t="s">
        <v>184</v>
      </c>
      <c r="B9" s="21" t="s">
        <v>185</v>
      </c>
      <c r="C9" s="35" t="s">
        <v>186</v>
      </c>
      <c r="D9" s="21" t="s">
        <v>216</v>
      </c>
      <c r="E9" s="22" t="s">
        <v>217</v>
      </c>
      <c r="F9" s="22" t="s">
        <v>218</v>
      </c>
      <c r="G9" s="34" t="s">
        <v>219</v>
      </c>
      <c r="H9" s="21" t="s">
        <v>191</v>
      </c>
      <c r="I9" s="21" t="s">
        <v>192</v>
      </c>
      <c r="J9" s="35" t="s">
        <v>220</v>
      </c>
      <c r="K9" s="23" t="str">
        <f>E9</f>
        <v>Case service type</v>
      </c>
      <c r="L9" s="20" t="s">
        <v>194</v>
      </c>
      <c r="M9" s="23" t="str">
        <f>G9</f>
        <v>Information</v>
      </c>
      <c r="N9" s="21" t="s">
        <v>79</v>
      </c>
      <c r="O9" s="21" t="s">
        <v>79</v>
      </c>
      <c r="P9" s="22" t="s">
        <v>221</v>
      </c>
      <c r="Q9" s="22"/>
      <c r="R9" s="22"/>
      <c r="S9" s="22"/>
    </row>
    <row r="10" spans="1:21" ht="50.25" customHeight="1" x14ac:dyDescent="0.2">
      <c r="A10" s="20" t="s">
        <v>184</v>
      </c>
      <c r="B10" s="21" t="s">
        <v>185</v>
      </c>
      <c r="C10" s="35" t="s">
        <v>186</v>
      </c>
      <c r="D10" s="22" t="s">
        <v>222</v>
      </c>
      <c r="E10" s="22" t="s">
        <v>223</v>
      </c>
      <c r="F10" s="22" t="s">
        <v>224</v>
      </c>
      <c r="G10" s="21" t="s">
        <v>225</v>
      </c>
      <c r="H10" s="21" t="s">
        <v>191</v>
      </c>
      <c r="I10" s="21" t="s">
        <v>192</v>
      </c>
      <c r="J10" s="46" t="s">
        <v>226</v>
      </c>
      <c r="K10" s="41" t="s">
        <v>227</v>
      </c>
      <c r="L10" s="37" t="s">
        <v>194</v>
      </c>
      <c r="M10" s="38" t="str">
        <f>G10</f>
        <v>integration@example.com</v>
      </c>
      <c r="N10" s="21" t="s">
        <v>79</v>
      </c>
      <c r="O10" s="21" t="s">
        <v>79</v>
      </c>
      <c r="P10" s="40" t="s">
        <v>228</v>
      </c>
      <c r="Q10" s="22"/>
      <c r="R10" s="22"/>
      <c r="S10" s="22"/>
    </row>
    <row r="11" spans="1:21" ht="48" customHeight="1" x14ac:dyDescent="0.2">
      <c r="A11" s="20" t="s">
        <v>184</v>
      </c>
      <c r="B11" s="21" t="s">
        <v>185</v>
      </c>
      <c r="C11" s="35" t="s">
        <v>186</v>
      </c>
      <c r="D11" s="22" t="s">
        <v>229</v>
      </c>
      <c r="E11" s="22" t="s">
        <v>230</v>
      </c>
      <c r="F11" s="22" t="s">
        <v>224</v>
      </c>
      <c r="G11" s="21" t="s">
        <v>225</v>
      </c>
      <c r="H11" s="21" t="s">
        <v>191</v>
      </c>
      <c r="I11" s="21" t="s">
        <v>192</v>
      </c>
      <c r="J11" s="46" t="s">
        <v>226</v>
      </c>
      <c r="K11" s="41" t="s">
        <v>227</v>
      </c>
      <c r="L11" s="37" t="s">
        <v>194</v>
      </c>
      <c r="M11" s="38" t="str">
        <f>G11</f>
        <v>integration@example.com</v>
      </c>
      <c r="N11" s="21" t="s">
        <v>79</v>
      </c>
      <c r="O11" s="21" t="s">
        <v>79</v>
      </c>
      <c r="P11" s="40" t="s">
        <v>228</v>
      </c>
      <c r="Q11" s="22"/>
      <c r="R11" s="22"/>
      <c r="S11" s="22"/>
    </row>
    <row r="12" spans="1:21" ht="29" customHeight="1" x14ac:dyDescent="0.2">
      <c r="A12" s="20" t="s">
        <v>184</v>
      </c>
      <c r="B12" s="21" t="s">
        <v>185</v>
      </c>
      <c r="C12" s="35" t="s">
        <v>186</v>
      </c>
      <c r="D12" s="22" t="s">
        <v>231</v>
      </c>
      <c r="E12" s="22" t="s">
        <v>232</v>
      </c>
      <c r="F12" s="22" t="s">
        <v>224</v>
      </c>
      <c r="G12" s="30" t="s">
        <v>233</v>
      </c>
      <c r="H12" s="21" t="s">
        <v>98</v>
      </c>
      <c r="I12" s="21" t="s">
        <v>98</v>
      </c>
      <c r="J12" s="35" t="s">
        <v>98</v>
      </c>
      <c r="K12" s="21" t="s">
        <v>98</v>
      </c>
      <c r="L12" s="21" t="s">
        <v>98</v>
      </c>
      <c r="M12" s="21" t="s">
        <v>98</v>
      </c>
      <c r="N12" s="21" t="s">
        <v>234</v>
      </c>
      <c r="O12" s="21" t="s">
        <v>234</v>
      </c>
      <c r="P12" s="22" t="s">
        <v>235</v>
      </c>
      <c r="Q12" s="22"/>
      <c r="R12" s="22"/>
      <c r="S12" s="22"/>
    </row>
    <row r="13" spans="1:21" ht="16" x14ac:dyDescent="0.2">
      <c r="A13" s="20" t="s">
        <v>184</v>
      </c>
      <c r="B13" s="21" t="s">
        <v>185</v>
      </c>
      <c r="C13" s="35" t="s">
        <v>186</v>
      </c>
      <c r="D13" s="22" t="s">
        <v>236</v>
      </c>
      <c r="E13" s="22" t="s">
        <v>237</v>
      </c>
      <c r="F13" s="25" t="s">
        <v>224</v>
      </c>
      <c r="G13" s="29" t="s">
        <v>238</v>
      </c>
      <c r="H13" s="21" t="s">
        <v>191</v>
      </c>
      <c r="I13" s="21" t="s">
        <v>192</v>
      </c>
      <c r="J13" s="35" t="s">
        <v>239</v>
      </c>
      <c r="K13" s="23" t="str">
        <f>E13</f>
        <v>Case account phone</v>
      </c>
      <c r="L13" s="20" t="s">
        <v>194</v>
      </c>
      <c r="M13" s="23" t="str">
        <f>G13</f>
        <v>01145645879</v>
      </c>
      <c r="N13" s="21" t="s">
        <v>79</v>
      </c>
      <c r="O13" s="21" t="s">
        <v>79</v>
      </c>
      <c r="P13" s="22"/>
      <c r="Q13" s="22"/>
      <c r="R13" s="22"/>
      <c r="S13" s="22"/>
    </row>
    <row r="14" spans="1:21" ht="16" x14ac:dyDescent="0.2">
      <c r="A14" s="20" t="s">
        <v>184</v>
      </c>
      <c r="B14" s="21" t="s">
        <v>185</v>
      </c>
      <c r="C14" s="35" t="s">
        <v>186</v>
      </c>
      <c r="D14" s="24" t="s">
        <v>240</v>
      </c>
      <c r="E14" s="23" t="s">
        <v>241</v>
      </c>
      <c r="F14" s="25" t="s">
        <v>224</v>
      </c>
      <c r="G14" s="30" t="s">
        <v>242</v>
      </c>
      <c r="H14" s="21" t="s">
        <v>191</v>
      </c>
      <c r="I14" s="21" t="s">
        <v>192</v>
      </c>
      <c r="J14" s="35" t="s">
        <v>243</v>
      </c>
      <c r="K14" s="23" t="str">
        <f>E14</f>
        <v>Case account person home phone</v>
      </c>
      <c r="L14" s="20" t="s">
        <v>194</v>
      </c>
      <c r="M14" s="23" t="str">
        <f>G14</f>
        <v>31624352</v>
      </c>
      <c r="N14" s="21" t="s">
        <v>79</v>
      </c>
      <c r="O14" s="21" t="s">
        <v>79</v>
      </c>
      <c r="P14" s="22"/>
      <c r="Q14" s="22"/>
      <c r="R14" s="22"/>
      <c r="S14" s="22"/>
    </row>
    <row r="15" spans="1:21" ht="72" customHeight="1" x14ac:dyDescent="0.2">
      <c r="A15" s="20" t="s">
        <v>184</v>
      </c>
      <c r="B15" s="21" t="s">
        <v>185</v>
      </c>
      <c r="C15" s="35" t="s">
        <v>186</v>
      </c>
      <c r="D15" s="21" t="s">
        <v>244</v>
      </c>
      <c r="E15" s="22" t="s">
        <v>245</v>
      </c>
      <c r="F15" s="22" t="s">
        <v>246</v>
      </c>
      <c r="G15" s="29" t="s">
        <v>247</v>
      </c>
      <c r="H15" s="21" t="s">
        <v>191</v>
      </c>
      <c r="I15" s="21" t="s">
        <v>192</v>
      </c>
      <c r="J15" s="35" t="s">
        <v>248</v>
      </c>
      <c r="K15" s="23" t="str">
        <f>E15</f>
        <v>Case account language. It's based on the record type of the case account.</v>
      </c>
      <c r="L15" s="20" t="s">
        <v>194</v>
      </c>
      <c r="M15" s="23" t="str">
        <f>G15</f>
        <v>Spanish</v>
      </c>
      <c r="N15" s="21" t="s">
        <v>79</v>
      </c>
      <c r="O15" s="21" t="s">
        <v>79</v>
      </c>
      <c r="P15" s="22" t="s">
        <v>249</v>
      </c>
      <c r="Q15" s="22"/>
      <c r="R15" s="22"/>
      <c r="S15" s="22"/>
    </row>
  </sheetData>
  <autoFilter ref="A2:S9" xr:uid="{00000000-0009-0000-0000-000003000000}"/>
  <mergeCells count="3">
    <mergeCell ref="N1:S1"/>
    <mergeCell ref="H1:M1"/>
    <mergeCell ref="B1:G1"/>
  </mergeCells>
  <dataValidations count="17">
    <dataValidation type="list" allowBlank="1" showInputMessage="1" showErrorMessage="1" sqref="N3:O15" xr:uid="{00000000-0002-0000-0300-000000000000}">
      <formula1>"Yes,No,Not used"</formula1>
    </dataValidation>
    <dataValidation allowBlank="1" showInputMessage="1" showErrorMessage="1" promptTitle="Table  / Object" prompt="Based on the Data flow direction, Name of the table/object to extract or set to/from System" sqref="C2" xr:uid="{00000000-0002-0000-0300-000001000000}"/>
    <dataValidation allowBlank="1" showInputMessage="1" showErrorMessage="1" promptTitle="Action Items" prompt="Any Action items on the preparer or any other user specific to the row" sqref="S2" xr:uid="{00000000-0002-0000-0300-000002000000}"/>
    <dataValidation allowBlank="1" showInputMessage="1" showErrorMessage="1" promptTitle="Tested" prompt="Has the mapping and notes written for this specific field been tested. If yes no action needed. If no details on how it can be tested needs to be added in Action Items column" sqref="R2" xr:uid="{00000000-0002-0000-0300-000003000000}"/>
    <dataValidation allowBlank="1" showInputMessage="1" showErrorMessage="1" promptTitle="Notes" prompt="Field mapping specific instruction on how the value from source to destination field to be set, any transformation to be applied, and so on." sqref="P2" xr:uid="{00000000-0002-0000-0300-000004000000}"/>
    <dataValidation allowBlank="1" showInputMessage="1" showErrorMessage="1" promptTitle="Data Field" prompt="Based on the Data flow direction, Name of the fileds to extract or set to/from System" sqref="D2" xr:uid="{00000000-0002-0000-0300-000005000000}"/>
    <dataValidation allowBlank="1" showInputMessage="1" showErrorMessage="1" promptTitle="Data example" prompt="Sample data for the field" sqref="G2:M2" xr:uid="{00000000-0002-0000-0300-000006000000}"/>
    <dataValidation allowBlank="1" showInputMessage="1" showErrorMessage="1" promptTitle="Data Type" prompt="Data Type" sqref="F2 L2" xr:uid="{00000000-0002-0000-0300-000007000000}"/>
    <dataValidation allowBlank="1" showInputMessage="1" showErrorMessage="1" promptTitle="Data Field" prompt="Based on the Data flow direction, Name of the fileds to extract or set to/from System." sqref="J2" xr:uid="{00000000-0002-0000-0300-000008000000}"/>
    <dataValidation allowBlank="1" showInputMessage="1" showErrorMessage="1" promptTitle="Way to extract or set data" prompt="Based on data flow chosen, the value in this column describes the way how to extract or set data to/from the System. It could be an API resource or a query and so on." sqref="B2 H2:I2" xr:uid="{00000000-0002-0000-0300-000009000000}"/>
    <dataValidation allowBlank="1" showInputMessage="1" showErrorMessage="1" promptTitle="Dataflow" prompt="This column records the direction of the mapping. It is very important when we have bi directional integration and need similar fileds to be populated but based on direction source and destination get flips with each other. Example From System 1 to System" sqref="A2" xr:uid="{00000000-0002-0000-0300-00000A000000}"/>
    <dataValidation allowBlank="1" showInputMessage="1" showErrorMessage="1" promptTitle="Exception" prompt="Any field specific exceptions to be raised in case the mapping fails or fields does not populated and so on." sqref="Q2" xr:uid="{00000000-0002-0000-0300-00000B000000}"/>
    <dataValidation allowBlank="1" showInputMessage="1" showErrorMessage="1" promptTitle="Required by Integration" prompt="Set to True or False to indicate if this field is mandatory or not " sqref="N2:O2" xr:uid="{00000000-0002-0000-0300-00000C000000}"/>
    <dataValidation allowBlank="1" showInputMessage="1" showErrorMessage="1" promptTitle="Field description" prompt="Description of the field" sqref="E2 K2" xr:uid="{00000000-0002-0000-0300-00000D000000}"/>
    <dataValidation allowBlank="1" showInputMessage="1" showErrorMessage="1" promptTitle="System 2" prompt="System 2 specific details. This can be renamed to actual system name. Like Cayenta, workday, etc." sqref="B1:M1" xr:uid="{00000000-0002-0000-0300-00000E000000}"/>
    <dataValidation allowBlank="1" showInputMessage="1" showErrorMessage="1" promptTitle="Overall" prompt="Columns which are not related to any specific systems (source or destination) in the mapping excercise." sqref="A1 N1:S1" xr:uid="{00000000-0002-0000-0300-00000F000000}"/>
    <dataValidation allowBlank="1" showInputMessage="1" showErrorMessage="1" promptTitle="System 1" prompt="System 1 specific details. This can be renamed to actual system name. Like Cayenta, workday, etc." sqref="H1:M1" xr:uid="{00000000-0002-0000-0300-000010000000}"/>
  </dataValidation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5"/>
  <sheetViews>
    <sheetView workbookViewId="0">
      <selection activeCell="E15" sqref="E15"/>
    </sheetView>
  </sheetViews>
  <sheetFormatPr baseColWidth="10" defaultColWidth="8.83203125" defaultRowHeight="15" x14ac:dyDescent="0.2"/>
  <cols>
    <col min="1" max="1" width="30.33203125" style="16" bestFit="1" customWidth="1"/>
    <col min="2" max="2" width="21.83203125" style="16" customWidth="1"/>
    <col min="3" max="3" width="22.83203125" style="16" bestFit="1" customWidth="1"/>
    <col min="4" max="4" width="36.6640625" style="16" bestFit="1" customWidth="1"/>
    <col min="5" max="5" width="33.5" style="16" customWidth="1"/>
    <col min="6" max="6" width="24.5" style="16" bestFit="1" customWidth="1"/>
    <col min="7" max="7" width="27.1640625" style="18" customWidth="1"/>
    <col min="8" max="8" width="18.83203125" style="16" bestFit="1" customWidth="1"/>
    <col min="9" max="9" width="18.83203125" style="16" customWidth="1"/>
    <col min="10" max="10" width="33.83203125" style="16" bestFit="1" customWidth="1"/>
    <col min="11" max="11" width="33.5" style="16" customWidth="1"/>
    <col min="12" max="12" width="21" style="16" customWidth="1"/>
    <col min="13" max="13" width="27" style="18" customWidth="1"/>
    <col min="14" max="14" width="13.33203125" style="16" bestFit="1" customWidth="1"/>
    <col min="15" max="15" width="13.33203125" style="16" customWidth="1"/>
    <col min="16" max="16" width="55.33203125" style="16" customWidth="1"/>
    <col min="17" max="17" width="66.6640625" style="16" bestFit="1" customWidth="1"/>
    <col min="18" max="18" width="25.5" style="16" customWidth="1"/>
    <col min="19" max="19" width="61" style="16" customWidth="1"/>
    <col min="20" max="20" width="34.83203125" style="16" customWidth="1"/>
    <col min="21" max="21" width="8.83203125" style="16" customWidth="1"/>
    <col min="22" max="16384" width="8.83203125" style="16"/>
  </cols>
  <sheetData>
    <row r="1" spans="1:21" ht="16" x14ac:dyDescent="0.2">
      <c r="A1" s="3" t="s">
        <v>0</v>
      </c>
      <c r="B1" s="67" t="s">
        <v>1</v>
      </c>
      <c r="C1" s="64"/>
      <c r="D1" s="64"/>
      <c r="E1" s="64"/>
      <c r="F1" s="64"/>
      <c r="G1" s="65"/>
      <c r="H1" s="66" t="s">
        <v>250</v>
      </c>
      <c r="I1" s="64"/>
      <c r="J1" s="64"/>
      <c r="K1" s="64"/>
      <c r="L1" s="64"/>
      <c r="M1" s="65"/>
      <c r="N1" s="63" t="s">
        <v>0</v>
      </c>
      <c r="O1" s="64"/>
      <c r="P1" s="64"/>
      <c r="Q1" s="64"/>
      <c r="R1" s="64"/>
      <c r="S1" s="65"/>
      <c r="T1" s="1"/>
      <c r="U1" s="1"/>
    </row>
    <row r="2" spans="1:21" ht="29" customHeight="1" x14ac:dyDescent="0.2">
      <c r="A2" s="4" t="s">
        <v>3</v>
      </c>
      <c r="B2" s="5" t="s">
        <v>4</v>
      </c>
      <c r="C2" s="5" t="s">
        <v>5</v>
      </c>
      <c r="D2" s="5" t="s">
        <v>6</v>
      </c>
      <c r="E2" s="5" t="s">
        <v>7</v>
      </c>
      <c r="F2" s="5" t="s">
        <v>8</v>
      </c>
      <c r="G2" s="19" t="s">
        <v>9</v>
      </c>
      <c r="H2" s="15" t="s">
        <v>4</v>
      </c>
      <c r="I2" s="15" t="s">
        <v>10</v>
      </c>
      <c r="J2" s="42" t="s">
        <v>6</v>
      </c>
      <c r="K2" s="15" t="s">
        <v>7</v>
      </c>
      <c r="L2" s="15" t="s">
        <v>8</v>
      </c>
      <c r="M2" s="17" t="s">
        <v>9</v>
      </c>
      <c r="N2" s="4" t="s">
        <v>11</v>
      </c>
      <c r="O2" s="4" t="s">
        <v>12</v>
      </c>
      <c r="P2" s="4" t="s">
        <v>13</v>
      </c>
      <c r="Q2" s="4" t="s">
        <v>14</v>
      </c>
      <c r="R2" s="3" t="s">
        <v>15</v>
      </c>
      <c r="S2" s="4" t="s">
        <v>16</v>
      </c>
      <c r="T2" s="1"/>
      <c r="U2" s="1"/>
    </row>
    <row r="3" spans="1:21" ht="16" x14ac:dyDescent="0.2">
      <c r="A3" s="20" t="s">
        <v>251</v>
      </c>
      <c r="B3" s="21" t="s">
        <v>185</v>
      </c>
      <c r="C3" s="21" t="s">
        <v>186</v>
      </c>
      <c r="D3" s="21" t="s">
        <v>187</v>
      </c>
      <c r="E3" s="22" t="s">
        <v>188</v>
      </c>
      <c r="F3" s="22" t="s">
        <v>189</v>
      </c>
      <c r="G3" s="34" t="s">
        <v>190</v>
      </c>
      <c r="H3" s="21" t="s">
        <v>252</v>
      </c>
      <c r="I3" s="21" t="s">
        <v>98</v>
      </c>
      <c r="J3" s="43" t="s">
        <v>193</v>
      </c>
      <c r="K3" s="23" t="str">
        <f>E3</f>
        <v>Case id</v>
      </c>
      <c r="L3" s="20" t="s">
        <v>194</v>
      </c>
      <c r="M3" s="23" t="str">
        <f>G3</f>
        <v>5008J0000036314QAA</v>
      </c>
      <c r="N3" s="21" t="s">
        <v>79</v>
      </c>
      <c r="O3" s="21" t="s">
        <v>79</v>
      </c>
      <c r="P3" s="22" t="s">
        <v>195</v>
      </c>
      <c r="Q3" s="22"/>
      <c r="R3" s="22"/>
      <c r="S3" s="22"/>
    </row>
    <row r="4" spans="1:21" ht="16" x14ac:dyDescent="0.2">
      <c r="A4" s="20" t="s">
        <v>251</v>
      </c>
      <c r="B4" s="21" t="s">
        <v>185</v>
      </c>
      <c r="C4" s="35" t="s">
        <v>186</v>
      </c>
      <c r="D4" s="21" t="s">
        <v>196</v>
      </c>
      <c r="E4" s="22" t="s">
        <v>197</v>
      </c>
      <c r="F4" s="22" t="s">
        <v>198</v>
      </c>
      <c r="G4" s="34">
        <v>1198</v>
      </c>
      <c r="H4" s="21" t="s">
        <v>252</v>
      </c>
      <c r="I4" s="21" t="s">
        <v>98</v>
      </c>
      <c r="J4" s="43" t="s">
        <v>199</v>
      </c>
      <c r="K4" s="23" t="str">
        <f>E4</f>
        <v>Case number</v>
      </c>
      <c r="L4" s="20" t="s">
        <v>194</v>
      </c>
      <c r="M4" s="26">
        <f>G4</f>
        <v>1198</v>
      </c>
      <c r="N4" s="21" t="s">
        <v>79</v>
      </c>
      <c r="O4" s="21" t="s">
        <v>79</v>
      </c>
      <c r="P4" s="22"/>
      <c r="Q4" s="22"/>
      <c r="R4" s="22"/>
      <c r="S4" s="22"/>
    </row>
    <row r="5" spans="1:21" ht="16" x14ac:dyDescent="0.2">
      <c r="A5" s="20" t="s">
        <v>251</v>
      </c>
      <c r="B5" s="21" t="s">
        <v>185</v>
      </c>
      <c r="C5" s="39" t="s">
        <v>186</v>
      </c>
      <c r="D5" s="39" t="s">
        <v>200</v>
      </c>
      <c r="E5" s="40" t="s">
        <v>201</v>
      </c>
      <c r="F5" s="40" t="s">
        <v>202</v>
      </c>
      <c r="G5" s="40" t="s">
        <v>203</v>
      </c>
      <c r="H5" s="21" t="s">
        <v>252</v>
      </c>
      <c r="I5" s="21" t="s">
        <v>98</v>
      </c>
      <c r="J5" s="43" t="s">
        <v>204</v>
      </c>
      <c r="K5" s="36" t="str">
        <f>E5</f>
        <v>Case record type name</v>
      </c>
      <c r="L5" s="37" t="s">
        <v>194</v>
      </c>
      <c r="M5" s="38" t="str">
        <f>G5</f>
        <v>Argentina</v>
      </c>
      <c r="N5" s="21" t="s">
        <v>205</v>
      </c>
      <c r="O5" s="21" t="s">
        <v>79</v>
      </c>
      <c r="P5" s="22"/>
      <c r="Q5" s="22"/>
      <c r="R5" s="22"/>
      <c r="S5" s="22"/>
    </row>
    <row r="6" spans="1:21" ht="16" x14ac:dyDescent="0.2">
      <c r="A6" s="20" t="s">
        <v>251</v>
      </c>
      <c r="B6" s="21" t="s">
        <v>185</v>
      </c>
      <c r="C6" s="39" t="s">
        <v>186</v>
      </c>
      <c r="D6" s="39" t="s">
        <v>200</v>
      </c>
      <c r="E6" s="40" t="s">
        <v>201</v>
      </c>
      <c r="F6" s="40" t="s">
        <v>202</v>
      </c>
      <c r="G6" s="40" t="s">
        <v>203</v>
      </c>
      <c r="H6" s="21" t="s">
        <v>252</v>
      </c>
      <c r="I6" s="21" t="s">
        <v>98</v>
      </c>
      <c r="J6" s="35" t="s">
        <v>206</v>
      </c>
      <c r="K6" s="36" t="str">
        <f>E5</f>
        <v>Case record type name</v>
      </c>
      <c r="L6" s="37" t="s">
        <v>194</v>
      </c>
      <c r="M6" s="38" t="str">
        <f>G5</f>
        <v>Argentina</v>
      </c>
      <c r="N6" s="21" t="s">
        <v>205</v>
      </c>
      <c r="O6" s="21" t="s">
        <v>79</v>
      </c>
      <c r="P6" s="22"/>
      <c r="Q6" s="22"/>
      <c r="R6" s="22"/>
      <c r="S6" s="22"/>
    </row>
    <row r="7" spans="1:21" ht="16" x14ac:dyDescent="0.2">
      <c r="A7" s="20" t="s">
        <v>251</v>
      </c>
      <c r="B7" s="21" t="s">
        <v>185</v>
      </c>
      <c r="C7" s="35" t="s">
        <v>186</v>
      </c>
      <c r="D7" s="23" t="s">
        <v>207</v>
      </c>
      <c r="E7" s="23" t="s">
        <v>208</v>
      </c>
      <c r="F7" s="23" t="s">
        <v>209</v>
      </c>
      <c r="G7" s="23" t="s">
        <v>210</v>
      </c>
      <c r="H7" s="21" t="s">
        <v>252</v>
      </c>
      <c r="I7" s="21" t="s">
        <v>98</v>
      </c>
      <c r="J7" s="44" t="s">
        <v>211</v>
      </c>
      <c r="K7" s="23" t="str">
        <f>E7</f>
        <v>Case created date</v>
      </c>
      <c r="L7" s="20" t="s">
        <v>194</v>
      </c>
      <c r="M7" s="23" t="str">
        <f>G7</f>
        <v>2023-06-30T20:47:24.000Z</v>
      </c>
      <c r="N7" s="21" t="s">
        <v>79</v>
      </c>
      <c r="O7" s="21" t="s">
        <v>79</v>
      </c>
      <c r="P7" s="22"/>
      <c r="Q7" s="22"/>
      <c r="R7" s="22"/>
      <c r="S7" s="22"/>
    </row>
    <row r="8" spans="1:21" ht="16" x14ac:dyDescent="0.2">
      <c r="A8" s="20" t="s">
        <v>251</v>
      </c>
      <c r="B8" s="21" t="s">
        <v>185</v>
      </c>
      <c r="C8" s="35" t="s">
        <v>186</v>
      </c>
      <c r="D8" s="27" t="s">
        <v>212</v>
      </c>
      <c r="E8" s="28" t="s">
        <v>213</v>
      </c>
      <c r="F8" s="25" t="s">
        <v>209</v>
      </c>
      <c r="G8" s="23" t="s">
        <v>210</v>
      </c>
      <c r="H8" s="21" t="s">
        <v>252</v>
      </c>
      <c r="I8" s="21" t="s">
        <v>98</v>
      </c>
      <c r="J8" s="45" t="s">
        <v>214</v>
      </c>
      <c r="K8" s="23" t="str">
        <f>E8</f>
        <v>Case closed date</v>
      </c>
      <c r="L8" s="20" t="s">
        <v>194</v>
      </c>
      <c r="M8" s="23" t="str">
        <f>G8</f>
        <v>2023-06-30T20:47:24.000Z</v>
      </c>
      <c r="N8" s="21" t="s">
        <v>79</v>
      </c>
      <c r="O8" s="21" t="s">
        <v>79</v>
      </c>
      <c r="P8" s="22" t="s">
        <v>215</v>
      </c>
      <c r="Q8" s="22"/>
      <c r="R8" s="22"/>
      <c r="S8" s="22"/>
    </row>
    <row r="9" spans="1:21" ht="86.5" customHeight="1" x14ac:dyDescent="0.2">
      <c r="A9" s="20" t="s">
        <v>251</v>
      </c>
      <c r="B9" s="21" t="s">
        <v>185</v>
      </c>
      <c r="C9" s="35" t="s">
        <v>186</v>
      </c>
      <c r="D9" s="21" t="s">
        <v>216</v>
      </c>
      <c r="E9" s="22" t="s">
        <v>217</v>
      </c>
      <c r="F9" s="22" t="s">
        <v>218</v>
      </c>
      <c r="G9" s="34" t="s">
        <v>219</v>
      </c>
      <c r="H9" s="21" t="s">
        <v>252</v>
      </c>
      <c r="I9" s="21" t="s">
        <v>98</v>
      </c>
      <c r="J9" s="35" t="s">
        <v>220</v>
      </c>
      <c r="K9" s="23" t="str">
        <f>E9</f>
        <v>Case service type</v>
      </c>
      <c r="L9" s="20" t="s">
        <v>194</v>
      </c>
      <c r="M9" s="23" t="str">
        <f>G9</f>
        <v>Information</v>
      </c>
      <c r="N9" s="21" t="s">
        <v>79</v>
      </c>
      <c r="O9" s="21" t="s">
        <v>79</v>
      </c>
      <c r="P9" s="22" t="s">
        <v>221</v>
      </c>
      <c r="Q9" s="22"/>
      <c r="R9" s="22"/>
      <c r="S9" s="22"/>
    </row>
    <row r="10" spans="1:21" ht="50.25" customHeight="1" x14ac:dyDescent="0.2">
      <c r="A10" s="20" t="s">
        <v>251</v>
      </c>
      <c r="B10" s="21" t="s">
        <v>185</v>
      </c>
      <c r="C10" s="35" t="s">
        <v>186</v>
      </c>
      <c r="D10" s="22" t="s">
        <v>222</v>
      </c>
      <c r="E10" s="22" t="s">
        <v>223</v>
      </c>
      <c r="F10" s="22" t="s">
        <v>224</v>
      </c>
      <c r="G10" s="21" t="s">
        <v>225</v>
      </c>
      <c r="H10" s="21" t="s">
        <v>252</v>
      </c>
      <c r="I10" s="21" t="s">
        <v>98</v>
      </c>
      <c r="J10" s="46" t="s">
        <v>226</v>
      </c>
      <c r="K10" s="41" t="s">
        <v>227</v>
      </c>
      <c r="L10" s="37" t="s">
        <v>194</v>
      </c>
      <c r="M10" s="38" t="str">
        <f>G10</f>
        <v>integration@example.com</v>
      </c>
      <c r="N10" s="21" t="s">
        <v>79</v>
      </c>
      <c r="O10" s="21" t="s">
        <v>79</v>
      </c>
      <c r="P10" s="40" t="s">
        <v>228</v>
      </c>
      <c r="Q10" s="22"/>
      <c r="R10" s="22"/>
      <c r="S10" s="22"/>
    </row>
    <row r="11" spans="1:21" ht="48" customHeight="1" x14ac:dyDescent="0.2">
      <c r="A11" s="20" t="s">
        <v>251</v>
      </c>
      <c r="B11" s="21" t="s">
        <v>185</v>
      </c>
      <c r="C11" s="35" t="s">
        <v>186</v>
      </c>
      <c r="D11" s="22" t="s">
        <v>229</v>
      </c>
      <c r="E11" s="22" t="s">
        <v>230</v>
      </c>
      <c r="F11" s="22" t="s">
        <v>224</v>
      </c>
      <c r="G11" s="21" t="s">
        <v>225</v>
      </c>
      <c r="H11" s="21" t="s">
        <v>252</v>
      </c>
      <c r="I11" s="21" t="s">
        <v>98</v>
      </c>
      <c r="J11" s="46" t="s">
        <v>226</v>
      </c>
      <c r="K11" s="41" t="s">
        <v>227</v>
      </c>
      <c r="L11" s="37" t="s">
        <v>194</v>
      </c>
      <c r="M11" s="38" t="str">
        <f>G11</f>
        <v>integration@example.com</v>
      </c>
      <c r="N11" s="21" t="s">
        <v>79</v>
      </c>
      <c r="O11" s="21" t="s">
        <v>79</v>
      </c>
      <c r="P11" s="40" t="s">
        <v>228</v>
      </c>
      <c r="Q11" s="22"/>
      <c r="R11" s="22"/>
      <c r="S11" s="22"/>
    </row>
    <row r="12" spans="1:21" ht="29" customHeight="1" x14ac:dyDescent="0.2">
      <c r="A12" s="20" t="s">
        <v>251</v>
      </c>
      <c r="B12" s="21" t="s">
        <v>185</v>
      </c>
      <c r="C12" s="35" t="s">
        <v>186</v>
      </c>
      <c r="D12" s="22" t="s">
        <v>231</v>
      </c>
      <c r="E12" s="22" t="s">
        <v>232</v>
      </c>
      <c r="F12" s="22" t="s">
        <v>224</v>
      </c>
      <c r="G12" s="30" t="s">
        <v>233</v>
      </c>
      <c r="H12" s="21" t="s">
        <v>98</v>
      </c>
      <c r="I12" s="21" t="s">
        <v>98</v>
      </c>
      <c r="J12" s="35" t="s">
        <v>98</v>
      </c>
      <c r="K12" s="21" t="s">
        <v>98</v>
      </c>
      <c r="L12" s="21" t="s">
        <v>98</v>
      </c>
      <c r="M12" s="21" t="s">
        <v>98</v>
      </c>
      <c r="N12" s="21" t="s">
        <v>234</v>
      </c>
      <c r="O12" s="21" t="s">
        <v>234</v>
      </c>
      <c r="P12" s="22" t="s">
        <v>235</v>
      </c>
      <c r="Q12" s="22"/>
      <c r="R12" s="22"/>
      <c r="S12" s="22"/>
    </row>
    <row r="13" spans="1:21" ht="16" x14ac:dyDescent="0.2">
      <c r="A13" s="20" t="s">
        <v>251</v>
      </c>
      <c r="B13" s="21" t="s">
        <v>185</v>
      </c>
      <c r="C13" s="35" t="s">
        <v>186</v>
      </c>
      <c r="D13" s="22" t="s">
        <v>236</v>
      </c>
      <c r="E13" s="22" t="s">
        <v>237</v>
      </c>
      <c r="F13" s="25" t="s">
        <v>224</v>
      </c>
      <c r="G13" s="29" t="s">
        <v>238</v>
      </c>
      <c r="H13" s="21" t="s">
        <v>252</v>
      </c>
      <c r="I13" s="21" t="s">
        <v>98</v>
      </c>
      <c r="J13" s="35" t="s">
        <v>239</v>
      </c>
      <c r="K13" s="23" t="str">
        <f>E13</f>
        <v>Case account phone</v>
      </c>
      <c r="L13" s="20" t="s">
        <v>194</v>
      </c>
      <c r="M13" s="23" t="str">
        <f>G13</f>
        <v>01145645879</v>
      </c>
      <c r="N13" s="21" t="s">
        <v>79</v>
      </c>
      <c r="O13" s="21" t="s">
        <v>79</v>
      </c>
      <c r="P13" s="22"/>
      <c r="Q13" s="22"/>
      <c r="R13" s="22"/>
      <c r="S13" s="22"/>
    </row>
    <row r="14" spans="1:21" ht="16" x14ac:dyDescent="0.2">
      <c r="A14" s="20" t="s">
        <v>251</v>
      </c>
      <c r="B14" s="21" t="s">
        <v>185</v>
      </c>
      <c r="C14" s="35" t="s">
        <v>186</v>
      </c>
      <c r="D14" s="24" t="s">
        <v>240</v>
      </c>
      <c r="E14" s="23" t="s">
        <v>241</v>
      </c>
      <c r="F14" s="25" t="s">
        <v>224</v>
      </c>
      <c r="G14" s="30" t="s">
        <v>242</v>
      </c>
      <c r="H14" s="21" t="s">
        <v>252</v>
      </c>
      <c r="I14" s="21" t="s">
        <v>98</v>
      </c>
      <c r="J14" s="35" t="s">
        <v>243</v>
      </c>
      <c r="K14" s="23" t="str">
        <f>E14</f>
        <v>Case account person home phone</v>
      </c>
      <c r="L14" s="20" t="s">
        <v>194</v>
      </c>
      <c r="M14" s="23" t="str">
        <f>G14</f>
        <v>31624352</v>
      </c>
      <c r="N14" s="21" t="s">
        <v>79</v>
      </c>
      <c r="O14" s="21" t="s">
        <v>79</v>
      </c>
      <c r="P14" s="22"/>
      <c r="Q14" s="22"/>
      <c r="R14" s="22"/>
      <c r="S14" s="22"/>
    </row>
    <row r="15" spans="1:21" ht="72" customHeight="1" x14ac:dyDescent="0.2">
      <c r="A15" s="20" t="s">
        <v>251</v>
      </c>
      <c r="B15" s="21" t="s">
        <v>185</v>
      </c>
      <c r="C15" s="35" t="s">
        <v>186</v>
      </c>
      <c r="D15" s="21" t="s">
        <v>244</v>
      </c>
      <c r="E15" s="22" t="s">
        <v>245</v>
      </c>
      <c r="F15" s="22" t="s">
        <v>246</v>
      </c>
      <c r="G15" s="29" t="s">
        <v>247</v>
      </c>
      <c r="H15" s="21" t="s">
        <v>252</v>
      </c>
      <c r="I15" s="21" t="s">
        <v>98</v>
      </c>
      <c r="J15" s="35" t="s">
        <v>248</v>
      </c>
      <c r="K15" s="23" t="str">
        <f>E15</f>
        <v>Case account language. It's based on the record type of the case account.</v>
      </c>
      <c r="L15" s="20" t="s">
        <v>194</v>
      </c>
      <c r="M15" s="23" t="str">
        <f>G15</f>
        <v>Spanish</v>
      </c>
      <c r="N15" s="21" t="s">
        <v>79</v>
      </c>
      <c r="O15" s="21" t="s">
        <v>79</v>
      </c>
      <c r="P15" s="22" t="s">
        <v>249</v>
      </c>
      <c r="Q15" s="22"/>
      <c r="R15" s="22"/>
      <c r="S15" s="22"/>
    </row>
  </sheetData>
  <autoFilter ref="A2:S9" xr:uid="{00000000-0009-0000-0000-000004000000}"/>
  <mergeCells count="3">
    <mergeCell ref="N1:S1"/>
    <mergeCell ref="H1:M1"/>
    <mergeCell ref="B1:G1"/>
  </mergeCells>
  <dataValidations count="17">
    <dataValidation type="list" allowBlank="1" showInputMessage="1" showErrorMessage="1" sqref="N3:O15" xr:uid="{00000000-0002-0000-0400-000000000000}">
      <formula1>"Yes,No,Not used"</formula1>
    </dataValidation>
    <dataValidation allowBlank="1" showInputMessage="1" showErrorMessage="1" promptTitle="Table  / Object" prompt="Based on the Data flow direction, Name of the table/object to extract or set to/from System" sqref="C2" xr:uid="{00000000-0002-0000-0400-000001000000}"/>
    <dataValidation allowBlank="1" showInputMessage="1" showErrorMessage="1" promptTitle="Action Items" prompt="Any Action items on the preparer or any other user specific to the row" sqref="S2" xr:uid="{00000000-0002-0000-0400-000002000000}"/>
    <dataValidation allowBlank="1" showInputMessage="1" showErrorMessage="1" promptTitle="Tested" prompt="Has the mapping and notes written for this specific field been tested. If yes no action needed. If no details on how it can be tested needs to be added in Action Items column" sqref="R2" xr:uid="{00000000-0002-0000-0400-000003000000}"/>
    <dataValidation allowBlank="1" showInputMessage="1" showErrorMessage="1" promptTitle="Notes" prompt="Field mapping specific instruction on how the value from source to destination field to be set, any transformation to be applied, and so on." sqref="P2" xr:uid="{00000000-0002-0000-0400-000004000000}"/>
    <dataValidation allowBlank="1" showInputMessage="1" showErrorMessage="1" promptTitle="Data Field" prompt="Based on the Data flow direction, Name of the fileds to extract or set to/from System" sqref="D2" xr:uid="{00000000-0002-0000-0400-000005000000}"/>
    <dataValidation allowBlank="1" showInputMessage="1" showErrorMessage="1" promptTitle="Data example" prompt="Sample data for the field" sqref="G2:M2" xr:uid="{00000000-0002-0000-0400-000006000000}"/>
    <dataValidation allowBlank="1" showInputMessage="1" showErrorMessage="1" promptTitle="Data Type" prompt="Data Type" sqref="F2 L2" xr:uid="{00000000-0002-0000-0400-000007000000}"/>
    <dataValidation allowBlank="1" showInputMessage="1" showErrorMessage="1" promptTitle="Data Field" prompt="Based on the Data flow direction, Name of the fileds to extract or set to/from System." sqref="J2" xr:uid="{00000000-0002-0000-0400-000008000000}"/>
    <dataValidation allowBlank="1" showInputMessage="1" showErrorMessage="1" promptTitle="Way to extract or set data" prompt="Based on data flow chosen, the value in this column describes the way how to extract or set data to/from the System. It could be an API resource or a query and so on." sqref="B2 H2:I2" xr:uid="{00000000-0002-0000-0400-000009000000}"/>
    <dataValidation allowBlank="1" showInputMessage="1" showErrorMessage="1" promptTitle="Dataflow" prompt="This column records the direction of the mapping. It is very important when we have bi directional integration and need similar fileds to be populated but based on direction source and destination get flips with each other. Example From System 1 to System" sqref="A2" xr:uid="{00000000-0002-0000-0400-00000A000000}"/>
    <dataValidation allowBlank="1" showInputMessage="1" showErrorMessage="1" promptTitle="Exception" prompt="Any field specific exceptions to be raised in case the mapping fails or fields does not populated and so on." sqref="Q2" xr:uid="{00000000-0002-0000-0400-00000B000000}"/>
    <dataValidation allowBlank="1" showInputMessage="1" showErrorMessage="1" promptTitle="Required by Integration" prompt="Set to True or False to indicate if this field is mandatory or not " sqref="N2:O2" xr:uid="{00000000-0002-0000-0400-00000C000000}"/>
    <dataValidation allowBlank="1" showInputMessage="1" showErrorMessage="1" promptTitle="Field description" prompt="Description of the field" sqref="E2 K2" xr:uid="{00000000-0002-0000-0400-00000D000000}"/>
    <dataValidation allowBlank="1" showInputMessage="1" showErrorMessage="1" promptTitle="System 2" prompt="System 2 specific details. This can be renamed to actual system name. Like Cayenta, workday, etc." sqref="B1:M1" xr:uid="{00000000-0002-0000-0400-00000E000000}"/>
    <dataValidation allowBlank="1" showInputMessage="1" showErrorMessage="1" promptTitle="Overall" prompt="Columns which are not related to any specific systems (source or destination) in the mapping excercise." sqref="A1 N1:S1" xr:uid="{00000000-0002-0000-0400-00000F000000}"/>
    <dataValidation allowBlank="1" showInputMessage="1" showErrorMessage="1" promptTitle="System 1" prompt="System 1 specific details. This can be renamed to actual system name. Like Cayenta, workday, etc." sqref="H1:M1" xr:uid="{00000000-0002-0000-0400-000010000000}"/>
  </dataValidation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8"/>
  <sheetViews>
    <sheetView workbookViewId="0"/>
  </sheetViews>
  <sheetFormatPr baseColWidth="10" defaultColWidth="8.83203125" defaultRowHeight="15" x14ac:dyDescent="0.2"/>
  <cols>
    <col min="1" max="1" width="34" customWidth="1"/>
    <col min="2" max="2" width="110" customWidth="1"/>
  </cols>
  <sheetData>
    <row r="1" spans="1:2" x14ac:dyDescent="0.2">
      <c r="A1" s="61" t="s">
        <v>253</v>
      </c>
      <c r="B1" s="61" t="s">
        <v>254</v>
      </c>
    </row>
    <row r="2" spans="1:2" ht="26" x14ac:dyDescent="0.2">
      <c r="A2" s="62" t="s">
        <v>255</v>
      </c>
      <c r="B2" s="60" t="s">
        <v>256</v>
      </c>
    </row>
    <row r="3" spans="1:2" ht="26" x14ac:dyDescent="0.2">
      <c r="A3" s="62" t="s">
        <v>257</v>
      </c>
      <c r="B3" s="60" t="s">
        <v>258</v>
      </c>
    </row>
    <row r="4" spans="1:2" ht="78" x14ac:dyDescent="0.2">
      <c r="A4" s="62" t="s">
        <v>259</v>
      </c>
      <c r="B4" s="60" t="s">
        <v>260</v>
      </c>
    </row>
    <row r="5" spans="1:2" ht="39" x14ac:dyDescent="0.2">
      <c r="A5" s="62" t="s">
        <v>261</v>
      </c>
      <c r="B5" s="60" t="s">
        <v>262</v>
      </c>
    </row>
    <row r="6" spans="1:2" ht="78" x14ac:dyDescent="0.2">
      <c r="A6" s="62" t="s">
        <v>263</v>
      </c>
      <c r="B6" s="60" t="s">
        <v>264</v>
      </c>
    </row>
    <row r="7" spans="1:2" ht="26" x14ac:dyDescent="0.2">
      <c r="A7" s="62" t="s">
        <v>265</v>
      </c>
      <c r="B7" s="60" t="s">
        <v>266</v>
      </c>
    </row>
    <row r="8" spans="1:2" ht="65" x14ac:dyDescent="0.2">
      <c r="A8" s="62" t="s">
        <v>267</v>
      </c>
      <c r="B8" s="60" t="s">
        <v>268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6</vt:i4>
      </vt:variant>
    </vt:vector>
  </HeadingPairs>
  <TitlesOfParts>
    <vt:vector size="6" baseType="lpstr">
      <vt:lpstr>Instructions</vt:lpstr>
      <vt:lpstr>Overview</vt:lpstr>
      <vt:lpstr>Mapping</vt:lpstr>
      <vt:lpstr>Sample SAP</vt:lpstr>
      <vt:lpstr>Sample REST</vt:lpstr>
      <vt:lpstr>Reglas y Gobernanza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Swapnil Vaidya</dc:creator>
  <cp:keywords>Datamapping</cp:keywords>
  <cp:lastModifiedBy>Diego Beltrao</cp:lastModifiedBy>
  <dcterms:created xsi:type="dcterms:W3CDTF">2019-07-10T12:05:00Z</dcterms:created>
  <dcterms:modified xsi:type="dcterms:W3CDTF">2026-07-06T17:04:10Z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0x0101006B8C50088F88624A80EED7E6E5DB36EA</vt:lpwstr>
  </property>
  <property fmtid="{D5CDD505-2E9C-101B-9397-08002B2CF9AE}" pid="3" name="MediaServiceImageTags">
    <vt:lpwstr/>
  </property>
  <property fmtid="{D5CDD505-2E9C-101B-9397-08002B2CF9AE}" pid="4" name="MSIP_Label_2f3f0a4d-8e81-440c-b0cb-76d82ffe9b58_Enabled">
    <vt:lpwstr>true</vt:lpwstr>
  </property>
  <property fmtid="{D5CDD505-2E9C-101B-9397-08002B2CF9AE}" pid="5" name="MSIP_Label_2f3f0a4d-8e81-440c-b0cb-76d82ffe9b58_SetDate">
    <vt:lpwstr>2024-04-05T18:44:22Z</vt:lpwstr>
  </property>
  <property fmtid="{D5CDD505-2E9C-101B-9397-08002B2CF9AE}" pid="6" name="MSIP_Label_2f3f0a4d-8e81-440c-b0cb-76d82ffe9b58_Method">
    <vt:lpwstr>Privileged</vt:lpwstr>
  </property>
  <property fmtid="{D5CDD505-2E9C-101B-9397-08002B2CF9AE}" pid="7" name="MSIP_Label_2f3f0a4d-8e81-440c-b0cb-76d82ffe9b58_Name">
    <vt:lpwstr>2f3f0a4d-8e81-440c-b0cb-76d82ffe9b58</vt:lpwstr>
  </property>
  <property fmtid="{D5CDD505-2E9C-101B-9397-08002B2CF9AE}" pid="8" name="MSIP_Label_2f3f0a4d-8e81-440c-b0cb-76d82ffe9b58_SiteId">
    <vt:lpwstr>c1e1ed72-f1a4-4049-9e46-4c91471e0e87</vt:lpwstr>
  </property>
  <property fmtid="{D5CDD505-2E9C-101B-9397-08002B2CF9AE}" pid="9" name="MSIP_Label_2f3f0a4d-8e81-440c-b0cb-76d82ffe9b58_ActionId">
    <vt:lpwstr>950dddfa-95a3-4314-a400-1a4872da59db</vt:lpwstr>
  </property>
  <property fmtid="{D5CDD505-2E9C-101B-9397-08002B2CF9AE}" pid="10" name="MSIP_Label_2f3f0a4d-8e81-440c-b0cb-76d82ffe9b58_ContentBits">
    <vt:lpwstr>0</vt:lpwstr>
  </property>
</Properties>
</file>