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 Materiales" sheetId="1" r:id="rId1"/>
    <sheet name="Validación Paridad" sheetId="2" r:id="rId2"/>
  </sheets>
</workbook>
</file>

<file path=xl/styles.xml><?xml version="1.0" encoding="utf-8"?>
<styleSheet xmlns="http://schemas.openxmlformats.org/spreadsheetml/2006/main">
  <fonts count="5">
    <font>
      <sz val="10"/>
      <name val="Arial"/>
    </font>
    <font>
      <b/>
      <sz val="10"/>
      <name val="Arial"/>
    </font>
    <font>
      <b/>
      <sz val="14"/>
      <color rgb="FF16325C"/>
      <name val="Arial"/>
    </font>
    <font>
      <i/>
      <sz val="9"/>
      <color rgb="FF808080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6325C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0B7BD"/>
      </left>
      <right style="thin">
        <color rgb="FFB0B7BD"/>
      </right>
      <top style="thin">
        <color rgb="FFB0B7BD"/>
      </top>
      <bottom style="thin">
        <color rgb="FFB0B7B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/>
    <xf numFmtId="0" fontId="3" fillId="0" borderId="0" xfId="0" applyAlignment="1">
      <alignment wrapText="1" vertical="top"/>
    </xf>
    <xf numFmtId="0" fontId="4" fillId="3" borderId="1" xfId="0" applyAlignment="1">
      <alignment horizontal="center" vertical="center" wrapText="1"/>
    </xf>
    <xf numFmtId="0" fontId="0" fillId="2" borderId="1" xfId="0"/>
    <xf numFmtId="0" fontId="3" fillId="4" borderId="1" xfId="0" applyAlignment="1">
      <alignment wrapText="1" vertical="top"/>
    </xf>
    <xf numFmtId="2" fontId="3" fillId="4" borderId="1" xfId="0"/>
    <xf numFmtId="2" fontId="0" fillId="2" borderId="1" xfId="0"/>
    <xf numFmtId="2" fontId="0" fillId="0" borderId="1" xfId="0"/>
    <xf numFmtId="10" fontId="0" fillId="0" borderId="1" xfId="0"/>
    <xf numFmtId="0" fontId="0" fillId="0" borderId="1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26" customWidth="1"/>
    <col min="3" max="3" width="12" customWidth="1"/>
    <col min="4" max="4" width="12" customWidth="1"/>
    <col min="5" max="5" width="16" customWidth="1"/>
    <col min="6" max="6" width="22" customWidth="1"/>
    <col min="7" max="7" width="10" customWidth="1"/>
    <col min="8" max="8" width="14" customWidth="1"/>
    <col min="9" max="9" width="14" customWidth="1"/>
    <col min="10" max="10" width="10" customWidth="1"/>
    <col min="11" max="11" width="11" customWidth="1"/>
    <col min="12" max="12" width="12" customWidth="1"/>
    <col min="13" max="13" width="16" customWidth="1"/>
    <col min="14" max="14" width="42" customWidth="1"/>
  </cols>
  <sheetData>
    <row r="1" ht="20" customHeight="1">
      <c r="A1" t="inlineStr" s="1">
        <is>
          <t xml:space="preserve">POC Simulador de Precios — Datos de materiales (Repuestos)</t>
        </is>
      </c>
    </row>
    <row r="2" ht="42" customHeight="1">
      <c r="A2" t="inlineStr" s="2">
        <is>
          <t xml:space="preserve">Completar una fila por material (2-3 materiales reales). Celdas AMARILLAS = a completar por el punto focal SAP de Grupo Q. La fila gris es un EJEMPLO con valores ilustrativos y puede borrarse. El ZPRT oficial debe calcularse en SAP con la misma fecha de precio informada — es el valor de referencia de la validación de paridad.</t>
        </is>
      </c>
    </row>
    <row r="4" ht="30" customHeight="1">
      <c r="A4" t="inlineStr" s="3">
        <is>
          <t xml:space="preserve">Código material</t>
        </is>
      </c>
      <c r="B4" t="inlineStr" s="3">
        <is>
          <t xml:space="preserve">Descripción</t>
        </is>
      </c>
      <c r="C4" t="inlineStr" s="3">
        <is>
          <t xml:space="preserve">Marca</t>
        </is>
      </c>
      <c r="D4" t="inlineStr" s="3">
        <is>
          <t xml:space="preserve">Origen</t>
        </is>
      </c>
      <c r="E4" t="inlineStr" s="3">
        <is>
          <t xml:space="preserve">Sociedad / Destino</t>
        </is>
      </c>
      <c r="F4" t="inlineStr" s="3">
        <is>
          <t xml:space="preserve">Grupo / Jerarquía de producto</t>
        </is>
      </c>
      <c r="G4" t="inlineStr" s="3">
        <is>
          <t xml:space="preserve">FOB (USD)</t>
        </is>
      </c>
      <c r="H4" t="inlineStr" s="3">
        <is>
          <t xml:space="preserve">Factor de nacionalización</t>
        </is>
      </c>
      <c r="I4" t="inlineStr" s="3">
        <is>
          <t xml:space="preserve">Mark-up (fracción, ej. 0.40)</t>
        </is>
      </c>
      <c r="J4" t="inlineStr" s="3">
        <is>
          <t xml:space="preserve">Moneda destino</t>
        </is>
      </c>
      <c r="K4" t="inlineStr" s="3">
        <is>
          <t xml:space="preserve">Tipo de cambio</t>
        </is>
      </c>
      <c r="L4" t="inlineStr" s="3">
        <is>
          <t xml:space="preserve">Fecha de precio</t>
        </is>
      </c>
      <c r="M4" t="inlineStr" s="3">
        <is>
          <t xml:space="preserve">ZPRT oficial SAP (moneda destino)</t>
        </is>
      </c>
      <c r="N4" t="inlineStr" s="3">
        <is>
          <t xml:space="preserve">Observaciones</t>
        </is>
      </c>
    </row>
    <row r="5" ht="24" customHeight="1">
      <c r="A5" t="inlineStr" s="5">
        <is>
          <t xml:space="preserve">REP-12345</t>
        </is>
      </c>
      <c r="B5" t="inlineStr" s="5">
        <is>
          <t xml:space="preserve">Filtro de aceite 1.8L</t>
        </is>
      </c>
      <c r="C5" t="inlineStr" s="5">
        <is>
          <t xml:space="preserve">Toyota</t>
        </is>
      </c>
      <c r="D5" t="inlineStr" s="5">
        <is>
          <t xml:space="preserve">Japón</t>
        </is>
      </c>
      <c r="E5" t="inlineStr" s="5">
        <is>
          <t xml:space="preserve">GT10 Guatemala</t>
        </is>
      </c>
      <c r="F5" t="inlineStr" s="5">
        <is>
          <t xml:space="preserve">G100 Filtros</t>
        </is>
      </c>
      <c r="G5" s="6">
        <v>12.5</v>
      </c>
      <c r="H5" s="6">
        <v>1.35</v>
      </c>
      <c r="I5" s="6">
        <v>0.4</v>
      </c>
      <c r="J5" t="inlineStr" s="5">
        <is>
          <t xml:space="preserve">GTQ</t>
        </is>
      </c>
      <c r="K5" s="6">
        <v>7.85</v>
      </c>
      <c r="L5" t="inlineStr" s="5">
        <is>
          <t xml:space="preserve">05/08/2026</t>
        </is>
      </c>
      <c r="M5" s="6">
        <v>185.46</v>
      </c>
      <c r="N5" t="inlineStr" s="5">
        <is>
          <t xml:space="preserve">Ejemplo — ZPRT = FOB × factor × (1 + mark-up) × tipo de cambio</t>
        </is>
      </c>
    </row>
    <row r="6">
      <c r="A6" s="4"/>
      <c r="B6" s="4"/>
      <c r="C6" s="4"/>
      <c r="D6" s="4"/>
      <c r="E6" s="4"/>
      <c r="F6" s="4"/>
      <c r="G6" s="7"/>
      <c r="H6" s="7"/>
      <c r="I6" s="7"/>
      <c r="J6" s="4"/>
      <c r="K6" s="7"/>
      <c r="L6" s="4"/>
      <c r="M6" s="7"/>
      <c r="N6" s="4"/>
    </row>
    <row r="7">
      <c r="A7" s="4"/>
      <c r="B7" s="4"/>
      <c r="C7" s="4"/>
      <c r="D7" s="4"/>
      <c r="E7" s="4"/>
      <c r="F7" s="4"/>
      <c r="G7" s="7"/>
      <c r="H7" s="7"/>
      <c r="I7" s="7"/>
      <c r="J7" s="4"/>
      <c r="K7" s="7"/>
      <c r="L7" s="4"/>
      <c r="M7" s="7"/>
      <c r="N7" s="4"/>
    </row>
    <row r="8">
      <c r="A8" s="4"/>
      <c r="B8" s="4"/>
      <c r="C8" s="4"/>
      <c r="D8" s="4"/>
      <c r="E8" s="4"/>
      <c r="F8" s="4"/>
      <c r="G8" s="7"/>
      <c r="H8" s="7"/>
      <c r="I8" s="7"/>
      <c r="J8" s="4"/>
      <c r="K8" s="7"/>
      <c r="L8" s="4"/>
      <c r="M8" s="7"/>
      <c r="N8" s="4"/>
    </row>
  </sheetData>
</worksheet>
</file>

<file path=xl/worksheets/sheet2.xml><?xml version="1.0" encoding="utf-8"?>
<worksheet xmlns="http://schemas.openxmlformats.org/spreadsheetml/2006/main">
  <cols>
    <col min="1" max="1" width="22" customWidth="1"/>
    <col min="2" max="2" width="18" customWidth="1"/>
    <col min="3" max="3" width="26" customWidth="1"/>
    <col min="4" max="4" width="14" customWidth="1"/>
    <col min="5" max="5" width="12" customWidth="1"/>
    <col min="6" max="6" width="12" customWidth="1"/>
  </cols>
  <sheetData>
    <row r="1" ht="20" customHeight="1">
      <c r="A1" t="inlineStr" s="1">
        <is>
          <t xml:space="preserve">Validación de paridad — SAP vs Salesforce Pricing</t>
        </is>
      </c>
    </row>
    <row r="2" ht="42" customHeight="1">
      <c r="A2" t="inlineStr" s="2">
        <is>
          <t xml:space="preserve">Completar tras la simulación (Fase 5): pegar el ZPRT oficial (hoja Datos Materiales, col. M) y el precio final del waterfall simulado. Los desvíos se calculan solos al abrir en Excel. Criterio de salida de la POC: desvío = 0 (paridad exacta con los mismos parámetros y fecha). Resultado OK = desvío absoluto &lt; 0.005 (medio centavo, redondeo).</t>
        </is>
      </c>
    </row>
    <row r="4" ht="30" customHeight="1">
      <c r="A4" t="inlineStr" s="3">
        <is>
          <t xml:space="preserve">Código material</t>
        </is>
      </c>
      <c r="B4" t="inlineStr" s="3">
        <is>
          <t xml:space="preserve">ZPRT oficial SAP</t>
        </is>
      </c>
      <c r="C4" t="inlineStr" s="3">
        <is>
          <t xml:space="preserve">Precio simulado (waterfall Salesforce)</t>
        </is>
      </c>
      <c r="D4" t="inlineStr" s="3">
        <is>
          <t xml:space="preserve">Desvío absoluto</t>
        </is>
      </c>
      <c r="E4" t="inlineStr" s="3">
        <is>
          <t xml:space="preserve">Desvío %</t>
        </is>
      </c>
      <c r="F4" t="inlineStr" s="3">
        <is>
          <t xml:space="preserve">Resultado</t>
        </is>
      </c>
    </row>
    <row r="5">
      <c r="A5" t="inlineStr" s="5">
        <is>
          <t xml:space="preserve">REP-12345 (ejemplo)</t>
        </is>
      </c>
      <c r="B5" s="6">
        <v>185.46</v>
      </c>
      <c r="C5" s="6">
        <v>185.46</v>
      </c>
      <c r="D5" s="8">
        <f>IF(C5="","",C5-B5)</f>
      </c>
      <c r="E5" s="9">
        <f>IF(OR(B5="",C5=""),"",(C5-B5)/B5)</f>
      </c>
      <c r="F5" s="10">
        <f>IF(C5="","",IF(ABS(D5)&lt;0.005,"OK","REVISAR"))</f>
      </c>
    </row>
    <row r="6">
      <c r="A6" s="4"/>
      <c r="B6" s="7"/>
      <c r="C6" s="7"/>
      <c r="D6" s="8">
        <f>IF(C6="","",C6-B6)</f>
      </c>
      <c r="E6" s="9">
        <f>IF(OR(B6="",C6=""),"",(C6-B6)/B6)</f>
      </c>
      <c r="F6" s="10">
        <f>IF(C6="","",IF(ABS(D6)&lt;0.005,"OK","REVISAR"))</f>
      </c>
    </row>
    <row r="7">
      <c r="A7" s="4"/>
      <c r="B7" s="7"/>
      <c r="C7" s="7"/>
      <c r="D7" s="8">
        <f>IF(C7="","",C7-B7)</f>
      </c>
      <c r="E7" s="9">
        <f>IF(OR(B7="",C7=""),"",(C7-B7)/B7)</f>
      </c>
      <c r="F7" s="10">
        <f>IF(C7="","",IF(ABS(D7)&lt;0.005,"OK","REVISAR"))</f>
      </c>
    </row>
    <row r="8">
      <c r="A8" s="4"/>
      <c r="B8" s="7"/>
      <c r="C8" s="7"/>
      <c r="D8" s="8">
        <f>IF(C8="","",C8-B8)</f>
      </c>
      <c r="E8" s="9">
        <f>IF(OR(B8="",C8=""),"",(C8-B8)/B8)</f>
      </c>
      <c r="F8" s="10">
        <f>IF(C8="","",IF(ABS(D8)&lt;0.005,"OK","REVISAR"))</f>
      </c>
    </row>
  </sheetData>
</worksheet>
</file>