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eriales POC" sheetId="1" r:id="rId1"/>
    <sheet name="Validación Paridad" sheetId="2" r:id="rId2"/>
  </sheets>
</workbook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0"/>
      <name val="Arial"/>
    </font>
    <font>
      <b/>
      <sz val="14"/>
      <color rgb="FF16325C"/>
      <name val="Arial"/>
    </font>
    <font>
      <i/>
      <sz val="9"/>
      <color rgb="FF80808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6325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0B7BD"/>
      </left>
      <right style="thin">
        <color rgb="FFB0B7BD"/>
      </right>
      <top style="thin">
        <color rgb="FFB0B7BD"/>
      </top>
      <bottom style="thin">
        <color rgb="FFB0B7B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/>
    <xf numFmtId="0" fontId="3" fillId="0" borderId="0" xfId="0" applyAlignment="1">
      <alignment wrapText="1" vertical="top"/>
    </xf>
    <xf numFmtId="0" fontId="4" fillId="3" borderId="1" xfId="0" applyAlignment="1">
      <alignment horizontal="center" vertical="center" wrapText="1"/>
    </xf>
    <xf numFmtId="0" fontId="0" fillId="2" borderId="1" xfId="0"/>
    <xf numFmtId="0" fontId="3" fillId="4" borderId="1" xfId="0" applyAlignment="1">
      <alignment wrapText="1" vertical="top"/>
    </xf>
    <xf numFmtId="2" fontId="3" fillId="4" borderId="1" xfId="0"/>
    <xf numFmtId="2" fontId="0" fillId="2" borderId="1" xfId="0"/>
    <xf numFmtId="2" fontId="0" fillId="0" borderId="1" xfId="0"/>
    <xf numFmtId="10" fontId="0" fillId="0" borderId="1" xfId="0"/>
    <xf numFmtId="0" fontId="0" fillId="0" borderId="1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30" customWidth="1"/>
    <col min="3" max="3" width="12" customWidth="1"/>
    <col min="4" max="4" width="10" customWidth="1"/>
    <col min="5" max="5" width="14" customWidth="1"/>
    <col min="6" max="6" width="22" customWidth="1"/>
    <col min="7" max="7" width="10" customWidth="1"/>
    <col min="8" max="8" width="14" customWidth="1"/>
    <col min="9" max="9" width="14" customWidth="1"/>
    <col min="10" max="10" width="10" customWidth="1"/>
    <col min="11" max="11" width="11" customWidth="1"/>
    <col min="12" max="12" width="12" customWidth="1"/>
    <col min="13" max="13" width="16" customWidth="1"/>
    <col min="14" max="14" width="60" customWidth="1"/>
  </cols>
  <sheetData>
    <row r="1" ht="20" customHeight="1">
      <c r="A1" t="inlineStr" s="1">
        <is>
          <t xml:space="preserve">POC Simulador de Precios — Materiales seleccionados (lista real Grupo Q, sociedad C101)</t>
        </is>
      </c>
    </row>
    <row r="2" ht="64" customHeight="1">
      <c r="A2" t="inlineStr" s="2">
        <is>
          <t xml:space="preserve">Materiales elegidos de la lista LISTA_DE_PRECIOS_REPUESTOS_PRUEBASAUTO (2.207 filas): un caso típico JP/USD, un caso KR y un caso con FOB en CRC que prueba la conversión de moneda. ZPRT oficial = columna "Precio Calculado" de la lista (USD). Fórmula verificada contra la lista completa: N = redondeo2(FOB×FN); P = redondeo2((FOB+N)×MK); Precio = FOB+N+P — el redondeo ocurre EN CADA ETAPA. Pendientes de Grupo Q: fecha de precio de la lista y grupo/jerarquía de fábrica que determina el mark-up.</t>
        </is>
      </c>
    </row>
    <row r="4" ht="30" customHeight="1">
      <c r="A4" t="inlineStr" s="3">
        <is>
          <t xml:space="preserve">Código material</t>
        </is>
      </c>
      <c r="B4" t="inlineStr" s="3">
        <is>
          <t xml:space="preserve">Descripción</t>
        </is>
      </c>
      <c r="C4" t="inlineStr" s="3">
        <is>
          <t xml:space="preserve">Marca</t>
        </is>
      </c>
      <c r="D4" t="inlineStr" s="3">
        <is>
          <t xml:space="preserve">Origen</t>
        </is>
      </c>
      <c r="E4" t="inlineStr" s="3">
        <is>
          <t xml:space="preserve">Sociedad / Destino</t>
        </is>
      </c>
      <c r="F4" t="inlineStr" s="3">
        <is>
          <t xml:space="preserve">Grupo / Jerarquía de producto</t>
        </is>
      </c>
      <c r="G4" t="inlineStr" s="3">
        <is>
          <t xml:space="preserve">FOB (USD)</t>
        </is>
      </c>
      <c r="H4" t="inlineStr" s="3">
        <is>
          <t xml:space="preserve">Factor de nacionalización</t>
        </is>
      </c>
      <c r="I4" t="inlineStr" s="3">
        <is>
          <t xml:space="preserve">Mark-up (fracción, ej. 0.40)</t>
        </is>
      </c>
      <c r="J4" t="inlineStr" s="3">
        <is>
          <t xml:space="preserve">Moneda destino</t>
        </is>
      </c>
      <c r="K4" t="inlineStr" s="3">
        <is>
          <t xml:space="preserve">Tipo de cambio</t>
        </is>
      </c>
      <c r="L4" t="inlineStr" s="3">
        <is>
          <t xml:space="preserve">Fecha de precio</t>
        </is>
      </c>
      <c r="M4" t="inlineStr" s="3">
        <is>
          <t xml:space="preserve">ZPRT oficial SAP (moneda destino)</t>
        </is>
      </c>
      <c r="N4" t="inlineStr" s="3">
        <is>
          <t xml:space="preserve">Observaciones</t>
        </is>
      </c>
    </row>
    <row r="5" ht="24" customHeight="1">
      <c r="A5" t="inlineStr" s="10">
        <is>
          <t xml:space="preserve">0-09809150-0</t>
        </is>
      </c>
      <c r="B5" t="inlineStr" s="10">
        <is>
          <t xml:space="preserve">MANGUERA DE RETORNO LIQUIDO HIDRAULICO</t>
        </is>
      </c>
      <c r="C5" t="inlineStr" s="10">
        <is>
          <t xml:space="preserve">ISUZU</t>
        </is>
      </c>
      <c r="D5" t="inlineStr" s="10">
        <is>
          <t xml:space="preserve">JP</t>
        </is>
      </c>
      <c r="E5" t="inlineStr" s="10">
        <is>
          <t xml:space="preserve">C101 / C013</t>
        </is>
      </c>
      <c r="F5" t="inlineStr" s="10">
        <is>
          <t xml:space="preserve">(pendiente: grupo fábrica)</t>
        </is>
      </c>
      <c r="G5" s="8">
        <v>2.36</v>
      </c>
      <c r="H5" s="8">
        <v>0.5551</v>
      </c>
      <c r="I5" s="8">
        <v>1.93</v>
      </c>
      <c r="J5" t="inlineStr" s="10">
        <is>
          <t xml:space="preserve">USD</t>
        </is>
      </c>
      <c r="K5" s="8">
        <v>1</v>
      </c>
      <c r="L5" t="inlineStr" s="10">
        <is>
          <t xml:space="preserve">(pendiente)</t>
        </is>
      </c>
      <c r="M5" s="8">
        <v>10.75</v>
      </c>
      <c r="N5" t="inlineStr" s="10">
        <is>
          <t xml:space="preserve">Caso típico JP/USD. Precio = FOB×(1+FN)×(1+MK) con redondeo por etapa: N=1.31, P=7.08.</t>
        </is>
      </c>
    </row>
    <row r="6" ht="24" customHeight="1">
      <c r="A6" t="inlineStr" s="10">
        <is>
          <t xml:space="preserve">00647-26175</t>
        </is>
      </c>
      <c r="B6" t="inlineStr" s="10">
        <is>
          <t xml:space="preserve">ROL TRASERO DE BOCINA</t>
        </is>
      </c>
      <c r="C6" t="inlineStr" s="10">
        <is>
          <t xml:space="preserve">HYUNDAI</t>
        </is>
      </c>
      <c r="D6" t="inlineStr" s="10">
        <is>
          <t xml:space="preserve">KR</t>
        </is>
      </c>
      <c r="E6" t="inlineStr" s="10">
        <is>
          <t xml:space="preserve">C101 / C013</t>
        </is>
      </c>
      <c r="F6" t="inlineStr" s="10">
        <is>
          <t xml:space="preserve">(pendiente: grupo fábrica)</t>
        </is>
      </c>
      <c r="G6" s="8">
        <v>29.0</v>
      </c>
      <c r="H6" s="8">
        <v>0.5</v>
      </c>
      <c r="I6" s="8">
        <v>2.06</v>
      </c>
      <c r="J6" t="inlineStr" s="10">
        <is>
          <t xml:space="preserve">USD</t>
        </is>
      </c>
      <c r="K6" s="8">
        <v>1</v>
      </c>
      <c r="L6" t="inlineStr" s="10">
        <is>
          <t xml:space="preserve">(pendiente)</t>
        </is>
      </c>
      <c r="M6" s="8">
        <v>133.11</v>
      </c>
      <c r="N6" t="inlineStr" s="10">
        <is>
          <t xml:space="preserve">Caso KR, FN=50%. N=14.50, P=89.61.</t>
        </is>
      </c>
    </row>
    <row r="7" ht="24" customHeight="1">
      <c r="A7" t="inlineStr" s="10">
        <is>
          <t xml:space="preserve">000000000013540923</t>
        </is>
      </c>
      <c r="B7" t="inlineStr" s="10">
        <is>
          <t xml:space="preserve">FILTRO AIRE ACONDICIONADO / CABINA</t>
        </is>
      </c>
      <c r="C7" t="inlineStr" s="10">
        <is>
          <t xml:space="preserve">CHEVROLET</t>
        </is>
      </c>
      <c r="D7" t="inlineStr" s="10">
        <is>
          <t xml:space="preserve">MX</t>
        </is>
      </c>
      <c r="E7" t="inlineStr" s="10">
        <is>
          <t xml:space="preserve">C101 / C013</t>
        </is>
      </c>
      <c r="F7" t="inlineStr" s="10">
        <is>
          <t xml:space="preserve">(pendiente: grupo fábrica)</t>
        </is>
      </c>
      <c r="G7" s="8">
        <v>36.91</v>
      </c>
      <c r="H7" s="8">
        <v>0.4261</v>
      </c>
      <c r="I7" s="8">
        <v>1.89</v>
      </c>
      <c r="J7" t="inlineStr" s="10">
        <is>
          <t xml:space="preserve">USD</t>
        </is>
      </c>
      <c r="K7" s="8">
        <v>1</v>
      </c>
      <c r="L7" t="inlineStr" s="10">
        <is>
          <t xml:space="preserve">(pendiente)</t>
        </is>
      </c>
      <c r="M7" s="8">
        <v>152.13</v>
      </c>
      <c r="N7" t="inlineStr" s="10">
        <is>
          <t xml:space="preserve">FOB original 16.702,53 CRC ÷ tasa 452,51 = 36,91 USD — prueba la etapa de conversión de moneda. N=15.73, P=99.49.</t>
        </is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18" customWidth="1"/>
    <col min="3" max="3" width="26" customWidth="1"/>
    <col min="4" max="4" width="14" customWidth="1"/>
    <col min="5" max="5" width="12" customWidth="1"/>
    <col min="6" max="6" width="12" customWidth="1"/>
  </cols>
  <sheetData>
    <row r="1" ht="20" customHeight="1">
      <c r="A1" t="inlineStr" s="1">
        <is>
          <t xml:space="preserve">Validación de paridad — SAP vs Salesforce Pricing</t>
        </is>
      </c>
    </row>
    <row r="2" ht="30" customHeight="1">
      <c r="A2" t="inlineStr" s="2">
        <is>
          <t xml:space="preserve">Completar la columna C tras la simulación (Fase 5). Criterio de salida: desvío = 0. OK = desvío absoluto &lt; 0.005.</t>
        </is>
      </c>
    </row>
    <row r="4" ht="30" customHeight="1">
      <c r="A4" t="inlineStr" s="3">
        <is>
          <t xml:space="preserve">Código material</t>
        </is>
      </c>
      <c r="B4" t="inlineStr" s="3">
        <is>
          <t xml:space="preserve">ZPRT oficial SAP</t>
        </is>
      </c>
      <c r="C4" t="inlineStr" s="3">
        <is>
          <t xml:space="preserve">Precio simulado (waterfall Salesforce)</t>
        </is>
      </c>
      <c r="D4" t="inlineStr" s="3">
        <is>
          <t xml:space="preserve">Desvío absoluto</t>
        </is>
      </c>
      <c r="E4" t="inlineStr" s="3">
        <is>
          <t xml:space="preserve">Desvío %</t>
        </is>
      </c>
      <c r="F4" t="inlineStr" s="3">
        <is>
          <t xml:space="preserve">Resultado</t>
        </is>
      </c>
    </row>
    <row r="5">
      <c r="A5" t="inlineStr" s="10">
        <is>
          <t xml:space="preserve">0-09809150-0</t>
        </is>
      </c>
      <c r="B5" s="8">
        <v>10.75</v>
      </c>
      <c r="C5" s="7"/>
      <c r="D5" s="8">
        <f>IF(C5="","",C5-B5)</f>
      </c>
      <c r="E5" s="9">
        <f>IF(OR(B5="",C5=""),"",(C5-B5)/B5)</f>
      </c>
      <c r="F5" s="10">
        <f>IF(C5="","",IF(ABS(D5)&lt;0.005,"OK","REVISAR"))</f>
      </c>
    </row>
    <row r="6">
      <c r="A6" t="inlineStr" s="10">
        <is>
          <t xml:space="preserve">00647-26175</t>
        </is>
      </c>
      <c r="B6" s="8">
        <v>133.11</v>
      </c>
      <c r="C6" s="7"/>
      <c r="D6" s="8">
        <f>IF(C6="","",C6-B6)</f>
      </c>
      <c r="E6" s="9">
        <f>IF(OR(B6="",C6=""),"",(C6-B6)/B6)</f>
      </c>
      <c r="F6" s="10">
        <f>IF(C6="","",IF(ABS(D6)&lt;0.005,"OK","REVISAR"))</f>
      </c>
    </row>
    <row r="7">
      <c r="A7" t="inlineStr" s="10">
        <is>
          <t xml:space="preserve">000000000013540923</t>
        </is>
      </c>
      <c r="B7" s="8">
        <v>152.13</v>
      </c>
      <c r="C7" s="7"/>
      <c r="D7" s="8">
        <f>IF(C7="","",C7-B7)</f>
      </c>
      <c r="E7" s="9">
        <f>IF(OR(B7="",C7=""),"",(C7-B7)/B7)</f>
      </c>
      <c r="F7" s="10">
        <f>IF(C7="","",IF(ABS(D7)&lt;0.005,"OK","REVISAR"))</f>
      </c>
    </row>
  </sheetData>
</worksheet>
</file>